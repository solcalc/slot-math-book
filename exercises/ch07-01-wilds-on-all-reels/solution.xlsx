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ame Info" sheetId="1" state="visible" r:id="rId3"/>
    <sheet name="BG" sheetId="2" state="visible" r:id="rId4"/>
    <sheet name="F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<sst xmlns="http://schemas.openxmlformats.org/spreadsheetml/2006/main" count="698" uniqueCount="64">
  <si>
    <t xml:space="preserve">Total Bet</t>
  </si>
  <si>
    <t xml:space="preserve">Lines</t>
  </si>
  <si>
    <t xml:space="preserve">GAME RULES</t>
  </si>
  <si>
    <t xml:space="preserve">BASE GAME REELS</t>
  </si>
  <si>
    <t xml:space="preserve">FREE GAME REELS</t>
  </si>
  <si>
    <t xml:space="preserve">FREE GAME SPINS</t>
  </si>
  <si>
    <r>
      <rPr>
        <sz val="11"/>
        <color theme="1"/>
        <rFont val="Calibri"/>
        <family val="2"/>
        <charset val="1"/>
      </rPr>
      <t xml:space="preserve">WILD substitutes for all symbols except FG.
All wins pay left to right except FG.
FG wins added to payline wins
FG wins multiplied by the total bet.
3, 4, or 5 or more FG awards 8, 12, or 16 free spins, respectively.
3, 4, or 5 or more FG during a free spin awards an additional 8, 12, or 16 free spins, respectively.
</t>
    </r>
    <r>
      <rPr>
        <sz val="11"/>
        <color rgb="FFFF0000"/>
        <rFont val="Calibri"/>
        <family val="2"/>
        <charset val="1"/>
      </rPr>
      <t xml:space="preserve">All wins are tripled during free games.
</t>
    </r>
    <r>
      <rPr>
        <sz val="11"/>
        <rFont val="Calibri"/>
        <family val="2"/>
        <charset val="1"/>
      </rPr>
      <t xml:space="preserve">Free games using different reel strips from the base game.</t>
    </r>
  </si>
  <si>
    <t xml:space="preserve">Pos.</t>
  </si>
  <si>
    <t xml:space="preserve">Reel 1</t>
  </si>
  <si>
    <t xml:space="preserve">Reel 2</t>
  </si>
  <si>
    <t xml:space="preserve">Reel 3</t>
  </si>
  <si>
    <t xml:space="preserve">Reel 4</t>
  </si>
  <si>
    <t xml:space="preserve">Reel 5</t>
  </si>
  <si>
    <t xml:space="preserve">Scats</t>
  </si>
  <si>
    <t xml:space="preserve">BG</t>
  </si>
  <si>
    <t xml:space="preserve">FG</t>
  </si>
  <si>
    <t xml:space="preserve">SYM3</t>
  </si>
  <si>
    <t xml:space="preserve">K</t>
  </si>
  <si>
    <t xml:space="preserve">SYM1</t>
  </si>
  <si>
    <t xml:space="preserve">J</t>
  </si>
  <si>
    <t xml:space="preserve">SYM2</t>
  </si>
  <si>
    <t xml:space="preserve">A</t>
  </si>
  <si>
    <t xml:space="preserve">SYM4</t>
  </si>
  <si>
    <t xml:space="preserve">10</t>
  </si>
  <si>
    <t xml:space="preserve">WILD</t>
  </si>
  <si>
    <t xml:space="preserve">PAYTABLE</t>
  </si>
  <si>
    <t xml:space="preserve">SYM5</t>
  </si>
  <si>
    <t xml:space="preserve">Symbol</t>
  </si>
  <si>
    <t xml:space="preserve">2x</t>
  </si>
  <si>
    <t xml:space="preserve">3x</t>
  </si>
  <si>
    <t xml:space="preserve">4x</t>
  </si>
  <si>
    <t xml:space="preserve">5x</t>
  </si>
  <si>
    <t xml:space="preserve">Q</t>
  </si>
  <si>
    <t xml:space="preserve">--</t>
  </si>
  <si>
    <t xml:space="preserve">PAY LINES</t>
  </si>
  <si>
    <t xml:space="preserve">9</t>
  </si>
  <si>
    <t xml:space="preserve">*FG win is multiplied by total bet.</t>
  </si>
  <si>
    <t xml:space="preserve">Base Game</t>
  </si>
  <si>
    <t xml:space="preserve">Free Games Odds</t>
  </si>
  <si>
    <t xml:space="preserve">Free Games</t>
  </si>
  <si>
    <t xml:space="preserve">Total</t>
  </si>
  <si>
    <t xml:space="preserve">Symbol Distribution</t>
  </si>
  <si>
    <t xml:space="preserve">Cycle</t>
  </si>
  <si>
    <t xml:space="preserve">Derived Symbols</t>
  </si>
  <si>
    <t xml:space="preserve">FG (on screen)</t>
  </si>
  <si>
    <t xml:space="preserve">Line Hits</t>
  </si>
  <si>
    <t xml:space="preserve">Scatter Hits</t>
  </si>
  <si>
    <t xml:space="preserve">Combination</t>
  </si>
  <si>
    <t xml:space="preserve">Hits</t>
  </si>
  <si>
    <t xml:space="preserve">Prob</t>
  </si>
  <si>
    <t xml:space="preserve">Pay</t>
  </si>
  <si>
    <t xml:space="preserve">Contribution</t>
  </si>
  <si>
    <t xml:space="preserve">FG x5</t>
  </si>
  <si>
    <t xml:space="preserve">X</t>
  </si>
  <si>
    <t xml:space="preserve">FG x4</t>
  </si>
  <si>
    <t xml:space="preserve">FG x3</t>
  </si>
  <si>
    <t xml:space="preserve">FG Multiplier</t>
  </si>
  <si>
    <t xml:space="preserve">Trigger Prob</t>
  </si>
  <si>
    <t xml:space="preserve">Avg Spins</t>
  </si>
  <si>
    <t xml:space="preserve">BG Prob</t>
  </si>
  <si>
    <t xml:space="preserve">FG Prob</t>
  </si>
  <si>
    <t xml:space="preserve"># Spins</t>
  </si>
  <si>
    <t xml:space="preserve">Pay per Spin</t>
  </si>
  <si>
    <t xml:space="preserve">Total Pay</t>
  </si>
</sst>
</file>

<file path=xl/styles.xml><?xml version="1.0" encoding="utf-8"?>
<styleSheet xmlns="http://schemas.openxmlformats.org/spreadsheetml/2006/main">
  <numFmts count="10">
    <numFmt numFmtId="164" formatCode="General"/>
    <numFmt numFmtId="165" formatCode="@"/>
    <numFmt numFmtId="166" formatCode="0\x"/>
    <numFmt numFmtId="167" formatCode="0.00%"/>
    <numFmt numFmtId="168" formatCode="0"/>
    <numFmt numFmtId="169" formatCode="0%"/>
    <numFmt numFmtId="170" formatCode="0.00000000"/>
    <numFmt numFmtId="171" formatCode="0.000%"/>
    <numFmt numFmtId="172" formatCode="0.00"/>
    <numFmt numFmtId="173" formatCode="0.0000000"/>
  </numFmts>
  <fonts count="8">
    <font>
      <sz val="11"/>
      <color theme="1"/>
      <name val="Calibri"/>
      <family val="2"/>
      <charset val="1"/>
    </font>
    <font>
      <sz val="10"/>
      <name val="Arial"/>
      <family val="0"/>
    </font>
    <font>
      <sz val="10"/>
      <name val="Arial"/>
      <family val="0"/>
    </font>
    <font>
      <sz val="10"/>
      <name val="Arial"/>
      <family val="0"/>
    </font>
    <font>
      <sz val="10"/>
      <name val="Arial"/>
      <family val="2"/>
      <charset val="1"/>
    </font>
    <font>
      <sz val="11"/>
      <color rgb="FFFF0000"/>
      <name val="Calibri"/>
      <family val="2"/>
      <charset val="1"/>
    </font>
    <font>
      <b val="true"/>
      <sz val="11"/>
      <color theme="1"/>
      <name val="Calibri"/>
      <family val="2"/>
      <charset val="1"/>
    </font>
    <font>
      <sz val="11"/>
      <name val="Calibri"/>
      <family val="2"/>
      <charset val="1"/>
    </font>
  </fonts>
  <fills count="5">
    <fill>
      <patternFill patternType="none"/>
    </fill>
    <fill>
      <patternFill patternType="gray125"/>
    </fill>
    <fill>
      <patternFill patternType="solid">
        <fgColor theme="4" tint="0.7999"/>
        <bgColor rgb="FFCCFFFF"/>
      </patternFill>
    </fill>
    <fill>
      <patternFill patternType="solid">
        <fgColor rgb="FFFFFF00"/>
        <bgColor rgb="FFFFFF00"/>
      </patternFill>
    </fill>
    <fill>
      <patternFill patternType="solid">
        <fgColor theme="5" tint="0.7999"/>
        <bgColor rgb="FFDEEBF7"/>
      </patternFill>
    </fill>
  </fills>
  <borders count="16">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style="thin"/>
      <top/>
      <bottom/>
      <diagonal/>
    </border>
    <border diagonalUp="false" diagonalDown="false">
      <left style="thin"/>
      <right/>
      <top/>
      <bottom/>
      <diagonal/>
    </border>
    <border diagonalUp="false" diagonalDown="false">
      <left style="thin"/>
      <right style="thin"/>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thin"/>
      <top style="thin"/>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5" fillId="0" borderId="1"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xf numFmtId="164" fontId="7" fillId="2" borderId="1" xfId="0" applyFont="true" applyBorder="true" applyAlignment="true" applyProtection="true">
      <alignment horizontal="center" vertical="bottom" textRotation="0" wrapText="false" indent="0" shrinkToFit="false"/>
      <protection locked="true" hidden="false"/>
    </xf>
    <xf numFmtId="164" fontId="7" fillId="2" borderId="2" xfId="0" applyFont="true" applyBorder="true" applyAlignment="true" applyProtection="true">
      <alignment horizontal="center" vertical="bottom" textRotation="0" wrapText="false" indent="0" shrinkToFit="false"/>
      <protection locked="true" hidden="false"/>
    </xf>
    <xf numFmtId="164" fontId="7" fillId="2" borderId="3" xfId="0" applyFont="true" applyBorder="true" applyAlignment="true" applyProtection="true">
      <alignment horizontal="center" vertical="bottom" textRotation="0" wrapText="false" indent="0" shrinkToFit="false"/>
      <protection locked="true" hidden="false"/>
    </xf>
    <xf numFmtId="164" fontId="0" fillId="0" borderId="4" xfId="0" applyFont="true" applyBorder="true" applyAlignment="true" applyProtection="true">
      <alignment horizontal="center" vertical="bottom" textRotation="0" wrapText="false" indent="0" shrinkToFit="false"/>
      <protection locked="true" hidden="false"/>
    </xf>
    <xf numFmtId="165" fontId="7" fillId="0" borderId="5" xfId="0" applyFont="true" applyBorder="true" applyAlignment="true" applyProtection="true">
      <alignment horizontal="center" vertical="bottom" textRotation="0" wrapText="false" indent="0" shrinkToFit="false"/>
      <protection locked="true" hidden="false"/>
    </xf>
    <xf numFmtId="164" fontId="7" fillId="0" borderId="6" xfId="0" applyFont="true" applyBorder="true" applyAlignment="true" applyProtection="true">
      <alignment horizontal="center" vertical="bottom" textRotation="0" wrapText="false" indent="0" shrinkToFit="false"/>
      <protection locked="true" hidden="false"/>
    </xf>
    <xf numFmtId="164" fontId="7" fillId="0" borderId="0" xfId="0" applyFont="true" applyBorder="true" applyAlignment="true" applyProtection="true">
      <alignment horizontal="center" vertical="bottom" textRotation="0" wrapText="false" indent="0" shrinkToFit="false"/>
      <protection locked="true" hidden="false"/>
    </xf>
    <xf numFmtId="164" fontId="7" fillId="0" borderId="7"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5" fillId="0" borderId="8" xfId="0" applyFont="true" applyBorder="true" applyAlignment="true" applyProtection="true">
      <alignment horizontal="center" vertical="bottom" textRotation="0" wrapText="false" indent="0" shrinkToFit="false"/>
      <protection locked="true" hidden="false"/>
    </xf>
    <xf numFmtId="165" fontId="7" fillId="0" borderId="9" xfId="0" applyFont="true" applyBorder="true" applyAlignment="true" applyProtection="true">
      <alignment horizontal="center" vertical="bottom" textRotation="0" wrapText="false" indent="0" shrinkToFit="false"/>
      <protection locked="true" hidden="false"/>
    </xf>
    <xf numFmtId="164" fontId="7" fillId="0" borderId="8" xfId="0" applyFont="true" applyBorder="true" applyAlignment="true" applyProtection="true">
      <alignment horizontal="center" vertical="bottom" textRotation="0" wrapText="false" indent="0" shrinkToFit="false"/>
      <protection locked="true" hidden="false"/>
    </xf>
    <xf numFmtId="164" fontId="0" fillId="0" borderId="10" xfId="0" applyFont="true" applyBorder="true" applyAlignment="true" applyProtection="true">
      <alignment horizontal="center" vertical="bottom" textRotation="0" wrapText="false" indent="0" shrinkToFit="false"/>
      <protection locked="true" hidden="false"/>
    </xf>
    <xf numFmtId="164" fontId="5" fillId="0" borderId="11" xfId="0" applyFont="true" applyBorder="true" applyAlignment="true" applyProtection="true">
      <alignment horizontal="center" vertical="bottom" textRotation="0" wrapText="false" indent="0" shrinkToFit="false"/>
      <protection locked="true" hidden="false"/>
    </xf>
    <xf numFmtId="164" fontId="5" fillId="0" borderId="12" xfId="0" applyFont="true" applyBorder="true" applyAlignment="true" applyProtection="true">
      <alignment horizontal="center" vertical="bottom" textRotation="0" wrapText="false" indent="0" shrinkToFit="false"/>
      <protection locked="true" hidden="false"/>
    </xf>
    <xf numFmtId="164" fontId="0" fillId="2" borderId="1" xfId="0" applyFont="true" applyBorder="true" applyAlignment="true" applyProtection="true">
      <alignment horizontal="center" vertical="bottom" textRotation="0" wrapText="false" indent="0" shrinkToFit="false"/>
      <protection locked="true" hidden="false"/>
    </xf>
    <xf numFmtId="164" fontId="0" fillId="2" borderId="2" xfId="0" applyFont="true" applyBorder="true" applyAlignment="true" applyProtection="true">
      <alignment horizontal="center" vertical="bottom" textRotation="0" wrapText="false" indent="0" shrinkToFit="false"/>
      <protection locked="true" hidden="false"/>
    </xf>
    <xf numFmtId="164" fontId="0" fillId="2" borderId="3"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9"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6" fontId="5" fillId="0" borderId="2" xfId="0" applyFont="true" applyBorder="true" applyAlignment="true" applyProtection="true">
      <alignment horizontal="center" vertical="bottom" textRotation="0" wrapText="false" indent="0" shrinkToFit="false"/>
      <protection locked="true" hidden="false"/>
    </xf>
    <xf numFmtId="166" fontId="5" fillId="0" borderId="3"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5" fontId="7" fillId="0" borderId="0" xfId="0" applyFont="true" applyBorder="true" applyAlignment="true" applyProtection="true">
      <alignment horizontal="center" vertical="bottom" textRotation="0" wrapText="false" indent="0" shrinkToFit="false"/>
      <protection locked="true" hidden="false"/>
    </xf>
    <xf numFmtId="164" fontId="7" fillId="0" borderId="13" xfId="0" applyFont="true" applyBorder="true" applyAlignment="true" applyProtection="true">
      <alignment horizontal="center" vertical="bottom" textRotation="0" wrapText="false" indent="0" shrinkToFit="false"/>
      <protection locked="true" hidden="false"/>
    </xf>
    <xf numFmtId="164" fontId="7" fillId="0" borderId="11" xfId="0" applyFont="true" applyBorder="true" applyAlignment="true" applyProtection="true">
      <alignment horizontal="center" vertical="bottom" textRotation="0" wrapText="false" indent="0" shrinkToFit="false"/>
      <protection locked="true" hidden="false"/>
    </xf>
    <xf numFmtId="164" fontId="7" fillId="0" borderId="12"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7" fontId="0" fillId="3" borderId="0" xfId="0" applyFont="fals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8" fontId="0" fillId="3" borderId="1" xfId="0" applyFont="false" applyBorder="true" applyAlignment="true" applyProtection="true">
      <alignment horizontal="center" vertical="bottom" textRotation="0" wrapText="false" indent="0" shrinkToFit="false"/>
      <protection locked="true" hidden="false"/>
    </xf>
    <xf numFmtId="167" fontId="0" fillId="3" borderId="0" xfId="19" applyFont="true" applyBorder="true" applyAlignment="true" applyProtection="true">
      <alignment horizontal="center" vertical="bottom" textRotation="0" wrapText="false" indent="0" shrinkToFit="false"/>
      <protection locked="true" hidden="false"/>
    </xf>
    <xf numFmtId="167" fontId="6" fillId="3" borderId="1" xfId="0" applyFont="true" applyBorder="true" applyAlignment="true" applyProtection="true">
      <alignment horizontal="center" vertical="bottom" textRotation="0" wrapText="false" indent="0" shrinkToFit="false"/>
      <protection locked="true" hidden="false"/>
    </xf>
    <xf numFmtId="164" fontId="0" fillId="0" borderId="9"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0" fillId="0" borderId="8" xfId="0" applyFont="false" applyBorder="true" applyAlignment="true" applyProtection="true">
      <alignment horizontal="center" vertical="bottom" textRotation="0" wrapText="false" indent="0" shrinkToFit="false"/>
      <protection locked="true" hidden="false"/>
    </xf>
    <xf numFmtId="164" fontId="0" fillId="0" borderId="2" xfId="0" applyFont="false" applyBorder="true" applyAlignment="true" applyProtection="true">
      <alignment horizontal="center" vertical="bottom" textRotation="0" wrapText="false" indent="0" shrinkToFit="false"/>
      <protection locked="true" hidden="false"/>
    </xf>
    <xf numFmtId="164" fontId="0" fillId="0" borderId="3" xfId="0" applyFont="false" applyBorder="true" applyAlignment="true" applyProtection="true">
      <alignment horizontal="center" vertical="bottom" textRotation="0" wrapText="false" indent="0" shrinkToFit="false"/>
      <protection locked="true" hidden="false"/>
    </xf>
    <xf numFmtId="164" fontId="0" fillId="0" borderId="14" xfId="0" applyFont="true" applyBorder="true" applyAlignment="true" applyProtection="true">
      <alignment horizontal="center" vertical="bottom" textRotation="0" wrapText="false" indent="0" shrinkToFit="false"/>
      <protection locked="true" hidden="false"/>
    </xf>
    <xf numFmtId="164" fontId="0" fillId="0" borderId="15" xfId="0" applyFont="false" applyBorder="true" applyAlignment="true" applyProtection="true">
      <alignment horizontal="center" vertical="bottom" textRotation="0" wrapText="false" indent="0" shrinkToFit="false"/>
      <protection locked="true" hidden="false"/>
    </xf>
    <xf numFmtId="164" fontId="0" fillId="0" borderId="6" xfId="0" applyFont="false" applyBorder="true" applyAlignment="true" applyProtection="true">
      <alignment horizontal="center" vertical="bottom" textRotation="0" wrapText="false" indent="0" shrinkToFit="false"/>
      <protection locked="true" hidden="false"/>
    </xf>
    <xf numFmtId="164" fontId="0" fillId="0" borderId="7" xfId="0" applyFont="false" applyBorder="true" applyAlignment="true" applyProtection="true">
      <alignment horizontal="center" vertical="bottom" textRotation="0" wrapText="false" indent="0" shrinkToFit="false"/>
      <protection locked="true" hidden="false"/>
    </xf>
    <xf numFmtId="167" fontId="0" fillId="0" borderId="0" xfId="19" applyFont="true" applyBorder="true" applyAlignment="true" applyProtection="true">
      <alignment horizontal="center" vertical="bottom" textRotation="0" wrapText="false" indent="0" shrinkToFit="false"/>
      <protection locked="true" hidden="false"/>
    </xf>
    <xf numFmtId="167" fontId="0" fillId="0" borderId="0" xfId="0" applyFont="false" applyBorder="false" applyAlignment="true" applyProtection="true">
      <alignment horizontal="center" vertical="bottom" textRotation="0" wrapText="false" indent="0" shrinkToFit="false"/>
      <protection locked="true" hidden="false"/>
    </xf>
    <xf numFmtId="164" fontId="0" fillId="2" borderId="14" xfId="0" applyFont="true" applyBorder="true" applyAlignment="true" applyProtection="true">
      <alignment horizontal="center" vertical="bottom" textRotation="0" wrapText="false" indent="0" shrinkToFit="false"/>
      <protection locked="true" hidden="false"/>
    </xf>
    <xf numFmtId="164" fontId="0" fillId="3" borderId="0" xfId="0" applyFont="false" applyBorder="true" applyAlignment="true" applyProtection="true">
      <alignment horizontal="center" vertical="bottom" textRotation="0" wrapText="false" indent="0" shrinkToFit="false"/>
      <protection locked="true" hidden="false"/>
    </xf>
    <xf numFmtId="170" fontId="0" fillId="3" borderId="0" xfId="0" applyFont="false" applyBorder="true" applyAlignment="true" applyProtection="true">
      <alignment horizontal="center" vertical="bottom" textRotation="0" wrapText="false" indent="0" shrinkToFit="false"/>
      <protection locked="true" hidden="false"/>
    </xf>
    <xf numFmtId="164" fontId="0" fillId="4" borderId="0" xfId="0" applyFont="false" applyBorder="true" applyAlignment="true" applyProtection="true">
      <alignment horizontal="center" vertical="bottom" textRotation="0" wrapText="false" indent="0" shrinkToFit="false"/>
      <protection locked="true" hidden="false"/>
    </xf>
    <xf numFmtId="171" fontId="0" fillId="3" borderId="4" xfId="19" applyFont="true" applyBorder="true" applyAlignment="true" applyProtection="true">
      <alignment horizontal="center" vertical="bottom" textRotation="0" wrapText="false" indent="0" shrinkToFit="false"/>
      <protection locked="true" hidden="false"/>
    </xf>
    <xf numFmtId="164" fontId="0" fillId="0" borderId="13" xfId="0" applyFont="true" applyBorder="true" applyAlignment="true" applyProtection="true">
      <alignment horizontal="center" vertical="bottom" textRotation="0" wrapText="false" indent="0" shrinkToFit="false"/>
      <protection locked="true" hidden="false"/>
    </xf>
    <xf numFmtId="164" fontId="0" fillId="0" borderId="11" xfId="0" applyFont="true" applyBorder="true" applyAlignment="true" applyProtection="true">
      <alignment horizontal="center" vertical="bottom" textRotation="0" wrapText="false" indent="0" shrinkToFit="false"/>
      <protection locked="true" hidden="false"/>
    </xf>
    <xf numFmtId="164" fontId="0" fillId="0" borderId="12" xfId="0" applyFont="true" applyBorder="true" applyAlignment="true" applyProtection="true">
      <alignment horizontal="center" vertical="bottom" textRotation="0" wrapText="false" indent="0" shrinkToFit="false"/>
      <protection locked="true" hidden="false"/>
    </xf>
    <xf numFmtId="164" fontId="0" fillId="3" borderId="11" xfId="0" applyFont="false" applyBorder="true" applyAlignment="true" applyProtection="true">
      <alignment horizontal="center" vertical="bottom" textRotation="0" wrapText="false" indent="0" shrinkToFit="false"/>
      <protection locked="true" hidden="false"/>
    </xf>
    <xf numFmtId="170" fontId="0" fillId="0" borderId="11" xfId="0" applyFont="false" applyBorder="true" applyAlignment="true" applyProtection="true">
      <alignment horizontal="center" vertical="bottom" textRotation="0" wrapText="false" indent="0" shrinkToFit="false"/>
      <protection locked="true" hidden="false"/>
    </xf>
    <xf numFmtId="164" fontId="0" fillId="4" borderId="11" xfId="0" applyFont="false" applyBorder="true" applyAlignment="true" applyProtection="true">
      <alignment horizontal="center" vertical="bottom" textRotation="0" wrapText="false" indent="0" shrinkToFit="false"/>
      <protection locked="true" hidden="false"/>
    </xf>
    <xf numFmtId="167" fontId="0" fillId="0" borderId="12" xfId="19" applyFont="true" applyBorder="true" applyAlignment="true" applyProtection="true">
      <alignment horizontal="center" vertical="bottom" textRotation="0" wrapText="false" indent="0" shrinkToFit="false"/>
      <protection locked="true" hidden="false"/>
    </xf>
    <xf numFmtId="170" fontId="0" fillId="0" borderId="0" xfId="0" applyFont="false" applyBorder="true" applyAlignment="true" applyProtection="true">
      <alignment horizontal="center" vertical="bottom" textRotation="0" wrapText="false" indent="0" shrinkToFit="false"/>
      <protection locked="true" hidden="false"/>
    </xf>
    <xf numFmtId="167" fontId="0" fillId="0" borderId="8" xfId="19" applyFont="true" applyBorder="true" applyAlignment="true" applyProtection="true">
      <alignment horizontal="center" vertical="bottom" textRotation="0" wrapText="false" indent="0" shrinkToFit="false"/>
      <protection locked="true" hidden="false"/>
    </xf>
    <xf numFmtId="164" fontId="0" fillId="2" borderId="5" xfId="0" applyFont="true" applyBorder="true" applyAlignment="true" applyProtection="true">
      <alignment horizontal="center" vertical="bottom" textRotation="0" wrapText="false" indent="0" shrinkToFit="false"/>
      <protection locked="true" hidden="false"/>
    </xf>
    <xf numFmtId="164" fontId="0" fillId="2" borderId="15" xfId="0" applyFont="true" applyBorder="true" applyAlignment="true" applyProtection="true">
      <alignment horizontal="center" vertical="bottom" textRotation="0" wrapText="false" indent="0" shrinkToFit="false"/>
      <protection locked="true" hidden="false"/>
    </xf>
    <xf numFmtId="164" fontId="0" fillId="2" borderId="6" xfId="0" applyFont="true" applyBorder="true" applyAlignment="true" applyProtection="true">
      <alignment horizontal="center" vertical="bottom" textRotation="0" wrapText="false" indent="0" shrinkToFit="false"/>
      <protection locked="true" hidden="false"/>
    </xf>
    <xf numFmtId="172" fontId="0" fillId="3" borderId="1" xfId="0" applyFont="false" applyBorder="true" applyAlignment="true" applyProtection="true">
      <alignment horizontal="center" vertical="bottom" textRotation="0" wrapText="false" indent="0" shrinkToFit="false"/>
      <protection locked="true" hidden="false"/>
    </xf>
    <xf numFmtId="164" fontId="0" fillId="0" borderId="5" xfId="0" applyFont="true" applyBorder="true" applyAlignment="true" applyProtection="true">
      <alignment horizontal="center" vertical="bottom" textRotation="0" wrapText="false" indent="0" shrinkToFit="false"/>
      <protection locked="true" hidden="false"/>
    </xf>
    <xf numFmtId="173" fontId="0" fillId="3" borderId="5" xfId="0" applyFont="false" applyBorder="true" applyAlignment="true" applyProtection="true">
      <alignment horizontal="center" vertical="bottom" textRotation="0" wrapText="false" indent="0" shrinkToFit="false"/>
      <protection locked="true" hidden="false"/>
    </xf>
    <xf numFmtId="172" fontId="0" fillId="3" borderId="15" xfId="0" applyFont="false" applyBorder="true" applyAlignment="true" applyProtection="true">
      <alignment horizontal="center" vertical="bottom" textRotation="0" wrapText="false" indent="0" shrinkToFit="false"/>
      <protection locked="true" hidden="false"/>
    </xf>
    <xf numFmtId="164" fontId="0" fillId="3" borderId="5" xfId="0" applyFont="false" applyBorder="true" applyAlignment="true" applyProtection="true">
      <alignment horizontal="center" vertical="bottom" textRotation="0" wrapText="false" indent="0" shrinkToFit="false"/>
      <protection locked="true" hidden="false"/>
    </xf>
    <xf numFmtId="170" fontId="0" fillId="3" borderId="6" xfId="0" applyFont="false" applyBorder="true" applyAlignment="true" applyProtection="true">
      <alignment horizontal="center" vertical="bottom" textRotation="0" wrapText="false" indent="0" shrinkToFit="false"/>
      <protection locked="true" hidden="false"/>
    </xf>
    <xf numFmtId="164" fontId="0" fillId="4" borderId="15" xfId="0" applyFont="false" applyBorder="true" applyAlignment="true" applyProtection="true">
      <alignment horizontal="center" vertical="bottom" textRotation="0" wrapText="false" indent="0" shrinkToFit="false"/>
      <protection locked="true" hidden="false"/>
    </xf>
    <xf numFmtId="173" fontId="0" fillId="3" borderId="13" xfId="0" applyFont="false" applyBorder="true" applyAlignment="true" applyProtection="true">
      <alignment horizontal="center" vertical="bottom" textRotation="0" wrapText="false" indent="0" shrinkToFit="false"/>
      <protection locked="true" hidden="false"/>
    </xf>
    <xf numFmtId="172" fontId="0" fillId="3" borderId="10" xfId="0" applyFont="false" applyBorder="true" applyAlignment="true" applyProtection="true">
      <alignment horizontal="center" vertical="bottom" textRotation="0" wrapText="false" indent="0" shrinkToFit="false"/>
      <protection locked="true" hidden="false"/>
    </xf>
    <xf numFmtId="164" fontId="0" fillId="3" borderId="9" xfId="0" applyFont="false" applyBorder="true" applyAlignment="true" applyProtection="true">
      <alignment horizontal="center" vertical="bottom" textRotation="0" wrapText="false" indent="0" shrinkToFit="false"/>
      <protection locked="true" hidden="false"/>
    </xf>
    <xf numFmtId="164" fontId="0" fillId="4" borderId="4" xfId="0" applyFont="false" applyBorder="true" applyAlignment="true" applyProtection="true">
      <alignment horizontal="center" vertical="bottom" textRotation="0" wrapText="false" indent="0" shrinkToFit="false"/>
      <protection locked="true" hidden="false"/>
    </xf>
    <xf numFmtId="172" fontId="6" fillId="3" borderId="1" xfId="19" applyFont="true" applyBorder="true" applyAlignment="true" applyProtection="true">
      <alignment horizontal="center" vertical="bottom" textRotation="0" wrapText="false" indent="0" shrinkToFit="false"/>
      <protection locked="true" hidden="false"/>
    </xf>
    <xf numFmtId="164" fontId="0" fillId="3" borderId="13" xfId="0" applyFont="false" applyBorder="true" applyAlignment="true" applyProtection="true">
      <alignment horizontal="center" vertical="bottom" textRotation="0" wrapText="false" indent="0" shrinkToFit="false"/>
      <protection locked="true" hidden="false"/>
    </xf>
    <xf numFmtId="170" fontId="0" fillId="3" borderId="11" xfId="0" applyFont="false" applyBorder="true" applyAlignment="true" applyProtection="true">
      <alignment horizontal="center" vertical="bottom" textRotation="0" wrapText="false" indent="0" shrinkToFit="false"/>
      <protection locked="true" hidden="false"/>
    </xf>
    <xf numFmtId="164" fontId="0" fillId="4" borderId="10" xfId="0" applyFont="false" applyBorder="true" applyAlignment="true" applyProtection="true">
      <alignment horizontal="center"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10 2" xfId="20"/>
    <cellStyle name="Normal 2" xfId="21"/>
    <cellStyle name="Normal 3" xfId="22"/>
  </cellStyles>
  <dxfs count="24">
    <dxf>
      <font>
        <color rgb="FF9C5700"/>
      </font>
      <fill>
        <patternFill>
          <bgColor rgb="FFFFEB9C"/>
        </patternFill>
      </fill>
    </dxf>
    <dxf>
      <font>
        <color rgb="FF006100"/>
      </font>
      <fill>
        <patternFill>
          <bgColor rgb="FFC6EFCE"/>
        </patternFill>
      </fill>
    </dxf>
    <dxf>
      <font>
        <color rgb="FF9C5700"/>
      </font>
      <fill>
        <patternFill>
          <bgColor theme="4" tint="0.399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theme="4" tint="0.399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theme="4" tint="0.399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theme="4" tint="0.399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theme="4" tint="0.399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theme="4" tint="0.3999"/>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BE5D6"/>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DC3E6"/>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17</xdr:row>
      <xdr:rowOff>0</xdr:rowOff>
    </xdr:from>
    <xdr:to>
      <xdr:col>6</xdr:col>
      <xdr:colOff>507240</xdr:colOff>
      <xdr:row>21</xdr:row>
      <xdr:rowOff>66240</xdr:rowOff>
    </xdr:to>
    <xdr:pic>
      <xdr:nvPicPr>
        <xdr:cNvPr id="1" name="Picture 2"/>
        <xdr:cNvPicPr/>
      </xdr:nvPicPr>
      <xdr:blipFill>
        <a:blip r:embed="rId1"/>
        <a:stretch/>
      </xdr:blipFill>
      <xdr:spPr>
        <a:xfrm>
          <a:off x="276840" y="3238560"/>
          <a:ext cx="4491720" cy="8283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A1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10.2890625" defaultRowHeight="15" customHeight="false" zeroHeight="false" outlineLevelRow="0" outlineLevelCol="0"/>
  <cols>
    <col collapsed="false" customWidth="true" hidden="false" outlineLevel="0" max="1" min="1" style="1" width="3.57"/>
    <col collapsed="false" customWidth="false" hidden="false" outlineLevel="0" max="16384" min="2" style="1" width="10.29"/>
  </cols>
  <sheetData>
    <row r="2" customFormat="false" ht="15" hidden="false" customHeight="false" outlineLevel="0" collapsed="false">
      <c r="B2" s="1" t="s">
        <v>0</v>
      </c>
      <c r="C2" s="2" t="n">
        <v>10</v>
      </c>
    </row>
    <row r="3" customFormat="false" ht="15" hidden="false" customHeight="true" outlineLevel="0" collapsed="false">
      <c r="B3" s="1" t="s">
        <v>1</v>
      </c>
      <c r="C3" s="2" t="n">
        <v>20</v>
      </c>
    </row>
    <row r="5" customFormat="false" ht="15" hidden="false" customHeight="false" outlineLevel="0" collapsed="false">
      <c r="B5" s="3" t="s">
        <v>2</v>
      </c>
      <c r="I5" s="3" t="s">
        <v>3</v>
      </c>
      <c r="P5" s="3" t="s">
        <v>4</v>
      </c>
      <c r="W5" s="3" t="s">
        <v>5</v>
      </c>
    </row>
    <row r="6" customFormat="false" ht="15" hidden="false" customHeight="true" outlineLevel="0" collapsed="false">
      <c r="B6" s="4" t="s">
        <v>6</v>
      </c>
      <c r="C6" s="4"/>
      <c r="D6" s="4"/>
      <c r="E6" s="4"/>
      <c r="F6" s="4"/>
      <c r="G6" s="4"/>
      <c r="I6" s="5" t="s">
        <v>7</v>
      </c>
      <c r="J6" s="6" t="s">
        <v>8</v>
      </c>
      <c r="K6" s="6" t="s">
        <v>9</v>
      </c>
      <c r="L6" s="6" t="s">
        <v>10</v>
      </c>
      <c r="M6" s="6" t="s">
        <v>11</v>
      </c>
      <c r="N6" s="7" t="s">
        <v>12</v>
      </c>
      <c r="P6" s="5" t="s">
        <v>7</v>
      </c>
      <c r="Q6" s="6" t="s">
        <v>8</v>
      </c>
      <c r="R6" s="6" t="s">
        <v>9</v>
      </c>
      <c r="S6" s="6" t="s">
        <v>10</v>
      </c>
      <c r="T6" s="6" t="s">
        <v>11</v>
      </c>
      <c r="U6" s="7" t="s">
        <v>12</v>
      </c>
      <c r="W6" s="5" t="s">
        <v>13</v>
      </c>
      <c r="X6" s="6" t="s">
        <v>14</v>
      </c>
      <c r="Y6" s="7" t="s">
        <v>15</v>
      </c>
    </row>
    <row r="7" customFormat="false" ht="15" hidden="false" customHeight="false" outlineLevel="0" collapsed="false">
      <c r="B7" s="4"/>
      <c r="C7" s="4"/>
      <c r="D7" s="4"/>
      <c r="E7" s="4"/>
      <c r="F7" s="4"/>
      <c r="G7" s="4"/>
      <c r="I7" s="8" t="n">
        <v>1</v>
      </c>
      <c r="J7" s="9" t="s">
        <v>16</v>
      </c>
      <c r="K7" s="10" t="s">
        <v>17</v>
      </c>
      <c r="L7" s="11" t="s">
        <v>18</v>
      </c>
      <c r="M7" s="11" t="s">
        <v>18</v>
      </c>
      <c r="N7" s="12" t="s">
        <v>19</v>
      </c>
      <c r="P7" s="8" t="n">
        <v>1</v>
      </c>
      <c r="Q7" s="9" t="s">
        <v>16</v>
      </c>
      <c r="R7" s="10" t="s">
        <v>17</v>
      </c>
      <c r="S7" s="11" t="s">
        <v>18</v>
      </c>
      <c r="T7" s="11" t="s">
        <v>18</v>
      </c>
      <c r="U7" s="12" t="s">
        <v>19</v>
      </c>
      <c r="W7" s="8" t="n">
        <v>5</v>
      </c>
      <c r="X7" s="13" t="n">
        <v>16</v>
      </c>
      <c r="Y7" s="14" t="n">
        <v>16</v>
      </c>
    </row>
    <row r="8" customFormat="false" ht="15" hidden="false" customHeight="false" outlineLevel="0" collapsed="false">
      <c r="B8" s="4"/>
      <c r="C8" s="4"/>
      <c r="D8" s="4"/>
      <c r="E8" s="4"/>
      <c r="F8" s="4"/>
      <c r="G8" s="4"/>
      <c r="I8" s="8" t="n">
        <v>2</v>
      </c>
      <c r="J8" s="15" t="s">
        <v>17</v>
      </c>
      <c r="K8" s="11" t="s">
        <v>20</v>
      </c>
      <c r="L8" s="11" t="s">
        <v>21</v>
      </c>
      <c r="M8" s="11" t="n">
        <v>10</v>
      </c>
      <c r="N8" s="16" t="s">
        <v>20</v>
      </c>
      <c r="P8" s="8" t="n">
        <v>2</v>
      </c>
      <c r="Q8" s="15" t="s">
        <v>17</v>
      </c>
      <c r="R8" s="11" t="s">
        <v>20</v>
      </c>
      <c r="S8" s="11" t="s">
        <v>21</v>
      </c>
      <c r="T8" s="11" t="n">
        <v>10</v>
      </c>
      <c r="U8" s="16" t="s">
        <v>20</v>
      </c>
      <c r="W8" s="8" t="n">
        <v>4</v>
      </c>
      <c r="X8" s="13" t="n">
        <v>12</v>
      </c>
      <c r="Y8" s="14" t="n">
        <v>12</v>
      </c>
    </row>
    <row r="9" customFormat="false" ht="15" hidden="false" customHeight="false" outlineLevel="0" collapsed="false">
      <c r="B9" s="4"/>
      <c r="C9" s="4"/>
      <c r="D9" s="4"/>
      <c r="E9" s="4"/>
      <c r="F9" s="4"/>
      <c r="G9" s="4"/>
      <c r="I9" s="8" t="n">
        <v>3</v>
      </c>
      <c r="J9" s="15" t="s">
        <v>20</v>
      </c>
      <c r="K9" s="11" t="s">
        <v>19</v>
      </c>
      <c r="L9" s="11" t="s">
        <v>22</v>
      </c>
      <c r="M9" s="11" t="s">
        <v>16</v>
      </c>
      <c r="N9" s="16" t="s">
        <v>17</v>
      </c>
      <c r="P9" s="8" t="n">
        <v>3</v>
      </c>
      <c r="Q9" s="15" t="s">
        <v>20</v>
      </c>
      <c r="R9" s="11" t="s">
        <v>19</v>
      </c>
      <c r="S9" s="11" t="s">
        <v>22</v>
      </c>
      <c r="T9" s="11" t="s">
        <v>16</v>
      </c>
      <c r="U9" s="16" t="s">
        <v>17</v>
      </c>
      <c r="W9" s="17" t="n">
        <v>3</v>
      </c>
      <c r="X9" s="18" t="n">
        <v>8</v>
      </c>
      <c r="Y9" s="19" t="n">
        <v>8</v>
      </c>
    </row>
    <row r="10" customFormat="false" ht="15" hidden="false" customHeight="false" outlineLevel="0" collapsed="false">
      <c r="B10" s="4"/>
      <c r="C10" s="4"/>
      <c r="D10" s="4"/>
      <c r="E10" s="4"/>
      <c r="F10" s="4"/>
      <c r="G10" s="4"/>
      <c r="I10" s="8" t="n">
        <v>4</v>
      </c>
      <c r="J10" s="15" t="s">
        <v>23</v>
      </c>
      <c r="K10" s="11" t="s">
        <v>24</v>
      </c>
      <c r="L10" s="11" t="s">
        <v>17</v>
      </c>
      <c r="M10" s="11" t="s">
        <v>17</v>
      </c>
      <c r="N10" s="16" t="s">
        <v>16</v>
      </c>
      <c r="P10" s="8" t="n">
        <v>4</v>
      </c>
      <c r="Q10" s="15" t="s">
        <v>23</v>
      </c>
      <c r="R10" s="11" t="s">
        <v>24</v>
      </c>
      <c r="S10" s="11" t="s">
        <v>17</v>
      </c>
      <c r="T10" s="11" t="s">
        <v>17</v>
      </c>
      <c r="U10" s="16" t="s">
        <v>16</v>
      </c>
    </row>
    <row r="11" customFormat="false" ht="15" hidden="false" customHeight="false" outlineLevel="0" collapsed="false">
      <c r="B11" s="4"/>
      <c r="C11" s="4"/>
      <c r="D11" s="4"/>
      <c r="E11" s="4"/>
      <c r="F11" s="4"/>
      <c r="G11" s="4"/>
      <c r="I11" s="8" t="n">
        <v>5</v>
      </c>
      <c r="J11" s="15" t="s">
        <v>22</v>
      </c>
      <c r="K11" s="11" t="n">
        <v>9</v>
      </c>
      <c r="L11" s="11" t="s">
        <v>19</v>
      </c>
      <c r="M11" s="11" t="n">
        <v>10</v>
      </c>
      <c r="N11" s="16" t="n">
        <v>10</v>
      </c>
      <c r="P11" s="8" t="n">
        <v>5</v>
      </c>
      <c r="Q11" s="15" t="s">
        <v>22</v>
      </c>
      <c r="R11" s="11" t="n">
        <v>9</v>
      </c>
      <c r="S11" s="11" t="s">
        <v>19</v>
      </c>
      <c r="T11" s="11" t="n">
        <v>10</v>
      </c>
      <c r="U11" s="16" t="n">
        <v>10</v>
      </c>
      <c r="W11" s="3" t="s">
        <v>25</v>
      </c>
    </row>
    <row r="12" customFormat="false" ht="15" hidden="false" customHeight="false" outlineLevel="0" collapsed="false">
      <c r="B12" s="4"/>
      <c r="C12" s="4"/>
      <c r="D12" s="4"/>
      <c r="E12" s="4"/>
      <c r="F12" s="4"/>
      <c r="G12" s="4"/>
      <c r="I12" s="8" t="n">
        <v>6</v>
      </c>
      <c r="J12" s="15" t="s">
        <v>17</v>
      </c>
      <c r="K12" s="11" t="s">
        <v>20</v>
      </c>
      <c r="L12" s="11" t="s">
        <v>16</v>
      </c>
      <c r="M12" s="11" t="s">
        <v>26</v>
      </c>
      <c r="N12" s="16" t="s">
        <v>20</v>
      </c>
      <c r="P12" s="8" t="n">
        <v>6</v>
      </c>
      <c r="Q12" s="15" t="s">
        <v>17</v>
      </c>
      <c r="R12" s="11" t="s">
        <v>20</v>
      </c>
      <c r="S12" s="11" t="s">
        <v>16</v>
      </c>
      <c r="T12" s="11" t="s">
        <v>15</v>
      </c>
      <c r="U12" s="16" t="s">
        <v>20</v>
      </c>
      <c r="W12" s="20" t="s">
        <v>27</v>
      </c>
      <c r="X12" s="21" t="s">
        <v>28</v>
      </c>
      <c r="Y12" s="21" t="s">
        <v>29</v>
      </c>
      <c r="Z12" s="21" t="s">
        <v>30</v>
      </c>
      <c r="AA12" s="22" t="s">
        <v>31</v>
      </c>
    </row>
    <row r="13" customFormat="false" ht="15" hidden="false" customHeight="false" outlineLevel="0" collapsed="false">
      <c r="B13" s="4"/>
      <c r="C13" s="4"/>
      <c r="D13" s="4"/>
      <c r="E13" s="4"/>
      <c r="F13" s="4"/>
      <c r="G13" s="4"/>
      <c r="I13" s="8" t="n">
        <v>7</v>
      </c>
      <c r="J13" s="15" t="s">
        <v>18</v>
      </c>
      <c r="K13" s="11" t="s">
        <v>21</v>
      </c>
      <c r="L13" s="11" t="s">
        <v>32</v>
      </c>
      <c r="M13" s="11" t="s">
        <v>17</v>
      </c>
      <c r="N13" s="16" t="s">
        <v>32</v>
      </c>
      <c r="P13" s="8" t="n">
        <v>7</v>
      </c>
      <c r="Q13" s="15" t="s">
        <v>19</v>
      </c>
      <c r="R13" s="11" t="s">
        <v>21</v>
      </c>
      <c r="S13" s="11" t="s">
        <v>32</v>
      </c>
      <c r="T13" s="11" t="s">
        <v>17</v>
      </c>
      <c r="U13" s="16" t="s">
        <v>32</v>
      </c>
      <c r="W13" s="8" t="s">
        <v>24</v>
      </c>
      <c r="X13" s="13" t="s">
        <v>33</v>
      </c>
      <c r="Y13" s="13" t="n">
        <v>100</v>
      </c>
      <c r="Z13" s="13" t="n">
        <v>500</v>
      </c>
      <c r="AA13" s="14" t="n">
        <v>2500</v>
      </c>
    </row>
    <row r="14" customFormat="false" ht="15" hidden="false" customHeight="false" outlineLevel="0" collapsed="false">
      <c r="B14" s="4"/>
      <c r="C14" s="4"/>
      <c r="D14" s="4"/>
      <c r="E14" s="4"/>
      <c r="F14" s="4"/>
      <c r="G14" s="4"/>
      <c r="I14" s="8" t="n">
        <v>8</v>
      </c>
      <c r="J14" s="15" t="s">
        <v>23</v>
      </c>
      <c r="K14" s="11" t="s">
        <v>16</v>
      </c>
      <c r="L14" s="11" t="s">
        <v>20</v>
      </c>
      <c r="M14" s="11" t="s">
        <v>22</v>
      </c>
      <c r="N14" s="16" t="s">
        <v>15</v>
      </c>
      <c r="P14" s="8" t="n">
        <v>8</v>
      </c>
      <c r="Q14" s="15" t="s">
        <v>18</v>
      </c>
      <c r="R14" s="11" t="s">
        <v>24</v>
      </c>
      <c r="S14" s="11" t="s">
        <v>20</v>
      </c>
      <c r="T14" s="11" t="s">
        <v>22</v>
      </c>
      <c r="U14" s="16" t="s">
        <v>15</v>
      </c>
      <c r="W14" s="8" t="s">
        <v>18</v>
      </c>
      <c r="X14" s="13" t="s">
        <v>33</v>
      </c>
      <c r="Y14" s="13" t="n">
        <v>25</v>
      </c>
      <c r="Z14" s="13" t="n">
        <v>100</v>
      </c>
      <c r="AA14" s="14" t="n">
        <v>750</v>
      </c>
    </row>
    <row r="15" customFormat="false" ht="15" hidden="false" customHeight="false" outlineLevel="0" collapsed="false">
      <c r="B15" s="4"/>
      <c r="C15" s="4"/>
      <c r="D15" s="4"/>
      <c r="E15" s="4"/>
      <c r="F15" s="4"/>
      <c r="G15" s="4"/>
      <c r="I15" s="8" t="n">
        <v>9</v>
      </c>
      <c r="J15" s="15" t="s">
        <v>16</v>
      </c>
      <c r="K15" s="11" t="n">
        <v>9</v>
      </c>
      <c r="L15" s="11" t="s">
        <v>17</v>
      </c>
      <c r="M15" s="11" t="s">
        <v>21</v>
      </c>
      <c r="N15" s="16" t="s">
        <v>19</v>
      </c>
      <c r="P15" s="8" t="n">
        <v>9</v>
      </c>
      <c r="Q15" s="15" t="s">
        <v>21</v>
      </c>
      <c r="R15" s="11" t="n">
        <v>9</v>
      </c>
      <c r="S15" s="11" t="s">
        <v>17</v>
      </c>
      <c r="T15" s="11" t="s">
        <v>21</v>
      </c>
      <c r="U15" s="16" t="s">
        <v>19</v>
      </c>
      <c r="W15" s="8" t="s">
        <v>20</v>
      </c>
      <c r="X15" s="13" t="s">
        <v>33</v>
      </c>
      <c r="Y15" s="13" t="n">
        <v>25</v>
      </c>
      <c r="Z15" s="13" t="n">
        <v>100</v>
      </c>
      <c r="AA15" s="14" t="n">
        <v>750</v>
      </c>
    </row>
    <row r="16" customFormat="false" ht="15" hidden="false" customHeight="false" outlineLevel="0" collapsed="false">
      <c r="B16" s="23"/>
      <c r="C16" s="23"/>
      <c r="D16" s="23"/>
      <c r="E16" s="23"/>
      <c r="F16" s="23"/>
      <c r="G16" s="23"/>
      <c r="I16" s="8" t="n">
        <v>10</v>
      </c>
      <c r="J16" s="15" t="s">
        <v>19</v>
      </c>
      <c r="K16" s="11" t="n">
        <v>10</v>
      </c>
      <c r="L16" s="11" t="s">
        <v>24</v>
      </c>
      <c r="M16" s="11" t="n">
        <v>9</v>
      </c>
      <c r="N16" s="16" t="n">
        <v>9</v>
      </c>
      <c r="P16" s="8" t="n">
        <v>10</v>
      </c>
      <c r="Q16" s="15" t="s">
        <v>19</v>
      </c>
      <c r="R16" s="11" t="n">
        <v>10</v>
      </c>
      <c r="S16" s="11" t="s">
        <v>24</v>
      </c>
      <c r="T16" s="11" t="n">
        <v>9</v>
      </c>
      <c r="U16" s="16" t="n">
        <v>9</v>
      </c>
      <c r="W16" s="8" t="s">
        <v>16</v>
      </c>
      <c r="X16" s="13" t="s">
        <v>33</v>
      </c>
      <c r="Y16" s="13" t="n">
        <v>25</v>
      </c>
      <c r="Z16" s="13" t="n">
        <v>100</v>
      </c>
      <c r="AA16" s="14" t="n">
        <v>750</v>
      </c>
    </row>
    <row r="17" customFormat="false" ht="15" hidden="false" customHeight="false" outlineLevel="0" collapsed="false">
      <c r="B17" s="3" t="s">
        <v>34</v>
      </c>
      <c r="I17" s="8" t="n">
        <v>11</v>
      </c>
      <c r="J17" s="15" t="s">
        <v>16</v>
      </c>
      <c r="K17" s="11" t="s">
        <v>22</v>
      </c>
      <c r="L17" s="11" t="s">
        <v>21</v>
      </c>
      <c r="M17" s="11" t="s">
        <v>20</v>
      </c>
      <c r="N17" s="16" t="s">
        <v>18</v>
      </c>
      <c r="P17" s="8" t="n">
        <v>11</v>
      </c>
      <c r="Q17" s="15" t="s">
        <v>16</v>
      </c>
      <c r="R17" s="11" t="s">
        <v>22</v>
      </c>
      <c r="S17" s="11" t="s">
        <v>21</v>
      </c>
      <c r="T17" s="11" t="s">
        <v>20</v>
      </c>
      <c r="U17" s="16" t="s">
        <v>18</v>
      </c>
      <c r="W17" s="8" t="s">
        <v>22</v>
      </c>
      <c r="X17" s="13" t="s">
        <v>33</v>
      </c>
      <c r="Y17" s="13" t="n">
        <v>10</v>
      </c>
      <c r="Z17" s="13" t="n">
        <v>75</v>
      </c>
      <c r="AA17" s="14" t="n">
        <v>250</v>
      </c>
    </row>
    <row r="18" customFormat="false" ht="15" hidden="false" customHeight="false" outlineLevel="0" collapsed="false">
      <c r="I18" s="8" t="n">
        <v>12</v>
      </c>
      <c r="J18" s="15" t="s">
        <v>35</v>
      </c>
      <c r="K18" s="11" t="s">
        <v>19</v>
      </c>
      <c r="L18" s="11" t="s">
        <v>16</v>
      </c>
      <c r="M18" s="11" t="s">
        <v>17</v>
      </c>
      <c r="N18" s="16" t="n">
        <v>10</v>
      </c>
      <c r="P18" s="8" t="n">
        <v>12</v>
      </c>
      <c r="Q18" s="15" t="s">
        <v>35</v>
      </c>
      <c r="R18" s="11" t="s">
        <v>19</v>
      </c>
      <c r="S18" s="11" t="s">
        <v>16</v>
      </c>
      <c r="T18" s="11" t="s">
        <v>17</v>
      </c>
      <c r="U18" s="16" t="n">
        <v>10</v>
      </c>
      <c r="W18" s="8" t="s">
        <v>26</v>
      </c>
      <c r="X18" s="13" t="s">
        <v>33</v>
      </c>
      <c r="Y18" s="13" t="n">
        <v>10</v>
      </c>
      <c r="Z18" s="13" t="n">
        <v>50</v>
      </c>
      <c r="AA18" s="14" t="n">
        <v>250</v>
      </c>
    </row>
    <row r="19" customFormat="false" ht="15" hidden="false" customHeight="false" outlineLevel="0" collapsed="false">
      <c r="I19" s="8" t="n">
        <v>13</v>
      </c>
      <c r="J19" s="15" t="s">
        <v>23</v>
      </c>
      <c r="K19" s="11" t="s">
        <v>20</v>
      </c>
      <c r="L19" s="11" t="n">
        <v>10</v>
      </c>
      <c r="M19" s="11" t="s">
        <v>22</v>
      </c>
      <c r="N19" s="16" t="s">
        <v>22</v>
      </c>
      <c r="P19" s="8" t="n">
        <v>13</v>
      </c>
      <c r="Q19" s="15" t="s">
        <v>23</v>
      </c>
      <c r="R19" s="11" t="s">
        <v>20</v>
      </c>
      <c r="S19" s="11" t="n">
        <v>10</v>
      </c>
      <c r="T19" s="11" t="s">
        <v>22</v>
      </c>
      <c r="U19" s="16" t="s">
        <v>22</v>
      </c>
      <c r="W19" s="8" t="s">
        <v>21</v>
      </c>
      <c r="X19" s="13" t="s">
        <v>33</v>
      </c>
      <c r="Y19" s="13" t="n">
        <v>10</v>
      </c>
      <c r="Z19" s="13" t="n">
        <v>50</v>
      </c>
      <c r="AA19" s="14" t="n">
        <v>125</v>
      </c>
    </row>
    <row r="20" customFormat="false" ht="15" hidden="false" customHeight="false" outlineLevel="0" collapsed="false">
      <c r="I20" s="8" t="n">
        <v>14</v>
      </c>
      <c r="J20" s="15" t="s">
        <v>20</v>
      </c>
      <c r="K20" s="11" t="s">
        <v>21</v>
      </c>
      <c r="L20" s="11" t="s">
        <v>17</v>
      </c>
      <c r="M20" s="11" t="n">
        <v>10</v>
      </c>
      <c r="N20" s="16" t="s">
        <v>32</v>
      </c>
      <c r="P20" s="8" t="n">
        <v>14</v>
      </c>
      <c r="Q20" s="15" t="s">
        <v>20</v>
      </c>
      <c r="R20" s="11" t="s">
        <v>21</v>
      </c>
      <c r="S20" s="11" t="s">
        <v>17</v>
      </c>
      <c r="T20" s="11" t="n">
        <v>10</v>
      </c>
      <c r="U20" s="16" t="s">
        <v>32</v>
      </c>
      <c r="W20" s="8" t="s">
        <v>17</v>
      </c>
      <c r="X20" s="13" t="s">
        <v>33</v>
      </c>
      <c r="Y20" s="13" t="n">
        <v>5</v>
      </c>
      <c r="Z20" s="13" t="n">
        <v>50</v>
      </c>
      <c r="AA20" s="14" t="n">
        <v>100</v>
      </c>
    </row>
    <row r="21" customFormat="false" ht="15" hidden="false" customHeight="false" outlineLevel="0" collapsed="false">
      <c r="I21" s="8" t="n">
        <v>15</v>
      </c>
      <c r="J21" s="15" t="s">
        <v>21</v>
      </c>
      <c r="K21" s="11" t="s">
        <v>15</v>
      </c>
      <c r="L21" s="11" t="s">
        <v>26</v>
      </c>
      <c r="M21" s="11" t="s">
        <v>24</v>
      </c>
      <c r="N21" s="16" t="s">
        <v>24</v>
      </c>
      <c r="P21" s="8" t="n">
        <v>15</v>
      </c>
      <c r="Q21" s="15" t="s">
        <v>21</v>
      </c>
      <c r="R21" s="11" t="s">
        <v>15</v>
      </c>
      <c r="S21" s="11" t="s">
        <v>26</v>
      </c>
      <c r="T21" s="11" t="s">
        <v>24</v>
      </c>
      <c r="U21" s="16" t="s">
        <v>24</v>
      </c>
      <c r="W21" s="8" t="s">
        <v>32</v>
      </c>
      <c r="X21" s="13" t="s">
        <v>33</v>
      </c>
      <c r="Y21" s="13" t="n">
        <v>5</v>
      </c>
      <c r="Z21" s="13" t="n">
        <v>50</v>
      </c>
      <c r="AA21" s="14" t="n">
        <v>100</v>
      </c>
    </row>
    <row r="22" customFormat="false" ht="15" hidden="false" customHeight="false" outlineLevel="0" collapsed="false">
      <c r="I22" s="8" t="n">
        <v>16</v>
      </c>
      <c r="J22" s="15" t="s">
        <v>24</v>
      </c>
      <c r="K22" s="11" t="n">
        <v>9</v>
      </c>
      <c r="L22" s="11" t="s">
        <v>19</v>
      </c>
      <c r="M22" s="11" t="n">
        <v>9</v>
      </c>
      <c r="N22" s="16" t="s">
        <v>21</v>
      </c>
      <c r="P22" s="8" t="n">
        <v>16</v>
      </c>
      <c r="Q22" s="15" t="s">
        <v>24</v>
      </c>
      <c r="R22" s="11" t="n">
        <v>9</v>
      </c>
      <c r="S22" s="11" t="s">
        <v>19</v>
      </c>
      <c r="T22" s="11" t="n">
        <v>9</v>
      </c>
      <c r="U22" s="16" t="s">
        <v>21</v>
      </c>
      <c r="W22" s="8" t="s">
        <v>19</v>
      </c>
      <c r="X22" s="13" t="s">
        <v>33</v>
      </c>
      <c r="Y22" s="13" t="n">
        <v>5</v>
      </c>
      <c r="Z22" s="13" t="n">
        <v>25</v>
      </c>
      <c r="AA22" s="14" t="n">
        <v>100</v>
      </c>
    </row>
    <row r="23" customFormat="false" ht="15" hidden="false" customHeight="false" outlineLevel="0" collapsed="false">
      <c r="I23" s="8" t="n">
        <v>17</v>
      </c>
      <c r="J23" s="24" t="s">
        <v>32</v>
      </c>
      <c r="K23" s="11" t="s">
        <v>19</v>
      </c>
      <c r="L23" s="11" t="s">
        <v>16</v>
      </c>
      <c r="M23" s="11" t="s">
        <v>16</v>
      </c>
      <c r="N23" s="16" t="s">
        <v>26</v>
      </c>
      <c r="P23" s="8" t="n">
        <v>17</v>
      </c>
      <c r="Q23" s="24" t="s">
        <v>32</v>
      </c>
      <c r="R23" s="11" t="s">
        <v>19</v>
      </c>
      <c r="S23" s="11" t="s">
        <v>16</v>
      </c>
      <c r="T23" s="11" t="s">
        <v>16</v>
      </c>
      <c r="U23" s="16" t="s">
        <v>26</v>
      </c>
      <c r="W23" s="8" t="n">
        <v>10</v>
      </c>
      <c r="X23" s="13" t="s">
        <v>33</v>
      </c>
      <c r="Y23" s="13" t="n">
        <v>5</v>
      </c>
      <c r="Z23" s="13" t="n">
        <v>25</v>
      </c>
      <c r="AA23" s="14" t="n">
        <v>100</v>
      </c>
    </row>
    <row r="24" customFormat="false" ht="15" hidden="false" customHeight="false" outlineLevel="0" collapsed="false">
      <c r="I24" s="8" t="n">
        <v>18</v>
      </c>
      <c r="J24" s="15" t="s">
        <v>26</v>
      </c>
      <c r="K24" s="11" t="s">
        <v>22</v>
      </c>
      <c r="L24" s="11" t="n">
        <v>10</v>
      </c>
      <c r="M24" s="11" t="s">
        <v>32</v>
      </c>
      <c r="N24" s="16" t="n">
        <v>9</v>
      </c>
      <c r="P24" s="8" t="n">
        <v>18</v>
      </c>
      <c r="Q24" s="15" t="s">
        <v>26</v>
      </c>
      <c r="R24" s="11" t="s">
        <v>22</v>
      </c>
      <c r="S24" s="11" t="n">
        <v>10</v>
      </c>
      <c r="T24" s="11" t="s">
        <v>32</v>
      </c>
      <c r="U24" s="16" t="n">
        <v>9</v>
      </c>
      <c r="W24" s="8" t="n">
        <v>9</v>
      </c>
      <c r="X24" s="13" t="s">
        <v>33</v>
      </c>
      <c r="Y24" s="13" t="n">
        <v>5</v>
      </c>
      <c r="Z24" s="13" t="n">
        <v>25</v>
      </c>
      <c r="AA24" s="14" t="n">
        <v>100</v>
      </c>
    </row>
    <row r="25" customFormat="false" ht="15" hidden="false" customHeight="false" outlineLevel="0" collapsed="false">
      <c r="I25" s="8" t="n">
        <v>19</v>
      </c>
      <c r="J25" s="24" t="s">
        <v>17</v>
      </c>
      <c r="K25" s="11" t="s">
        <v>17</v>
      </c>
      <c r="L25" s="11" t="n">
        <v>9</v>
      </c>
      <c r="M25" s="11" t="s">
        <v>20</v>
      </c>
      <c r="N25" s="16" t="s">
        <v>32</v>
      </c>
      <c r="P25" s="8" t="n">
        <v>19</v>
      </c>
      <c r="Q25" s="24" t="s">
        <v>17</v>
      </c>
      <c r="R25" s="11" t="s">
        <v>17</v>
      </c>
      <c r="S25" s="11" t="n">
        <v>9</v>
      </c>
      <c r="T25" s="11" t="s">
        <v>20</v>
      </c>
      <c r="U25" s="16" t="s">
        <v>32</v>
      </c>
      <c r="W25" s="25" t="s">
        <v>15</v>
      </c>
      <c r="X25" s="26" t="s">
        <v>33</v>
      </c>
      <c r="Y25" s="26" t="n">
        <v>5</v>
      </c>
      <c r="Z25" s="26" t="n">
        <v>20</v>
      </c>
      <c r="AA25" s="27" t="n">
        <v>100</v>
      </c>
    </row>
    <row r="26" customFormat="false" ht="15" hidden="false" customHeight="false" outlineLevel="0" collapsed="false">
      <c r="I26" s="8" t="n">
        <v>20</v>
      </c>
      <c r="J26" s="24" t="s">
        <v>21</v>
      </c>
      <c r="K26" s="11" t="s">
        <v>26</v>
      </c>
      <c r="L26" s="11" t="s">
        <v>15</v>
      </c>
      <c r="M26" s="11" t="n">
        <v>10</v>
      </c>
      <c r="N26" s="16" t="s">
        <v>22</v>
      </c>
      <c r="P26" s="8" t="n">
        <v>20</v>
      </c>
      <c r="Q26" s="24" t="s">
        <v>21</v>
      </c>
      <c r="R26" s="11" t="s">
        <v>26</v>
      </c>
      <c r="S26" s="11" t="s">
        <v>15</v>
      </c>
      <c r="T26" s="11" t="n">
        <v>10</v>
      </c>
      <c r="U26" s="16" t="s">
        <v>22</v>
      </c>
      <c r="W26" s="28" t="s">
        <v>36</v>
      </c>
    </row>
    <row r="27" customFormat="false" ht="15" hidden="false" customHeight="false" outlineLevel="0" collapsed="false">
      <c r="I27" s="8" t="n">
        <v>21</v>
      </c>
      <c r="J27" s="24" t="s">
        <v>22</v>
      </c>
      <c r="K27" s="11" t="s">
        <v>32</v>
      </c>
      <c r="L27" s="11" t="s">
        <v>32</v>
      </c>
      <c r="M27" s="11" t="s">
        <v>19</v>
      </c>
      <c r="N27" s="16" t="s">
        <v>19</v>
      </c>
      <c r="P27" s="8" t="n">
        <v>21</v>
      </c>
      <c r="Q27" s="24" t="s">
        <v>22</v>
      </c>
      <c r="R27" s="11" t="s">
        <v>32</v>
      </c>
      <c r="S27" s="11" t="s">
        <v>32</v>
      </c>
      <c r="T27" s="11" t="s">
        <v>19</v>
      </c>
      <c r="U27" s="16" t="s">
        <v>19</v>
      </c>
    </row>
    <row r="28" customFormat="false" ht="15" hidden="false" customHeight="false" outlineLevel="0" collapsed="false">
      <c r="I28" s="8" t="n">
        <v>22</v>
      </c>
      <c r="J28" s="24" t="s">
        <v>17</v>
      </c>
      <c r="K28" s="11" t="s">
        <v>18</v>
      </c>
      <c r="L28" s="11" t="s">
        <v>26</v>
      </c>
      <c r="M28" s="11" t="s">
        <v>15</v>
      </c>
      <c r="N28" s="16" t="s">
        <v>18</v>
      </c>
      <c r="P28" s="8" t="n">
        <v>22</v>
      </c>
      <c r="Q28" s="24" t="s">
        <v>17</v>
      </c>
      <c r="R28" s="11" t="s">
        <v>18</v>
      </c>
      <c r="S28" s="11" t="s">
        <v>26</v>
      </c>
      <c r="T28" s="11" t="s">
        <v>15</v>
      </c>
      <c r="U28" s="16" t="s">
        <v>18</v>
      </c>
    </row>
    <row r="29" customFormat="false" ht="15" hidden="false" customHeight="false" outlineLevel="0" collapsed="false">
      <c r="I29" s="8" t="n">
        <v>23</v>
      </c>
      <c r="J29" s="24" t="s">
        <v>15</v>
      </c>
      <c r="K29" s="11" t="s">
        <v>21</v>
      </c>
      <c r="L29" s="11" t="s">
        <v>19</v>
      </c>
      <c r="M29" s="11" t="s">
        <v>21</v>
      </c>
      <c r="N29" s="16" t="n">
        <v>10</v>
      </c>
      <c r="P29" s="8" t="n">
        <v>23</v>
      </c>
      <c r="Q29" s="24" t="s">
        <v>15</v>
      </c>
      <c r="R29" s="11" t="s">
        <v>21</v>
      </c>
      <c r="S29" s="11" t="s">
        <v>19</v>
      </c>
      <c r="T29" s="11" t="s">
        <v>21</v>
      </c>
      <c r="U29" s="16" t="n">
        <v>10</v>
      </c>
    </row>
    <row r="30" customFormat="false" ht="15" hidden="false" customHeight="false" outlineLevel="0" collapsed="false">
      <c r="I30" s="8" t="n">
        <v>24</v>
      </c>
      <c r="J30" s="24" t="s">
        <v>32</v>
      </c>
      <c r="K30" s="11" t="n">
        <v>10</v>
      </c>
      <c r="L30" s="11" t="s">
        <v>16</v>
      </c>
      <c r="M30" s="11" t="s">
        <v>19</v>
      </c>
      <c r="N30" s="16" t="n">
        <v>9</v>
      </c>
      <c r="P30" s="8" t="n">
        <v>24</v>
      </c>
      <c r="Q30" s="24" t="s">
        <v>32</v>
      </c>
      <c r="R30" s="11" t="n">
        <v>10</v>
      </c>
      <c r="S30" s="11" t="s">
        <v>16</v>
      </c>
      <c r="T30" s="11" t="s">
        <v>19</v>
      </c>
      <c r="U30" s="16" t="n">
        <v>9</v>
      </c>
    </row>
    <row r="31" customFormat="false" ht="15" hidden="false" customHeight="false" outlineLevel="0" collapsed="false">
      <c r="I31" s="8" t="n">
        <v>25</v>
      </c>
      <c r="J31" s="24" t="s">
        <v>21</v>
      </c>
      <c r="K31" s="11" t="s">
        <v>20</v>
      </c>
      <c r="L31" s="11" t="n">
        <v>9</v>
      </c>
      <c r="M31" s="11" t="s">
        <v>16</v>
      </c>
      <c r="N31" s="16" t="s">
        <v>20</v>
      </c>
      <c r="P31" s="8" t="n">
        <v>25</v>
      </c>
      <c r="Q31" s="24" t="s">
        <v>21</v>
      </c>
      <c r="R31" s="11" t="s">
        <v>24</v>
      </c>
      <c r="S31" s="11" t="n">
        <v>9</v>
      </c>
      <c r="T31" s="11" t="s">
        <v>16</v>
      </c>
      <c r="U31" s="16" t="s">
        <v>20</v>
      </c>
    </row>
    <row r="32" customFormat="false" ht="15" hidden="false" customHeight="false" outlineLevel="0" collapsed="false">
      <c r="I32" s="8" t="n">
        <v>26</v>
      </c>
      <c r="J32" s="24" t="s">
        <v>22</v>
      </c>
      <c r="K32" s="11" t="n">
        <v>9</v>
      </c>
      <c r="L32" s="11" t="s">
        <v>18</v>
      </c>
      <c r="M32" s="11" t="s">
        <v>32</v>
      </c>
      <c r="N32" s="16" t="n">
        <v>10</v>
      </c>
      <c r="P32" s="8" t="n">
        <v>26</v>
      </c>
      <c r="Q32" s="24" t="s">
        <v>22</v>
      </c>
      <c r="R32" s="11" t="n">
        <v>9</v>
      </c>
      <c r="S32" s="11" t="s">
        <v>24</v>
      </c>
      <c r="T32" s="11" t="s">
        <v>32</v>
      </c>
      <c r="U32" s="16" t="n">
        <v>10</v>
      </c>
    </row>
    <row r="33" customFormat="false" ht="15" hidden="false" customHeight="false" outlineLevel="0" collapsed="false">
      <c r="I33" s="8" t="n">
        <v>27</v>
      </c>
      <c r="J33" s="24" t="n">
        <v>9</v>
      </c>
      <c r="K33" s="11" t="s">
        <v>16</v>
      </c>
      <c r="L33" s="11" t="s">
        <v>17</v>
      </c>
      <c r="M33" s="11" t="s">
        <v>21</v>
      </c>
      <c r="N33" s="16" t="s">
        <v>32</v>
      </c>
      <c r="P33" s="8" t="n">
        <v>27</v>
      </c>
      <c r="Q33" s="24" t="n">
        <v>9</v>
      </c>
      <c r="R33" s="11" t="s">
        <v>16</v>
      </c>
      <c r="S33" s="11" t="s">
        <v>17</v>
      </c>
      <c r="T33" s="11" t="s">
        <v>21</v>
      </c>
      <c r="U33" s="16" t="s">
        <v>32</v>
      </c>
    </row>
    <row r="34" customFormat="false" ht="15" hidden="false" customHeight="false" outlineLevel="0" collapsed="false">
      <c r="I34" s="8" t="n">
        <v>28</v>
      </c>
      <c r="J34" s="24" t="s">
        <v>32</v>
      </c>
      <c r="K34" s="11" t="s">
        <v>19</v>
      </c>
      <c r="L34" s="11" t="n">
        <v>10</v>
      </c>
      <c r="M34" s="11" t="s">
        <v>20</v>
      </c>
      <c r="N34" s="16" t="s">
        <v>16</v>
      </c>
      <c r="P34" s="8" t="n">
        <v>28</v>
      </c>
      <c r="Q34" s="24" t="s">
        <v>32</v>
      </c>
      <c r="R34" s="11" t="s">
        <v>19</v>
      </c>
      <c r="S34" s="11" t="n">
        <v>10</v>
      </c>
      <c r="T34" s="11" t="s">
        <v>20</v>
      </c>
      <c r="U34" s="16" t="s">
        <v>15</v>
      </c>
    </row>
    <row r="35" customFormat="false" ht="15" hidden="false" customHeight="false" outlineLevel="0" collapsed="false">
      <c r="I35" s="8" t="n">
        <v>29</v>
      </c>
      <c r="J35" s="15" t="s">
        <v>24</v>
      </c>
      <c r="K35" s="11" t="n">
        <v>10</v>
      </c>
      <c r="L35" s="11" t="s">
        <v>16</v>
      </c>
      <c r="M35" s="11" t="n">
        <v>9</v>
      </c>
      <c r="N35" s="16" t="n">
        <v>10</v>
      </c>
      <c r="P35" s="8" t="n">
        <v>29</v>
      </c>
      <c r="Q35" s="15" t="s">
        <v>24</v>
      </c>
      <c r="R35" s="11" t="n">
        <v>10</v>
      </c>
      <c r="S35" s="11" t="s">
        <v>16</v>
      </c>
      <c r="T35" s="11" t="n">
        <v>9</v>
      </c>
      <c r="U35" s="16" t="n">
        <v>10</v>
      </c>
    </row>
    <row r="36" customFormat="false" ht="15" hidden="false" customHeight="false" outlineLevel="0" collapsed="false">
      <c r="I36" s="8" t="n">
        <v>30</v>
      </c>
      <c r="J36" s="24" t="s">
        <v>17</v>
      </c>
      <c r="K36" s="11" t="s">
        <v>15</v>
      </c>
      <c r="L36" s="11" t="s">
        <v>32</v>
      </c>
      <c r="M36" s="11" t="s">
        <v>22</v>
      </c>
      <c r="N36" s="16" t="s">
        <v>26</v>
      </c>
      <c r="P36" s="8" t="n">
        <v>30</v>
      </c>
      <c r="Q36" s="24" t="s">
        <v>17</v>
      </c>
      <c r="R36" s="11" t="s">
        <v>15</v>
      </c>
      <c r="S36" s="11" t="s">
        <v>32</v>
      </c>
      <c r="T36" s="11" t="s">
        <v>22</v>
      </c>
      <c r="U36" s="16" t="s">
        <v>26</v>
      </c>
    </row>
    <row r="37" customFormat="false" ht="15" hidden="false" customHeight="false" outlineLevel="0" collapsed="false">
      <c r="I37" s="8" t="n">
        <v>31</v>
      </c>
      <c r="J37" s="24" t="s">
        <v>22</v>
      </c>
      <c r="K37" s="11" t="s">
        <v>17</v>
      </c>
      <c r="L37" s="11" t="s">
        <v>20</v>
      </c>
      <c r="M37" s="11" t="s">
        <v>17</v>
      </c>
      <c r="N37" s="16" t="s">
        <v>19</v>
      </c>
      <c r="P37" s="8" t="n">
        <v>31</v>
      </c>
      <c r="Q37" s="24" t="s">
        <v>22</v>
      </c>
      <c r="R37" s="11" t="s">
        <v>17</v>
      </c>
      <c r="S37" s="11" t="s">
        <v>20</v>
      </c>
      <c r="T37" s="11" t="s">
        <v>17</v>
      </c>
      <c r="U37" s="16" t="s">
        <v>19</v>
      </c>
    </row>
    <row r="38" customFormat="false" ht="15" hidden="false" customHeight="false" outlineLevel="0" collapsed="false">
      <c r="I38" s="8" t="n">
        <v>32</v>
      </c>
      <c r="J38" s="24" t="n">
        <v>10</v>
      </c>
      <c r="K38" s="11" t="s">
        <v>20</v>
      </c>
      <c r="L38" s="11" t="s">
        <v>17</v>
      </c>
      <c r="M38" s="11" t="n">
        <v>10</v>
      </c>
      <c r="N38" s="16" t="s">
        <v>22</v>
      </c>
      <c r="P38" s="8" t="n">
        <v>32</v>
      </c>
      <c r="Q38" s="24" t="n">
        <v>10</v>
      </c>
      <c r="R38" s="11" t="s">
        <v>20</v>
      </c>
      <c r="S38" s="11" t="s">
        <v>17</v>
      </c>
      <c r="T38" s="11" t="n">
        <v>10</v>
      </c>
      <c r="U38" s="16" t="s">
        <v>22</v>
      </c>
    </row>
    <row r="39" customFormat="false" ht="15" hidden="false" customHeight="false" outlineLevel="0" collapsed="false">
      <c r="I39" s="8" t="n">
        <v>33</v>
      </c>
      <c r="J39" s="24" t="n">
        <v>9</v>
      </c>
      <c r="K39" s="11" t="s">
        <v>19</v>
      </c>
      <c r="L39" s="11" t="s">
        <v>15</v>
      </c>
      <c r="M39" s="11" t="s">
        <v>22</v>
      </c>
      <c r="N39" s="16" t="s">
        <v>21</v>
      </c>
      <c r="P39" s="8" t="n">
        <v>33</v>
      </c>
      <c r="Q39" s="24" t="n">
        <v>9</v>
      </c>
      <c r="R39" s="11" t="s">
        <v>19</v>
      </c>
      <c r="S39" s="11" t="s">
        <v>15</v>
      </c>
      <c r="T39" s="11" t="s">
        <v>22</v>
      </c>
      <c r="U39" s="16" t="s">
        <v>21</v>
      </c>
    </row>
    <row r="40" customFormat="false" ht="15" hidden="false" customHeight="false" outlineLevel="0" collapsed="false">
      <c r="I40" s="8" t="n">
        <v>34</v>
      </c>
      <c r="J40" s="24" t="s">
        <v>20</v>
      </c>
      <c r="K40" s="11" t="s">
        <v>18</v>
      </c>
      <c r="L40" s="11" t="s">
        <v>19</v>
      </c>
      <c r="M40" s="11" t="n">
        <v>9</v>
      </c>
      <c r="N40" s="16" t="s">
        <v>17</v>
      </c>
      <c r="P40" s="8" t="n">
        <v>34</v>
      </c>
      <c r="Q40" s="24" t="s">
        <v>20</v>
      </c>
      <c r="R40" s="11" t="s">
        <v>18</v>
      </c>
      <c r="S40" s="11" t="s">
        <v>19</v>
      </c>
      <c r="T40" s="11" t="n">
        <v>9</v>
      </c>
      <c r="U40" s="16" t="s">
        <v>17</v>
      </c>
    </row>
    <row r="41" customFormat="false" ht="15" hidden="false" customHeight="false" outlineLevel="0" collapsed="false">
      <c r="I41" s="8" t="n">
        <v>35</v>
      </c>
      <c r="J41" s="24" t="n">
        <v>9</v>
      </c>
      <c r="K41" s="11" t="n">
        <v>9</v>
      </c>
      <c r="L41" s="11" t="s">
        <v>16</v>
      </c>
      <c r="M41" s="11" t="s">
        <v>26</v>
      </c>
      <c r="N41" s="16" t="s">
        <v>26</v>
      </c>
      <c r="P41" s="8" t="n">
        <v>35</v>
      </c>
      <c r="Q41" s="24" t="n">
        <v>9</v>
      </c>
      <c r="R41" s="11" t="n">
        <v>9</v>
      </c>
      <c r="S41" s="11" t="s">
        <v>16</v>
      </c>
      <c r="T41" s="11" t="s">
        <v>26</v>
      </c>
      <c r="U41" s="16" t="s">
        <v>26</v>
      </c>
    </row>
    <row r="42" customFormat="false" ht="15" hidden="false" customHeight="false" outlineLevel="0" collapsed="false">
      <c r="I42" s="8" t="n">
        <v>36</v>
      </c>
      <c r="J42" s="24" t="s">
        <v>16</v>
      </c>
      <c r="K42" s="11" t="s">
        <v>17</v>
      </c>
      <c r="L42" s="11" t="n">
        <v>9</v>
      </c>
      <c r="M42" s="11" t="s">
        <v>19</v>
      </c>
      <c r="N42" s="16" t="s">
        <v>32</v>
      </c>
      <c r="P42" s="8" t="n">
        <v>36</v>
      </c>
      <c r="Q42" s="24" t="s">
        <v>16</v>
      </c>
      <c r="R42" s="11" t="s">
        <v>17</v>
      </c>
      <c r="S42" s="11" t="n">
        <v>9</v>
      </c>
      <c r="T42" s="11" t="s">
        <v>19</v>
      </c>
      <c r="U42" s="16" t="s">
        <v>32</v>
      </c>
    </row>
    <row r="43" customFormat="false" ht="15" hidden="false" customHeight="false" outlineLevel="0" collapsed="false">
      <c r="I43" s="8" t="n">
        <v>37</v>
      </c>
      <c r="J43" s="24" t="s">
        <v>19</v>
      </c>
      <c r="K43" s="11" t="s">
        <v>16</v>
      </c>
      <c r="L43" s="11" t="s">
        <v>26</v>
      </c>
      <c r="M43" s="29"/>
      <c r="N43" s="16" t="s">
        <v>19</v>
      </c>
      <c r="P43" s="8" t="n">
        <v>37</v>
      </c>
      <c r="Q43" s="24" t="s">
        <v>19</v>
      </c>
      <c r="R43" s="11" t="s">
        <v>16</v>
      </c>
      <c r="S43" s="11" t="s">
        <v>26</v>
      </c>
      <c r="T43" s="29"/>
      <c r="U43" s="16" t="s">
        <v>19</v>
      </c>
    </row>
    <row r="44" customFormat="false" ht="15" hidden="false" customHeight="false" outlineLevel="0" collapsed="false">
      <c r="I44" s="8" t="n">
        <v>38</v>
      </c>
      <c r="J44" s="24" t="s">
        <v>21</v>
      </c>
      <c r="K44" s="11" t="s">
        <v>19</v>
      </c>
      <c r="L44" s="11" t="s">
        <v>32</v>
      </c>
      <c r="M44" s="29"/>
      <c r="N44" s="16" t="s">
        <v>16</v>
      </c>
      <c r="P44" s="8" t="n">
        <v>38</v>
      </c>
      <c r="Q44" s="24" t="s">
        <v>21</v>
      </c>
      <c r="R44" s="11" t="s">
        <v>19</v>
      </c>
      <c r="S44" s="11" t="s">
        <v>32</v>
      </c>
      <c r="T44" s="29"/>
      <c r="U44" s="16" t="s">
        <v>16</v>
      </c>
    </row>
    <row r="45" customFormat="false" ht="15" hidden="false" customHeight="false" outlineLevel="0" collapsed="false">
      <c r="I45" s="8" t="n">
        <v>39</v>
      </c>
      <c r="J45" s="24" t="s">
        <v>20</v>
      </c>
      <c r="K45" s="11" t="n">
        <v>9</v>
      </c>
      <c r="L45" s="11" t="s">
        <v>20</v>
      </c>
      <c r="M45" s="29"/>
      <c r="N45" s="16" t="n">
        <v>10</v>
      </c>
      <c r="P45" s="8" t="n">
        <v>39</v>
      </c>
      <c r="Q45" s="24" t="s">
        <v>20</v>
      </c>
      <c r="R45" s="11" t="n">
        <v>9</v>
      </c>
      <c r="S45" s="11" t="s">
        <v>20</v>
      </c>
      <c r="T45" s="29"/>
      <c r="U45" s="16" t="n">
        <v>10</v>
      </c>
    </row>
    <row r="46" customFormat="false" ht="15" hidden="false" customHeight="false" outlineLevel="0" collapsed="false">
      <c r="I46" s="8" t="n">
        <v>40</v>
      </c>
      <c r="J46" s="24" t="n">
        <v>10</v>
      </c>
      <c r="K46" s="11" t="s">
        <v>26</v>
      </c>
      <c r="L46" s="11" t="s">
        <v>17</v>
      </c>
      <c r="M46" s="29"/>
      <c r="N46" s="16" t="s">
        <v>22</v>
      </c>
      <c r="P46" s="8" t="n">
        <v>40</v>
      </c>
      <c r="Q46" s="24" t="n">
        <v>10</v>
      </c>
      <c r="R46" s="11" t="s">
        <v>26</v>
      </c>
      <c r="S46" s="11" t="s">
        <v>17</v>
      </c>
      <c r="T46" s="29"/>
      <c r="U46" s="16" t="s">
        <v>22</v>
      </c>
    </row>
    <row r="47" customFormat="false" ht="15" hidden="false" customHeight="false" outlineLevel="0" collapsed="false">
      <c r="I47" s="8" t="n">
        <v>41</v>
      </c>
      <c r="J47" s="24" t="s">
        <v>22</v>
      </c>
      <c r="K47" s="11" t="n">
        <v>9</v>
      </c>
      <c r="L47" s="11" t="s">
        <v>19</v>
      </c>
      <c r="M47" s="11"/>
      <c r="N47" s="16" t="s">
        <v>32</v>
      </c>
      <c r="P47" s="8" t="n">
        <v>41</v>
      </c>
      <c r="Q47" s="24" t="s">
        <v>22</v>
      </c>
      <c r="R47" s="11" t="n">
        <v>9</v>
      </c>
      <c r="S47" s="11" t="s">
        <v>19</v>
      </c>
      <c r="T47" s="11"/>
      <c r="U47" s="16" t="s">
        <v>32</v>
      </c>
    </row>
    <row r="48" customFormat="false" ht="15" hidden="false" customHeight="false" outlineLevel="0" collapsed="false">
      <c r="I48" s="8" t="n">
        <v>42</v>
      </c>
      <c r="J48" s="24" t="n">
        <v>9</v>
      </c>
      <c r="K48" s="29" t="s">
        <v>23</v>
      </c>
      <c r="L48" s="11" t="s">
        <v>16</v>
      </c>
      <c r="M48" s="11"/>
      <c r="N48" s="16" t="s">
        <v>20</v>
      </c>
      <c r="P48" s="8" t="n">
        <v>42</v>
      </c>
      <c r="Q48" s="24" t="n">
        <v>9</v>
      </c>
      <c r="R48" s="29" t="s">
        <v>23</v>
      </c>
      <c r="S48" s="11" t="s">
        <v>16</v>
      </c>
      <c r="T48" s="11"/>
      <c r="U48" s="16" t="s">
        <v>20</v>
      </c>
    </row>
    <row r="49" customFormat="false" ht="15" hidden="false" customHeight="false" outlineLevel="0" collapsed="false">
      <c r="I49" s="8" t="n">
        <v>43</v>
      </c>
      <c r="J49" s="24" t="s">
        <v>18</v>
      </c>
      <c r="K49" s="29"/>
      <c r="L49" s="11" t="n">
        <v>9</v>
      </c>
      <c r="M49" s="11"/>
      <c r="N49" s="16"/>
      <c r="P49" s="8" t="n">
        <v>43</v>
      </c>
      <c r="Q49" s="24" t="s">
        <v>18</v>
      </c>
      <c r="R49" s="29"/>
      <c r="S49" s="11" t="n">
        <v>9</v>
      </c>
      <c r="T49" s="11"/>
      <c r="U49" s="16"/>
    </row>
    <row r="50" customFormat="false" ht="15" hidden="false" customHeight="false" outlineLevel="0" collapsed="false">
      <c r="I50" s="8" t="n">
        <v>44</v>
      </c>
      <c r="J50" s="24" t="s">
        <v>19</v>
      </c>
      <c r="K50" s="29"/>
      <c r="L50" s="11" t="s">
        <v>26</v>
      </c>
      <c r="M50" s="11"/>
      <c r="N50" s="16"/>
      <c r="P50" s="8" t="n">
        <v>44</v>
      </c>
      <c r="Q50" s="24" t="s">
        <v>19</v>
      </c>
      <c r="R50" s="29"/>
      <c r="S50" s="11" t="s">
        <v>26</v>
      </c>
      <c r="T50" s="11"/>
      <c r="U50" s="16"/>
    </row>
    <row r="51" customFormat="false" ht="15" hidden="false" customHeight="false" outlineLevel="0" collapsed="false">
      <c r="I51" s="8" t="n">
        <v>45</v>
      </c>
      <c r="J51" s="24" t="n">
        <v>10</v>
      </c>
      <c r="K51" s="29"/>
      <c r="L51" s="11" t="s">
        <v>32</v>
      </c>
      <c r="M51" s="11"/>
      <c r="N51" s="16"/>
      <c r="P51" s="8" t="n">
        <v>45</v>
      </c>
      <c r="Q51" s="24" t="n">
        <v>10</v>
      </c>
      <c r="R51" s="29"/>
      <c r="S51" s="11" t="s">
        <v>32</v>
      </c>
      <c r="T51" s="11"/>
      <c r="U51" s="16"/>
    </row>
    <row r="52" customFormat="false" ht="15" hidden="false" customHeight="false" outlineLevel="0" collapsed="false">
      <c r="I52" s="8" t="n">
        <v>46</v>
      </c>
      <c r="J52" s="15" t="s">
        <v>26</v>
      </c>
      <c r="K52" s="29"/>
      <c r="L52" s="11" t="s">
        <v>20</v>
      </c>
      <c r="M52" s="11"/>
      <c r="N52" s="16"/>
      <c r="P52" s="8" t="n">
        <v>46</v>
      </c>
      <c r="Q52" s="15" t="s">
        <v>26</v>
      </c>
      <c r="R52" s="29"/>
      <c r="S52" s="11" t="s">
        <v>20</v>
      </c>
      <c r="T52" s="11"/>
      <c r="U52" s="16"/>
    </row>
    <row r="53" customFormat="false" ht="15" hidden="false" customHeight="false" outlineLevel="0" collapsed="false">
      <c r="I53" s="8" t="n">
        <v>47</v>
      </c>
      <c r="J53" s="24" t="s">
        <v>32</v>
      </c>
      <c r="K53" s="11"/>
      <c r="L53" s="11" t="s">
        <v>17</v>
      </c>
      <c r="M53" s="11"/>
      <c r="N53" s="16"/>
      <c r="P53" s="8" t="n">
        <v>47</v>
      </c>
      <c r="Q53" s="24" t="s">
        <v>32</v>
      </c>
      <c r="R53" s="11"/>
      <c r="S53" s="11" t="s">
        <v>17</v>
      </c>
      <c r="T53" s="11"/>
      <c r="U53" s="16"/>
    </row>
    <row r="54" customFormat="false" ht="15" hidden="false" customHeight="false" outlineLevel="0" collapsed="false">
      <c r="I54" s="8" t="n">
        <v>48</v>
      </c>
      <c r="J54" s="24" t="s">
        <v>22</v>
      </c>
      <c r="K54" s="11"/>
      <c r="L54" s="11"/>
      <c r="M54" s="11"/>
      <c r="N54" s="16"/>
      <c r="P54" s="8" t="n">
        <v>48</v>
      </c>
      <c r="Q54" s="24" t="s">
        <v>22</v>
      </c>
      <c r="R54" s="11"/>
      <c r="S54" s="11"/>
      <c r="T54" s="11"/>
      <c r="U54" s="16"/>
    </row>
    <row r="55" customFormat="false" ht="15" hidden="false" customHeight="false" outlineLevel="0" collapsed="false">
      <c r="I55" s="8" t="n">
        <v>49</v>
      </c>
      <c r="J55" s="24"/>
      <c r="K55" s="11"/>
      <c r="L55" s="11"/>
      <c r="M55" s="11"/>
      <c r="N55" s="16"/>
      <c r="P55" s="8" t="n">
        <v>49</v>
      </c>
      <c r="Q55" s="24"/>
      <c r="R55" s="11"/>
      <c r="S55" s="11"/>
      <c r="T55" s="11"/>
      <c r="U55" s="16"/>
    </row>
    <row r="56" customFormat="false" ht="15" hidden="false" customHeight="false" outlineLevel="0" collapsed="false">
      <c r="I56" s="8" t="n">
        <v>50</v>
      </c>
      <c r="J56" s="24"/>
      <c r="K56" s="11"/>
      <c r="L56" s="11"/>
      <c r="M56" s="11"/>
      <c r="N56" s="16"/>
      <c r="P56" s="8" t="n">
        <v>50</v>
      </c>
      <c r="Q56" s="24"/>
      <c r="R56" s="11"/>
      <c r="S56" s="11"/>
      <c r="T56" s="11"/>
      <c r="U56" s="16"/>
    </row>
    <row r="57" customFormat="false" ht="15" hidden="false" customHeight="false" outlineLevel="0" collapsed="false">
      <c r="I57" s="8" t="n">
        <v>51</v>
      </c>
      <c r="J57" s="24"/>
      <c r="K57" s="11"/>
      <c r="L57" s="11"/>
      <c r="M57" s="11"/>
      <c r="N57" s="16"/>
      <c r="P57" s="8" t="n">
        <v>51</v>
      </c>
      <c r="Q57" s="24"/>
      <c r="R57" s="11"/>
      <c r="S57" s="11"/>
      <c r="T57" s="11"/>
      <c r="U57" s="16"/>
    </row>
    <row r="58" customFormat="false" ht="15" hidden="false" customHeight="false" outlineLevel="0" collapsed="false">
      <c r="I58" s="8" t="n">
        <v>52</v>
      </c>
      <c r="J58" s="24"/>
      <c r="K58" s="11"/>
      <c r="L58" s="11"/>
      <c r="M58" s="11"/>
      <c r="N58" s="16"/>
      <c r="P58" s="8" t="n">
        <v>52</v>
      </c>
      <c r="Q58" s="24"/>
      <c r="R58" s="11"/>
      <c r="S58" s="11"/>
      <c r="T58" s="11"/>
      <c r="U58" s="16"/>
    </row>
    <row r="59" customFormat="false" ht="15" hidden="false" customHeight="false" outlineLevel="0" collapsed="false">
      <c r="I59" s="8" t="n">
        <v>53</v>
      </c>
      <c r="J59" s="24"/>
      <c r="K59" s="11"/>
      <c r="L59" s="11"/>
      <c r="M59" s="11"/>
      <c r="N59" s="16"/>
      <c r="P59" s="8" t="n">
        <v>53</v>
      </c>
      <c r="Q59" s="24"/>
      <c r="R59" s="11"/>
      <c r="S59" s="11"/>
      <c r="T59" s="11"/>
      <c r="U59" s="16"/>
    </row>
    <row r="60" customFormat="false" ht="15" hidden="false" customHeight="false" outlineLevel="0" collapsed="false">
      <c r="I60" s="8" t="n">
        <v>54</v>
      </c>
      <c r="J60" s="24"/>
      <c r="K60" s="11"/>
      <c r="L60" s="29"/>
      <c r="M60" s="11"/>
      <c r="N60" s="16"/>
      <c r="P60" s="8" t="n">
        <v>54</v>
      </c>
      <c r="Q60" s="24"/>
      <c r="R60" s="11"/>
      <c r="S60" s="29"/>
      <c r="T60" s="11"/>
      <c r="U60" s="16"/>
    </row>
    <row r="61" customFormat="false" ht="15" hidden="false" customHeight="false" outlineLevel="0" collapsed="false">
      <c r="I61" s="8" t="n">
        <v>55</v>
      </c>
      <c r="J61" s="24"/>
      <c r="K61" s="11"/>
      <c r="L61" s="29"/>
      <c r="M61" s="11"/>
      <c r="N61" s="16"/>
      <c r="P61" s="8" t="n">
        <v>55</v>
      </c>
      <c r="Q61" s="24"/>
      <c r="R61" s="11"/>
      <c r="S61" s="29"/>
      <c r="T61" s="11"/>
      <c r="U61" s="16"/>
    </row>
    <row r="62" customFormat="false" ht="15" hidden="false" customHeight="false" outlineLevel="0" collapsed="false">
      <c r="I62" s="8" t="n">
        <v>56</v>
      </c>
      <c r="J62" s="24"/>
      <c r="K62" s="11"/>
      <c r="L62" s="29"/>
      <c r="M62" s="11"/>
      <c r="N62" s="16"/>
      <c r="P62" s="8" t="n">
        <v>56</v>
      </c>
      <c r="Q62" s="24"/>
      <c r="R62" s="11"/>
      <c r="S62" s="29"/>
      <c r="T62" s="11"/>
      <c r="U62" s="16"/>
    </row>
    <row r="63" customFormat="false" ht="15" hidden="false" customHeight="false" outlineLevel="0" collapsed="false">
      <c r="I63" s="8" t="n">
        <v>57</v>
      </c>
      <c r="J63" s="24"/>
      <c r="K63" s="29"/>
      <c r="L63" s="29"/>
      <c r="M63" s="11"/>
      <c r="N63" s="16"/>
      <c r="P63" s="8" t="n">
        <v>57</v>
      </c>
      <c r="Q63" s="24"/>
      <c r="R63" s="29"/>
      <c r="S63" s="29"/>
      <c r="T63" s="11"/>
      <c r="U63" s="16"/>
    </row>
    <row r="64" customFormat="false" ht="15" hidden="false" customHeight="false" outlineLevel="0" collapsed="false">
      <c r="I64" s="8" t="n">
        <v>58</v>
      </c>
      <c r="J64" s="24"/>
      <c r="K64" s="29"/>
      <c r="L64" s="11"/>
      <c r="M64" s="11"/>
      <c r="N64" s="16"/>
      <c r="P64" s="8" t="n">
        <v>58</v>
      </c>
      <c r="Q64" s="24"/>
      <c r="R64" s="29"/>
      <c r="S64" s="11"/>
      <c r="T64" s="11"/>
      <c r="U64" s="16"/>
    </row>
    <row r="65" customFormat="false" ht="15" hidden="false" customHeight="false" outlineLevel="0" collapsed="false">
      <c r="I65" s="8" t="n">
        <v>59</v>
      </c>
      <c r="J65" s="24"/>
      <c r="K65" s="29"/>
      <c r="L65" s="11"/>
      <c r="M65" s="11"/>
      <c r="N65" s="16"/>
      <c r="P65" s="8" t="n">
        <v>59</v>
      </c>
      <c r="Q65" s="24"/>
      <c r="R65" s="29"/>
      <c r="S65" s="11"/>
      <c r="T65" s="11"/>
      <c r="U65" s="16"/>
    </row>
    <row r="66" customFormat="false" ht="15" hidden="false" customHeight="false" outlineLevel="0" collapsed="false">
      <c r="I66" s="8" t="n">
        <v>60</v>
      </c>
      <c r="J66" s="24"/>
      <c r="K66" s="29"/>
      <c r="L66" s="11"/>
      <c r="M66" s="11"/>
      <c r="N66" s="16"/>
      <c r="P66" s="8" t="n">
        <v>60</v>
      </c>
      <c r="Q66" s="24"/>
      <c r="R66" s="29"/>
      <c r="S66" s="11"/>
      <c r="T66" s="11"/>
      <c r="U66" s="16"/>
    </row>
    <row r="67" customFormat="false" ht="15" hidden="false" customHeight="false" outlineLevel="0" collapsed="false">
      <c r="I67" s="8" t="n">
        <v>61</v>
      </c>
      <c r="J67" s="24"/>
      <c r="K67" s="11"/>
      <c r="L67" s="11"/>
      <c r="M67" s="11"/>
      <c r="N67" s="16"/>
      <c r="P67" s="8" t="n">
        <v>61</v>
      </c>
      <c r="Q67" s="24"/>
      <c r="R67" s="11"/>
      <c r="S67" s="11"/>
      <c r="T67" s="11"/>
      <c r="U67" s="16"/>
    </row>
    <row r="68" customFormat="false" ht="15" hidden="false" customHeight="false" outlineLevel="0" collapsed="false">
      <c r="I68" s="8" t="n">
        <v>62</v>
      </c>
      <c r="J68" s="24"/>
      <c r="K68" s="11"/>
      <c r="L68" s="11"/>
      <c r="M68" s="11"/>
      <c r="N68" s="16"/>
      <c r="P68" s="8" t="n">
        <v>62</v>
      </c>
      <c r="Q68" s="24"/>
      <c r="R68" s="11"/>
      <c r="S68" s="11"/>
      <c r="T68" s="11"/>
      <c r="U68" s="16"/>
    </row>
    <row r="69" customFormat="false" ht="15" hidden="false" customHeight="false" outlineLevel="0" collapsed="false">
      <c r="I69" s="8" t="n">
        <v>63</v>
      </c>
      <c r="J69" s="24"/>
      <c r="K69" s="11"/>
      <c r="L69" s="11"/>
      <c r="M69" s="11"/>
      <c r="N69" s="16"/>
      <c r="P69" s="8" t="n">
        <v>63</v>
      </c>
      <c r="Q69" s="24"/>
      <c r="R69" s="11"/>
      <c r="S69" s="11"/>
      <c r="T69" s="11"/>
      <c r="U69" s="16"/>
    </row>
    <row r="70" customFormat="false" ht="15" hidden="false" customHeight="false" outlineLevel="0" collapsed="false">
      <c r="I70" s="8" t="n">
        <v>64</v>
      </c>
      <c r="J70" s="24"/>
      <c r="K70" s="11"/>
      <c r="L70" s="11"/>
      <c r="M70" s="11"/>
      <c r="N70" s="16"/>
      <c r="P70" s="8" t="n">
        <v>64</v>
      </c>
      <c r="Q70" s="24"/>
      <c r="R70" s="11"/>
      <c r="S70" s="11"/>
      <c r="T70" s="11"/>
      <c r="U70" s="16"/>
    </row>
    <row r="71" customFormat="false" ht="15" hidden="false" customHeight="false" outlineLevel="0" collapsed="false">
      <c r="I71" s="8" t="n">
        <v>65</v>
      </c>
      <c r="J71" s="24"/>
      <c r="K71" s="11"/>
      <c r="L71" s="11"/>
      <c r="M71" s="11"/>
      <c r="N71" s="16"/>
      <c r="P71" s="8" t="n">
        <v>65</v>
      </c>
      <c r="Q71" s="24"/>
      <c r="R71" s="11"/>
      <c r="S71" s="11"/>
      <c r="T71" s="11"/>
      <c r="U71" s="16"/>
    </row>
    <row r="72" customFormat="false" ht="15" hidden="false" customHeight="false" outlineLevel="0" collapsed="false">
      <c r="I72" s="8" t="n">
        <v>66</v>
      </c>
      <c r="J72" s="15"/>
      <c r="K72" s="11"/>
      <c r="L72" s="11"/>
      <c r="M72" s="11"/>
      <c r="N72" s="16"/>
      <c r="P72" s="8" t="n">
        <v>66</v>
      </c>
      <c r="Q72" s="15"/>
      <c r="R72" s="11"/>
      <c r="S72" s="11"/>
      <c r="T72" s="11"/>
      <c r="U72" s="16"/>
    </row>
    <row r="73" customFormat="false" ht="15" hidden="false" customHeight="false" outlineLevel="0" collapsed="false">
      <c r="I73" s="8" t="n">
        <v>67</v>
      </c>
      <c r="J73" s="15"/>
      <c r="K73" s="11"/>
      <c r="L73" s="11"/>
      <c r="M73" s="11"/>
      <c r="N73" s="16"/>
      <c r="P73" s="8" t="n">
        <v>67</v>
      </c>
      <c r="Q73" s="15"/>
      <c r="R73" s="11"/>
      <c r="S73" s="11"/>
      <c r="T73" s="11"/>
      <c r="U73" s="16"/>
    </row>
    <row r="74" customFormat="false" ht="15" hidden="false" customHeight="false" outlineLevel="0" collapsed="false">
      <c r="I74" s="8" t="n">
        <v>68</v>
      </c>
      <c r="J74" s="15"/>
      <c r="K74" s="11"/>
      <c r="L74" s="11"/>
      <c r="M74" s="11"/>
      <c r="N74" s="16"/>
      <c r="P74" s="8" t="n">
        <v>68</v>
      </c>
      <c r="Q74" s="15"/>
      <c r="R74" s="11"/>
      <c r="S74" s="11"/>
      <c r="T74" s="11"/>
      <c r="U74" s="16"/>
    </row>
    <row r="75" customFormat="false" ht="15" hidden="false" customHeight="false" outlineLevel="0" collapsed="false">
      <c r="I75" s="8" t="n">
        <v>69</v>
      </c>
      <c r="J75" s="15"/>
      <c r="K75" s="11"/>
      <c r="L75" s="11"/>
      <c r="M75" s="11"/>
      <c r="N75" s="16"/>
      <c r="P75" s="8" t="n">
        <v>69</v>
      </c>
      <c r="Q75" s="15"/>
      <c r="R75" s="11"/>
      <c r="S75" s="11"/>
      <c r="T75" s="11"/>
      <c r="U75" s="16"/>
    </row>
    <row r="76" customFormat="false" ht="15" hidden="false" customHeight="false" outlineLevel="0" collapsed="false">
      <c r="I76" s="8" t="n">
        <v>70</v>
      </c>
      <c r="J76" s="15"/>
      <c r="K76" s="11"/>
      <c r="L76" s="11"/>
      <c r="M76" s="11"/>
      <c r="N76" s="16"/>
      <c r="P76" s="8" t="n">
        <v>70</v>
      </c>
      <c r="Q76" s="15"/>
      <c r="R76" s="11"/>
      <c r="S76" s="11"/>
      <c r="T76" s="11"/>
      <c r="U76" s="16"/>
    </row>
    <row r="77" customFormat="false" ht="15" hidden="false" customHeight="false" outlineLevel="0" collapsed="false">
      <c r="I77" s="8" t="n">
        <v>71</v>
      </c>
      <c r="J77" s="15"/>
      <c r="K77" s="11"/>
      <c r="L77" s="11"/>
      <c r="M77" s="11"/>
      <c r="N77" s="16"/>
      <c r="P77" s="8" t="n">
        <v>71</v>
      </c>
      <c r="Q77" s="15"/>
      <c r="R77" s="11"/>
      <c r="S77" s="11"/>
      <c r="T77" s="11"/>
      <c r="U77" s="16"/>
    </row>
    <row r="78" customFormat="false" ht="15" hidden="false" customHeight="false" outlineLevel="0" collapsed="false">
      <c r="I78" s="8" t="n">
        <v>72</v>
      </c>
      <c r="J78" s="15"/>
      <c r="K78" s="11"/>
      <c r="L78" s="11"/>
      <c r="M78" s="11"/>
      <c r="N78" s="16"/>
      <c r="P78" s="8" t="n">
        <v>72</v>
      </c>
      <c r="Q78" s="15"/>
      <c r="R78" s="11"/>
      <c r="S78" s="11"/>
      <c r="T78" s="11"/>
      <c r="U78" s="16"/>
    </row>
    <row r="79" customFormat="false" ht="15" hidden="false" customHeight="false" outlineLevel="0" collapsed="false">
      <c r="I79" s="8" t="n">
        <v>73</v>
      </c>
      <c r="J79" s="15"/>
      <c r="K79" s="11"/>
      <c r="L79" s="11"/>
      <c r="M79" s="11"/>
      <c r="N79" s="16"/>
      <c r="P79" s="8" t="n">
        <v>73</v>
      </c>
      <c r="Q79" s="15"/>
      <c r="R79" s="11"/>
      <c r="S79" s="11"/>
      <c r="T79" s="11"/>
      <c r="U79" s="16"/>
    </row>
    <row r="80" customFormat="false" ht="15" hidden="false" customHeight="false" outlineLevel="0" collapsed="false">
      <c r="I80" s="8" t="n">
        <v>74</v>
      </c>
      <c r="J80" s="15"/>
      <c r="K80" s="11"/>
      <c r="L80" s="11"/>
      <c r="M80" s="11"/>
      <c r="N80" s="16"/>
      <c r="P80" s="8" t="n">
        <v>74</v>
      </c>
      <c r="Q80" s="15"/>
      <c r="R80" s="11"/>
      <c r="S80" s="11"/>
      <c r="T80" s="11"/>
      <c r="U80" s="16"/>
    </row>
    <row r="81" customFormat="false" ht="15" hidden="false" customHeight="false" outlineLevel="0" collapsed="false">
      <c r="I81" s="8" t="n">
        <v>75</v>
      </c>
      <c r="J81" s="15"/>
      <c r="K81" s="11"/>
      <c r="L81" s="11"/>
      <c r="M81" s="11"/>
      <c r="N81" s="16"/>
      <c r="P81" s="8" t="n">
        <v>75</v>
      </c>
      <c r="Q81" s="15"/>
      <c r="R81" s="11"/>
      <c r="S81" s="11"/>
      <c r="T81" s="11"/>
      <c r="U81" s="16"/>
    </row>
    <row r="82" customFormat="false" ht="15" hidden="false" customHeight="false" outlineLevel="0" collapsed="false">
      <c r="I82" s="8" t="n">
        <v>76</v>
      </c>
      <c r="J82" s="24"/>
      <c r="K82" s="11"/>
      <c r="L82" s="11"/>
      <c r="M82" s="11"/>
      <c r="N82" s="16"/>
      <c r="P82" s="8" t="n">
        <v>76</v>
      </c>
      <c r="Q82" s="24"/>
      <c r="R82" s="11"/>
      <c r="S82" s="11"/>
      <c r="T82" s="11"/>
      <c r="U82" s="16"/>
    </row>
    <row r="83" customFormat="false" ht="15" hidden="false" customHeight="false" outlineLevel="0" collapsed="false">
      <c r="I83" s="8" t="n">
        <v>77</v>
      </c>
      <c r="J83" s="24"/>
      <c r="K83" s="11"/>
      <c r="L83" s="11"/>
      <c r="M83" s="11"/>
      <c r="N83" s="16"/>
      <c r="P83" s="8" t="n">
        <v>77</v>
      </c>
      <c r="Q83" s="24"/>
      <c r="R83" s="11"/>
      <c r="S83" s="11"/>
      <c r="T83" s="11"/>
      <c r="U83" s="16"/>
    </row>
    <row r="84" customFormat="false" ht="15" hidden="false" customHeight="false" outlineLevel="0" collapsed="false">
      <c r="I84" s="8" t="n">
        <v>78</v>
      </c>
      <c r="J84" s="24"/>
      <c r="K84" s="11"/>
      <c r="L84" s="11"/>
      <c r="M84" s="11"/>
      <c r="N84" s="16"/>
      <c r="P84" s="8" t="n">
        <v>78</v>
      </c>
      <c r="Q84" s="24"/>
      <c r="R84" s="11"/>
      <c r="S84" s="11"/>
      <c r="T84" s="11"/>
      <c r="U84" s="16"/>
    </row>
    <row r="85" customFormat="false" ht="15" hidden="false" customHeight="false" outlineLevel="0" collapsed="false">
      <c r="I85" s="8" t="n">
        <v>79</v>
      </c>
      <c r="J85" s="24"/>
      <c r="K85" s="11"/>
      <c r="L85" s="11"/>
      <c r="M85" s="11"/>
      <c r="N85" s="16"/>
      <c r="P85" s="8" t="n">
        <v>79</v>
      </c>
      <c r="Q85" s="24"/>
      <c r="R85" s="11"/>
      <c r="S85" s="11"/>
      <c r="T85" s="11"/>
      <c r="U85" s="16"/>
    </row>
    <row r="86" customFormat="false" ht="15" hidden="false" customHeight="false" outlineLevel="0" collapsed="false">
      <c r="I86" s="8" t="n">
        <v>80</v>
      </c>
      <c r="J86" s="24"/>
      <c r="K86" s="11"/>
      <c r="L86" s="11"/>
      <c r="M86" s="11"/>
      <c r="N86" s="16"/>
      <c r="P86" s="8" t="n">
        <v>80</v>
      </c>
      <c r="Q86" s="24"/>
      <c r="R86" s="11"/>
      <c r="S86" s="11"/>
      <c r="T86" s="11"/>
      <c r="U86" s="16"/>
    </row>
    <row r="87" customFormat="false" ht="15" hidden="false" customHeight="false" outlineLevel="0" collapsed="false">
      <c r="I87" s="8" t="n">
        <v>81</v>
      </c>
      <c r="J87" s="24"/>
      <c r="K87" s="11"/>
      <c r="L87" s="11"/>
      <c r="M87" s="11"/>
      <c r="N87" s="16"/>
      <c r="P87" s="8" t="n">
        <v>81</v>
      </c>
      <c r="Q87" s="24"/>
      <c r="R87" s="11"/>
      <c r="S87" s="11"/>
      <c r="T87" s="11"/>
      <c r="U87" s="16"/>
    </row>
    <row r="88" customFormat="false" ht="15" hidden="false" customHeight="false" outlineLevel="0" collapsed="false">
      <c r="I88" s="8" t="n">
        <v>82</v>
      </c>
      <c r="J88" s="24"/>
      <c r="K88" s="11"/>
      <c r="L88" s="11"/>
      <c r="M88" s="11"/>
      <c r="N88" s="16"/>
      <c r="P88" s="8" t="n">
        <v>82</v>
      </c>
      <c r="Q88" s="24"/>
      <c r="R88" s="11"/>
      <c r="S88" s="11"/>
      <c r="T88" s="11"/>
      <c r="U88" s="16"/>
    </row>
    <row r="89" customFormat="false" ht="15" hidden="false" customHeight="false" outlineLevel="0" collapsed="false">
      <c r="I89" s="8" t="n">
        <v>83</v>
      </c>
      <c r="J89" s="24"/>
      <c r="K89" s="11"/>
      <c r="L89" s="11"/>
      <c r="M89" s="11"/>
      <c r="N89" s="16"/>
      <c r="P89" s="8" t="n">
        <v>83</v>
      </c>
      <c r="Q89" s="24"/>
      <c r="R89" s="11"/>
      <c r="S89" s="11"/>
      <c r="T89" s="11"/>
      <c r="U89" s="16"/>
    </row>
    <row r="90" customFormat="false" ht="15" hidden="false" customHeight="false" outlineLevel="0" collapsed="false">
      <c r="I90" s="8" t="n">
        <v>84</v>
      </c>
      <c r="J90" s="24"/>
      <c r="K90" s="11"/>
      <c r="L90" s="11"/>
      <c r="M90" s="11"/>
      <c r="N90" s="16"/>
      <c r="P90" s="8" t="n">
        <v>84</v>
      </c>
      <c r="Q90" s="24"/>
      <c r="R90" s="11"/>
      <c r="S90" s="11"/>
      <c r="T90" s="11"/>
      <c r="U90" s="16"/>
    </row>
    <row r="91" customFormat="false" ht="15" hidden="false" customHeight="false" outlineLevel="0" collapsed="false">
      <c r="I91" s="8" t="n">
        <v>85</v>
      </c>
      <c r="J91" s="24"/>
      <c r="K91" s="11"/>
      <c r="L91" s="11"/>
      <c r="M91" s="11"/>
      <c r="N91" s="16"/>
      <c r="P91" s="8" t="n">
        <v>85</v>
      </c>
      <c r="Q91" s="24"/>
      <c r="R91" s="11"/>
      <c r="S91" s="11"/>
      <c r="T91" s="11"/>
      <c r="U91" s="16"/>
    </row>
    <row r="92" customFormat="false" ht="15" hidden="false" customHeight="false" outlineLevel="0" collapsed="false">
      <c r="I92" s="8" t="n">
        <v>86</v>
      </c>
      <c r="J92" s="24"/>
      <c r="K92" s="11"/>
      <c r="L92" s="11"/>
      <c r="M92" s="11"/>
      <c r="N92" s="16"/>
      <c r="P92" s="8" t="n">
        <v>86</v>
      </c>
      <c r="Q92" s="24"/>
      <c r="R92" s="11"/>
      <c r="S92" s="11"/>
      <c r="T92" s="11"/>
      <c r="U92" s="16"/>
    </row>
    <row r="93" customFormat="false" ht="15" hidden="false" customHeight="false" outlineLevel="0" collapsed="false">
      <c r="I93" s="8" t="n">
        <v>87</v>
      </c>
      <c r="J93" s="24"/>
      <c r="K93" s="11"/>
      <c r="L93" s="11"/>
      <c r="M93" s="11"/>
      <c r="N93" s="16"/>
      <c r="P93" s="8" t="n">
        <v>87</v>
      </c>
      <c r="Q93" s="24"/>
      <c r="R93" s="11"/>
      <c r="S93" s="11"/>
      <c r="T93" s="11"/>
      <c r="U93" s="16"/>
    </row>
    <row r="94" customFormat="false" ht="15" hidden="false" customHeight="false" outlineLevel="0" collapsed="false">
      <c r="I94" s="8" t="n">
        <v>88</v>
      </c>
      <c r="J94" s="24"/>
      <c r="K94" s="11"/>
      <c r="L94" s="11"/>
      <c r="M94" s="11"/>
      <c r="N94" s="16"/>
      <c r="P94" s="8" t="n">
        <v>88</v>
      </c>
      <c r="Q94" s="24"/>
      <c r="R94" s="11"/>
      <c r="S94" s="11"/>
      <c r="T94" s="11"/>
      <c r="U94" s="16"/>
    </row>
    <row r="95" customFormat="false" ht="15" hidden="false" customHeight="false" outlineLevel="0" collapsed="false">
      <c r="I95" s="8" t="n">
        <v>89</v>
      </c>
      <c r="J95" s="24"/>
      <c r="K95" s="11"/>
      <c r="L95" s="11"/>
      <c r="M95" s="11"/>
      <c r="N95" s="16"/>
      <c r="P95" s="8" t="n">
        <v>89</v>
      </c>
      <c r="Q95" s="24"/>
      <c r="R95" s="11"/>
      <c r="S95" s="11"/>
      <c r="T95" s="11"/>
      <c r="U95" s="16"/>
    </row>
    <row r="96" customFormat="false" ht="15" hidden="false" customHeight="false" outlineLevel="0" collapsed="false">
      <c r="I96" s="8" t="n">
        <v>90</v>
      </c>
      <c r="J96" s="24"/>
      <c r="K96" s="11"/>
      <c r="L96" s="11"/>
      <c r="M96" s="11"/>
      <c r="N96" s="16"/>
      <c r="P96" s="8" t="n">
        <v>90</v>
      </c>
      <c r="Q96" s="24"/>
      <c r="R96" s="11"/>
      <c r="S96" s="11"/>
      <c r="T96" s="11"/>
      <c r="U96" s="16"/>
    </row>
    <row r="97" customFormat="false" ht="15" hidden="false" customHeight="false" outlineLevel="0" collapsed="false">
      <c r="I97" s="8" t="n">
        <v>91</v>
      </c>
      <c r="J97" s="24"/>
      <c r="K97" s="11"/>
      <c r="L97" s="11"/>
      <c r="M97" s="11"/>
      <c r="N97" s="16"/>
      <c r="P97" s="8" t="n">
        <v>91</v>
      </c>
      <c r="Q97" s="24"/>
      <c r="R97" s="11"/>
      <c r="S97" s="11"/>
      <c r="T97" s="11"/>
      <c r="U97" s="16"/>
    </row>
    <row r="98" customFormat="false" ht="15" hidden="false" customHeight="false" outlineLevel="0" collapsed="false">
      <c r="I98" s="8" t="n">
        <v>92</v>
      </c>
      <c r="J98" s="24"/>
      <c r="K98" s="11"/>
      <c r="L98" s="11"/>
      <c r="M98" s="11"/>
      <c r="N98" s="16"/>
      <c r="P98" s="8" t="n">
        <v>92</v>
      </c>
      <c r="Q98" s="24"/>
      <c r="R98" s="11"/>
      <c r="S98" s="11"/>
      <c r="T98" s="11"/>
      <c r="U98" s="16"/>
    </row>
    <row r="99" customFormat="false" ht="15" hidden="false" customHeight="false" outlineLevel="0" collapsed="false">
      <c r="I99" s="8" t="n">
        <v>93</v>
      </c>
      <c r="J99" s="24"/>
      <c r="K99" s="11"/>
      <c r="L99" s="11"/>
      <c r="M99" s="11"/>
      <c r="N99" s="16"/>
      <c r="P99" s="8" t="n">
        <v>93</v>
      </c>
      <c r="Q99" s="24"/>
      <c r="R99" s="11"/>
      <c r="S99" s="11"/>
      <c r="T99" s="11"/>
      <c r="U99" s="16"/>
    </row>
    <row r="100" customFormat="false" ht="15" hidden="false" customHeight="false" outlineLevel="0" collapsed="false">
      <c r="I100" s="8" t="n">
        <v>94</v>
      </c>
      <c r="J100" s="24"/>
      <c r="K100" s="11"/>
      <c r="L100" s="11"/>
      <c r="M100" s="11"/>
      <c r="N100" s="16"/>
      <c r="P100" s="8" t="n">
        <v>94</v>
      </c>
      <c r="Q100" s="24"/>
      <c r="R100" s="11"/>
      <c r="S100" s="11"/>
      <c r="T100" s="11"/>
      <c r="U100" s="16"/>
    </row>
    <row r="101" customFormat="false" ht="15" hidden="false" customHeight="false" outlineLevel="0" collapsed="false">
      <c r="I101" s="8" t="n">
        <v>95</v>
      </c>
      <c r="J101" s="24"/>
      <c r="K101" s="11"/>
      <c r="L101" s="11"/>
      <c r="M101" s="11"/>
      <c r="N101" s="16"/>
      <c r="P101" s="8" t="n">
        <v>95</v>
      </c>
      <c r="Q101" s="24"/>
      <c r="R101" s="11"/>
      <c r="S101" s="11"/>
      <c r="T101" s="11"/>
      <c r="U101" s="16"/>
    </row>
    <row r="102" customFormat="false" ht="15" hidden="false" customHeight="false" outlineLevel="0" collapsed="false">
      <c r="I102" s="8" t="n">
        <v>96</v>
      </c>
      <c r="J102" s="24"/>
      <c r="K102" s="11"/>
      <c r="L102" s="11"/>
      <c r="M102" s="11"/>
      <c r="N102" s="16"/>
      <c r="P102" s="8" t="n">
        <v>96</v>
      </c>
      <c r="Q102" s="24"/>
      <c r="R102" s="11"/>
      <c r="S102" s="11"/>
      <c r="T102" s="11"/>
      <c r="U102" s="16"/>
    </row>
    <row r="103" customFormat="false" ht="15" hidden="false" customHeight="false" outlineLevel="0" collapsed="false">
      <c r="I103" s="8" t="n">
        <v>97</v>
      </c>
      <c r="J103" s="24"/>
      <c r="K103" s="11"/>
      <c r="L103" s="11"/>
      <c r="M103" s="11"/>
      <c r="N103" s="16"/>
      <c r="P103" s="8" t="n">
        <v>97</v>
      </c>
      <c r="Q103" s="24"/>
      <c r="R103" s="11"/>
      <c r="S103" s="11"/>
      <c r="T103" s="11"/>
      <c r="U103" s="16"/>
    </row>
    <row r="104" customFormat="false" ht="15" hidden="false" customHeight="false" outlineLevel="0" collapsed="false">
      <c r="I104" s="8" t="n">
        <v>98</v>
      </c>
      <c r="J104" s="24"/>
      <c r="K104" s="11"/>
      <c r="L104" s="11"/>
      <c r="M104" s="11"/>
      <c r="N104" s="16"/>
      <c r="P104" s="8" t="n">
        <v>98</v>
      </c>
      <c r="Q104" s="24"/>
      <c r="R104" s="11"/>
      <c r="S104" s="11"/>
      <c r="T104" s="11"/>
      <c r="U104" s="16"/>
    </row>
    <row r="105" customFormat="false" ht="15" hidden="false" customHeight="false" outlineLevel="0" collapsed="false">
      <c r="I105" s="8" t="n">
        <v>99</v>
      </c>
      <c r="J105" s="24"/>
      <c r="K105" s="11"/>
      <c r="L105" s="11"/>
      <c r="M105" s="11"/>
      <c r="N105" s="16"/>
      <c r="P105" s="8" t="n">
        <v>99</v>
      </c>
      <c r="Q105" s="24"/>
      <c r="R105" s="11"/>
      <c r="S105" s="11"/>
      <c r="T105" s="11"/>
      <c r="U105" s="16"/>
    </row>
    <row r="106" customFormat="false" ht="15" hidden="false" customHeight="false" outlineLevel="0" collapsed="false">
      <c r="I106" s="8" t="n">
        <v>100</v>
      </c>
      <c r="J106" s="24"/>
      <c r="K106" s="11"/>
      <c r="L106" s="11"/>
      <c r="M106" s="11"/>
      <c r="N106" s="16"/>
      <c r="P106" s="8" t="n">
        <v>100</v>
      </c>
      <c r="Q106" s="24"/>
      <c r="R106" s="11"/>
      <c r="S106" s="11"/>
      <c r="T106" s="11"/>
      <c r="U106" s="16"/>
    </row>
    <row r="107" customFormat="false" ht="15" hidden="false" customHeight="false" outlineLevel="0" collapsed="false">
      <c r="I107" s="8" t="n">
        <v>101</v>
      </c>
      <c r="J107" s="24"/>
      <c r="K107" s="11"/>
      <c r="L107" s="11"/>
      <c r="M107" s="11"/>
      <c r="N107" s="16"/>
      <c r="P107" s="8" t="n">
        <v>101</v>
      </c>
      <c r="Q107" s="24"/>
      <c r="R107" s="11"/>
      <c r="S107" s="11"/>
      <c r="T107" s="11"/>
      <c r="U107" s="16"/>
    </row>
    <row r="108" customFormat="false" ht="15" hidden="false" customHeight="false" outlineLevel="0" collapsed="false">
      <c r="I108" s="8" t="n">
        <v>102</v>
      </c>
      <c r="J108" s="24"/>
      <c r="K108" s="11"/>
      <c r="L108" s="11"/>
      <c r="M108" s="11"/>
      <c r="N108" s="16"/>
      <c r="P108" s="8" t="n">
        <v>102</v>
      </c>
      <c r="Q108" s="24"/>
      <c r="R108" s="11"/>
      <c r="S108" s="11"/>
      <c r="T108" s="11"/>
      <c r="U108" s="16"/>
    </row>
    <row r="109" customFormat="false" ht="15" hidden="false" customHeight="false" outlineLevel="0" collapsed="false">
      <c r="I109" s="8" t="n">
        <v>103</v>
      </c>
      <c r="J109" s="24"/>
      <c r="K109" s="11"/>
      <c r="L109" s="11"/>
      <c r="M109" s="11"/>
      <c r="N109" s="16"/>
      <c r="P109" s="8" t="n">
        <v>103</v>
      </c>
      <c r="Q109" s="24"/>
      <c r="R109" s="11"/>
      <c r="S109" s="11"/>
      <c r="T109" s="11"/>
      <c r="U109" s="16"/>
    </row>
    <row r="110" customFormat="false" ht="15" hidden="false" customHeight="false" outlineLevel="0" collapsed="false">
      <c r="I110" s="8" t="n">
        <v>104</v>
      </c>
      <c r="J110" s="24"/>
      <c r="K110" s="11"/>
      <c r="L110" s="11"/>
      <c r="M110" s="11"/>
      <c r="N110" s="16"/>
      <c r="P110" s="8" t="n">
        <v>104</v>
      </c>
      <c r="Q110" s="24"/>
      <c r="R110" s="11"/>
      <c r="S110" s="11"/>
      <c r="T110" s="11"/>
      <c r="U110" s="16"/>
    </row>
    <row r="111" customFormat="false" ht="15" hidden="false" customHeight="false" outlineLevel="0" collapsed="false">
      <c r="I111" s="8" t="n">
        <v>105</v>
      </c>
      <c r="J111" s="24"/>
      <c r="K111" s="11"/>
      <c r="L111" s="11"/>
      <c r="M111" s="11"/>
      <c r="N111" s="16"/>
      <c r="P111" s="8" t="n">
        <v>105</v>
      </c>
      <c r="Q111" s="24"/>
      <c r="R111" s="11"/>
      <c r="S111" s="11"/>
      <c r="T111" s="11"/>
      <c r="U111" s="16"/>
    </row>
    <row r="112" customFormat="false" ht="15" hidden="false" customHeight="false" outlineLevel="0" collapsed="false">
      <c r="I112" s="8" t="n">
        <v>106</v>
      </c>
      <c r="J112" s="24"/>
      <c r="K112" s="11"/>
      <c r="L112" s="11"/>
      <c r="M112" s="11"/>
      <c r="N112" s="16"/>
      <c r="P112" s="8" t="n">
        <v>106</v>
      </c>
      <c r="Q112" s="24"/>
      <c r="R112" s="11"/>
      <c r="S112" s="11"/>
      <c r="T112" s="11"/>
      <c r="U112" s="16"/>
    </row>
    <row r="113" customFormat="false" ht="15" hidden="false" customHeight="false" outlineLevel="0" collapsed="false">
      <c r="I113" s="8" t="n">
        <v>107</v>
      </c>
      <c r="J113" s="24"/>
      <c r="K113" s="11"/>
      <c r="L113" s="11"/>
      <c r="M113" s="11"/>
      <c r="N113" s="16"/>
      <c r="P113" s="8" t="n">
        <v>107</v>
      </c>
      <c r="Q113" s="24"/>
      <c r="R113" s="11"/>
      <c r="S113" s="11"/>
      <c r="T113" s="11"/>
      <c r="U113" s="16"/>
    </row>
    <row r="114" customFormat="false" ht="15" hidden="false" customHeight="false" outlineLevel="0" collapsed="false">
      <c r="I114" s="8" t="n">
        <v>108</v>
      </c>
      <c r="J114" s="24"/>
      <c r="K114" s="11"/>
      <c r="L114" s="11"/>
      <c r="M114" s="11"/>
      <c r="N114" s="16"/>
      <c r="P114" s="8" t="n">
        <v>108</v>
      </c>
      <c r="Q114" s="24"/>
      <c r="R114" s="11"/>
      <c r="S114" s="11"/>
      <c r="T114" s="11"/>
      <c r="U114" s="16"/>
    </row>
    <row r="115" customFormat="false" ht="15" hidden="false" customHeight="false" outlineLevel="0" collapsed="false">
      <c r="I115" s="8" t="n">
        <v>109</v>
      </c>
      <c r="J115" s="24"/>
      <c r="K115" s="11"/>
      <c r="L115" s="11"/>
      <c r="M115" s="11"/>
      <c r="N115" s="16"/>
      <c r="P115" s="8" t="n">
        <v>109</v>
      </c>
      <c r="Q115" s="24"/>
      <c r="R115" s="11"/>
      <c r="S115" s="11"/>
      <c r="T115" s="11"/>
      <c r="U115" s="16"/>
    </row>
    <row r="116" customFormat="false" ht="15" hidden="false" customHeight="false" outlineLevel="0" collapsed="false">
      <c r="I116" s="8" t="n">
        <v>110</v>
      </c>
      <c r="J116" s="24"/>
      <c r="K116" s="11"/>
      <c r="L116" s="11"/>
      <c r="M116" s="11"/>
      <c r="N116" s="16"/>
      <c r="P116" s="8" t="n">
        <v>110</v>
      </c>
      <c r="Q116" s="24"/>
      <c r="R116" s="11"/>
      <c r="S116" s="11"/>
      <c r="T116" s="11"/>
      <c r="U116" s="16"/>
    </row>
    <row r="117" customFormat="false" ht="15" hidden="false" customHeight="false" outlineLevel="0" collapsed="false">
      <c r="I117" s="8" t="n">
        <v>111</v>
      </c>
      <c r="J117" s="24"/>
      <c r="K117" s="11"/>
      <c r="L117" s="11"/>
      <c r="M117" s="11"/>
      <c r="N117" s="16"/>
      <c r="P117" s="8" t="n">
        <v>111</v>
      </c>
      <c r="Q117" s="24"/>
      <c r="R117" s="11"/>
      <c r="S117" s="11"/>
      <c r="T117" s="11"/>
      <c r="U117" s="16"/>
    </row>
    <row r="118" customFormat="false" ht="15" hidden="false" customHeight="false" outlineLevel="0" collapsed="false">
      <c r="I118" s="8" t="n">
        <v>112</v>
      </c>
      <c r="J118" s="24"/>
      <c r="K118" s="11"/>
      <c r="L118" s="11"/>
      <c r="M118" s="11"/>
      <c r="N118" s="16"/>
      <c r="P118" s="8" t="n">
        <v>112</v>
      </c>
      <c r="Q118" s="24"/>
      <c r="R118" s="11"/>
      <c r="S118" s="11"/>
      <c r="T118" s="11"/>
      <c r="U118" s="16"/>
    </row>
    <row r="119" customFormat="false" ht="15" hidden="false" customHeight="false" outlineLevel="0" collapsed="false">
      <c r="I119" s="8" t="n">
        <v>113</v>
      </c>
      <c r="J119" s="24"/>
      <c r="K119" s="11"/>
      <c r="L119" s="11"/>
      <c r="M119" s="11"/>
      <c r="N119" s="16"/>
      <c r="P119" s="8" t="n">
        <v>113</v>
      </c>
      <c r="Q119" s="24"/>
      <c r="R119" s="11"/>
      <c r="S119" s="11"/>
      <c r="T119" s="11"/>
      <c r="U119" s="16"/>
    </row>
    <row r="120" customFormat="false" ht="15" hidden="false" customHeight="false" outlineLevel="0" collapsed="false">
      <c r="I120" s="8" t="n">
        <v>114</v>
      </c>
      <c r="J120" s="24"/>
      <c r="K120" s="11"/>
      <c r="L120" s="11"/>
      <c r="M120" s="11"/>
      <c r="N120" s="16"/>
      <c r="P120" s="8" t="n">
        <v>114</v>
      </c>
      <c r="Q120" s="24"/>
      <c r="R120" s="11"/>
      <c r="S120" s="11"/>
      <c r="T120" s="11"/>
      <c r="U120" s="16"/>
    </row>
    <row r="121" customFormat="false" ht="15" hidden="false" customHeight="false" outlineLevel="0" collapsed="false">
      <c r="I121" s="8" t="n">
        <v>115</v>
      </c>
      <c r="J121" s="24"/>
      <c r="K121" s="11"/>
      <c r="L121" s="11"/>
      <c r="M121" s="11"/>
      <c r="N121" s="16"/>
      <c r="P121" s="8" t="n">
        <v>115</v>
      </c>
      <c r="Q121" s="24"/>
      <c r="R121" s="11"/>
      <c r="S121" s="11"/>
      <c r="T121" s="11"/>
      <c r="U121" s="16"/>
    </row>
    <row r="122" customFormat="false" ht="15" hidden="false" customHeight="false" outlineLevel="0" collapsed="false">
      <c r="I122" s="8" t="n">
        <v>116</v>
      </c>
      <c r="J122" s="24"/>
      <c r="K122" s="11"/>
      <c r="L122" s="11"/>
      <c r="M122" s="11"/>
      <c r="N122" s="16"/>
      <c r="P122" s="8" t="n">
        <v>116</v>
      </c>
      <c r="Q122" s="24"/>
      <c r="R122" s="11"/>
      <c r="S122" s="11"/>
      <c r="T122" s="11"/>
      <c r="U122" s="16"/>
    </row>
    <row r="123" customFormat="false" ht="15" hidden="false" customHeight="false" outlineLevel="0" collapsed="false">
      <c r="I123" s="8" t="n">
        <v>117</v>
      </c>
      <c r="J123" s="24"/>
      <c r="K123" s="11"/>
      <c r="L123" s="11"/>
      <c r="M123" s="11"/>
      <c r="N123" s="16"/>
      <c r="P123" s="8" t="n">
        <v>117</v>
      </c>
      <c r="Q123" s="24"/>
      <c r="R123" s="11"/>
      <c r="S123" s="11"/>
      <c r="T123" s="11"/>
      <c r="U123" s="16"/>
    </row>
    <row r="124" customFormat="false" ht="15" hidden="false" customHeight="false" outlineLevel="0" collapsed="false">
      <c r="I124" s="8" t="n">
        <v>118</v>
      </c>
      <c r="J124" s="24"/>
      <c r="K124" s="11"/>
      <c r="L124" s="11"/>
      <c r="M124" s="11"/>
      <c r="N124" s="16"/>
      <c r="P124" s="8" t="n">
        <v>118</v>
      </c>
      <c r="Q124" s="24"/>
      <c r="R124" s="11"/>
      <c r="S124" s="11"/>
      <c r="T124" s="11"/>
      <c r="U124" s="16"/>
    </row>
    <row r="125" customFormat="false" ht="15" hidden="false" customHeight="false" outlineLevel="0" collapsed="false">
      <c r="I125" s="8" t="n">
        <v>119</v>
      </c>
      <c r="J125" s="24"/>
      <c r="K125" s="11"/>
      <c r="L125" s="11"/>
      <c r="M125" s="11"/>
      <c r="N125" s="16"/>
      <c r="P125" s="8" t="n">
        <v>119</v>
      </c>
      <c r="Q125" s="24"/>
      <c r="R125" s="11"/>
      <c r="S125" s="11"/>
      <c r="T125" s="11"/>
      <c r="U125" s="16"/>
    </row>
    <row r="126" customFormat="false" ht="15" hidden="false" customHeight="false" outlineLevel="0" collapsed="false">
      <c r="I126" s="8" t="n">
        <v>120</v>
      </c>
      <c r="J126" s="24"/>
      <c r="K126" s="11"/>
      <c r="L126" s="11"/>
      <c r="M126" s="11"/>
      <c r="N126" s="16"/>
      <c r="P126" s="8" t="n">
        <v>120</v>
      </c>
      <c r="Q126" s="24"/>
      <c r="R126" s="11"/>
      <c r="S126" s="11"/>
      <c r="T126" s="11"/>
      <c r="U126" s="16"/>
    </row>
    <row r="127" customFormat="false" ht="15" hidden="false" customHeight="false" outlineLevel="0" collapsed="false">
      <c r="I127" s="8" t="n">
        <v>121</v>
      </c>
      <c r="J127" s="24"/>
      <c r="K127" s="11"/>
      <c r="L127" s="11"/>
      <c r="M127" s="11"/>
      <c r="N127" s="16"/>
      <c r="P127" s="8" t="n">
        <v>121</v>
      </c>
      <c r="Q127" s="24"/>
      <c r="R127" s="11"/>
      <c r="S127" s="11"/>
      <c r="T127" s="11"/>
      <c r="U127" s="16"/>
    </row>
    <row r="128" customFormat="false" ht="15" hidden="false" customHeight="false" outlineLevel="0" collapsed="false">
      <c r="I128" s="8" t="n">
        <v>122</v>
      </c>
      <c r="J128" s="24"/>
      <c r="K128" s="11"/>
      <c r="L128" s="11"/>
      <c r="M128" s="11"/>
      <c r="N128" s="16"/>
      <c r="P128" s="8" t="n">
        <v>122</v>
      </c>
      <c r="Q128" s="24"/>
      <c r="R128" s="11"/>
      <c r="S128" s="11"/>
      <c r="T128" s="11"/>
      <c r="U128" s="16"/>
    </row>
    <row r="129" customFormat="false" ht="15" hidden="false" customHeight="false" outlineLevel="0" collapsed="false">
      <c r="I129" s="8" t="n">
        <v>123</v>
      </c>
      <c r="J129" s="24"/>
      <c r="K129" s="11"/>
      <c r="L129" s="11"/>
      <c r="M129" s="11"/>
      <c r="N129" s="16"/>
      <c r="P129" s="8" t="n">
        <v>123</v>
      </c>
      <c r="Q129" s="24"/>
      <c r="R129" s="11"/>
      <c r="S129" s="11"/>
      <c r="T129" s="11"/>
      <c r="U129" s="16"/>
    </row>
    <row r="130" customFormat="false" ht="15" hidden="false" customHeight="false" outlineLevel="0" collapsed="false">
      <c r="I130" s="8" t="n">
        <v>124</v>
      </c>
      <c r="J130" s="24"/>
      <c r="K130" s="11"/>
      <c r="L130" s="11"/>
      <c r="M130" s="11"/>
      <c r="N130" s="16"/>
      <c r="P130" s="8" t="n">
        <v>124</v>
      </c>
      <c r="Q130" s="24"/>
      <c r="R130" s="11"/>
      <c r="S130" s="11"/>
      <c r="T130" s="11"/>
      <c r="U130" s="16"/>
    </row>
    <row r="131" customFormat="false" ht="15" hidden="false" customHeight="false" outlineLevel="0" collapsed="false">
      <c r="I131" s="8" t="n">
        <v>125</v>
      </c>
      <c r="J131" s="24"/>
      <c r="K131" s="11"/>
      <c r="L131" s="11"/>
      <c r="M131" s="11"/>
      <c r="N131" s="16"/>
      <c r="P131" s="8" t="n">
        <v>125</v>
      </c>
      <c r="Q131" s="24"/>
      <c r="R131" s="11"/>
      <c r="S131" s="11"/>
      <c r="T131" s="11"/>
      <c r="U131" s="16"/>
    </row>
    <row r="132" customFormat="false" ht="15" hidden="false" customHeight="false" outlineLevel="0" collapsed="false">
      <c r="I132" s="8" t="n">
        <v>126</v>
      </c>
      <c r="J132" s="24"/>
      <c r="K132" s="11"/>
      <c r="L132" s="11"/>
      <c r="M132" s="11"/>
      <c r="N132" s="16"/>
      <c r="P132" s="8" t="n">
        <v>126</v>
      </c>
      <c r="Q132" s="24"/>
      <c r="R132" s="11"/>
      <c r="S132" s="11"/>
      <c r="T132" s="11"/>
      <c r="U132" s="16"/>
    </row>
    <row r="133" customFormat="false" ht="15" hidden="false" customHeight="false" outlineLevel="0" collapsed="false">
      <c r="I133" s="8" t="n">
        <v>127</v>
      </c>
      <c r="J133" s="24"/>
      <c r="K133" s="11"/>
      <c r="L133" s="11"/>
      <c r="M133" s="11"/>
      <c r="N133" s="16"/>
      <c r="P133" s="8" t="n">
        <v>127</v>
      </c>
      <c r="Q133" s="24"/>
      <c r="R133" s="11"/>
      <c r="S133" s="11"/>
      <c r="T133" s="11"/>
      <c r="U133" s="16"/>
    </row>
    <row r="134" customFormat="false" ht="15" hidden="false" customHeight="false" outlineLevel="0" collapsed="false">
      <c r="I134" s="8" t="n">
        <v>128</v>
      </c>
      <c r="J134" s="24"/>
      <c r="K134" s="11"/>
      <c r="L134" s="11"/>
      <c r="M134" s="11"/>
      <c r="N134" s="16"/>
      <c r="P134" s="8" t="n">
        <v>128</v>
      </c>
      <c r="Q134" s="24"/>
      <c r="R134" s="11"/>
      <c r="S134" s="11"/>
      <c r="T134" s="11"/>
      <c r="U134" s="16"/>
    </row>
    <row r="135" customFormat="false" ht="15" hidden="false" customHeight="false" outlineLevel="0" collapsed="false">
      <c r="I135" s="8" t="n">
        <v>129</v>
      </c>
      <c r="J135" s="24"/>
      <c r="K135" s="11"/>
      <c r="L135" s="11"/>
      <c r="M135" s="11"/>
      <c r="N135" s="16"/>
      <c r="P135" s="8" t="n">
        <v>129</v>
      </c>
      <c r="Q135" s="24"/>
      <c r="R135" s="11"/>
      <c r="S135" s="11"/>
      <c r="T135" s="11"/>
      <c r="U135" s="16"/>
    </row>
    <row r="136" customFormat="false" ht="15" hidden="false" customHeight="false" outlineLevel="0" collapsed="false">
      <c r="I136" s="8" t="n">
        <v>130</v>
      </c>
      <c r="J136" s="24"/>
      <c r="K136" s="11"/>
      <c r="L136" s="11"/>
      <c r="M136" s="11"/>
      <c r="N136" s="16"/>
      <c r="P136" s="8" t="n">
        <v>130</v>
      </c>
      <c r="Q136" s="24"/>
      <c r="R136" s="11"/>
      <c r="S136" s="11"/>
      <c r="T136" s="11"/>
      <c r="U136" s="16"/>
    </row>
    <row r="137" customFormat="false" ht="15" hidden="false" customHeight="false" outlineLevel="0" collapsed="false">
      <c r="I137" s="8" t="n">
        <v>131</v>
      </c>
      <c r="J137" s="24"/>
      <c r="K137" s="11"/>
      <c r="L137" s="11"/>
      <c r="M137" s="11"/>
      <c r="N137" s="16"/>
      <c r="P137" s="8" t="n">
        <v>131</v>
      </c>
      <c r="Q137" s="24"/>
      <c r="R137" s="11"/>
      <c r="S137" s="11"/>
      <c r="T137" s="11"/>
      <c r="U137" s="16"/>
    </row>
    <row r="138" customFormat="false" ht="15" hidden="false" customHeight="false" outlineLevel="0" collapsed="false">
      <c r="I138" s="8" t="n">
        <v>132</v>
      </c>
      <c r="J138" s="24"/>
      <c r="K138" s="11"/>
      <c r="L138" s="11"/>
      <c r="M138" s="11"/>
      <c r="N138" s="16"/>
      <c r="P138" s="8" t="n">
        <v>132</v>
      </c>
      <c r="Q138" s="24"/>
      <c r="R138" s="11"/>
      <c r="S138" s="11"/>
      <c r="T138" s="11"/>
      <c r="U138" s="16"/>
    </row>
    <row r="139" customFormat="false" ht="15" hidden="false" customHeight="false" outlineLevel="0" collapsed="false">
      <c r="I139" s="8" t="n">
        <v>133</v>
      </c>
      <c r="J139" s="24"/>
      <c r="K139" s="11"/>
      <c r="L139" s="11"/>
      <c r="M139" s="11"/>
      <c r="N139" s="16"/>
      <c r="P139" s="8" t="n">
        <v>133</v>
      </c>
      <c r="Q139" s="24"/>
      <c r="R139" s="11"/>
      <c r="S139" s="11"/>
      <c r="T139" s="11"/>
      <c r="U139" s="16"/>
    </row>
    <row r="140" customFormat="false" ht="15" hidden="false" customHeight="false" outlineLevel="0" collapsed="false">
      <c r="I140" s="8" t="n">
        <v>134</v>
      </c>
      <c r="J140" s="24"/>
      <c r="K140" s="11"/>
      <c r="L140" s="11"/>
      <c r="M140" s="11"/>
      <c r="N140" s="16"/>
      <c r="P140" s="8" t="n">
        <v>134</v>
      </c>
      <c r="Q140" s="24"/>
      <c r="R140" s="11"/>
      <c r="S140" s="11"/>
      <c r="T140" s="11"/>
      <c r="U140" s="16"/>
    </row>
    <row r="141" customFormat="false" ht="15" hidden="false" customHeight="false" outlineLevel="0" collapsed="false">
      <c r="I141" s="8" t="n">
        <v>135</v>
      </c>
      <c r="J141" s="24"/>
      <c r="K141" s="11"/>
      <c r="L141" s="11"/>
      <c r="M141" s="11"/>
      <c r="N141" s="16"/>
      <c r="P141" s="8" t="n">
        <v>135</v>
      </c>
      <c r="Q141" s="24"/>
      <c r="R141" s="11"/>
      <c r="S141" s="11"/>
      <c r="T141" s="11"/>
      <c r="U141" s="16"/>
    </row>
    <row r="142" customFormat="false" ht="15" hidden="false" customHeight="false" outlineLevel="0" collapsed="false">
      <c r="I142" s="8" t="n">
        <v>136</v>
      </c>
      <c r="J142" s="24"/>
      <c r="K142" s="11"/>
      <c r="L142" s="11"/>
      <c r="M142" s="11"/>
      <c r="N142" s="16"/>
      <c r="P142" s="8" t="n">
        <v>136</v>
      </c>
      <c r="Q142" s="24"/>
      <c r="R142" s="11"/>
      <c r="S142" s="11"/>
      <c r="T142" s="11"/>
      <c r="U142" s="16"/>
    </row>
    <row r="143" customFormat="false" ht="15" hidden="false" customHeight="false" outlineLevel="0" collapsed="false">
      <c r="I143" s="8" t="n">
        <v>137</v>
      </c>
      <c r="J143" s="24"/>
      <c r="K143" s="11"/>
      <c r="L143" s="11"/>
      <c r="M143" s="11"/>
      <c r="N143" s="16"/>
      <c r="P143" s="8" t="n">
        <v>137</v>
      </c>
      <c r="Q143" s="24"/>
      <c r="R143" s="11"/>
      <c r="S143" s="11"/>
      <c r="T143" s="11"/>
      <c r="U143" s="16"/>
    </row>
    <row r="144" customFormat="false" ht="15" hidden="false" customHeight="false" outlineLevel="0" collapsed="false">
      <c r="I144" s="8" t="n">
        <v>138</v>
      </c>
      <c r="J144" s="24"/>
      <c r="K144" s="11"/>
      <c r="L144" s="11"/>
      <c r="M144" s="11"/>
      <c r="N144" s="16"/>
      <c r="P144" s="8" t="n">
        <v>138</v>
      </c>
      <c r="Q144" s="24"/>
      <c r="R144" s="11"/>
      <c r="S144" s="11"/>
      <c r="T144" s="11"/>
      <c r="U144" s="16"/>
    </row>
    <row r="145" customFormat="false" ht="15" hidden="false" customHeight="false" outlineLevel="0" collapsed="false">
      <c r="I145" s="8" t="n">
        <v>139</v>
      </c>
      <c r="J145" s="24"/>
      <c r="K145" s="11"/>
      <c r="L145" s="11"/>
      <c r="M145" s="11"/>
      <c r="N145" s="16"/>
      <c r="P145" s="8" t="n">
        <v>139</v>
      </c>
      <c r="Q145" s="24"/>
      <c r="R145" s="11"/>
      <c r="S145" s="11"/>
      <c r="T145" s="11"/>
      <c r="U145" s="16"/>
    </row>
    <row r="146" customFormat="false" ht="15" hidden="false" customHeight="false" outlineLevel="0" collapsed="false">
      <c r="I146" s="8" t="n">
        <v>140</v>
      </c>
      <c r="J146" s="24"/>
      <c r="K146" s="11"/>
      <c r="L146" s="11"/>
      <c r="M146" s="11"/>
      <c r="N146" s="16"/>
      <c r="P146" s="8" t="n">
        <v>140</v>
      </c>
      <c r="Q146" s="24"/>
      <c r="R146" s="11"/>
      <c r="S146" s="11"/>
      <c r="T146" s="11"/>
      <c r="U146" s="16"/>
    </row>
    <row r="147" customFormat="false" ht="15" hidden="false" customHeight="false" outlineLevel="0" collapsed="false">
      <c r="I147" s="8" t="n">
        <v>141</v>
      </c>
      <c r="J147" s="24"/>
      <c r="K147" s="11"/>
      <c r="L147" s="11"/>
      <c r="M147" s="11"/>
      <c r="N147" s="16"/>
      <c r="P147" s="8" t="n">
        <v>141</v>
      </c>
      <c r="Q147" s="24"/>
      <c r="R147" s="11"/>
      <c r="S147" s="11"/>
      <c r="T147" s="11"/>
      <c r="U147" s="16"/>
    </row>
    <row r="148" customFormat="false" ht="15" hidden="false" customHeight="false" outlineLevel="0" collapsed="false">
      <c r="I148" s="8" t="n">
        <v>142</v>
      </c>
      <c r="J148" s="24"/>
      <c r="K148" s="11"/>
      <c r="L148" s="11"/>
      <c r="M148" s="11"/>
      <c r="N148" s="16"/>
      <c r="P148" s="8" t="n">
        <v>142</v>
      </c>
      <c r="Q148" s="24"/>
      <c r="R148" s="11"/>
      <c r="S148" s="11"/>
      <c r="T148" s="11"/>
      <c r="U148" s="16"/>
    </row>
    <row r="149" customFormat="false" ht="15" hidden="false" customHeight="false" outlineLevel="0" collapsed="false">
      <c r="I149" s="8" t="n">
        <v>143</v>
      </c>
      <c r="J149" s="24"/>
      <c r="K149" s="11"/>
      <c r="L149" s="11"/>
      <c r="M149" s="11"/>
      <c r="N149" s="16"/>
      <c r="P149" s="8" t="n">
        <v>143</v>
      </c>
      <c r="Q149" s="24"/>
      <c r="R149" s="11"/>
      <c r="S149" s="11"/>
      <c r="T149" s="11"/>
      <c r="U149" s="16"/>
    </row>
    <row r="150" customFormat="false" ht="15" hidden="false" customHeight="false" outlineLevel="0" collapsed="false">
      <c r="I150" s="8" t="n">
        <v>144</v>
      </c>
      <c r="J150" s="24"/>
      <c r="K150" s="11"/>
      <c r="L150" s="11"/>
      <c r="M150" s="11"/>
      <c r="N150" s="16"/>
      <c r="P150" s="8" t="n">
        <v>144</v>
      </c>
      <c r="Q150" s="24"/>
      <c r="R150" s="11"/>
      <c r="S150" s="11"/>
      <c r="T150" s="11"/>
      <c r="U150" s="16"/>
    </row>
    <row r="151" customFormat="false" ht="15" hidden="false" customHeight="false" outlineLevel="0" collapsed="false">
      <c r="I151" s="8" t="n">
        <v>145</v>
      </c>
      <c r="J151" s="24"/>
      <c r="K151" s="11"/>
      <c r="L151" s="11"/>
      <c r="M151" s="11"/>
      <c r="N151" s="16"/>
      <c r="P151" s="8" t="n">
        <v>145</v>
      </c>
      <c r="Q151" s="24"/>
      <c r="R151" s="11"/>
      <c r="S151" s="11"/>
      <c r="T151" s="11"/>
      <c r="U151" s="16"/>
    </row>
    <row r="152" customFormat="false" ht="15" hidden="false" customHeight="false" outlineLevel="0" collapsed="false">
      <c r="I152" s="8" t="n">
        <v>146</v>
      </c>
      <c r="J152" s="24"/>
      <c r="K152" s="11"/>
      <c r="L152" s="11"/>
      <c r="M152" s="11"/>
      <c r="N152" s="16"/>
      <c r="P152" s="8" t="n">
        <v>146</v>
      </c>
      <c r="Q152" s="24"/>
      <c r="R152" s="11"/>
      <c r="S152" s="11"/>
      <c r="T152" s="11"/>
      <c r="U152" s="16"/>
    </row>
    <row r="153" customFormat="false" ht="15" hidden="false" customHeight="false" outlineLevel="0" collapsed="false">
      <c r="I153" s="8" t="n">
        <v>147</v>
      </c>
      <c r="J153" s="24"/>
      <c r="K153" s="11"/>
      <c r="L153" s="11"/>
      <c r="M153" s="11"/>
      <c r="N153" s="16"/>
      <c r="P153" s="8" t="n">
        <v>147</v>
      </c>
      <c r="Q153" s="24"/>
      <c r="R153" s="11"/>
      <c r="S153" s="11"/>
      <c r="T153" s="11"/>
      <c r="U153" s="16"/>
    </row>
    <row r="154" customFormat="false" ht="15" hidden="false" customHeight="false" outlineLevel="0" collapsed="false">
      <c r="I154" s="8" t="n">
        <v>148</v>
      </c>
      <c r="J154" s="24"/>
      <c r="K154" s="11"/>
      <c r="L154" s="11"/>
      <c r="M154" s="11"/>
      <c r="N154" s="16"/>
      <c r="P154" s="8" t="n">
        <v>148</v>
      </c>
      <c r="Q154" s="24"/>
      <c r="R154" s="11"/>
      <c r="S154" s="11"/>
      <c r="T154" s="11"/>
      <c r="U154" s="16"/>
    </row>
    <row r="155" customFormat="false" ht="15" hidden="false" customHeight="false" outlineLevel="0" collapsed="false">
      <c r="I155" s="8" t="n">
        <v>149</v>
      </c>
      <c r="J155" s="24"/>
      <c r="K155" s="11"/>
      <c r="L155" s="11"/>
      <c r="M155" s="11"/>
      <c r="N155" s="16"/>
      <c r="P155" s="8" t="n">
        <v>149</v>
      </c>
      <c r="Q155" s="24"/>
      <c r="R155" s="11"/>
      <c r="S155" s="11"/>
      <c r="T155" s="11"/>
      <c r="U155" s="16"/>
    </row>
    <row r="156" customFormat="false" ht="15" hidden="false" customHeight="false" outlineLevel="0" collapsed="false">
      <c r="I156" s="8" t="n">
        <v>150</v>
      </c>
      <c r="J156" s="24"/>
      <c r="K156" s="11"/>
      <c r="L156" s="11"/>
      <c r="M156" s="11"/>
      <c r="N156" s="16"/>
      <c r="P156" s="8" t="n">
        <v>150</v>
      </c>
      <c r="Q156" s="24"/>
      <c r="R156" s="11"/>
      <c r="S156" s="11"/>
      <c r="T156" s="11"/>
      <c r="U156" s="16"/>
    </row>
    <row r="157" customFormat="false" ht="15" hidden="false" customHeight="false" outlineLevel="0" collapsed="false">
      <c r="I157" s="8" t="n">
        <v>151</v>
      </c>
      <c r="J157" s="24"/>
      <c r="K157" s="11"/>
      <c r="L157" s="11"/>
      <c r="M157" s="11"/>
      <c r="N157" s="16"/>
      <c r="P157" s="8" t="n">
        <v>151</v>
      </c>
      <c r="Q157" s="24"/>
      <c r="R157" s="11"/>
      <c r="S157" s="11"/>
      <c r="T157" s="11"/>
      <c r="U157" s="16"/>
    </row>
    <row r="158" customFormat="false" ht="15" hidden="false" customHeight="false" outlineLevel="0" collapsed="false">
      <c r="I158" s="8" t="n">
        <v>152</v>
      </c>
      <c r="J158" s="24"/>
      <c r="K158" s="11"/>
      <c r="L158" s="11"/>
      <c r="M158" s="11"/>
      <c r="N158" s="16"/>
      <c r="P158" s="8" t="n">
        <v>152</v>
      </c>
      <c r="Q158" s="24"/>
      <c r="R158" s="11"/>
      <c r="S158" s="11"/>
      <c r="T158" s="11"/>
      <c r="U158" s="16"/>
    </row>
    <row r="159" customFormat="false" ht="15" hidden="false" customHeight="false" outlineLevel="0" collapsed="false">
      <c r="I159" s="8" t="n">
        <v>153</v>
      </c>
      <c r="J159" s="24"/>
      <c r="K159" s="11"/>
      <c r="L159" s="11"/>
      <c r="M159" s="11"/>
      <c r="N159" s="16"/>
      <c r="P159" s="8" t="n">
        <v>153</v>
      </c>
      <c r="Q159" s="24"/>
      <c r="R159" s="11"/>
      <c r="S159" s="11"/>
      <c r="T159" s="11"/>
      <c r="U159" s="16"/>
    </row>
    <row r="160" customFormat="false" ht="15" hidden="false" customHeight="false" outlineLevel="0" collapsed="false">
      <c r="I160" s="8" t="n">
        <v>154</v>
      </c>
      <c r="J160" s="24"/>
      <c r="K160" s="11"/>
      <c r="L160" s="11"/>
      <c r="M160" s="11"/>
      <c r="N160" s="16"/>
      <c r="P160" s="8" t="n">
        <v>154</v>
      </c>
      <c r="Q160" s="24"/>
      <c r="R160" s="11"/>
      <c r="S160" s="11"/>
      <c r="T160" s="11"/>
      <c r="U160" s="16"/>
    </row>
    <row r="161" customFormat="false" ht="15" hidden="false" customHeight="false" outlineLevel="0" collapsed="false">
      <c r="I161" s="8" t="n">
        <v>155</v>
      </c>
      <c r="J161" s="24"/>
      <c r="K161" s="11"/>
      <c r="L161" s="11"/>
      <c r="M161" s="11"/>
      <c r="N161" s="16"/>
      <c r="P161" s="8" t="n">
        <v>155</v>
      </c>
      <c r="Q161" s="24"/>
      <c r="R161" s="11"/>
      <c r="S161" s="11"/>
      <c r="T161" s="11"/>
      <c r="U161" s="16"/>
    </row>
    <row r="162" customFormat="false" ht="15" hidden="false" customHeight="false" outlineLevel="0" collapsed="false">
      <c r="I162" s="8" t="n">
        <v>156</v>
      </c>
      <c r="J162" s="24"/>
      <c r="K162" s="11"/>
      <c r="L162" s="11"/>
      <c r="M162" s="11"/>
      <c r="N162" s="16"/>
      <c r="P162" s="8" t="n">
        <v>156</v>
      </c>
      <c r="Q162" s="24"/>
      <c r="R162" s="11"/>
      <c r="S162" s="11"/>
      <c r="T162" s="11"/>
      <c r="U162" s="16"/>
    </row>
    <row r="163" customFormat="false" ht="15" hidden="false" customHeight="false" outlineLevel="0" collapsed="false">
      <c r="I163" s="8" t="n">
        <v>157</v>
      </c>
      <c r="J163" s="24"/>
      <c r="K163" s="11"/>
      <c r="L163" s="11"/>
      <c r="M163" s="11"/>
      <c r="N163" s="16"/>
      <c r="P163" s="8" t="n">
        <v>157</v>
      </c>
      <c r="Q163" s="24"/>
      <c r="R163" s="11"/>
      <c r="S163" s="11"/>
      <c r="T163" s="11"/>
      <c r="U163" s="16"/>
    </row>
    <row r="164" customFormat="false" ht="15" hidden="false" customHeight="false" outlineLevel="0" collapsed="false">
      <c r="I164" s="8" t="n">
        <v>158</v>
      </c>
      <c r="J164" s="24"/>
      <c r="K164" s="11"/>
      <c r="L164" s="11"/>
      <c r="M164" s="11"/>
      <c r="N164" s="16"/>
      <c r="P164" s="8" t="n">
        <v>158</v>
      </c>
      <c r="Q164" s="24"/>
      <c r="R164" s="11"/>
      <c r="S164" s="11"/>
      <c r="T164" s="11"/>
      <c r="U164" s="16"/>
    </row>
    <row r="165" customFormat="false" ht="15" hidden="false" customHeight="false" outlineLevel="0" collapsed="false">
      <c r="I165" s="8" t="n">
        <v>159</v>
      </c>
      <c r="J165" s="24"/>
      <c r="K165" s="11"/>
      <c r="L165" s="11"/>
      <c r="M165" s="11"/>
      <c r="N165" s="16"/>
      <c r="P165" s="8" t="n">
        <v>159</v>
      </c>
      <c r="Q165" s="24"/>
      <c r="R165" s="11"/>
      <c r="S165" s="11"/>
      <c r="T165" s="11"/>
      <c r="U165" s="16"/>
    </row>
    <row r="166" customFormat="false" ht="15" hidden="false" customHeight="false" outlineLevel="0" collapsed="false">
      <c r="I166" s="8" t="n">
        <v>160</v>
      </c>
      <c r="J166" s="24"/>
      <c r="K166" s="11"/>
      <c r="L166" s="11"/>
      <c r="M166" s="11"/>
      <c r="N166" s="16"/>
      <c r="P166" s="8" t="n">
        <v>160</v>
      </c>
      <c r="Q166" s="24"/>
      <c r="R166" s="11"/>
      <c r="S166" s="11"/>
      <c r="T166" s="11"/>
      <c r="U166" s="16"/>
    </row>
    <row r="167" customFormat="false" ht="15" hidden="false" customHeight="false" outlineLevel="0" collapsed="false">
      <c r="I167" s="8" t="n">
        <v>161</v>
      </c>
      <c r="J167" s="24"/>
      <c r="K167" s="11"/>
      <c r="L167" s="11"/>
      <c r="M167" s="11"/>
      <c r="N167" s="16"/>
      <c r="P167" s="8" t="n">
        <v>161</v>
      </c>
      <c r="Q167" s="24"/>
      <c r="R167" s="11"/>
      <c r="S167" s="11"/>
      <c r="T167" s="11"/>
      <c r="U167" s="16"/>
    </row>
    <row r="168" customFormat="false" ht="15" hidden="false" customHeight="false" outlineLevel="0" collapsed="false">
      <c r="I168" s="8" t="n">
        <v>162</v>
      </c>
      <c r="J168" s="24"/>
      <c r="K168" s="11"/>
      <c r="L168" s="11"/>
      <c r="M168" s="11"/>
      <c r="N168" s="16"/>
      <c r="P168" s="8" t="n">
        <v>162</v>
      </c>
      <c r="Q168" s="24"/>
      <c r="R168" s="11"/>
      <c r="S168" s="11"/>
      <c r="T168" s="11"/>
      <c r="U168" s="16"/>
    </row>
    <row r="169" customFormat="false" ht="15" hidden="false" customHeight="false" outlineLevel="0" collapsed="false">
      <c r="I169" s="8" t="n">
        <v>163</v>
      </c>
      <c r="J169" s="24"/>
      <c r="K169" s="11"/>
      <c r="L169" s="11"/>
      <c r="M169" s="11"/>
      <c r="N169" s="16"/>
      <c r="P169" s="8" t="n">
        <v>163</v>
      </c>
      <c r="Q169" s="24"/>
      <c r="R169" s="11"/>
      <c r="S169" s="11"/>
      <c r="T169" s="11"/>
      <c r="U169" s="16"/>
    </row>
    <row r="170" customFormat="false" ht="15" hidden="false" customHeight="false" outlineLevel="0" collapsed="false">
      <c r="I170" s="17" t="n">
        <v>164</v>
      </c>
      <c r="J170" s="30"/>
      <c r="K170" s="31"/>
      <c r="L170" s="31"/>
      <c r="M170" s="31"/>
      <c r="N170" s="32"/>
      <c r="P170" s="17" t="n">
        <v>164</v>
      </c>
      <c r="Q170" s="30"/>
      <c r="R170" s="31"/>
      <c r="S170" s="31"/>
      <c r="T170" s="31"/>
      <c r="U170" s="32"/>
    </row>
  </sheetData>
  <mergeCells count="1">
    <mergeCell ref="B6:G15"/>
  </mergeCells>
  <conditionalFormatting sqref="Q34:Q37">
    <cfRule type="containsText" priority="2" operator="containsText" aboveAverage="0" equalAverage="0" bottom="0" percent="0" rank="0" text="FG" dxfId="0">
      <formula>NOT(ISERROR(SEARCH("FG",Q34)))</formula>
    </cfRule>
    <cfRule type="containsText" priority="3" operator="containsText" aboveAverage="0" equalAverage="0" bottom="0" percent="0" rank="0" text="SYM" dxfId="1">
      <formula>NOT(ISERROR(SEARCH("SYM",Q34)))</formula>
    </cfRule>
  </conditionalFormatting>
  <conditionalFormatting sqref="Q34:Q37">
    <cfRule type="containsText" priority="4" operator="containsText" aboveAverage="0" equalAverage="0" bottom="0" percent="0" rank="0" text="SCAT2" dxfId="2">
      <formula>NOT(ISERROR(SEARCH("SCAT2",Q34)))</formula>
    </cfRule>
    <cfRule type="containsText" priority="5" operator="containsText" aboveAverage="0" equalAverage="0" bottom="0" percent="0" rank="0" text="WILD" dxfId="3">
      <formula>NOT(ISERROR(SEARCH("WILD",Q34)))</formula>
    </cfRule>
  </conditionalFormatting>
  <conditionalFormatting sqref="R34:U37 Q38:U59 Q7:U33">
    <cfRule type="containsText" priority="6" operator="containsText" aboveAverage="0" equalAverage="0" bottom="0" percent="0" rank="0" text="FG" dxfId="4">
      <formula>NOT(ISERROR(SEARCH("FG",Q7)))</formula>
    </cfRule>
    <cfRule type="containsText" priority="7" operator="containsText" aboveAverage="0" equalAverage="0" bottom="0" percent="0" rank="0" text="SYM" dxfId="5">
      <formula>NOT(ISERROR(SEARCH("SYM",Q7)))</formula>
    </cfRule>
  </conditionalFormatting>
  <conditionalFormatting sqref="R34:U37 Q38:U59 Q7:U33">
    <cfRule type="containsText" priority="8" operator="containsText" aboveAverage="0" equalAverage="0" bottom="0" percent="0" rank="0" text="SCAT2" dxfId="6">
      <formula>NOT(ISERROR(SEARCH("SCAT2",Q7)))</formula>
    </cfRule>
    <cfRule type="containsText" priority="9" operator="containsText" aboveAverage="0" equalAverage="0" bottom="0" percent="0" rank="0" text="WILD" dxfId="7">
      <formula>NOT(ISERROR(SEARCH("WILD",Q7)))</formula>
    </cfRule>
  </conditionalFormatting>
  <conditionalFormatting sqref="Q60:U73">
    <cfRule type="containsText" priority="10" operator="containsText" aboveAverage="0" equalAverage="0" bottom="0" percent="0" rank="0" text="FG" dxfId="8">
      <formula>NOT(ISERROR(SEARCH("FG",Q60)))</formula>
    </cfRule>
    <cfRule type="containsText" priority="11" operator="containsText" aboveAverage="0" equalAverage="0" bottom="0" percent="0" rank="0" text="SYM" dxfId="9">
      <formula>NOT(ISERROR(SEARCH("SYM",Q60)))</formula>
    </cfRule>
  </conditionalFormatting>
  <conditionalFormatting sqref="Q60:U73">
    <cfRule type="containsText" priority="12" operator="containsText" aboveAverage="0" equalAverage="0" bottom="0" percent="0" rank="0" text="SCAT2" dxfId="10">
      <formula>NOT(ISERROR(SEARCH("SCAT2",Q60)))</formula>
    </cfRule>
    <cfRule type="containsText" priority="13" operator="containsText" aboveAverage="0" equalAverage="0" bottom="0" percent="0" rank="0" text="WILD" dxfId="11">
      <formula>NOT(ISERROR(SEARCH("WILD",Q60)))</formula>
    </cfRule>
  </conditionalFormatting>
  <conditionalFormatting sqref="J34:J37">
    <cfRule type="containsText" priority="14" operator="containsText" aboveAverage="0" equalAverage="0" bottom="0" percent="0" rank="0" text="FG" dxfId="12">
      <formula>NOT(ISERROR(SEARCH("FG",J34)))</formula>
    </cfRule>
    <cfRule type="containsText" priority="15" operator="containsText" aboveAverage="0" equalAverage="0" bottom="0" percent="0" rank="0" text="SYM" dxfId="13">
      <formula>NOT(ISERROR(SEARCH("SYM",J34)))</formula>
    </cfRule>
  </conditionalFormatting>
  <conditionalFormatting sqref="J34:J37">
    <cfRule type="containsText" priority="16" operator="containsText" aboveAverage="0" equalAverage="0" bottom="0" percent="0" rank="0" text="SCAT2" dxfId="14">
      <formula>NOT(ISERROR(SEARCH("SCAT2",J34)))</formula>
    </cfRule>
    <cfRule type="containsText" priority="17" operator="containsText" aboveAverage="0" equalAverage="0" bottom="0" percent="0" rank="0" text="WILD" dxfId="15">
      <formula>NOT(ISERROR(SEARCH("WILD",J34)))</formula>
    </cfRule>
  </conditionalFormatting>
  <conditionalFormatting sqref="Q74:U170">
    <cfRule type="containsText" priority="18" operator="containsText" aboveAverage="0" equalAverage="0" bottom="0" percent="0" rank="0" text="FG" dxfId="16">
      <formula>NOT(ISERROR(SEARCH("FG",Q74)))</formula>
    </cfRule>
    <cfRule type="containsText" priority="19" operator="containsText" aboveAverage="0" equalAverage="0" bottom="0" percent="0" rank="0" text="SYM" dxfId="17">
      <formula>NOT(ISERROR(SEARCH("SYM",Q74)))</formula>
    </cfRule>
  </conditionalFormatting>
  <conditionalFormatting sqref="Q74:U170">
    <cfRule type="containsText" priority="20" operator="containsText" aboveAverage="0" equalAverage="0" bottom="0" percent="0" rank="0" text="SCAT2" dxfId="18">
      <formula>NOT(ISERROR(SEARCH("SCAT2",Q74)))</formula>
    </cfRule>
    <cfRule type="containsText" priority="21" operator="containsText" aboveAverage="0" equalAverage="0" bottom="0" percent="0" rank="0" text="WILD" dxfId="19">
      <formula>NOT(ISERROR(SEARCH("WILD",Q74)))</formula>
    </cfRule>
  </conditionalFormatting>
  <conditionalFormatting sqref="K34:N37 J38:N170 J7:N33">
    <cfRule type="containsText" priority="22" operator="containsText" aboveAverage="0" equalAverage="0" bottom="0" percent="0" rank="0" text="FG" dxfId="20">
      <formula>NOT(ISERROR(SEARCH("FG",J7)))</formula>
    </cfRule>
    <cfRule type="containsText" priority="23" operator="containsText" aboveAverage="0" equalAverage="0" bottom="0" percent="0" rank="0" text="SYM" dxfId="21">
      <formula>NOT(ISERROR(SEARCH("SYM",J7)))</formula>
    </cfRule>
  </conditionalFormatting>
  <conditionalFormatting sqref="X7:Y9 K34:N37 J38:N170 J7:N33">
    <cfRule type="containsText" priority="24" operator="containsText" aboveAverage="0" equalAverage="0" bottom="0" percent="0" rank="0" text="SCAT2" dxfId="22">
      <formula>NOT(ISERROR(SEARCH("SCAT2",J7)))</formula>
    </cfRule>
    <cfRule type="containsText" priority="25" operator="containsText" aboveAverage="0" equalAverage="0" bottom="0" percent="0" rank="0" text="WILD" dxfId="23">
      <formula>NOT(ISERROR(SEARCH("WILD",J7)))</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W7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1" activeCellId="0" sqref="D11"/>
    </sheetView>
  </sheetViews>
  <sheetFormatPr defaultColWidth="8.85546875" defaultRowHeight="15" customHeight="false" zeroHeight="false" outlineLevelRow="0" outlineLevelCol="0"/>
  <cols>
    <col collapsed="false" customWidth="true" hidden="false" outlineLevel="0" max="1" min="1" style="33" width="3.42"/>
    <col collapsed="false" customWidth="true" hidden="false" outlineLevel="0" max="2" min="2" style="33" width="13.29"/>
    <col collapsed="false" customWidth="true" hidden="false" outlineLevel="0" max="6" min="3" style="33" width="12.71"/>
    <col collapsed="false" customWidth="true" hidden="false" outlineLevel="0" max="8" min="7" style="33" width="10.71"/>
    <col collapsed="false" customWidth="true" hidden="false" outlineLevel="0" max="9" min="9" style="33" width="13.29"/>
    <col collapsed="false" customWidth="false" hidden="false" outlineLevel="0" max="19" min="10" style="33" width="8.85"/>
    <col collapsed="false" customWidth="true" hidden="false" outlineLevel="0" max="20" min="20" style="33" width="10.71"/>
    <col collapsed="false" customWidth="true" hidden="false" outlineLevel="0" max="21" min="21" style="33" width="13.29"/>
    <col collapsed="false" customWidth="true" hidden="false" outlineLevel="0" max="25" min="22" style="33" width="12.71"/>
    <col collapsed="false" customWidth="false" hidden="false" outlineLevel="0" max="16384" min="26" style="33" width="8.85"/>
  </cols>
  <sheetData>
    <row r="2" customFormat="false" ht="15" hidden="false" customHeight="false" outlineLevel="0" collapsed="false">
      <c r="B2" s="33" t="s">
        <v>37</v>
      </c>
      <c r="C2" s="34" t="n">
        <f aca="false">SUM(F40:F75,W40:W55)</f>
        <v>0.658003938211744</v>
      </c>
      <c r="F2" s="35" t="s">
        <v>38</v>
      </c>
      <c r="G2" s="36" t="n">
        <f aca="false">1/SUM(U40:U55)</f>
        <v>134.318347509113</v>
      </c>
    </row>
    <row r="3" customFormat="false" ht="15" hidden="false" customHeight="false" outlineLevel="0" collapsed="false">
      <c r="B3" s="33" t="s">
        <v>39</v>
      </c>
      <c r="C3" s="37" t="n">
        <f aca="false">FG!C5/G2</f>
        <v>0.214207617646125</v>
      </c>
    </row>
    <row r="4" customFormat="false" ht="15" hidden="false" customHeight="false" outlineLevel="0" collapsed="false">
      <c r="B4" s="33" t="s">
        <v>40</v>
      </c>
      <c r="C4" s="38" t="n">
        <f aca="false">C2+C3</f>
        <v>0.872211555857869</v>
      </c>
    </row>
    <row r="6" customFormat="false" ht="15" hidden="false" customHeight="false" outlineLevel="0" collapsed="false">
      <c r="B6" s="3" t="s">
        <v>41</v>
      </c>
    </row>
    <row r="7" customFormat="false" ht="15" hidden="false" customHeight="false" outlineLevel="0" collapsed="false">
      <c r="B7" s="20" t="s">
        <v>27</v>
      </c>
      <c r="C7" s="21" t="s">
        <v>8</v>
      </c>
      <c r="D7" s="21" t="s">
        <v>9</v>
      </c>
      <c r="E7" s="21" t="s">
        <v>10</v>
      </c>
      <c r="F7" s="21" t="s">
        <v>11</v>
      </c>
      <c r="G7" s="22" t="s">
        <v>12</v>
      </c>
    </row>
    <row r="8" customFormat="false" ht="15" hidden="false" customHeight="false" outlineLevel="0" collapsed="false">
      <c r="B8" s="8" t="s">
        <v>24</v>
      </c>
      <c r="C8" s="39" t="n">
        <f aca="false">COUNTIF('Game Info'!J$7:J$170,BG!$B8)</f>
        <v>2</v>
      </c>
      <c r="D8" s="40" t="n">
        <f aca="false">COUNTIF('Game Info'!K$7:K$170,BG!$B8)</f>
        <v>1</v>
      </c>
      <c r="E8" s="40" t="n">
        <f aca="false">COUNTIF('Game Info'!L$7:L$170,BG!$B8)</f>
        <v>1</v>
      </c>
      <c r="F8" s="40" t="n">
        <f aca="false">COUNTIF('Game Info'!M$7:M$170,BG!$B8)</f>
        <v>1</v>
      </c>
      <c r="G8" s="41" t="n">
        <f aca="false">COUNTIF('Game Info'!N$7:N$170,BG!$B8)</f>
        <v>1</v>
      </c>
    </row>
    <row r="9" customFormat="false" ht="15" hidden="false" customHeight="false" outlineLevel="0" collapsed="false">
      <c r="B9" s="8" t="s">
        <v>18</v>
      </c>
      <c r="C9" s="39" t="n">
        <f aca="false">COUNTIF('Game Info'!J$7:J$170,BG!$B9)</f>
        <v>2</v>
      </c>
      <c r="D9" s="40" t="n">
        <f aca="false">COUNTIF('Game Info'!K$7:K$170,BG!$B9)</f>
        <v>2</v>
      </c>
      <c r="E9" s="40" t="n">
        <f aca="false">COUNTIF('Game Info'!L$7:L$170,BG!$B9)</f>
        <v>2</v>
      </c>
      <c r="F9" s="40" t="n">
        <f aca="false">COUNTIF('Game Info'!M$7:M$170,BG!$B9)</f>
        <v>1</v>
      </c>
      <c r="G9" s="41" t="n">
        <f aca="false">COUNTIF('Game Info'!N$7:N$170,BG!$B9)</f>
        <v>2</v>
      </c>
    </row>
    <row r="10" customFormat="false" ht="15" hidden="false" customHeight="false" outlineLevel="0" collapsed="false">
      <c r="B10" s="8" t="s">
        <v>20</v>
      </c>
      <c r="C10" s="39" t="n">
        <f aca="false">COUNTIF('Game Info'!J$7:J$170,BG!$B10)</f>
        <v>4</v>
      </c>
      <c r="D10" s="40" t="n">
        <f aca="false">COUNTIF('Game Info'!K$7:K$170,BG!$B10)</f>
        <v>5</v>
      </c>
      <c r="E10" s="40" t="n">
        <f aca="false">COUNTIF('Game Info'!L$7:L$170,BG!$B10)</f>
        <v>4</v>
      </c>
      <c r="F10" s="40" t="n">
        <f aca="false">COUNTIF('Game Info'!M$7:M$170,BG!$B10)</f>
        <v>3</v>
      </c>
      <c r="G10" s="41" t="n">
        <f aca="false">COUNTIF('Game Info'!N$7:N$170,BG!$B10)</f>
        <v>4</v>
      </c>
    </row>
    <row r="11" customFormat="false" ht="15" hidden="false" customHeight="false" outlineLevel="0" collapsed="false">
      <c r="B11" s="8" t="s">
        <v>16</v>
      </c>
      <c r="C11" s="39" t="n">
        <f aca="false">COUNTIF('Game Info'!J$7:J$170,BG!$B11)</f>
        <v>4</v>
      </c>
      <c r="D11" s="40" t="n">
        <f aca="false">COUNTIF('Game Info'!K$7:K$170,BG!$B11)</f>
        <v>3</v>
      </c>
      <c r="E11" s="40" t="n">
        <f aca="false">COUNTIF('Game Info'!L$7:L$170,BG!$B11)</f>
        <v>7</v>
      </c>
      <c r="F11" s="40" t="n">
        <f aca="false">COUNTIF('Game Info'!M$7:M$170,BG!$B11)</f>
        <v>3</v>
      </c>
      <c r="G11" s="41" t="n">
        <f aca="false">COUNTIF('Game Info'!N$7:N$170,BG!$B11)</f>
        <v>3</v>
      </c>
    </row>
    <row r="12" customFormat="false" ht="15" hidden="false" customHeight="false" outlineLevel="0" collapsed="false">
      <c r="B12" s="8" t="s">
        <v>22</v>
      </c>
      <c r="C12" s="39" t="n">
        <f aca="false">COUNTIF('Game Info'!J$7:J$170,BG!$B12)</f>
        <v>6</v>
      </c>
      <c r="D12" s="40" t="n">
        <f aca="false">COUNTIF('Game Info'!K$7:K$170,BG!$B12)</f>
        <v>2</v>
      </c>
      <c r="E12" s="40" t="n">
        <f aca="false">COUNTIF('Game Info'!L$7:L$170,BG!$B12)</f>
        <v>1</v>
      </c>
      <c r="F12" s="40" t="n">
        <f aca="false">COUNTIF('Game Info'!M$7:M$170,BG!$B12)</f>
        <v>4</v>
      </c>
      <c r="G12" s="41" t="n">
        <f aca="false">COUNTIF('Game Info'!N$7:N$170,BG!$B12)</f>
        <v>4</v>
      </c>
    </row>
    <row r="13" customFormat="false" ht="15" hidden="false" customHeight="false" outlineLevel="0" collapsed="false">
      <c r="B13" s="8" t="s">
        <v>26</v>
      </c>
      <c r="C13" s="39" t="n">
        <f aca="false">COUNTIF('Game Info'!J$7:J$170,BG!$B13)</f>
        <v>2</v>
      </c>
      <c r="D13" s="40" t="n">
        <f aca="false">COUNTIF('Game Info'!K$7:K$170,BG!$B13)</f>
        <v>2</v>
      </c>
      <c r="E13" s="40" t="n">
        <f aca="false">COUNTIF('Game Info'!L$7:L$170,BG!$B13)</f>
        <v>4</v>
      </c>
      <c r="F13" s="40" t="n">
        <f aca="false">COUNTIF('Game Info'!M$7:M$170,BG!$B13)</f>
        <v>2</v>
      </c>
      <c r="G13" s="41" t="n">
        <f aca="false">COUNTIF('Game Info'!N$7:N$170,BG!$B13)</f>
        <v>3</v>
      </c>
    </row>
    <row r="14" customFormat="false" ht="15" hidden="false" customHeight="false" outlineLevel="0" collapsed="false">
      <c r="B14" s="8" t="s">
        <v>21</v>
      </c>
      <c r="C14" s="39" t="n">
        <f aca="false">COUNTIF('Game Info'!J$7:J$170,BG!$B14)</f>
        <v>4</v>
      </c>
      <c r="D14" s="40" t="n">
        <f aca="false">COUNTIF('Game Info'!K$7:K$170,BG!$B14)</f>
        <v>3</v>
      </c>
      <c r="E14" s="40" t="n">
        <f aca="false">COUNTIF('Game Info'!L$7:L$170,BG!$B14)</f>
        <v>2</v>
      </c>
      <c r="F14" s="40" t="n">
        <f aca="false">COUNTIF('Game Info'!M$7:M$170,BG!$B14)</f>
        <v>3</v>
      </c>
      <c r="G14" s="41" t="n">
        <f aca="false">COUNTIF('Game Info'!N$7:N$170,BG!$B14)</f>
        <v>2</v>
      </c>
    </row>
    <row r="15" customFormat="false" ht="15" hidden="false" customHeight="false" outlineLevel="0" collapsed="false">
      <c r="B15" s="8" t="s">
        <v>17</v>
      </c>
      <c r="C15" s="39" t="n">
        <f aca="false">COUNTIF('Game Info'!J$7:J$170,BG!$B15)</f>
        <v>5</v>
      </c>
      <c r="D15" s="40" t="n">
        <f aca="false">COUNTIF('Game Info'!K$7:K$170,BG!$B15)</f>
        <v>4</v>
      </c>
      <c r="E15" s="40" t="n">
        <f aca="false">COUNTIF('Game Info'!L$7:L$170,BG!$B15)</f>
        <v>7</v>
      </c>
      <c r="F15" s="40" t="n">
        <f aca="false">COUNTIF('Game Info'!M$7:M$170,BG!$B15)</f>
        <v>4</v>
      </c>
      <c r="G15" s="41" t="n">
        <f aca="false">COUNTIF('Game Info'!N$7:N$170,BG!$B15)</f>
        <v>2</v>
      </c>
    </row>
    <row r="16" customFormat="false" ht="15" hidden="false" customHeight="false" outlineLevel="0" collapsed="false">
      <c r="B16" s="8" t="s">
        <v>32</v>
      </c>
      <c r="C16" s="39" t="n">
        <f aca="false">COUNTIF('Game Info'!J$7:J$170,BG!$B16)</f>
        <v>4</v>
      </c>
      <c r="D16" s="40" t="n">
        <f aca="false">COUNTIF('Game Info'!K$7:K$170,BG!$B16)</f>
        <v>1</v>
      </c>
      <c r="E16" s="40" t="n">
        <f aca="false">COUNTIF('Game Info'!L$7:L$170,BG!$B16)</f>
        <v>5</v>
      </c>
      <c r="F16" s="40" t="n">
        <f aca="false">COUNTIF('Game Info'!M$7:M$170,BG!$B16)</f>
        <v>2</v>
      </c>
      <c r="G16" s="41" t="n">
        <f aca="false">COUNTIF('Game Info'!N$7:N$170,BG!$B16)</f>
        <v>6</v>
      </c>
    </row>
    <row r="17" customFormat="false" ht="15" hidden="false" customHeight="false" outlineLevel="0" collapsed="false">
      <c r="B17" s="8" t="s">
        <v>19</v>
      </c>
      <c r="C17" s="39" t="n">
        <f aca="false">COUNTIF('Game Info'!J$7:J$170,BG!$B17)</f>
        <v>3</v>
      </c>
      <c r="D17" s="40" t="n">
        <f aca="false">COUNTIF('Game Info'!K$7:K$170,BG!$B17)</f>
        <v>6</v>
      </c>
      <c r="E17" s="40" t="n">
        <f aca="false">COUNTIF('Game Info'!L$7:L$170,BG!$B17)</f>
        <v>5</v>
      </c>
      <c r="F17" s="40" t="n">
        <f aca="false">COUNTIF('Game Info'!M$7:M$170,BG!$B17)</f>
        <v>3</v>
      </c>
      <c r="G17" s="41" t="n">
        <f aca="false">COUNTIF('Game Info'!N$7:N$170,BG!$B17)</f>
        <v>5</v>
      </c>
    </row>
    <row r="18" customFormat="false" ht="15" hidden="false" customHeight="false" outlineLevel="0" collapsed="false">
      <c r="B18" s="8" t="n">
        <v>10</v>
      </c>
      <c r="C18" s="39" t="n">
        <f aca="false">COUNTIF('Game Info'!J$7:J$170,BG!$B18)</f>
        <v>6</v>
      </c>
      <c r="D18" s="40" t="n">
        <f aca="false">COUNTIF('Game Info'!K$7:K$170,BG!$B18)</f>
        <v>4</v>
      </c>
      <c r="E18" s="40" t="n">
        <f aca="false">COUNTIF('Game Info'!L$7:L$170,BG!$B18)</f>
        <v>3</v>
      </c>
      <c r="F18" s="40" t="n">
        <f aca="false">COUNTIF('Game Info'!M$7:M$170,BG!$B18)</f>
        <v>5</v>
      </c>
      <c r="G18" s="41" t="n">
        <f aca="false">COUNTIF('Game Info'!N$7:N$170,BG!$B18)</f>
        <v>6</v>
      </c>
    </row>
    <row r="19" customFormat="false" ht="15" hidden="false" customHeight="false" outlineLevel="0" collapsed="false">
      <c r="B19" s="8" t="n">
        <v>9</v>
      </c>
      <c r="C19" s="39" t="n">
        <f aca="false">COUNTIF('Game Info'!J$7:J$170,BG!$B19)</f>
        <v>5</v>
      </c>
      <c r="D19" s="40" t="n">
        <f aca="false">COUNTIF('Game Info'!K$7:K$170,BG!$B19)</f>
        <v>7</v>
      </c>
      <c r="E19" s="40" t="n">
        <f aca="false">COUNTIF('Game Info'!L$7:L$170,BG!$B19)</f>
        <v>4</v>
      </c>
      <c r="F19" s="40" t="n">
        <f aca="false">COUNTIF('Game Info'!M$7:M$170,BG!$B19)</f>
        <v>4</v>
      </c>
      <c r="G19" s="41" t="n">
        <f aca="false">COUNTIF('Game Info'!N$7:N$170,BG!$B19)</f>
        <v>3</v>
      </c>
    </row>
    <row r="20" customFormat="false" ht="15" hidden="false" customHeight="false" outlineLevel="0" collapsed="false">
      <c r="B20" s="8" t="s">
        <v>15</v>
      </c>
      <c r="C20" s="39" t="n">
        <f aca="false">COUNTIF('Game Info'!J$7:J$170,BG!$B20)</f>
        <v>1</v>
      </c>
      <c r="D20" s="40" t="n">
        <f aca="false">COUNTIF('Game Info'!K$7:K$170,BG!$B20)</f>
        <v>2</v>
      </c>
      <c r="E20" s="40" t="n">
        <f aca="false">COUNTIF('Game Info'!L$7:L$170,BG!$B20)</f>
        <v>2</v>
      </c>
      <c r="F20" s="40" t="n">
        <f aca="false">COUNTIF('Game Info'!M$7:M$170,BG!$B20)</f>
        <v>1</v>
      </c>
      <c r="G20" s="41" t="n">
        <f aca="false">COUNTIF('Game Info'!N$7:N$170,BG!$B20)</f>
        <v>1</v>
      </c>
    </row>
    <row r="21" customFormat="false" ht="15" hidden="false" customHeight="false" outlineLevel="0" collapsed="false">
      <c r="B21" s="25" t="s">
        <v>40</v>
      </c>
      <c r="C21" s="42" t="n">
        <f aca="false">SUM(C8:C20)</f>
        <v>48</v>
      </c>
      <c r="D21" s="42" t="n">
        <f aca="false">SUM(D8:D20)</f>
        <v>42</v>
      </c>
      <c r="E21" s="42" t="n">
        <f aca="false">SUM(E8:E20)</f>
        <v>47</v>
      </c>
      <c r="F21" s="42" t="n">
        <f aca="false">SUM(F8:F20)</f>
        <v>36</v>
      </c>
      <c r="G21" s="43" t="n">
        <f aca="false">SUM(G8:G20)</f>
        <v>42</v>
      </c>
    </row>
    <row r="22" customFormat="false" ht="15" hidden="false" customHeight="false" outlineLevel="0" collapsed="false">
      <c r="F22" s="44" t="s">
        <v>42</v>
      </c>
      <c r="G22" s="43" t="n">
        <f aca="false">PRODUCT(C21:G21)</f>
        <v>143265024</v>
      </c>
    </row>
    <row r="24" customFormat="false" ht="15" hidden="false" customHeight="false" outlineLevel="0" collapsed="false">
      <c r="B24" s="3" t="s">
        <v>43</v>
      </c>
    </row>
    <row r="25" customFormat="false" ht="15" hidden="false" customHeight="false" outlineLevel="0" collapsed="false">
      <c r="B25" s="45" t="str">
        <f aca="false">B9 &amp; " + WILD"</f>
        <v>SYM1 + WILD</v>
      </c>
      <c r="C25" s="46" t="n">
        <f aca="false">C$8+C9</f>
        <v>4</v>
      </c>
      <c r="D25" s="46" t="n">
        <f aca="false">D$8+D9</f>
        <v>3</v>
      </c>
      <c r="E25" s="46" t="n">
        <f aca="false">E$8+E9</f>
        <v>3</v>
      </c>
      <c r="F25" s="46" t="n">
        <f aca="false">F$8+F9</f>
        <v>2</v>
      </c>
      <c r="G25" s="47" t="n">
        <f aca="false">G$8+G9</f>
        <v>3</v>
      </c>
    </row>
    <row r="26" customFormat="false" ht="15" hidden="false" customHeight="false" outlineLevel="0" collapsed="false">
      <c r="B26" s="8" t="str">
        <f aca="false">B10 &amp; " + WILD"</f>
        <v>SYM2 + WILD</v>
      </c>
      <c r="C26" s="40" t="n">
        <f aca="false">C$8+C10</f>
        <v>6</v>
      </c>
      <c r="D26" s="40" t="n">
        <f aca="false">D$8+D10</f>
        <v>6</v>
      </c>
      <c r="E26" s="40" t="n">
        <f aca="false">E$8+E10</f>
        <v>5</v>
      </c>
      <c r="F26" s="40" t="n">
        <f aca="false">F$8+F10</f>
        <v>4</v>
      </c>
      <c r="G26" s="41" t="n">
        <f aca="false">G$8+G10</f>
        <v>5</v>
      </c>
    </row>
    <row r="27" customFormat="false" ht="15" hidden="false" customHeight="false" outlineLevel="0" collapsed="false">
      <c r="B27" s="8" t="str">
        <f aca="false">B11 &amp; " + WILD"</f>
        <v>SYM3 + WILD</v>
      </c>
      <c r="C27" s="40" t="n">
        <f aca="false">C$8+C11</f>
        <v>6</v>
      </c>
      <c r="D27" s="40" t="n">
        <f aca="false">D$8+D11</f>
        <v>4</v>
      </c>
      <c r="E27" s="40" t="n">
        <f aca="false">E$8+E11</f>
        <v>8</v>
      </c>
      <c r="F27" s="40" t="n">
        <f aca="false">F$8+F11</f>
        <v>4</v>
      </c>
      <c r="G27" s="41" t="n">
        <f aca="false">G$8+G11</f>
        <v>4</v>
      </c>
    </row>
    <row r="28" customFormat="false" ht="15" hidden="false" customHeight="false" outlineLevel="0" collapsed="false">
      <c r="B28" s="8" t="str">
        <f aca="false">B12 &amp; " + WILD"</f>
        <v>SYM4 + WILD</v>
      </c>
      <c r="C28" s="40" t="n">
        <f aca="false">C$8+C12</f>
        <v>8</v>
      </c>
      <c r="D28" s="40" t="n">
        <f aca="false">D$8+D12</f>
        <v>3</v>
      </c>
      <c r="E28" s="40" t="n">
        <f aca="false">E$8+E12</f>
        <v>2</v>
      </c>
      <c r="F28" s="40" t="n">
        <f aca="false">F$8+F12</f>
        <v>5</v>
      </c>
      <c r="G28" s="41" t="n">
        <f aca="false">G$8+G12</f>
        <v>5</v>
      </c>
    </row>
    <row r="29" customFormat="false" ht="15" hidden="false" customHeight="false" outlineLevel="0" collapsed="false">
      <c r="B29" s="8" t="str">
        <f aca="false">B13 &amp; " + WILD"</f>
        <v>SYM5 + WILD</v>
      </c>
      <c r="C29" s="40" t="n">
        <f aca="false">C$8+C13</f>
        <v>4</v>
      </c>
      <c r="D29" s="40" t="n">
        <f aca="false">D$8+D13</f>
        <v>3</v>
      </c>
      <c r="E29" s="40" t="n">
        <f aca="false">E$8+E13</f>
        <v>5</v>
      </c>
      <c r="F29" s="40" t="n">
        <f aca="false">F$8+F13</f>
        <v>3</v>
      </c>
      <c r="G29" s="41" t="n">
        <f aca="false">G$8+G13</f>
        <v>4</v>
      </c>
    </row>
    <row r="30" customFormat="false" ht="15" hidden="false" customHeight="false" outlineLevel="0" collapsed="false">
      <c r="B30" s="8" t="str">
        <f aca="false">B14 &amp; " + WILD"</f>
        <v>A + WILD</v>
      </c>
      <c r="C30" s="40" t="n">
        <f aca="false">C$8+C14</f>
        <v>6</v>
      </c>
      <c r="D30" s="40" t="n">
        <f aca="false">D$8+D14</f>
        <v>4</v>
      </c>
      <c r="E30" s="40" t="n">
        <f aca="false">E$8+E14</f>
        <v>3</v>
      </c>
      <c r="F30" s="40" t="n">
        <f aca="false">F$8+F14</f>
        <v>4</v>
      </c>
      <c r="G30" s="41" t="n">
        <f aca="false">G$8+G14</f>
        <v>3</v>
      </c>
    </row>
    <row r="31" customFormat="false" ht="15" hidden="false" customHeight="false" outlineLevel="0" collapsed="false">
      <c r="B31" s="8" t="str">
        <f aca="false">B15 &amp; " + WILD"</f>
        <v>K + WILD</v>
      </c>
      <c r="C31" s="40" t="n">
        <f aca="false">C$8+C15</f>
        <v>7</v>
      </c>
      <c r="D31" s="40" t="n">
        <f aca="false">D$8+D15</f>
        <v>5</v>
      </c>
      <c r="E31" s="40" t="n">
        <f aca="false">E$8+E15</f>
        <v>8</v>
      </c>
      <c r="F31" s="40" t="n">
        <f aca="false">F$8+F15</f>
        <v>5</v>
      </c>
      <c r="G31" s="41" t="n">
        <f aca="false">G$8+G15</f>
        <v>3</v>
      </c>
    </row>
    <row r="32" customFormat="false" ht="15" hidden="false" customHeight="false" outlineLevel="0" collapsed="false">
      <c r="B32" s="8" t="str">
        <f aca="false">B16 &amp; " + WILD"</f>
        <v>Q + WILD</v>
      </c>
      <c r="C32" s="40" t="n">
        <f aca="false">C$8+C16</f>
        <v>6</v>
      </c>
      <c r="D32" s="40" t="n">
        <f aca="false">D$8+D16</f>
        <v>2</v>
      </c>
      <c r="E32" s="40" t="n">
        <f aca="false">E$8+E16</f>
        <v>6</v>
      </c>
      <c r="F32" s="40" t="n">
        <f aca="false">F$8+F16</f>
        <v>3</v>
      </c>
      <c r="G32" s="41" t="n">
        <f aca="false">G$8+G16</f>
        <v>7</v>
      </c>
    </row>
    <row r="33" customFormat="false" ht="15" hidden="false" customHeight="false" outlineLevel="0" collapsed="false">
      <c r="B33" s="8" t="str">
        <f aca="false">B17 &amp; " + WILD"</f>
        <v>J + WILD</v>
      </c>
      <c r="C33" s="40" t="n">
        <f aca="false">C$8+C17</f>
        <v>5</v>
      </c>
      <c r="D33" s="40" t="n">
        <f aca="false">D$8+D17</f>
        <v>7</v>
      </c>
      <c r="E33" s="40" t="n">
        <f aca="false">E$8+E17</f>
        <v>6</v>
      </c>
      <c r="F33" s="40" t="n">
        <f aca="false">F$8+F17</f>
        <v>4</v>
      </c>
      <c r="G33" s="41" t="n">
        <f aca="false">G$8+G17</f>
        <v>6</v>
      </c>
    </row>
    <row r="34" customFormat="false" ht="15" hidden="false" customHeight="false" outlineLevel="0" collapsed="false">
      <c r="B34" s="8" t="str">
        <f aca="false">B18 &amp; " + WILD"</f>
        <v>10 + WILD</v>
      </c>
      <c r="C34" s="40" t="n">
        <f aca="false">C$8+C18</f>
        <v>8</v>
      </c>
      <c r="D34" s="40" t="n">
        <f aca="false">D$8+D18</f>
        <v>5</v>
      </c>
      <c r="E34" s="40" t="n">
        <f aca="false">E$8+E18</f>
        <v>4</v>
      </c>
      <c r="F34" s="40" t="n">
        <f aca="false">F$8+F18</f>
        <v>6</v>
      </c>
      <c r="G34" s="41" t="n">
        <f aca="false">G$8+G18</f>
        <v>7</v>
      </c>
    </row>
    <row r="35" customFormat="false" ht="15" hidden="false" customHeight="false" outlineLevel="0" collapsed="false">
      <c r="B35" s="8" t="str">
        <f aca="false">B19 &amp; " + WILD"</f>
        <v>9 + WILD</v>
      </c>
      <c r="C35" s="40" t="n">
        <f aca="false">C$8+C19</f>
        <v>7</v>
      </c>
      <c r="D35" s="40" t="n">
        <f aca="false">D$8+D19</f>
        <v>8</v>
      </c>
      <c r="E35" s="40" t="n">
        <f aca="false">E$8+E19</f>
        <v>5</v>
      </c>
      <c r="F35" s="40" t="n">
        <f aca="false">F$8+F19</f>
        <v>5</v>
      </c>
      <c r="G35" s="41" t="n">
        <f aca="false">G$8+G19</f>
        <v>4</v>
      </c>
    </row>
    <row r="36" customFormat="false" ht="15" hidden="false" customHeight="false" outlineLevel="0" collapsed="false">
      <c r="B36" s="25" t="s">
        <v>44</v>
      </c>
      <c r="C36" s="42" t="n">
        <f aca="false">3*C20</f>
        <v>3</v>
      </c>
      <c r="D36" s="42" t="n">
        <f aca="false">3*D20</f>
        <v>6</v>
      </c>
      <c r="E36" s="42" t="n">
        <f aca="false">3*E20</f>
        <v>6</v>
      </c>
      <c r="F36" s="42" t="n">
        <f aca="false">3*F20</f>
        <v>3</v>
      </c>
      <c r="G36" s="43" t="n">
        <f aca="false">3*G20</f>
        <v>3</v>
      </c>
    </row>
    <row r="38" customFormat="false" ht="15" hidden="false" customHeight="false" outlineLevel="0" collapsed="false">
      <c r="B38" s="3" t="s">
        <v>45</v>
      </c>
      <c r="I38" s="3" t="s">
        <v>46</v>
      </c>
      <c r="L38" s="48"/>
      <c r="M38" s="49"/>
    </row>
    <row r="39" customFormat="false" ht="15" hidden="false" customHeight="false" outlineLevel="0" collapsed="false">
      <c r="B39" s="50" t="s">
        <v>47</v>
      </c>
      <c r="C39" s="21" t="s">
        <v>48</v>
      </c>
      <c r="D39" s="21" t="s">
        <v>49</v>
      </c>
      <c r="E39" s="21" t="s">
        <v>50</v>
      </c>
      <c r="F39" s="20" t="s">
        <v>51</v>
      </c>
      <c r="I39" s="50" t="s">
        <v>47</v>
      </c>
      <c r="J39" s="50" t="s">
        <v>8</v>
      </c>
      <c r="K39" s="21" t="s">
        <v>9</v>
      </c>
      <c r="L39" s="21" t="s">
        <v>10</v>
      </c>
      <c r="M39" s="21" t="s">
        <v>11</v>
      </c>
      <c r="N39" s="22" t="s">
        <v>12</v>
      </c>
      <c r="O39" s="50" t="s">
        <v>8</v>
      </c>
      <c r="P39" s="21" t="s">
        <v>9</v>
      </c>
      <c r="Q39" s="21" t="s">
        <v>10</v>
      </c>
      <c r="R39" s="21" t="s">
        <v>11</v>
      </c>
      <c r="S39" s="22" t="s">
        <v>12</v>
      </c>
      <c r="T39" s="21" t="s">
        <v>48</v>
      </c>
      <c r="U39" s="21" t="s">
        <v>49</v>
      </c>
      <c r="V39" s="21" t="s">
        <v>50</v>
      </c>
      <c r="W39" s="22" t="s">
        <v>51</v>
      </c>
    </row>
    <row r="40" customFormat="false" ht="15" hidden="false" customHeight="false" outlineLevel="0" collapsed="false">
      <c r="B40" s="39" t="str">
        <f aca="false">B8 &amp; " x5"</f>
        <v>WILD x5</v>
      </c>
      <c r="C40" s="51" t="n">
        <f aca="false">C8*D8*E8*F8*G8</f>
        <v>2</v>
      </c>
      <c r="D40" s="52" t="n">
        <f aca="false">'Game Info'!$C$3*C40/$G$22</f>
        <v>2.79202829017081E-007</v>
      </c>
      <c r="E40" s="53" t="n">
        <f aca="false">'Game Info'!AA13</f>
        <v>2500</v>
      </c>
      <c r="F40" s="54" t="n">
        <f aca="false">D40*E40/'Game Info'!$C$2</f>
        <v>6.98007072542702E-005</v>
      </c>
      <c r="I40" s="55" t="s">
        <v>52</v>
      </c>
      <c r="J40" s="55" t="s">
        <v>53</v>
      </c>
      <c r="K40" s="56" t="s">
        <v>53</v>
      </c>
      <c r="L40" s="56" t="s">
        <v>53</v>
      </c>
      <c r="M40" s="56" t="s">
        <v>53</v>
      </c>
      <c r="N40" s="57" t="s">
        <v>53</v>
      </c>
      <c r="O40" s="55" t="n">
        <f aca="false">IF(J40="X",C$36,C$21-C$36)</f>
        <v>3</v>
      </c>
      <c r="P40" s="56" t="n">
        <f aca="false">IF(K40="X",D$36,D$21-D$36)</f>
        <v>6</v>
      </c>
      <c r="Q40" s="56" t="n">
        <f aca="false">IF(L40="X",E$36,E$21-E$36)</f>
        <v>6</v>
      </c>
      <c r="R40" s="56" t="n">
        <f aca="false">IF(M40="X",F$36,F$21-F$36)</f>
        <v>3</v>
      </c>
      <c r="S40" s="57" t="n">
        <f aca="false">IF(N40="X",G$36,G$21-G$36)</f>
        <v>3</v>
      </c>
      <c r="T40" s="58" t="n">
        <f aca="false">PRODUCT(O40:S40)</f>
        <v>972</v>
      </c>
      <c r="U40" s="59" t="n">
        <f aca="false">T40/$G$22</f>
        <v>6.78462874511507E-006</v>
      </c>
      <c r="V40" s="60" t="n">
        <f aca="false">'Game Info'!AA25</f>
        <v>100</v>
      </c>
      <c r="W40" s="61" t="n">
        <f aca="false">V40*U40</f>
        <v>0.000678462874511507</v>
      </c>
    </row>
    <row r="41" customFormat="false" ht="15" hidden="false" customHeight="false" outlineLevel="0" collapsed="false">
      <c r="B41" s="39" t="str">
        <f aca="false">B9 &amp; " x5"</f>
        <v>SYM1 x5</v>
      </c>
      <c r="C41" s="51" t="n">
        <f aca="false">C25*D25*E25*F25*G25-$C$8*$D$8*$E$8*$F$8*$G$8</f>
        <v>214</v>
      </c>
      <c r="D41" s="52" t="n">
        <f aca="false">'Game Info'!$C$3*C41/$G$22</f>
        <v>2.98747027048277E-005</v>
      </c>
      <c r="E41" s="53" t="n">
        <f aca="false">'Game Info'!AA14</f>
        <v>750</v>
      </c>
      <c r="F41" s="54" t="n">
        <f aca="false">D41*E41/'Game Info'!$C$2</f>
        <v>0.00224060270286207</v>
      </c>
      <c r="I41" s="39" t="s">
        <v>54</v>
      </c>
      <c r="J41" s="39" t="s">
        <v>53</v>
      </c>
      <c r="K41" s="40" t="s">
        <v>53</v>
      </c>
      <c r="L41" s="40" t="s">
        <v>53</v>
      </c>
      <c r="M41" s="40" t="s">
        <v>53</v>
      </c>
      <c r="N41" s="41" t="s">
        <v>33</v>
      </c>
      <c r="O41" s="39" t="n">
        <f aca="false">IF(J41="X",C$36,C$21-C$36)</f>
        <v>3</v>
      </c>
      <c r="P41" s="40" t="n">
        <f aca="false">IF(K41="X",D$36,D$21-D$36)</f>
        <v>6</v>
      </c>
      <c r="Q41" s="40" t="n">
        <f aca="false">IF(L41="X",E$36,E$21-E$36)</f>
        <v>6</v>
      </c>
      <c r="R41" s="40" t="n">
        <f aca="false">IF(M41="X",F$36,F$21-F$36)</f>
        <v>3</v>
      </c>
      <c r="S41" s="41" t="n">
        <f aca="false">IF(N41="X",G$36,G$21-G$36)</f>
        <v>39</v>
      </c>
      <c r="T41" s="51" t="n">
        <f aca="false">PRODUCT(O41:S41)</f>
        <v>12636</v>
      </c>
      <c r="U41" s="62" t="n">
        <f aca="false">T41/$G$22</f>
        <v>8.82001736864959E-005</v>
      </c>
      <c r="V41" s="53" t="n">
        <f aca="false">'Game Info'!Z25</f>
        <v>20</v>
      </c>
      <c r="W41" s="63" t="n">
        <f aca="false">V41*U41</f>
        <v>0.00176400347372992</v>
      </c>
    </row>
    <row r="42" customFormat="false" ht="15" hidden="false" customHeight="false" outlineLevel="0" collapsed="false">
      <c r="B42" s="39" t="str">
        <f aca="false">B10 &amp; " x5"</f>
        <v>SYM2 x5</v>
      </c>
      <c r="C42" s="51" t="n">
        <f aca="false">C26*D26*E26*F26*G26-$C$8*$D$8*$E$8*$F$8*$G$8</f>
        <v>3598</v>
      </c>
      <c r="D42" s="52" t="n">
        <f aca="false">'Game Info'!$C$3*C42/$G$22</f>
        <v>0.000502285889401729</v>
      </c>
      <c r="E42" s="53" t="n">
        <f aca="false">'Game Info'!AA15</f>
        <v>750</v>
      </c>
      <c r="F42" s="54" t="n">
        <f aca="false">D42*E42/'Game Info'!$C$2</f>
        <v>0.0376714417051297</v>
      </c>
      <c r="I42" s="39" t="s">
        <v>54</v>
      </c>
      <c r="J42" s="39" t="s">
        <v>53</v>
      </c>
      <c r="K42" s="40" t="s">
        <v>53</v>
      </c>
      <c r="L42" s="40" t="s">
        <v>53</v>
      </c>
      <c r="M42" s="40" t="s">
        <v>33</v>
      </c>
      <c r="N42" s="41" t="s">
        <v>53</v>
      </c>
      <c r="O42" s="39" t="n">
        <f aca="false">IF(J42="X",C$36,C$21-C$36)</f>
        <v>3</v>
      </c>
      <c r="P42" s="40" t="n">
        <f aca="false">IF(K42="X",D$36,D$21-D$36)</f>
        <v>6</v>
      </c>
      <c r="Q42" s="40" t="n">
        <f aca="false">IF(L42="X",E$36,E$21-E$36)</f>
        <v>6</v>
      </c>
      <c r="R42" s="40" t="n">
        <f aca="false">IF(M42="X",F$36,F$21-F$36)</f>
        <v>33</v>
      </c>
      <c r="S42" s="41" t="n">
        <f aca="false">IF(N42="X",G$36,G$21-G$36)</f>
        <v>3</v>
      </c>
      <c r="T42" s="51" t="n">
        <f aca="false">PRODUCT(O42:S42)</f>
        <v>10692</v>
      </c>
      <c r="U42" s="62" t="n">
        <f aca="false">T42/$G$22</f>
        <v>7.46309161962657E-005</v>
      </c>
      <c r="V42" s="53" t="n">
        <f aca="false">V41</f>
        <v>20</v>
      </c>
      <c r="W42" s="63" t="n">
        <f aca="false">V42*U42</f>
        <v>0.00149261832392531</v>
      </c>
    </row>
    <row r="43" customFormat="false" ht="15" hidden="false" customHeight="false" outlineLevel="0" collapsed="false">
      <c r="B43" s="39" t="str">
        <f aca="false">B11 &amp; " x5"</f>
        <v>SYM3 x5</v>
      </c>
      <c r="C43" s="51" t="n">
        <f aca="false">C27*D27*E27*F27*G27-$C$8*$D$8*$E$8*$F$8*$G$8</f>
        <v>3070</v>
      </c>
      <c r="D43" s="52" t="n">
        <f aca="false">'Game Info'!$C$3*C43/$G$22</f>
        <v>0.000428576342541219</v>
      </c>
      <c r="E43" s="53" t="n">
        <f aca="false">'Game Info'!AA16</f>
        <v>750</v>
      </c>
      <c r="F43" s="54" t="n">
        <f aca="false">D43*E43/'Game Info'!$C$2</f>
        <v>0.0321432256905914</v>
      </c>
      <c r="I43" s="39" t="s">
        <v>54</v>
      </c>
      <c r="J43" s="39" t="s">
        <v>53</v>
      </c>
      <c r="K43" s="40" t="s">
        <v>53</v>
      </c>
      <c r="L43" s="40" t="s">
        <v>33</v>
      </c>
      <c r="M43" s="40" t="s">
        <v>53</v>
      </c>
      <c r="N43" s="41" t="s">
        <v>53</v>
      </c>
      <c r="O43" s="39" t="n">
        <f aca="false">IF(J43="X",C$36,C$21-C$36)</f>
        <v>3</v>
      </c>
      <c r="P43" s="40" t="n">
        <f aca="false">IF(K43="X",D$36,D$21-D$36)</f>
        <v>6</v>
      </c>
      <c r="Q43" s="40" t="n">
        <f aca="false">IF(L43="X",E$36,E$21-E$36)</f>
        <v>41</v>
      </c>
      <c r="R43" s="40" t="n">
        <f aca="false">IF(M43="X",F$36,F$21-F$36)</f>
        <v>3</v>
      </c>
      <c r="S43" s="41" t="n">
        <f aca="false">IF(N43="X",G$36,G$21-G$36)</f>
        <v>3</v>
      </c>
      <c r="T43" s="51" t="n">
        <f aca="false">PRODUCT(O43:S43)</f>
        <v>6642</v>
      </c>
      <c r="U43" s="62" t="n">
        <f aca="false">T43/$G$22</f>
        <v>4.63616297582863E-005</v>
      </c>
      <c r="V43" s="53" t="n">
        <f aca="false">V42</f>
        <v>20</v>
      </c>
      <c r="W43" s="63" t="n">
        <f aca="false">V43*U43</f>
        <v>0.000927232595165726</v>
      </c>
    </row>
    <row r="44" customFormat="false" ht="15" hidden="false" customHeight="false" outlineLevel="0" collapsed="false">
      <c r="B44" s="39" t="str">
        <f aca="false">B12 &amp; " x5"</f>
        <v>SYM4 x5</v>
      </c>
      <c r="C44" s="51" t="n">
        <f aca="false">(C28*D28*E28*F28-$C$8*$D$8*$E$8*$F$8)*G28</f>
        <v>1190</v>
      </c>
      <c r="D44" s="52" t="n">
        <f aca="false">'Game Info'!$C$3*C44/$G$22</f>
        <v>0.000166125683265163</v>
      </c>
      <c r="E44" s="53" t="n">
        <f aca="false">'Game Info'!AA17</f>
        <v>250</v>
      </c>
      <c r="F44" s="54" t="n">
        <f aca="false">D44*E44/'Game Info'!$C$2</f>
        <v>0.00415314208162908</v>
      </c>
      <c r="I44" s="39" t="s">
        <v>54</v>
      </c>
      <c r="J44" s="39" t="s">
        <v>53</v>
      </c>
      <c r="K44" s="40" t="s">
        <v>33</v>
      </c>
      <c r="L44" s="40" t="s">
        <v>53</v>
      </c>
      <c r="M44" s="40" t="s">
        <v>53</v>
      </c>
      <c r="N44" s="41" t="s">
        <v>53</v>
      </c>
      <c r="O44" s="39" t="n">
        <f aca="false">IF(J44="X",C$36,C$21-C$36)</f>
        <v>3</v>
      </c>
      <c r="P44" s="40" t="n">
        <f aca="false">IF(K44="X",D$36,D$21-D$36)</f>
        <v>36</v>
      </c>
      <c r="Q44" s="40" t="n">
        <f aca="false">IF(L44="X",E$36,E$21-E$36)</f>
        <v>6</v>
      </c>
      <c r="R44" s="40" t="n">
        <f aca="false">IF(M44="X",F$36,F$21-F$36)</f>
        <v>3</v>
      </c>
      <c r="S44" s="41" t="n">
        <f aca="false">IF(N44="X",G$36,G$21-G$36)</f>
        <v>3</v>
      </c>
      <c r="T44" s="51" t="n">
        <f aca="false">PRODUCT(O44:S44)</f>
        <v>5832</v>
      </c>
      <c r="U44" s="62" t="n">
        <f aca="false">T44/$G$22</f>
        <v>4.07077724706904E-005</v>
      </c>
      <c r="V44" s="53" t="n">
        <f aca="false">V43</f>
        <v>20</v>
      </c>
      <c r="W44" s="63" t="n">
        <f aca="false">V44*U44</f>
        <v>0.000814155449413808</v>
      </c>
    </row>
    <row r="45" customFormat="false" ht="15" hidden="false" customHeight="false" outlineLevel="0" collapsed="false">
      <c r="B45" s="39" t="str">
        <f aca="false">B13 &amp; " x5"</f>
        <v>SYM5 x5</v>
      </c>
      <c r="C45" s="51" t="n">
        <f aca="false">(C29*D29*E29*F29-$C$8*$D$8*$E$8*$F$8)*G29</f>
        <v>712</v>
      </c>
      <c r="D45" s="52" t="n">
        <f aca="false">'Game Info'!$C$3*C45/$G$22</f>
        <v>9.93962071300808E-005</v>
      </c>
      <c r="E45" s="53" t="n">
        <f aca="false">'Game Info'!AA18</f>
        <v>250</v>
      </c>
      <c r="F45" s="54" t="n">
        <f aca="false">D45*E45/'Game Info'!$C$2</f>
        <v>0.00248490517825202</v>
      </c>
      <c r="I45" s="55" t="s">
        <v>54</v>
      </c>
      <c r="J45" s="55" t="s">
        <v>33</v>
      </c>
      <c r="K45" s="56" t="s">
        <v>53</v>
      </c>
      <c r="L45" s="56" t="s">
        <v>53</v>
      </c>
      <c r="M45" s="56" t="s">
        <v>53</v>
      </c>
      <c r="N45" s="57" t="s">
        <v>53</v>
      </c>
      <c r="O45" s="55" t="n">
        <f aca="false">IF(J45="X",C$36,C$21-C$36)</f>
        <v>45</v>
      </c>
      <c r="P45" s="56" t="n">
        <f aca="false">IF(K45="X",D$36,D$21-D$36)</f>
        <v>6</v>
      </c>
      <c r="Q45" s="56" t="n">
        <f aca="false">IF(L45="X",E$36,E$21-E$36)</f>
        <v>6</v>
      </c>
      <c r="R45" s="56" t="n">
        <f aca="false">IF(M45="X",F$36,F$21-F$36)</f>
        <v>3</v>
      </c>
      <c r="S45" s="57" t="n">
        <f aca="false">IF(N45="X",G$36,G$21-G$36)</f>
        <v>3</v>
      </c>
      <c r="T45" s="58" t="n">
        <f aca="false">PRODUCT(O45:S45)</f>
        <v>14580</v>
      </c>
      <c r="U45" s="59" t="n">
        <f aca="false">T45/$G$22</f>
        <v>0.000101769431176726</v>
      </c>
      <c r="V45" s="60" t="n">
        <f aca="false">V44</f>
        <v>20</v>
      </c>
      <c r="W45" s="61" t="n">
        <f aca="false">V45*U45</f>
        <v>0.00203538862353452</v>
      </c>
    </row>
    <row r="46" customFormat="false" ht="15" hidden="false" customHeight="false" outlineLevel="0" collapsed="false">
      <c r="B46" s="39" t="str">
        <f aca="false">B14 &amp; " x5"</f>
        <v>A x5</v>
      </c>
      <c r="C46" s="51" t="n">
        <f aca="false">(C30*D30*E30*F30-$C$8*$D$8*$E$8*$F$8)*G30</f>
        <v>858</v>
      </c>
      <c r="D46" s="52" t="n">
        <f aca="false">'Game Info'!$C$3*C46/$G$22</f>
        <v>0.000119778013648328</v>
      </c>
      <c r="E46" s="53" t="n">
        <f aca="false">'Game Info'!AA19</f>
        <v>125</v>
      </c>
      <c r="F46" s="54" t="n">
        <f aca="false">D46*E46/'Game Info'!$C$2</f>
        <v>0.0014972251706041</v>
      </c>
      <c r="I46" s="39" t="s">
        <v>55</v>
      </c>
      <c r="J46" s="39" t="s">
        <v>53</v>
      </c>
      <c r="K46" s="40" t="s">
        <v>53</v>
      </c>
      <c r="L46" s="40" t="s">
        <v>53</v>
      </c>
      <c r="M46" s="40" t="s">
        <v>33</v>
      </c>
      <c r="N46" s="41" t="s">
        <v>33</v>
      </c>
      <c r="O46" s="39" t="n">
        <f aca="false">IF(J46="X",C$36,C$21-C$36)</f>
        <v>3</v>
      </c>
      <c r="P46" s="40" t="n">
        <f aca="false">IF(K46="X",D$36,D$21-D$36)</f>
        <v>6</v>
      </c>
      <c r="Q46" s="40" t="n">
        <f aca="false">IF(L46="X",E$36,E$21-E$36)</f>
        <v>6</v>
      </c>
      <c r="R46" s="40" t="n">
        <f aca="false">IF(M46="X",F$36,F$21-F$36)</f>
        <v>33</v>
      </c>
      <c r="S46" s="41" t="n">
        <f aca="false">IF(N46="X",G$36,G$21-G$36)</f>
        <v>39</v>
      </c>
      <c r="T46" s="51" t="n">
        <f aca="false">PRODUCT(O46:S46)</f>
        <v>138996</v>
      </c>
      <c r="U46" s="62" t="n">
        <f aca="false">T46/$G$22</f>
        <v>0.000970201910551455</v>
      </c>
      <c r="V46" s="53" t="n">
        <f aca="false">'Game Info'!Y25</f>
        <v>5</v>
      </c>
      <c r="W46" s="63" t="n">
        <f aca="false">V46*U46</f>
        <v>0.00485100955275727</v>
      </c>
    </row>
    <row r="47" customFormat="false" ht="15" hidden="false" customHeight="false" outlineLevel="0" collapsed="false">
      <c r="B47" s="39" t="str">
        <f aca="false">B15 &amp; " x5"</f>
        <v>K x5</v>
      </c>
      <c r="C47" s="51" t="n">
        <f aca="false">(C31*D31*E31-$C$8*$D$8*$E$8)*F31*G31</f>
        <v>4170</v>
      </c>
      <c r="D47" s="52" t="n">
        <f aca="false">'Game Info'!$C$3*C47/$G$22</f>
        <v>0.000582137898500614</v>
      </c>
      <c r="E47" s="53" t="n">
        <f aca="false">'Game Info'!AA20</f>
        <v>100</v>
      </c>
      <c r="F47" s="54" t="n">
        <f aca="false">D47*E47/'Game Info'!$C$2</f>
        <v>0.00582137898500614</v>
      </c>
      <c r="I47" s="39" t="s">
        <v>55</v>
      </c>
      <c r="J47" s="39" t="s">
        <v>53</v>
      </c>
      <c r="K47" s="40" t="s">
        <v>53</v>
      </c>
      <c r="L47" s="40" t="s">
        <v>33</v>
      </c>
      <c r="M47" s="40" t="s">
        <v>53</v>
      </c>
      <c r="N47" s="41" t="s">
        <v>33</v>
      </c>
      <c r="O47" s="39" t="n">
        <f aca="false">IF(J47="X",C$36,C$21-C$36)</f>
        <v>3</v>
      </c>
      <c r="P47" s="40" t="n">
        <f aca="false">IF(K47="X",D$36,D$21-D$36)</f>
        <v>6</v>
      </c>
      <c r="Q47" s="40" t="n">
        <f aca="false">IF(L47="X",E$36,E$21-E$36)</f>
        <v>41</v>
      </c>
      <c r="R47" s="40" t="n">
        <f aca="false">IF(M47="X",F$36,F$21-F$36)</f>
        <v>3</v>
      </c>
      <c r="S47" s="41" t="n">
        <f aca="false">IF(N47="X",G$36,G$21-G$36)</f>
        <v>39</v>
      </c>
      <c r="T47" s="51" t="n">
        <f aca="false">PRODUCT(O47:S47)</f>
        <v>86346</v>
      </c>
      <c r="U47" s="62" t="n">
        <f aca="false">T47/$G$22</f>
        <v>0.000602701186857722</v>
      </c>
      <c r="V47" s="53" t="n">
        <f aca="false">V46</f>
        <v>5</v>
      </c>
      <c r="W47" s="63" t="n">
        <f aca="false">V47*U47</f>
        <v>0.00301350593428861</v>
      </c>
    </row>
    <row r="48" customFormat="false" ht="15" hidden="false" customHeight="false" outlineLevel="0" collapsed="false">
      <c r="B48" s="39" t="str">
        <f aca="false">B16 &amp; " x5"</f>
        <v>Q x5</v>
      </c>
      <c r="C48" s="51" t="n">
        <f aca="false">(C32*D32*E32-$C$8*$D$8*$E$8)*F32*G32</f>
        <v>1470</v>
      </c>
      <c r="D48" s="52" t="n">
        <f aca="false">'Game Info'!$C$3*C48/$G$22</f>
        <v>0.000205214079327555</v>
      </c>
      <c r="E48" s="53" t="n">
        <f aca="false">'Game Info'!AA21</f>
        <v>100</v>
      </c>
      <c r="F48" s="54" t="n">
        <f aca="false">D48*E48/'Game Info'!$C$2</f>
        <v>0.00205214079327555</v>
      </c>
      <c r="I48" s="39" t="s">
        <v>55</v>
      </c>
      <c r="J48" s="39" t="s">
        <v>53</v>
      </c>
      <c r="K48" s="40" t="s">
        <v>33</v>
      </c>
      <c r="L48" s="40" t="s">
        <v>53</v>
      </c>
      <c r="M48" s="40" t="s">
        <v>53</v>
      </c>
      <c r="N48" s="41" t="s">
        <v>33</v>
      </c>
      <c r="O48" s="39" t="n">
        <f aca="false">IF(J48="X",C$36,C$21-C$36)</f>
        <v>3</v>
      </c>
      <c r="P48" s="40" t="n">
        <f aca="false">IF(K48="X",D$36,D$21-D$36)</f>
        <v>36</v>
      </c>
      <c r="Q48" s="40" t="n">
        <f aca="false">IF(L48="X",E$36,E$21-E$36)</f>
        <v>6</v>
      </c>
      <c r="R48" s="40" t="n">
        <f aca="false">IF(M48="X",F$36,F$21-F$36)</f>
        <v>3</v>
      </c>
      <c r="S48" s="41" t="n">
        <f aca="false">IF(N48="X",G$36,G$21-G$36)</f>
        <v>39</v>
      </c>
      <c r="T48" s="51" t="n">
        <f aca="false">PRODUCT(O48:S48)</f>
        <v>75816</v>
      </c>
      <c r="U48" s="62" t="n">
        <f aca="false">T48/$G$22</f>
        <v>0.000529201042118975</v>
      </c>
      <c r="V48" s="53" t="n">
        <f aca="false">V47</f>
        <v>5</v>
      </c>
      <c r="W48" s="63" t="n">
        <f aca="false">V48*U48</f>
        <v>0.00264600521059488</v>
      </c>
    </row>
    <row r="49" customFormat="false" ht="15" hidden="false" customHeight="false" outlineLevel="0" collapsed="false">
      <c r="B49" s="39" t="str">
        <f aca="false">B17 &amp; " x5"</f>
        <v>J x5</v>
      </c>
      <c r="C49" s="51" t="n">
        <f aca="false">(C33*D33*E33-$C$8*$D$8*$E$8)*F33*G33</f>
        <v>4992</v>
      </c>
      <c r="D49" s="52" t="n">
        <f aca="false">'Game Info'!$C$3*C49/$G$22</f>
        <v>0.000696890261226634</v>
      </c>
      <c r="E49" s="53" t="n">
        <f aca="false">'Game Info'!AA22</f>
        <v>100</v>
      </c>
      <c r="F49" s="54" t="n">
        <f aca="false">D49*E49/'Game Info'!$C$2</f>
        <v>0.00696890261226634</v>
      </c>
      <c r="I49" s="39" t="s">
        <v>55</v>
      </c>
      <c r="J49" s="39" t="s">
        <v>33</v>
      </c>
      <c r="K49" s="40" t="s">
        <v>53</v>
      </c>
      <c r="L49" s="40" t="s">
        <v>53</v>
      </c>
      <c r="M49" s="40" t="s">
        <v>53</v>
      </c>
      <c r="N49" s="41" t="s">
        <v>33</v>
      </c>
      <c r="O49" s="39" t="n">
        <f aca="false">IF(J49="X",C$36,C$21-C$36)</f>
        <v>45</v>
      </c>
      <c r="P49" s="40" t="n">
        <f aca="false">IF(K49="X",D$36,D$21-D$36)</f>
        <v>6</v>
      </c>
      <c r="Q49" s="40" t="n">
        <f aca="false">IF(L49="X",E$36,E$21-E$36)</f>
        <v>6</v>
      </c>
      <c r="R49" s="40" t="n">
        <f aca="false">IF(M49="X",F$36,F$21-F$36)</f>
        <v>3</v>
      </c>
      <c r="S49" s="41" t="n">
        <f aca="false">IF(N49="X",G$36,G$21-G$36)</f>
        <v>39</v>
      </c>
      <c r="T49" s="51" t="n">
        <f aca="false">PRODUCT(O49:S49)</f>
        <v>189540</v>
      </c>
      <c r="U49" s="62" t="n">
        <f aca="false">T49/$G$22</f>
        <v>0.00132300260529744</v>
      </c>
      <c r="V49" s="53" t="n">
        <f aca="false">V48</f>
        <v>5</v>
      </c>
      <c r="W49" s="63" t="n">
        <f aca="false">V49*U49</f>
        <v>0.00661501302648719</v>
      </c>
    </row>
    <row r="50" customFormat="false" ht="15" hidden="false" customHeight="false" outlineLevel="0" collapsed="false">
      <c r="B50" s="39" t="str">
        <f aca="false">B18 &amp; " x5"</f>
        <v>10 x5</v>
      </c>
      <c r="C50" s="51" t="n">
        <f aca="false">(C34*D34*E34-$C$8*$D$8*$E$8)*F34*G34</f>
        <v>6636</v>
      </c>
      <c r="D50" s="52" t="n">
        <f aca="false">'Game Info'!$C$3*C50/$G$22</f>
        <v>0.000926394986678675</v>
      </c>
      <c r="E50" s="53" t="n">
        <f aca="false">'Game Info'!AA23</f>
        <v>100</v>
      </c>
      <c r="F50" s="54" t="n">
        <f aca="false">D50*E50/'Game Info'!$C$2</f>
        <v>0.00926394986678675</v>
      </c>
      <c r="I50" s="39" t="s">
        <v>55</v>
      </c>
      <c r="J50" s="39" t="s">
        <v>53</v>
      </c>
      <c r="K50" s="40" t="s">
        <v>53</v>
      </c>
      <c r="L50" s="40" t="s">
        <v>33</v>
      </c>
      <c r="M50" s="40" t="s">
        <v>33</v>
      </c>
      <c r="N50" s="41" t="s">
        <v>53</v>
      </c>
      <c r="O50" s="39" t="n">
        <f aca="false">IF(J50="X",C$36,C$21-C$36)</f>
        <v>3</v>
      </c>
      <c r="P50" s="40" t="n">
        <f aca="false">IF(K50="X",D$36,D$21-D$36)</f>
        <v>6</v>
      </c>
      <c r="Q50" s="40" t="n">
        <f aca="false">IF(L50="X",E$36,E$21-E$36)</f>
        <v>41</v>
      </c>
      <c r="R50" s="40" t="n">
        <f aca="false">IF(M50="X",F$36,F$21-F$36)</f>
        <v>33</v>
      </c>
      <c r="S50" s="41" t="n">
        <f aca="false">IF(N50="X",G$36,G$21-G$36)</f>
        <v>3</v>
      </c>
      <c r="T50" s="51" t="n">
        <f aca="false">PRODUCT(O50:S50)</f>
        <v>73062</v>
      </c>
      <c r="U50" s="62" t="n">
        <f aca="false">T50/$G$22</f>
        <v>0.000509977927341149</v>
      </c>
      <c r="V50" s="53" t="n">
        <f aca="false">V49</f>
        <v>5</v>
      </c>
      <c r="W50" s="63" t="n">
        <f aca="false">V50*U50</f>
        <v>0.00254988963670575</v>
      </c>
    </row>
    <row r="51" customFormat="false" ht="15" hidden="false" customHeight="false" outlineLevel="0" collapsed="false">
      <c r="B51" s="39" t="str">
        <f aca="false">B19 &amp; " x5"</f>
        <v>9 x5</v>
      </c>
      <c r="C51" s="51" t="n">
        <f aca="false">(C35*D35*E35-$C$8*$D$8*$E$8)*F35*G35</f>
        <v>5560</v>
      </c>
      <c r="D51" s="52" t="n">
        <f aca="false">'Game Info'!$C$3*C51/$G$22</f>
        <v>0.000776183864667485</v>
      </c>
      <c r="E51" s="53" t="n">
        <f aca="false">'Game Info'!AA24</f>
        <v>100</v>
      </c>
      <c r="F51" s="54" t="n">
        <f aca="false">D51*E51/'Game Info'!$C$2</f>
        <v>0.00776183864667485</v>
      </c>
      <c r="I51" s="39" t="s">
        <v>55</v>
      </c>
      <c r="J51" s="39" t="s">
        <v>53</v>
      </c>
      <c r="K51" s="40" t="s">
        <v>33</v>
      </c>
      <c r="L51" s="40" t="s">
        <v>53</v>
      </c>
      <c r="M51" s="40" t="s">
        <v>33</v>
      </c>
      <c r="N51" s="41" t="s">
        <v>53</v>
      </c>
      <c r="O51" s="39" t="n">
        <f aca="false">IF(J51="X",C$36,C$21-C$36)</f>
        <v>3</v>
      </c>
      <c r="P51" s="40" t="n">
        <f aca="false">IF(K51="X",D$36,D$21-D$36)</f>
        <v>36</v>
      </c>
      <c r="Q51" s="40" t="n">
        <f aca="false">IF(L51="X",E$36,E$21-E$36)</f>
        <v>6</v>
      </c>
      <c r="R51" s="40" t="n">
        <f aca="false">IF(M51="X",F$36,F$21-F$36)</f>
        <v>33</v>
      </c>
      <c r="S51" s="41" t="n">
        <f aca="false">IF(N51="X",G$36,G$21-G$36)</f>
        <v>3</v>
      </c>
      <c r="T51" s="51" t="n">
        <f aca="false">PRODUCT(O51:S51)</f>
        <v>64152</v>
      </c>
      <c r="U51" s="62" t="n">
        <f aca="false">T51/$G$22</f>
        <v>0.000447785497177594</v>
      </c>
      <c r="V51" s="53" t="n">
        <f aca="false">V50</f>
        <v>5</v>
      </c>
      <c r="W51" s="63" t="n">
        <f aca="false">V51*U51</f>
        <v>0.00223892748588797</v>
      </c>
    </row>
    <row r="52" customFormat="false" ht="15" hidden="false" customHeight="false" outlineLevel="0" collapsed="false">
      <c r="B52" s="39" t="str">
        <f aca="false">B8 &amp; " x4"</f>
        <v>WILD x4</v>
      </c>
      <c r="C52" s="51" t="n">
        <f aca="false">C8*D8*E8*F8*(G21-G8-G9-G10-G11)</f>
        <v>64</v>
      </c>
      <c r="D52" s="52" t="n">
        <f aca="false">'Game Info'!$C$3*C52/$G$22</f>
        <v>8.93449052854659E-006</v>
      </c>
      <c r="E52" s="53" t="n">
        <f aca="false">'Game Info'!Z13</f>
        <v>500</v>
      </c>
      <c r="F52" s="54" t="n">
        <f aca="false">D52*E52/'Game Info'!$C$2</f>
        <v>0.00044672452642733</v>
      </c>
      <c r="I52" s="39" t="s">
        <v>55</v>
      </c>
      <c r="J52" s="39" t="s">
        <v>33</v>
      </c>
      <c r="K52" s="40" t="s">
        <v>53</v>
      </c>
      <c r="L52" s="40" t="s">
        <v>53</v>
      </c>
      <c r="M52" s="40" t="s">
        <v>33</v>
      </c>
      <c r="N52" s="41" t="s">
        <v>53</v>
      </c>
      <c r="O52" s="39" t="n">
        <f aca="false">IF(J52="X",C$36,C$21-C$36)</f>
        <v>45</v>
      </c>
      <c r="P52" s="40" t="n">
        <f aca="false">IF(K52="X",D$36,D$21-D$36)</f>
        <v>6</v>
      </c>
      <c r="Q52" s="40" t="n">
        <f aca="false">IF(L52="X",E$36,E$21-E$36)</f>
        <v>6</v>
      </c>
      <c r="R52" s="40" t="n">
        <f aca="false">IF(M52="X",F$36,F$21-F$36)</f>
        <v>33</v>
      </c>
      <c r="S52" s="41" t="n">
        <f aca="false">IF(N52="X",G$36,G$21-G$36)</f>
        <v>3</v>
      </c>
      <c r="T52" s="51" t="n">
        <f aca="false">PRODUCT(O52:S52)</f>
        <v>160380</v>
      </c>
      <c r="U52" s="62" t="n">
        <f aca="false">T52/$G$22</f>
        <v>0.00111946374294399</v>
      </c>
      <c r="V52" s="53" t="n">
        <f aca="false">V51</f>
        <v>5</v>
      </c>
      <c r="W52" s="63" t="n">
        <f aca="false">V52*U52</f>
        <v>0.00559731871471993</v>
      </c>
    </row>
    <row r="53" customFormat="false" ht="15" hidden="false" customHeight="false" outlineLevel="0" collapsed="false">
      <c r="B53" s="39" t="str">
        <f aca="false">B9 &amp; " x4"</f>
        <v>SYM1 x4</v>
      </c>
      <c r="C53" s="51" t="n">
        <f aca="false">(C25*D25*E25-$C$8*$D$8*$E$8)*F25*($G$21-G25)</f>
        <v>2652</v>
      </c>
      <c r="D53" s="52" t="n">
        <f aca="false">'Game Info'!$C$3*C53/$G$22</f>
        <v>0.000370222951276649</v>
      </c>
      <c r="E53" s="53" t="n">
        <f aca="false">'Game Info'!Z14</f>
        <v>100</v>
      </c>
      <c r="F53" s="54" t="n">
        <f aca="false">D53*E53/'Game Info'!$C$2</f>
        <v>0.00370222951276649</v>
      </c>
      <c r="I53" s="39" t="s">
        <v>55</v>
      </c>
      <c r="J53" s="39" t="s">
        <v>53</v>
      </c>
      <c r="K53" s="40" t="s">
        <v>33</v>
      </c>
      <c r="L53" s="40" t="s">
        <v>33</v>
      </c>
      <c r="M53" s="40" t="s">
        <v>53</v>
      </c>
      <c r="N53" s="41" t="s">
        <v>53</v>
      </c>
      <c r="O53" s="39" t="n">
        <f aca="false">IF(J53="X",C$36,C$21-C$36)</f>
        <v>3</v>
      </c>
      <c r="P53" s="40" t="n">
        <f aca="false">IF(K53="X",D$36,D$21-D$36)</f>
        <v>36</v>
      </c>
      <c r="Q53" s="40" t="n">
        <f aca="false">IF(L53="X",E$36,E$21-E$36)</f>
        <v>41</v>
      </c>
      <c r="R53" s="40" t="n">
        <f aca="false">IF(M53="X",F$36,F$21-F$36)</f>
        <v>3</v>
      </c>
      <c r="S53" s="41" t="n">
        <f aca="false">IF(N53="X",G$36,G$21-G$36)</f>
        <v>3</v>
      </c>
      <c r="T53" s="51" t="n">
        <f aca="false">PRODUCT(O53:S53)</f>
        <v>39852</v>
      </c>
      <c r="U53" s="62" t="n">
        <f aca="false">T53/$G$22</f>
        <v>0.000278169778549718</v>
      </c>
      <c r="V53" s="53" t="n">
        <f aca="false">V52</f>
        <v>5</v>
      </c>
      <c r="W53" s="63" t="n">
        <f aca="false">V53*U53</f>
        <v>0.00139084889274859</v>
      </c>
    </row>
    <row r="54" customFormat="false" ht="15" hidden="false" customHeight="false" outlineLevel="0" collapsed="false">
      <c r="B54" s="39" t="str">
        <f aca="false">B10 &amp; " x4"</f>
        <v>SYM2 x4</v>
      </c>
      <c r="C54" s="51" t="n">
        <f aca="false">(C26*D26*E26-$C$8*$D$8*$E$8)*F26*($G$21-G26)</f>
        <v>26344</v>
      </c>
      <c r="D54" s="52" t="n">
        <f aca="false">'Game Info'!$C$3*C54/$G$22</f>
        <v>0.00367765966381299</v>
      </c>
      <c r="E54" s="53" t="n">
        <f aca="false">'Game Info'!Z15</f>
        <v>100</v>
      </c>
      <c r="F54" s="54" t="n">
        <f aca="false">D54*E54/'Game Info'!$C$2</f>
        <v>0.0367765966381299</v>
      </c>
      <c r="I54" s="39" t="s">
        <v>55</v>
      </c>
      <c r="J54" s="39" t="s">
        <v>33</v>
      </c>
      <c r="K54" s="40" t="s">
        <v>53</v>
      </c>
      <c r="L54" s="40" t="s">
        <v>33</v>
      </c>
      <c r="M54" s="40" t="s">
        <v>53</v>
      </c>
      <c r="N54" s="41" t="s">
        <v>53</v>
      </c>
      <c r="O54" s="39" t="n">
        <f aca="false">IF(J54="X",C$36,C$21-C$36)</f>
        <v>45</v>
      </c>
      <c r="P54" s="40" t="n">
        <f aca="false">IF(K54="X",D$36,D$21-D$36)</f>
        <v>6</v>
      </c>
      <c r="Q54" s="40" t="n">
        <f aca="false">IF(L54="X",E$36,E$21-E$36)</f>
        <v>41</v>
      </c>
      <c r="R54" s="40" t="n">
        <f aca="false">IF(M54="X",F$36,F$21-F$36)</f>
        <v>3</v>
      </c>
      <c r="S54" s="41" t="n">
        <f aca="false">IF(N54="X",G$36,G$21-G$36)</f>
        <v>3</v>
      </c>
      <c r="T54" s="51" t="n">
        <f aca="false">PRODUCT(O54:S54)</f>
        <v>99630</v>
      </c>
      <c r="U54" s="62" t="n">
        <f aca="false">T54/$G$22</f>
        <v>0.000695424446374294</v>
      </c>
      <c r="V54" s="53" t="n">
        <f aca="false">V53</f>
        <v>5</v>
      </c>
      <c r="W54" s="63" t="n">
        <f aca="false">V54*U54</f>
        <v>0.00347712223187147</v>
      </c>
    </row>
    <row r="55" customFormat="false" ht="15" hidden="false" customHeight="false" outlineLevel="0" collapsed="false">
      <c r="B55" s="39" t="str">
        <f aca="false">B11 &amp; " x4"</f>
        <v>SYM3 x4</v>
      </c>
      <c r="C55" s="51" t="n">
        <f aca="false">(C27*D27*E27-$C$8*$D$8*$E$8)*F27*($G$21-G27)</f>
        <v>28880</v>
      </c>
      <c r="D55" s="52" t="n">
        <f aca="false">'Game Info'!$C$3*C55/$G$22</f>
        <v>0.00403168885100665</v>
      </c>
      <c r="E55" s="53" t="n">
        <f aca="false">'Game Info'!Z16</f>
        <v>100</v>
      </c>
      <c r="F55" s="54" t="n">
        <f aca="false">D55*E55/'Game Info'!$C$2</f>
        <v>0.0403168885100665</v>
      </c>
      <c r="I55" s="55" t="s">
        <v>55</v>
      </c>
      <c r="J55" s="55" t="s">
        <v>33</v>
      </c>
      <c r="K55" s="56" t="s">
        <v>33</v>
      </c>
      <c r="L55" s="56" t="s">
        <v>53</v>
      </c>
      <c r="M55" s="56" t="s">
        <v>53</v>
      </c>
      <c r="N55" s="57" t="s">
        <v>53</v>
      </c>
      <c r="O55" s="55" t="n">
        <f aca="false">IF(J55="X",C$36,C$21-C$36)</f>
        <v>45</v>
      </c>
      <c r="P55" s="56" t="n">
        <f aca="false">IF(K55="X",D$36,D$21-D$36)</f>
        <v>36</v>
      </c>
      <c r="Q55" s="56" t="n">
        <f aca="false">IF(L55="X",E$36,E$21-E$36)</f>
        <v>6</v>
      </c>
      <c r="R55" s="56" t="n">
        <f aca="false">IF(M55="X",F$36,F$21-F$36)</f>
        <v>3</v>
      </c>
      <c r="S55" s="57" t="n">
        <f aca="false">IF(N55="X",G$36,G$21-G$36)</f>
        <v>3</v>
      </c>
      <c r="T55" s="58" t="n">
        <f aca="false">PRODUCT(O55:S55)</f>
        <v>87480</v>
      </c>
      <c r="U55" s="59" t="n">
        <f aca="false">T55/$G$22</f>
        <v>0.000610616587060356</v>
      </c>
      <c r="V55" s="60" t="n">
        <f aca="false">V54</f>
        <v>5</v>
      </c>
      <c r="W55" s="61" t="n">
        <f aca="false">V55*U55</f>
        <v>0.00305308293530178</v>
      </c>
    </row>
    <row r="56" customFormat="false" ht="15" hidden="false" customHeight="false" outlineLevel="0" collapsed="false">
      <c r="B56" s="39" t="str">
        <f aca="false">B12 &amp; " x4"</f>
        <v>SYM4 x4</v>
      </c>
      <c r="C56" s="51" t="n">
        <f aca="false">(C28*D28*E28-$C$8*$D$8*$E$8)*F28*($G$21-G28)</f>
        <v>8510</v>
      </c>
      <c r="D56" s="52" t="n">
        <f aca="false">'Game Info'!$C$3*C56/$G$22</f>
        <v>0.00118800803746768</v>
      </c>
      <c r="E56" s="53" t="n">
        <f aca="false">'Game Info'!Z17</f>
        <v>75</v>
      </c>
      <c r="F56" s="54" t="n">
        <f aca="false">D56*E56/'Game Info'!$C$2</f>
        <v>0.0089100602810076</v>
      </c>
    </row>
    <row r="57" customFormat="false" ht="15" hidden="false" customHeight="false" outlineLevel="0" collapsed="false">
      <c r="B57" s="39" t="str">
        <f aca="false">B13 &amp; " x4"</f>
        <v>SYM5 x4</v>
      </c>
      <c r="C57" s="51" t="n">
        <f aca="false">(C29*D29*E29-$C$8*$D$8*$E$8)*F29*($G$21-G29)</f>
        <v>6612</v>
      </c>
      <c r="D57" s="52" t="n">
        <f aca="false">'Game Info'!$C$3*C57/$G$22</f>
        <v>0.00092304455273047</v>
      </c>
      <c r="E57" s="53" t="n">
        <f aca="false">'Game Info'!Z18</f>
        <v>50</v>
      </c>
      <c r="F57" s="54" t="n">
        <f aca="false">D57*E57/'Game Info'!$C$2</f>
        <v>0.00461522276365235</v>
      </c>
    </row>
    <row r="58" customFormat="false" ht="15" hidden="false" customHeight="false" outlineLevel="0" collapsed="false">
      <c r="B58" s="39" t="str">
        <f aca="false">B14 &amp; " x4"</f>
        <v>A x4</v>
      </c>
      <c r="C58" s="51" t="n">
        <f aca="false">(C30*D30*E30-$C$8*$D$8*$E$8)*F30*($G$21-G30)</f>
        <v>10920</v>
      </c>
      <c r="D58" s="52" t="n">
        <f aca="false">'Game Info'!$C$3*C58/$G$22</f>
        <v>0.00152444744643326</v>
      </c>
      <c r="E58" s="53" t="n">
        <f aca="false">'Game Info'!Z19</f>
        <v>50</v>
      </c>
      <c r="F58" s="54" t="n">
        <f aca="false">D58*E58/'Game Info'!$C$2</f>
        <v>0.00762223723216631</v>
      </c>
    </row>
    <row r="59" customFormat="false" ht="15" hidden="false" customHeight="false" outlineLevel="0" collapsed="false">
      <c r="B59" s="39" t="str">
        <f aca="false">B15 &amp; " x4"</f>
        <v>K x4</v>
      </c>
      <c r="C59" s="51" t="n">
        <f aca="false">(C31*D31*E31-$C$8*$D$8*$E$8)*F31*($G$21-G31)</f>
        <v>54210</v>
      </c>
      <c r="D59" s="52" t="n">
        <f aca="false">'Game Info'!$C$3*C59/$G$22</f>
        <v>0.00756779268050798</v>
      </c>
      <c r="E59" s="53" t="n">
        <f aca="false">'Game Info'!Z20</f>
        <v>50</v>
      </c>
      <c r="F59" s="54" t="n">
        <f aca="false">D59*E59/'Game Info'!$C$2</f>
        <v>0.0378389634025399</v>
      </c>
    </row>
    <row r="60" customFormat="false" ht="15" hidden="false" customHeight="false" outlineLevel="0" collapsed="false">
      <c r="B60" s="39" t="str">
        <f aca="false">B16 &amp; " x4"</f>
        <v>Q x4</v>
      </c>
      <c r="C60" s="51" t="n">
        <f aca="false">(C32*D32*E32-$C$8*$D$8*$E$8)*F32*($G$21-G32)</f>
        <v>7350</v>
      </c>
      <c r="D60" s="52" t="n">
        <f aca="false">'Game Info'!$C$3*C60/$G$22</f>
        <v>0.00102607039663777</v>
      </c>
      <c r="E60" s="53" t="n">
        <f aca="false">'Game Info'!Z21</f>
        <v>50</v>
      </c>
      <c r="F60" s="54" t="n">
        <f aca="false">D60*E60/'Game Info'!$C$2</f>
        <v>0.00513035198318886</v>
      </c>
    </row>
    <row r="61" customFormat="false" ht="15" hidden="false" customHeight="false" outlineLevel="0" collapsed="false">
      <c r="B61" s="39" t="str">
        <f aca="false">B17 &amp; " x4"</f>
        <v>J x4</v>
      </c>
      <c r="C61" s="51" t="n">
        <f aca="false">(C33*D33*E33-$C$8*$D$8*$E$8)*F33*($G$21-G33)</f>
        <v>29952</v>
      </c>
      <c r="D61" s="52" t="n">
        <f aca="false">'Game Info'!$C$3*C61/$G$22</f>
        <v>0.00418134156735981</v>
      </c>
      <c r="E61" s="53" t="n">
        <f aca="false">'Game Info'!Z22</f>
        <v>25</v>
      </c>
      <c r="F61" s="54" t="n">
        <f aca="false">D61*E61/'Game Info'!$C$2</f>
        <v>0.0104533539183995</v>
      </c>
    </row>
    <row r="62" customFormat="false" ht="15" hidden="false" customHeight="false" outlineLevel="0" collapsed="false">
      <c r="B62" s="39" t="str">
        <f aca="false">B18 &amp; " x4"</f>
        <v>10 x4</v>
      </c>
      <c r="C62" s="51" t="n">
        <f aca="false">(C34*D34*E34-$C$8*$D$8*$E$8)*F34*($G$21-G34)</f>
        <v>33180</v>
      </c>
      <c r="D62" s="52" t="n">
        <f aca="false">'Game Info'!$C$3*C62/$G$22</f>
        <v>0.00463197493339337</v>
      </c>
      <c r="E62" s="53" t="n">
        <f aca="false">'Game Info'!Z23</f>
        <v>25</v>
      </c>
      <c r="F62" s="54" t="n">
        <f aca="false">D62*E62/'Game Info'!$C$2</f>
        <v>0.0115799373334834</v>
      </c>
    </row>
    <row r="63" customFormat="false" ht="15" hidden="false" customHeight="false" outlineLevel="0" collapsed="false">
      <c r="B63" s="39" t="str">
        <f aca="false">B19 &amp; " x4"</f>
        <v>9 x4</v>
      </c>
      <c r="C63" s="51" t="n">
        <f aca="false">(C35*D35*E35-$C$8*$D$8*$E$8)*F35*($G$21-G35)</f>
        <v>52820</v>
      </c>
      <c r="D63" s="52" t="n">
        <f aca="false">'Game Info'!$C$3*C63/$G$22</f>
        <v>0.00737374671434111</v>
      </c>
      <c r="E63" s="53" t="n">
        <f aca="false">'Game Info'!Z24</f>
        <v>25</v>
      </c>
      <c r="F63" s="54" t="n">
        <f aca="false">D63*E63/'Game Info'!$C$2</f>
        <v>0.0184343667858528</v>
      </c>
    </row>
    <row r="64" customFormat="false" ht="15" hidden="false" customHeight="false" outlineLevel="0" collapsed="false">
      <c r="B64" s="39" t="str">
        <f aca="false">B8 &amp; " x3"</f>
        <v>WILD x3</v>
      </c>
      <c r="C64" s="51" t="n">
        <f aca="false">C8*D8*E8*((F21-F8)*G21-SUMPRODUCT(F9:F14,G25:G30))</f>
        <v>2806</v>
      </c>
      <c r="D64" s="52" t="n">
        <f aca="false">'Game Info'!$C$3*C64/$G$22</f>
        <v>0.000391721569110965</v>
      </c>
      <c r="E64" s="53" t="n">
        <f aca="false">'Game Info'!Y13</f>
        <v>100</v>
      </c>
      <c r="F64" s="54" t="n">
        <f aca="false">D64*E64/'Game Info'!$C$2</f>
        <v>0.00391721569110965</v>
      </c>
    </row>
    <row r="65" customFormat="false" ht="15" hidden="false" customHeight="false" outlineLevel="0" collapsed="false">
      <c r="B65" s="39" t="str">
        <f aca="false">B9 &amp; " x3"</f>
        <v>SYM1 x3</v>
      </c>
      <c r="C65" s="51" t="n">
        <f aca="false">(C25*D25*E25-$C$8*$D$8*$E$8)*($F$21-F25)*$G$21</f>
        <v>48552</v>
      </c>
      <c r="D65" s="52" t="n">
        <f aca="false">'Game Info'!$C$3*C65/$G$22</f>
        <v>0.00677792787721866</v>
      </c>
      <c r="E65" s="53" t="n">
        <f aca="false">'Game Info'!Y14</f>
        <v>25</v>
      </c>
      <c r="F65" s="54" t="n">
        <f aca="false">D65*E65/'Game Info'!$C$2</f>
        <v>0.0169448196930466</v>
      </c>
    </row>
    <row r="66" customFormat="false" ht="15" hidden="false" customHeight="false" outlineLevel="0" collapsed="false">
      <c r="B66" s="39" t="str">
        <f aca="false">B10 &amp; " x3"</f>
        <v>SYM2 x3</v>
      </c>
      <c r="C66" s="51" t="n">
        <f aca="false">(C26*D26*E26-$C$8*$D$8*$E$8)*($F$21-F26)*$G$21</f>
        <v>239232</v>
      </c>
      <c r="D66" s="52" t="n">
        <f aca="false">'Game Info'!$C$3*C66/$G$22</f>
        <v>0.0333971255957072</v>
      </c>
      <c r="E66" s="53" t="n">
        <f aca="false">'Game Info'!Y15</f>
        <v>25</v>
      </c>
      <c r="F66" s="54" t="n">
        <f aca="false">D66*E66/'Game Info'!$C$2</f>
        <v>0.0834928139892679</v>
      </c>
    </row>
    <row r="67" customFormat="false" ht="15" hidden="false" customHeight="false" outlineLevel="0" collapsed="false">
      <c r="B67" s="39" t="str">
        <f aca="false">B11 &amp; " x3"</f>
        <v>SYM3 x3</v>
      </c>
      <c r="C67" s="51" t="n">
        <f aca="false">(C27*D27*E27-$C$8*$D$8*$E$8)*($F$21-F27)*$G$21</f>
        <v>255360</v>
      </c>
      <c r="D67" s="52" t="n">
        <f aca="false">'Game Info'!$C$3*C67/$G$22</f>
        <v>0.0356486172089009</v>
      </c>
      <c r="E67" s="53" t="n">
        <f aca="false">'Game Info'!Y16</f>
        <v>25</v>
      </c>
      <c r="F67" s="54" t="n">
        <f aca="false">D67*E67/'Game Info'!$C$2</f>
        <v>0.0891215430222523</v>
      </c>
    </row>
    <row r="68" customFormat="false" ht="15" hidden="false" customHeight="false" outlineLevel="0" collapsed="false">
      <c r="B68" s="39" t="str">
        <f aca="false">B12 &amp; " x3"</f>
        <v>SYM4 x3</v>
      </c>
      <c r="C68" s="51" t="n">
        <f aca="false">(C28*D28*E28-$C$8*$D$8*$E$8)*($F$21-F28)*$G$21</f>
        <v>59892</v>
      </c>
      <c r="D68" s="52" t="n">
        <f aca="false">'Game Info'!$C$3*C68/$G$22</f>
        <v>0.00836100791774551</v>
      </c>
      <c r="E68" s="53" t="n">
        <f aca="false">'Game Info'!Y17</f>
        <v>10</v>
      </c>
      <c r="F68" s="54" t="n">
        <f aca="false">D68*E68/'Game Info'!$C$2</f>
        <v>0.00836100791774551</v>
      </c>
    </row>
    <row r="69" customFormat="false" ht="15" hidden="false" customHeight="false" outlineLevel="0" collapsed="false">
      <c r="B69" s="39" t="str">
        <f aca="false">B13 &amp; " x3"</f>
        <v>SYM5 x3</v>
      </c>
      <c r="C69" s="51" t="n">
        <f aca="false">(C29*D29*E29-$C$8*$D$8*$E$8)*($F$21-F29)*$G$21</f>
        <v>80388</v>
      </c>
      <c r="D69" s="52" t="n">
        <f aca="false">'Game Info'!$C$3*C69/$G$22</f>
        <v>0.0112222785095126</v>
      </c>
      <c r="E69" s="53" t="n">
        <f aca="false">'Game Info'!Y18</f>
        <v>10</v>
      </c>
      <c r="F69" s="54" t="n">
        <f aca="false">D69*E69/'Game Info'!$C$2</f>
        <v>0.0112222785095126</v>
      </c>
    </row>
    <row r="70" customFormat="false" ht="15" hidden="false" customHeight="false" outlineLevel="0" collapsed="false">
      <c r="B70" s="39" t="str">
        <f aca="false">B14 &amp; " x3"</f>
        <v>A x3</v>
      </c>
      <c r="C70" s="51" t="n">
        <f aca="false">(C30*D30*E30-$C$8*$D$8*$E$8)*($F$21-F30)*$G$21</f>
        <v>94080</v>
      </c>
      <c r="D70" s="52" t="n">
        <f aca="false">'Game Info'!$C$3*C70/$G$22</f>
        <v>0.0131337010769635</v>
      </c>
      <c r="E70" s="53" t="n">
        <f aca="false">'Game Info'!Y19</f>
        <v>10</v>
      </c>
      <c r="F70" s="54" t="n">
        <f aca="false">D70*E70/'Game Info'!$C$2</f>
        <v>0.0131337010769635</v>
      </c>
    </row>
    <row r="71" customFormat="false" ht="15" hidden="false" customHeight="false" outlineLevel="0" collapsed="false">
      <c r="B71" s="39" t="str">
        <f aca="false">B15 &amp; " x3"</f>
        <v>K x3</v>
      </c>
      <c r="C71" s="51" t="n">
        <f aca="false">(C31*D31*E31-$C$8*$D$8*$E$8)*($F$21-F31)*$G$21</f>
        <v>361956</v>
      </c>
      <c r="D71" s="52" t="n">
        <f aca="false">'Game Info'!$C$3*C71/$G$22</f>
        <v>0.0505295695898533</v>
      </c>
      <c r="E71" s="53" t="n">
        <f aca="false">'Game Info'!Y20</f>
        <v>5</v>
      </c>
      <c r="F71" s="54" t="n">
        <f aca="false">D71*E71/'Game Info'!$C$2</f>
        <v>0.0252647847949266</v>
      </c>
    </row>
    <row r="72" customFormat="false" ht="15" hidden="false" customHeight="false" outlineLevel="0" collapsed="false">
      <c r="B72" s="39" t="str">
        <f aca="false">B16 &amp; " x3"</f>
        <v>Q x3</v>
      </c>
      <c r="C72" s="51" t="n">
        <f aca="false">(C32*D32*E32-$C$8*$D$8*$E$8)*($F$21-F32)*$G$21</f>
        <v>97020</v>
      </c>
      <c r="D72" s="52" t="n">
        <f aca="false">'Game Info'!$C$3*C72/$G$22</f>
        <v>0.0135441292356186</v>
      </c>
      <c r="E72" s="53" t="n">
        <f aca="false">'Game Info'!Y21</f>
        <v>5</v>
      </c>
      <c r="F72" s="54" t="n">
        <f aca="false">D72*E72/'Game Info'!$C$2</f>
        <v>0.0067720646178093</v>
      </c>
    </row>
    <row r="73" customFormat="false" ht="15" hidden="false" customHeight="false" outlineLevel="0" collapsed="false">
      <c r="B73" s="39" t="str">
        <f aca="false">B17 &amp; " x3"</f>
        <v>J x3</v>
      </c>
      <c r="C73" s="51" t="n">
        <f aca="false">(C33*D33*E33-$C$8*$D$8*$E$8)*($F$21-F33)*$G$21</f>
        <v>279552</v>
      </c>
      <c r="D73" s="52" t="n">
        <f aca="false">'Game Info'!$C$3*C73/$G$22</f>
        <v>0.0390258546286915</v>
      </c>
      <c r="E73" s="53" t="n">
        <f aca="false">'Game Info'!Y22</f>
        <v>5</v>
      </c>
      <c r="F73" s="54" t="n">
        <f aca="false">D73*E73/'Game Info'!$C$2</f>
        <v>0.0195129273143458</v>
      </c>
    </row>
    <row r="74" customFormat="false" ht="15" hidden="false" customHeight="false" outlineLevel="0" collapsed="false">
      <c r="B74" s="39" t="str">
        <f aca="false">B18 &amp; " x3"</f>
        <v>10 x3</v>
      </c>
      <c r="C74" s="51" t="n">
        <f aca="false">(C34*D34*E34-$C$8*$D$8*$E$8)*($F$21-F34)*$G$21</f>
        <v>199080</v>
      </c>
      <c r="D74" s="52" t="n">
        <f aca="false">'Game Info'!$C$3*C74/$G$22</f>
        <v>0.0277918496003602</v>
      </c>
      <c r="E74" s="53" t="n">
        <f aca="false">'Game Info'!Y23</f>
        <v>5</v>
      </c>
      <c r="F74" s="54" t="n">
        <f aca="false">D74*E74/'Game Info'!$C$2</f>
        <v>0.0138959248001801</v>
      </c>
    </row>
    <row r="75" customFormat="false" ht="15" hidden="false" customHeight="false" outlineLevel="0" collapsed="false">
      <c r="B75" s="39" t="str">
        <f aca="false">B19 &amp; " x3"</f>
        <v>9 x3</v>
      </c>
      <c r="C75" s="51" t="n">
        <f aca="false">(C35*D35*E35-$C$8*$D$8*$E$8)*($F$21-F35)*$G$21</f>
        <v>361956</v>
      </c>
      <c r="D75" s="52" t="n">
        <f aca="false">'Game Info'!$C$3*C75/$G$22</f>
        <v>0.0505295695898533</v>
      </c>
      <c r="E75" s="53" t="n">
        <f aca="false">'Game Info'!Y24</f>
        <v>5</v>
      </c>
      <c r="F75" s="54" t="n">
        <f aca="false">D75*E75/'Game Info'!$C$2</f>
        <v>0.0252647847949266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W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5" activeCellId="0" sqref="B75"/>
    </sheetView>
  </sheetViews>
  <sheetFormatPr defaultColWidth="8.85546875" defaultRowHeight="15" customHeight="false" zeroHeight="false" outlineLevelRow="0" outlineLevelCol="0"/>
  <cols>
    <col collapsed="false" customWidth="true" hidden="false" outlineLevel="0" max="1" min="1" style="33" width="3.42"/>
    <col collapsed="false" customWidth="true" hidden="false" outlineLevel="0" max="2" min="2" style="33" width="13.71"/>
    <col collapsed="false" customWidth="true" hidden="false" outlineLevel="0" max="6" min="3" style="33" width="12.71"/>
    <col collapsed="false" customWidth="true" hidden="false" outlineLevel="0" max="7" min="7" style="33" width="12.29"/>
    <col collapsed="false" customWidth="false" hidden="false" outlineLevel="0" max="8" min="8" style="33" width="8.85"/>
    <col collapsed="false" customWidth="true" hidden="false" outlineLevel="0" max="13" min="9" style="33" width="12.71"/>
    <col collapsed="false" customWidth="false" hidden="false" outlineLevel="0" max="14" min="14" style="33" width="8.85"/>
    <col collapsed="false" customWidth="true" hidden="false" outlineLevel="0" max="15" min="15" style="33" width="12.71"/>
    <col collapsed="false" customWidth="true" hidden="false" outlineLevel="0" max="16" min="16" style="33" width="10.85"/>
    <col collapsed="false" customWidth="false" hidden="false" outlineLevel="0" max="17" min="17" style="33" width="8.85"/>
    <col collapsed="false" customWidth="true" hidden="false" outlineLevel="0" max="18" min="18" style="33" width="12.29"/>
    <col collapsed="false" customWidth="false" hidden="false" outlineLevel="0" max="20" min="19" style="33" width="8.85"/>
    <col collapsed="false" customWidth="true" hidden="false" outlineLevel="0" max="21" min="21" style="33" width="10.85"/>
    <col collapsed="false" customWidth="false" hidden="false" outlineLevel="0" max="16384" min="22" style="33" width="8.85"/>
  </cols>
  <sheetData>
    <row r="2" customFormat="false" ht="15" hidden="false" customHeight="false" outlineLevel="0" collapsed="false">
      <c r="B2" s="33" t="s">
        <v>56</v>
      </c>
      <c r="C2" s="2" t="n">
        <v>3</v>
      </c>
      <c r="F2" s="64" t="s">
        <v>57</v>
      </c>
      <c r="G2" s="65" t="s">
        <v>58</v>
      </c>
      <c r="J2" s="64" t="s">
        <v>59</v>
      </c>
      <c r="K2" s="66" t="s">
        <v>60</v>
      </c>
      <c r="L2" s="65" t="s">
        <v>61</v>
      </c>
    </row>
    <row r="3" customFormat="false" ht="15" hidden="false" customHeight="false" outlineLevel="0" collapsed="false">
      <c r="B3" s="33" t="s">
        <v>62</v>
      </c>
      <c r="C3" s="67" t="n">
        <f aca="false">C2*SUM(F41:F76,W41:W56)</f>
        <v>3.03031296738554</v>
      </c>
      <c r="E3" s="68" t="s">
        <v>14</v>
      </c>
      <c r="F3" s="69" t="n">
        <f aca="false">SUM(J3:J5)</f>
        <v>0.00744499927630627</v>
      </c>
      <c r="G3" s="70" t="n">
        <f aca="false">SUMPRODUCT(J3:J5,L3:L5)/SUM(J3:J5)</f>
        <v>8.19623329283111</v>
      </c>
      <c r="I3" s="68" t="s">
        <v>52</v>
      </c>
      <c r="J3" s="71" t="n">
        <f aca="false">BG!U40</f>
        <v>6.78462874511507E-006</v>
      </c>
      <c r="K3" s="72" t="n">
        <f aca="false">U41</f>
        <v>2.71385149804603E-005</v>
      </c>
      <c r="L3" s="73" t="n">
        <f aca="false">'Game Info'!X7</f>
        <v>16</v>
      </c>
    </row>
    <row r="4" customFormat="false" ht="15" hidden="false" customHeight="false" outlineLevel="0" collapsed="false">
      <c r="B4" s="33" t="s">
        <v>58</v>
      </c>
      <c r="C4" s="67" t="n">
        <f aca="false">G3/(1-F4*G4)</f>
        <v>9.49473322912751</v>
      </c>
      <c r="E4" s="55" t="s">
        <v>15</v>
      </c>
      <c r="F4" s="74" t="n">
        <f aca="false">SUM(K3:K5)</f>
        <v>0.0165409248805905</v>
      </c>
      <c r="G4" s="75" t="n">
        <f aca="false">SUMPRODUCT(K3:K5,L3:L5)/SUM(K3:K5)</f>
        <v>8.2679792179382</v>
      </c>
      <c r="I4" s="39" t="s">
        <v>54</v>
      </c>
      <c r="J4" s="76" t="n">
        <f aca="false">SUM(BG!U41:U45)</f>
        <v>0.000351669923288464</v>
      </c>
      <c r="K4" s="52" t="n">
        <f aca="false">SUM(U42:U46)</f>
        <v>0.00105387899840787</v>
      </c>
      <c r="L4" s="77" t="n">
        <f aca="false">'Game Info'!X8</f>
        <v>12</v>
      </c>
    </row>
    <row r="5" customFormat="false" ht="15" hidden="false" customHeight="false" outlineLevel="0" collapsed="false">
      <c r="B5" s="33" t="s">
        <v>63</v>
      </c>
      <c r="C5" s="78" t="n">
        <f aca="false">C3*C4</f>
        <v>28.7720132260914</v>
      </c>
      <c r="I5" s="55" t="s">
        <v>55</v>
      </c>
      <c r="J5" s="79" t="n">
        <f aca="false">SUM(BG!U46:U55)</f>
        <v>0.00708654472427269</v>
      </c>
      <c r="K5" s="80" t="n">
        <f aca="false">SUM(U47:U56)</f>
        <v>0.0154599073672022</v>
      </c>
      <c r="L5" s="81" t="n">
        <f aca="false">'Game Info'!X9</f>
        <v>8</v>
      </c>
    </row>
    <row r="7" customFormat="false" ht="15" hidden="false" customHeight="false" outlineLevel="0" collapsed="false">
      <c r="B7" s="3" t="s">
        <v>41</v>
      </c>
    </row>
    <row r="8" customFormat="false" ht="15" hidden="false" customHeight="false" outlineLevel="0" collapsed="false">
      <c r="B8" s="20" t="s">
        <v>27</v>
      </c>
      <c r="C8" s="21" t="s">
        <v>8</v>
      </c>
      <c r="D8" s="21" t="s">
        <v>9</v>
      </c>
      <c r="E8" s="21" t="s">
        <v>10</v>
      </c>
      <c r="F8" s="21" t="s">
        <v>11</v>
      </c>
      <c r="G8" s="22" t="s">
        <v>12</v>
      </c>
    </row>
    <row r="9" customFormat="false" ht="15" hidden="false" customHeight="false" outlineLevel="0" collapsed="false">
      <c r="B9" s="8" t="s">
        <v>24</v>
      </c>
      <c r="C9" s="39" t="n">
        <f aca="false">COUNTIF('Game Info'!Q$7:Q$170,$B9)</f>
        <v>2</v>
      </c>
      <c r="D9" s="40" t="n">
        <f aca="false">COUNTIF('Game Info'!R$7:R$170,$B9)</f>
        <v>3</v>
      </c>
      <c r="E9" s="40" t="n">
        <f aca="false">COUNTIF('Game Info'!S$7:S$170,$B9)</f>
        <v>2</v>
      </c>
      <c r="F9" s="40" t="n">
        <f aca="false">COUNTIF('Game Info'!T$7:T$170,$B9)</f>
        <v>1</v>
      </c>
      <c r="G9" s="41" t="n">
        <f aca="false">COUNTIF('Game Info'!U$7:U$170,$B9)</f>
        <v>1</v>
      </c>
    </row>
    <row r="10" customFormat="false" ht="15" hidden="false" customHeight="false" outlineLevel="0" collapsed="false">
      <c r="B10" s="8" t="s">
        <v>18</v>
      </c>
      <c r="C10" s="39" t="n">
        <f aca="false">COUNTIF('Game Info'!Q$7:Q$170,$B10)</f>
        <v>2</v>
      </c>
      <c r="D10" s="40" t="n">
        <f aca="false">COUNTIF('Game Info'!R$7:R$170,$B10)</f>
        <v>2</v>
      </c>
      <c r="E10" s="40" t="n">
        <f aca="false">COUNTIF('Game Info'!S$7:S$170,$B10)</f>
        <v>1</v>
      </c>
      <c r="F10" s="40" t="n">
        <f aca="false">COUNTIF('Game Info'!T$7:T$170,$B10)</f>
        <v>1</v>
      </c>
      <c r="G10" s="41" t="n">
        <f aca="false">COUNTIF('Game Info'!U$7:U$170,$B10)</f>
        <v>2</v>
      </c>
    </row>
    <row r="11" customFormat="false" ht="15" hidden="false" customHeight="false" outlineLevel="0" collapsed="false">
      <c r="B11" s="8" t="s">
        <v>20</v>
      </c>
      <c r="C11" s="39" t="n">
        <f aca="false">COUNTIF('Game Info'!Q$7:Q$170,$B11)</f>
        <v>4</v>
      </c>
      <c r="D11" s="40" t="n">
        <f aca="false">COUNTIF('Game Info'!R$7:R$170,$B11)</f>
        <v>4</v>
      </c>
      <c r="E11" s="40" t="n">
        <f aca="false">COUNTIF('Game Info'!S$7:S$170,$B11)</f>
        <v>4</v>
      </c>
      <c r="F11" s="40" t="n">
        <f aca="false">COUNTIF('Game Info'!T$7:T$170,$B11)</f>
        <v>3</v>
      </c>
      <c r="G11" s="41" t="n">
        <f aca="false">COUNTIF('Game Info'!U$7:U$170,$B11)</f>
        <v>4</v>
      </c>
    </row>
    <row r="12" customFormat="false" ht="15" hidden="false" customHeight="false" outlineLevel="0" collapsed="false">
      <c r="B12" s="8" t="s">
        <v>16</v>
      </c>
      <c r="C12" s="39" t="n">
        <f aca="false">COUNTIF('Game Info'!Q$7:Q$170,$B12)</f>
        <v>3</v>
      </c>
      <c r="D12" s="40" t="n">
        <f aca="false">COUNTIF('Game Info'!R$7:R$170,$B12)</f>
        <v>2</v>
      </c>
      <c r="E12" s="40" t="n">
        <f aca="false">COUNTIF('Game Info'!S$7:S$170,$B12)</f>
        <v>7</v>
      </c>
      <c r="F12" s="40" t="n">
        <f aca="false">COUNTIF('Game Info'!T$7:T$170,$B12)</f>
        <v>3</v>
      </c>
      <c r="G12" s="41" t="n">
        <f aca="false">COUNTIF('Game Info'!U$7:U$170,$B12)</f>
        <v>2</v>
      </c>
    </row>
    <row r="13" customFormat="false" ht="15" hidden="false" customHeight="false" outlineLevel="0" collapsed="false">
      <c r="B13" s="8" t="s">
        <v>22</v>
      </c>
      <c r="C13" s="39" t="n">
        <f aca="false">COUNTIF('Game Info'!Q$7:Q$170,$B13)</f>
        <v>6</v>
      </c>
      <c r="D13" s="40" t="n">
        <f aca="false">COUNTIF('Game Info'!R$7:R$170,$B13)</f>
        <v>2</v>
      </c>
      <c r="E13" s="40" t="n">
        <f aca="false">COUNTIF('Game Info'!S$7:S$170,$B13)</f>
        <v>1</v>
      </c>
      <c r="F13" s="40" t="n">
        <f aca="false">COUNTIF('Game Info'!T$7:T$170,$B13)</f>
        <v>4</v>
      </c>
      <c r="G13" s="41" t="n">
        <f aca="false">COUNTIF('Game Info'!U$7:U$170,$B13)</f>
        <v>4</v>
      </c>
    </row>
    <row r="14" customFormat="false" ht="15" hidden="false" customHeight="false" outlineLevel="0" collapsed="false">
      <c r="B14" s="8" t="s">
        <v>26</v>
      </c>
      <c r="C14" s="39" t="n">
        <f aca="false">COUNTIF('Game Info'!Q$7:Q$170,$B14)</f>
        <v>2</v>
      </c>
      <c r="D14" s="40" t="n">
        <f aca="false">COUNTIF('Game Info'!R$7:R$170,$B14)</f>
        <v>2</v>
      </c>
      <c r="E14" s="40" t="n">
        <f aca="false">COUNTIF('Game Info'!S$7:S$170,$B14)</f>
        <v>4</v>
      </c>
      <c r="F14" s="40" t="n">
        <f aca="false">COUNTIF('Game Info'!T$7:T$170,$B14)</f>
        <v>1</v>
      </c>
      <c r="G14" s="41" t="n">
        <f aca="false">COUNTIF('Game Info'!U$7:U$170,$B14)</f>
        <v>3</v>
      </c>
    </row>
    <row r="15" customFormat="false" ht="15" hidden="false" customHeight="false" outlineLevel="0" collapsed="false">
      <c r="B15" s="8" t="s">
        <v>21</v>
      </c>
      <c r="C15" s="39" t="n">
        <f aca="false">COUNTIF('Game Info'!Q$7:Q$170,$B15)</f>
        <v>5</v>
      </c>
      <c r="D15" s="40" t="n">
        <f aca="false">COUNTIF('Game Info'!R$7:R$170,$B15)</f>
        <v>3</v>
      </c>
      <c r="E15" s="40" t="n">
        <f aca="false">COUNTIF('Game Info'!S$7:S$170,$B15)</f>
        <v>2</v>
      </c>
      <c r="F15" s="40" t="n">
        <f aca="false">COUNTIF('Game Info'!T$7:T$170,$B15)</f>
        <v>3</v>
      </c>
      <c r="G15" s="41" t="n">
        <f aca="false">COUNTIF('Game Info'!U$7:U$170,$B15)</f>
        <v>2</v>
      </c>
    </row>
    <row r="16" customFormat="false" ht="15" hidden="false" customHeight="false" outlineLevel="0" collapsed="false">
      <c r="B16" s="8" t="s">
        <v>17</v>
      </c>
      <c r="C16" s="39" t="n">
        <f aca="false">COUNTIF('Game Info'!Q$7:Q$170,$B16)</f>
        <v>5</v>
      </c>
      <c r="D16" s="40" t="n">
        <f aca="false">COUNTIF('Game Info'!R$7:R$170,$B16)</f>
        <v>4</v>
      </c>
      <c r="E16" s="40" t="n">
        <f aca="false">COUNTIF('Game Info'!S$7:S$170,$B16)</f>
        <v>7</v>
      </c>
      <c r="F16" s="40" t="n">
        <f aca="false">COUNTIF('Game Info'!T$7:T$170,$B16)</f>
        <v>4</v>
      </c>
      <c r="G16" s="41" t="n">
        <f aca="false">COUNTIF('Game Info'!U$7:U$170,$B16)</f>
        <v>2</v>
      </c>
    </row>
    <row r="17" customFormat="false" ht="15" hidden="false" customHeight="false" outlineLevel="0" collapsed="false">
      <c r="B17" s="8" t="s">
        <v>32</v>
      </c>
      <c r="C17" s="39" t="n">
        <f aca="false">COUNTIF('Game Info'!Q$7:Q$170,$B17)</f>
        <v>4</v>
      </c>
      <c r="D17" s="40" t="n">
        <f aca="false">COUNTIF('Game Info'!R$7:R$170,$B17)</f>
        <v>1</v>
      </c>
      <c r="E17" s="40" t="n">
        <f aca="false">COUNTIF('Game Info'!S$7:S$170,$B17)</f>
        <v>5</v>
      </c>
      <c r="F17" s="40" t="n">
        <f aca="false">COUNTIF('Game Info'!T$7:T$170,$B17)</f>
        <v>2</v>
      </c>
      <c r="G17" s="41" t="n">
        <f aca="false">COUNTIF('Game Info'!U$7:U$170,$B17)</f>
        <v>6</v>
      </c>
    </row>
    <row r="18" customFormat="false" ht="15" hidden="false" customHeight="false" outlineLevel="0" collapsed="false">
      <c r="B18" s="8" t="s">
        <v>19</v>
      </c>
      <c r="C18" s="39" t="n">
        <f aca="false">COUNTIF('Game Info'!Q$7:Q$170,$B18)</f>
        <v>4</v>
      </c>
      <c r="D18" s="40" t="n">
        <f aca="false">COUNTIF('Game Info'!R$7:R$170,$B18)</f>
        <v>6</v>
      </c>
      <c r="E18" s="40" t="n">
        <f aca="false">COUNTIF('Game Info'!S$7:S$170,$B18)</f>
        <v>5</v>
      </c>
      <c r="F18" s="40" t="n">
        <f aca="false">COUNTIF('Game Info'!T$7:T$170,$B18)</f>
        <v>3</v>
      </c>
      <c r="G18" s="41" t="n">
        <f aca="false">COUNTIF('Game Info'!U$7:U$170,$B18)</f>
        <v>5</v>
      </c>
    </row>
    <row r="19" customFormat="false" ht="15" hidden="false" customHeight="false" outlineLevel="0" collapsed="false">
      <c r="B19" s="8" t="n">
        <v>10</v>
      </c>
      <c r="C19" s="39" t="n">
        <f aca="false">COUNTIF('Game Info'!Q$7:Q$170,$B19)</f>
        <v>5</v>
      </c>
      <c r="D19" s="40" t="n">
        <f aca="false">COUNTIF('Game Info'!R$7:R$170,$B19)</f>
        <v>4</v>
      </c>
      <c r="E19" s="40" t="n">
        <f aca="false">COUNTIF('Game Info'!S$7:S$170,$B19)</f>
        <v>3</v>
      </c>
      <c r="F19" s="40" t="n">
        <f aca="false">COUNTIF('Game Info'!T$7:T$170,$B19)</f>
        <v>5</v>
      </c>
      <c r="G19" s="41" t="n">
        <f aca="false">COUNTIF('Game Info'!U$7:U$170,$B19)</f>
        <v>6</v>
      </c>
    </row>
    <row r="20" customFormat="false" ht="15" hidden="false" customHeight="false" outlineLevel="0" collapsed="false">
      <c r="B20" s="8" t="n">
        <v>9</v>
      </c>
      <c r="C20" s="39" t="n">
        <f aca="false">COUNTIF('Game Info'!Q$7:Q$170,$B20)</f>
        <v>5</v>
      </c>
      <c r="D20" s="40" t="n">
        <f aca="false">COUNTIF('Game Info'!R$7:R$170,$B20)</f>
        <v>7</v>
      </c>
      <c r="E20" s="40" t="n">
        <f aca="false">COUNTIF('Game Info'!S$7:S$170,$B20)</f>
        <v>4</v>
      </c>
      <c r="F20" s="40" t="n">
        <f aca="false">COUNTIF('Game Info'!T$7:T$170,$B20)</f>
        <v>4</v>
      </c>
      <c r="G20" s="41" t="n">
        <f aca="false">COUNTIF('Game Info'!U$7:U$170,$B20)</f>
        <v>3</v>
      </c>
    </row>
    <row r="21" customFormat="false" ht="15" hidden="false" customHeight="false" outlineLevel="0" collapsed="false">
      <c r="B21" s="8" t="s">
        <v>15</v>
      </c>
      <c r="C21" s="39" t="n">
        <f aca="false">COUNTIF('Game Info'!Q$7:Q$170,$B21)</f>
        <v>1</v>
      </c>
      <c r="D21" s="40" t="n">
        <f aca="false">COUNTIF('Game Info'!R$7:R$170,$B21)</f>
        <v>2</v>
      </c>
      <c r="E21" s="40" t="n">
        <f aca="false">COUNTIF('Game Info'!S$7:S$170,$B21)</f>
        <v>2</v>
      </c>
      <c r="F21" s="40" t="n">
        <f aca="false">COUNTIF('Game Info'!T$7:T$170,$B21)</f>
        <v>2</v>
      </c>
      <c r="G21" s="41" t="n">
        <f aca="false">COUNTIF('Game Info'!U$7:U$170,$B21)</f>
        <v>2</v>
      </c>
    </row>
    <row r="22" customFormat="false" ht="15" hidden="false" customHeight="false" outlineLevel="0" collapsed="false">
      <c r="B22" s="25" t="s">
        <v>40</v>
      </c>
      <c r="C22" s="42" t="n">
        <f aca="false">SUM(C9:C21)</f>
        <v>48</v>
      </c>
      <c r="D22" s="42" t="n">
        <f aca="false">SUM(D9:D21)</f>
        <v>42</v>
      </c>
      <c r="E22" s="42" t="n">
        <f aca="false">SUM(E9:E21)</f>
        <v>47</v>
      </c>
      <c r="F22" s="42" t="n">
        <f aca="false">SUM(F9:F21)</f>
        <v>36</v>
      </c>
      <c r="G22" s="43" t="n">
        <f aca="false">SUM(G9:G21)</f>
        <v>42</v>
      </c>
    </row>
    <row r="23" customFormat="false" ht="15" hidden="false" customHeight="false" outlineLevel="0" collapsed="false">
      <c r="F23" s="44" t="s">
        <v>42</v>
      </c>
      <c r="G23" s="43" t="n">
        <f aca="false">PRODUCT(C22:G22)</f>
        <v>143265024</v>
      </c>
    </row>
    <row r="25" customFormat="false" ht="15" hidden="false" customHeight="false" outlineLevel="0" collapsed="false">
      <c r="B25" s="3" t="s">
        <v>43</v>
      </c>
    </row>
    <row r="26" customFormat="false" ht="15" hidden="false" customHeight="false" outlineLevel="0" collapsed="false">
      <c r="B26" s="45" t="str">
        <f aca="false">B10 &amp; " + WILD"</f>
        <v>SYM1 + WILD</v>
      </c>
      <c r="C26" s="46" t="n">
        <f aca="false">C$9+C10</f>
        <v>4</v>
      </c>
      <c r="D26" s="46" t="n">
        <f aca="false">D$9+D10</f>
        <v>5</v>
      </c>
      <c r="E26" s="46" t="n">
        <f aca="false">E$9+E10</f>
        <v>3</v>
      </c>
      <c r="F26" s="46" t="n">
        <f aca="false">F$9+F10</f>
        <v>2</v>
      </c>
      <c r="G26" s="47" t="n">
        <f aca="false">G$9+G10</f>
        <v>3</v>
      </c>
    </row>
    <row r="27" customFormat="false" ht="15" hidden="false" customHeight="false" outlineLevel="0" collapsed="false">
      <c r="B27" s="8" t="str">
        <f aca="false">B11 &amp; " + WILD"</f>
        <v>SYM2 + WILD</v>
      </c>
      <c r="C27" s="40" t="n">
        <f aca="false">C$9+C11</f>
        <v>6</v>
      </c>
      <c r="D27" s="40" t="n">
        <f aca="false">D$9+D11</f>
        <v>7</v>
      </c>
      <c r="E27" s="40" t="n">
        <f aca="false">E$9+E11</f>
        <v>6</v>
      </c>
      <c r="F27" s="40" t="n">
        <f aca="false">F$9+F11</f>
        <v>4</v>
      </c>
      <c r="G27" s="41" t="n">
        <f aca="false">G$9+G11</f>
        <v>5</v>
      </c>
    </row>
    <row r="28" customFormat="false" ht="15" hidden="false" customHeight="false" outlineLevel="0" collapsed="false">
      <c r="B28" s="8" t="str">
        <f aca="false">B12 &amp; " + WILD"</f>
        <v>SYM3 + WILD</v>
      </c>
      <c r="C28" s="40" t="n">
        <f aca="false">C$9+C12</f>
        <v>5</v>
      </c>
      <c r="D28" s="40" t="n">
        <f aca="false">D$9+D12</f>
        <v>5</v>
      </c>
      <c r="E28" s="40" t="n">
        <f aca="false">E$9+E12</f>
        <v>9</v>
      </c>
      <c r="F28" s="40" t="n">
        <f aca="false">F$9+F12</f>
        <v>4</v>
      </c>
      <c r="G28" s="41" t="n">
        <f aca="false">G$9+G12</f>
        <v>3</v>
      </c>
    </row>
    <row r="29" customFormat="false" ht="15" hidden="false" customHeight="false" outlineLevel="0" collapsed="false">
      <c r="B29" s="8" t="str">
        <f aca="false">B13 &amp; " + WILD"</f>
        <v>SYM4 + WILD</v>
      </c>
      <c r="C29" s="40" t="n">
        <f aca="false">C$9+C13</f>
        <v>8</v>
      </c>
      <c r="D29" s="40" t="n">
        <f aca="false">D$9+D13</f>
        <v>5</v>
      </c>
      <c r="E29" s="40" t="n">
        <f aca="false">E$9+E13</f>
        <v>3</v>
      </c>
      <c r="F29" s="40" t="n">
        <f aca="false">F$9+F13</f>
        <v>5</v>
      </c>
      <c r="G29" s="41" t="n">
        <f aca="false">G$9+G13</f>
        <v>5</v>
      </c>
    </row>
    <row r="30" customFormat="false" ht="15" hidden="false" customHeight="false" outlineLevel="0" collapsed="false">
      <c r="B30" s="8" t="str">
        <f aca="false">B14 &amp; " + WILD"</f>
        <v>SYM5 + WILD</v>
      </c>
      <c r="C30" s="40" t="n">
        <f aca="false">C$9+C14</f>
        <v>4</v>
      </c>
      <c r="D30" s="40" t="n">
        <f aca="false">D$9+D14</f>
        <v>5</v>
      </c>
      <c r="E30" s="40" t="n">
        <f aca="false">E$9+E14</f>
        <v>6</v>
      </c>
      <c r="F30" s="40" t="n">
        <f aca="false">F$9+F14</f>
        <v>2</v>
      </c>
      <c r="G30" s="41" t="n">
        <f aca="false">G$9+G14</f>
        <v>4</v>
      </c>
    </row>
    <row r="31" customFormat="false" ht="15" hidden="false" customHeight="false" outlineLevel="0" collapsed="false">
      <c r="B31" s="8" t="str">
        <f aca="false">B15 &amp; " + WILD"</f>
        <v>A + WILD</v>
      </c>
      <c r="C31" s="40" t="n">
        <f aca="false">C$9+C15</f>
        <v>7</v>
      </c>
      <c r="D31" s="40" t="n">
        <f aca="false">D$9+D15</f>
        <v>6</v>
      </c>
      <c r="E31" s="40" t="n">
        <f aca="false">E$9+E15</f>
        <v>4</v>
      </c>
      <c r="F31" s="40" t="n">
        <f aca="false">F$9+F15</f>
        <v>4</v>
      </c>
      <c r="G31" s="41" t="n">
        <f aca="false">G$9+G15</f>
        <v>3</v>
      </c>
    </row>
    <row r="32" customFormat="false" ht="15" hidden="false" customHeight="false" outlineLevel="0" collapsed="false">
      <c r="B32" s="8" t="str">
        <f aca="false">B16 &amp; " + WILD"</f>
        <v>K + WILD</v>
      </c>
      <c r="C32" s="40" t="n">
        <f aca="false">C$9+C16</f>
        <v>7</v>
      </c>
      <c r="D32" s="40" t="n">
        <f aca="false">D$9+D16</f>
        <v>7</v>
      </c>
      <c r="E32" s="40" t="n">
        <f aca="false">E$9+E16</f>
        <v>9</v>
      </c>
      <c r="F32" s="40" t="n">
        <f aca="false">F$9+F16</f>
        <v>5</v>
      </c>
      <c r="G32" s="41" t="n">
        <f aca="false">G$9+G16</f>
        <v>3</v>
      </c>
    </row>
    <row r="33" customFormat="false" ht="15" hidden="false" customHeight="false" outlineLevel="0" collapsed="false">
      <c r="B33" s="8" t="str">
        <f aca="false">B17 &amp; " + WILD"</f>
        <v>Q + WILD</v>
      </c>
      <c r="C33" s="40" t="n">
        <f aca="false">C$9+C17</f>
        <v>6</v>
      </c>
      <c r="D33" s="40" t="n">
        <f aca="false">D$9+D17</f>
        <v>4</v>
      </c>
      <c r="E33" s="40" t="n">
        <f aca="false">E$9+E17</f>
        <v>7</v>
      </c>
      <c r="F33" s="40" t="n">
        <f aca="false">F$9+F17</f>
        <v>3</v>
      </c>
      <c r="G33" s="41" t="n">
        <f aca="false">G$9+G17</f>
        <v>7</v>
      </c>
    </row>
    <row r="34" customFormat="false" ht="15" hidden="false" customHeight="false" outlineLevel="0" collapsed="false">
      <c r="B34" s="8" t="str">
        <f aca="false">B18 &amp; " + WILD"</f>
        <v>J + WILD</v>
      </c>
      <c r="C34" s="40" t="n">
        <f aca="false">C$9+C18</f>
        <v>6</v>
      </c>
      <c r="D34" s="40" t="n">
        <f aca="false">D$9+D18</f>
        <v>9</v>
      </c>
      <c r="E34" s="40" t="n">
        <f aca="false">E$9+E18</f>
        <v>7</v>
      </c>
      <c r="F34" s="40" t="n">
        <f aca="false">F$9+F18</f>
        <v>4</v>
      </c>
      <c r="G34" s="41" t="n">
        <f aca="false">G$9+G18</f>
        <v>6</v>
      </c>
    </row>
    <row r="35" customFormat="false" ht="15" hidden="false" customHeight="false" outlineLevel="0" collapsed="false">
      <c r="B35" s="8" t="str">
        <f aca="false">B19 &amp; " + WILD"</f>
        <v>10 + WILD</v>
      </c>
      <c r="C35" s="40" t="n">
        <f aca="false">C$9+C19</f>
        <v>7</v>
      </c>
      <c r="D35" s="40" t="n">
        <f aca="false">D$9+D19</f>
        <v>7</v>
      </c>
      <c r="E35" s="40" t="n">
        <f aca="false">E$9+E19</f>
        <v>5</v>
      </c>
      <c r="F35" s="40" t="n">
        <f aca="false">F$9+F19</f>
        <v>6</v>
      </c>
      <c r="G35" s="41" t="n">
        <f aca="false">G$9+G19</f>
        <v>7</v>
      </c>
    </row>
    <row r="36" customFormat="false" ht="15" hidden="false" customHeight="false" outlineLevel="0" collapsed="false">
      <c r="B36" s="8" t="str">
        <f aca="false">B20 &amp; " + WILD"</f>
        <v>9 + WILD</v>
      </c>
      <c r="C36" s="40" t="n">
        <f aca="false">C$9+C20</f>
        <v>7</v>
      </c>
      <c r="D36" s="40" t="n">
        <f aca="false">D$9+D20</f>
        <v>10</v>
      </c>
      <c r="E36" s="40" t="n">
        <f aca="false">E$9+E20</f>
        <v>6</v>
      </c>
      <c r="F36" s="40" t="n">
        <f aca="false">F$9+F20</f>
        <v>5</v>
      </c>
      <c r="G36" s="41" t="n">
        <f aca="false">G$9+G20</f>
        <v>4</v>
      </c>
    </row>
    <row r="37" customFormat="false" ht="15" hidden="false" customHeight="false" outlineLevel="0" collapsed="false">
      <c r="B37" s="25" t="s">
        <v>44</v>
      </c>
      <c r="C37" s="42" t="n">
        <f aca="false">3*C21</f>
        <v>3</v>
      </c>
      <c r="D37" s="42" t="n">
        <f aca="false">3*D21</f>
        <v>6</v>
      </c>
      <c r="E37" s="42" t="n">
        <f aca="false">3*E21</f>
        <v>6</v>
      </c>
      <c r="F37" s="42" t="n">
        <f aca="false">3*F21</f>
        <v>6</v>
      </c>
      <c r="G37" s="43" t="n">
        <f aca="false">3*G21</f>
        <v>6</v>
      </c>
    </row>
    <row r="39" customFormat="false" ht="15" hidden="false" customHeight="false" outlineLevel="0" collapsed="false">
      <c r="B39" s="3" t="s">
        <v>45</v>
      </c>
      <c r="I39" s="3" t="s">
        <v>46</v>
      </c>
      <c r="L39" s="48"/>
      <c r="M39" s="49"/>
    </row>
    <row r="40" customFormat="false" ht="15" hidden="false" customHeight="false" outlineLevel="0" collapsed="false">
      <c r="B40" s="50" t="s">
        <v>47</v>
      </c>
      <c r="C40" s="21" t="s">
        <v>48</v>
      </c>
      <c r="D40" s="21" t="s">
        <v>49</v>
      </c>
      <c r="E40" s="21" t="s">
        <v>50</v>
      </c>
      <c r="F40" s="20" t="s">
        <v>51</v>
      </c>
      <c r="I40" s="50" t="s">
        <v>47</v>
      </c>
      <c r="J40" s="50" t="s">
        <v>8</v>
      </c>
      <c r="K40" s="21" t="s">
        <v>9</v>
      </c>
      <c r="L40" s="21" t="s">
        <v>10</v>
      </c>
      <c r="M40" s="21" t="s">
        <v>11</v>
      </c>
      <c r="N40" s="22" t="s">
        <v>12</v>
      </c>
      <c r="O40" s="50" t="s">
        <v>8</v>
      </c>
      <c r="P40" s="21" t="s">
        <v>9</v>
      </c>
      <c r="Q40" s="21" t="s">
        <v>10</v>
      </c>
      <c r="R40" s="21" t="s">
        <v>11</v>
      </c>
      <c r="S40" s="22" t="s">
        <v>12</v>
      </c>
      <c r="T40" s="21" t="s">
        <v>48</v>
      </c>
      <c r="U40" s="21" t="s">
        <v>49</v>
      </c>
      <c r="V40" s="21" t="s">
        <v>50</v>
      </c>
      <c r="W40" s="22" t="s">
        <v>51</v>
      </c>
    </row>
    <row r="41" customFormat="false" ht="15" hidden="false" customHeight="false" outlineLevel="0" collapsed="false">
      <c r="B41" s="39" t="str">
        <f aca="false">B9 &amp; " x5"</f>
        <v>WILD x5</v>
      </c>
      <c r="C41" s="51" t="n">
        <f aca="false">C9*D9*E9*F9*G9</f>
        <v>12</v>
      </c>
      <c r="D41" s="52" t="n">
        <f aca="false">'Game Info'!$C$3*C41/$G$23</f>
        <v>1.67521697410249E-006</v>
      </c>
      <c r="E41" s="53" t="n">
        <f aca="false">'Game Info'!AA13</f>
        <v>2500</v>
      </c>
      <c r="F41" s="54" t="n">
        <f aca="false">D41*E41/'Game Info'!$C$2</f>
        <v>0.000418804243525621</v>
      </c>
      <c r="I41" s="55" t="s">
        <v>52</v>
      </c>
      <c r="J41" s="55" t="s">
        <v>53</v>
      </c>
      <c r="K41" s="56" t="s">
        <v>53</v>
      </c>
      <c r="L41" s="56" t="s">
        <v>53</v>
      </c>
      <c r="M41" s="56" t="s">
        <v>53</v>
      </c>
      <c r="N41" s="57" t="s">
        <v>53</v>
      </c>
      <c r="O41" s="55" t="n">
        <f aca="false">IF(J41="X",C$37,C$22-C$37)</f>
        <v>3</v>
      </c>
      <c r="P41" s="56" t="n">
        <f aca="false">IF(K41="X",D$37,D$22-D$37)</f>
        <v>6</v>
      </c>
      <c r="Q41" s="56" t="n">
        <f aca="false">IF(L41="X",E$37,E$22-E$37)</f>
        <v>6</v>
      </c>
      <c r="R41" s="56" t="n">
        <f aca="false">IF(M41="X",F$37,F$22-F$37)</f>
        <v>6</v>
      </c>
      <c r="S41" s="57" t="n">
        <f aca="false">IF(N41="X",G$37,G$22-G$37)</f>
        <v>6</v>
      </c>
      <c r="T41" s="58" t="n">
        <f aca="false">PRODUCT(O41:S41)</f>
        <v>3888</v>
      </c>
      <c r="U41" s="59" t="n">
        <f aca="false">T41/$G$23</f>
        <v>2.71385149804603E-005</v>
      </c>
      <c r="V41" s="60" t="n">
        <f aca="false">'Game Info'!AA25</f>
        <v>100</v>
      </c>
      <c r="W41" s="61" t="n">
        <f aca="false">V41*U41</f>
        <v>0.00271385149804603</v>
      </c>
    </row>
    <row r="42" customFormat="false" ht="15" hidden="false" customHeight="false" outlineLevel="0" collapsed="false">
      <c r="B42" s="39" t="str">
        <f aca="false">B10 &amp; " x5"</f>
        <v>SYM1 x5</v>
      </c>
      <c r="C42" s="51" t="n">
        <f aca="false">C26*D26*E26*F26*G26-$C$9*$D$9*$E$9*$F$9*$G$9</f>
        <v>348</v>
      </c>
      <c r="D42" s="52" t="n">
        <f aca="false">'Game Info'!$C$3*C42/$G$23</f>
        <v>4.85812922489721E-005</v>
      </c>
      <c r="E42" s="53" t="n">
        <f aca="false">'Game Info'!AA14</f>
        <v>750</v>
      </c>
      <c r="F42" s="54" t="n">
        <f aca="false">D42*E42/'Game Info'!$C$2</f>
        <v>0.00364359691867291</v>
      </c>
      <c r="I42" s="39" t="s">
        <v>54</v>
      </c>
      <c r="J42" s="39" t="s">
        <v>53</v>
      </c>
      <c r="K42" s="40" t="s">
        <v>53</v>
      </c>
      <c r="L42" s="40" t="s">
        <v>53</v>
      </c>
      <c r="M42" s="40" t="s">
        <v>53</v>
      </c>
      <c r="N42" s="41" t="s">
        <v>33</v>
      </c>
      <c r="O42" s="39" t="n">
        <f aca="false">IF(J42="X",C$37,C$22-C$37)</f>
        <v>3</v>
      </c>
      <c r="P42" s="40" t="n">
        <f aca="false">IF(K42="X",D$37,D$22-D$37)</f>
        <v>6</v>
      </c>
      <c r="Q42" s="40" t="n">
        <f aca="false">IF(L42="X",E$37,E$22-E$37)</f>
        <v>6</v>
      </c>
      <c r="R42" s="40" t="n">
        <f aca="false">IF(M42="X",F$37,F$22-F$37)</f>
        <v>6</v>
      </c>
      <c r="S42" s="41" t="n">
        <f aca="false">IF(N42="X",G$37,G$22-G$37)</f>
        <v>36</v>
      </c>
      <c r="T42" s="51" t="n">
        <f aca="false">PRODUCT(O42:S42)</f>
        <v>23328</v>
      </c>
      <c r="U42" s="62" t="n">
        <f aca="false">T42/$G$23</f>
        <v>0.000162831089882762</v>
      </c>
      <c r="V42" s="53" t="n">
        <f aca="false">'Game Info'!Z25</f>
        <v>20</v>
      </c>
      <c r="W42" s="63" t="n">
        <f aca="false">V42*U42</f>
        <v>0.00325662179765523</v>
      </c>
    </row>
    <row r="43" customFormat="false" ht="15" hidden="false" customHeight="false" outlineLevel="0" collapsed="false">
      <c r="B43" s="39" t="str">
        <f aca="false">B11 &amp; " x5"</f>
        <v>SYM2 x5</v>
      </c>
      <c r="C43" s="51" t="n">
        <f aca="false">C27*D27*E27*F27*G27-$C$9*$D$9*$E$9*$F$9*$G$9</f>
        <v>5028</v>
      </c>
      <c r="D43" s="52" t="n">
        <f aca="false">'Game Info'!$C$3*C43/$G$23</f>
        <v>0.000701915912148942</v>
      </c>
      <c r="E43" s="53" t="n">
        <f aca="false">'Game Info'!AA15</f>
        <v>750</v>
      </c>
      <c r="F43" s="54" t="n">
        <f aca="false">D43*E43/'Game Info'!$C$2</f>
        <v>0.0526436934111706</v>
      </c>
      <c r="I43" s="39" t="s">
        <v>54</v>
      </c>
      <c r="J43" s="39" t="s">
        <v>53</v>
      </c>
      <c r="K43" s="40" t="s">
        <v>53</v>
      </c>
      <c r="L43" s="40" t="s">
        <v>53</v>
      </c>
      <c r="M43" s="40" t="s">
        <v>33</v>
      </c>
      <c r="N43" s="41" t="s">
        <v>53</v>
      </c>
      <c r="O43" s="39" t="n">
        <f aca="false">IF(J43="X",C$37,C$22-C$37)</f>
        <v>3</v>
      </c>
      <c r="P43" s="40" t="n">
        <f aca="false">IF(K43="X",D$37,D$22-D$37)</f>
        <v>6</v>
      </c>
      <c r="Q43" s="40" t="n">
        <f aca="false">IF(L43="X",E$37,E$22-E$37)</f>
        <v>6</v>
      </c>
      <c r="R43" s="40" t="n">
        <f aca="false">IF(M43="X",F$37,F$22-F$37)</f>
        <v>30</v>
      </c>
      <c r="S43" s="41" t="n">
        <f aca="false">IF(N43="X",G$37,G$22-G$37)</f>
        <v>6</v>
      </c>
      <c r="T43" s="51" t="n">
        <f aca="false">PRODUCT(O43:S43)</f>
        <v>19440</v>
      </c>
      <c r="U43" s="62" t="n">
        <f aca="false">T43/$G$23</f>
        <v>0.000135692574902301</v>
      </c>
      <c r="V43" s="53" t="n">
        <f aca="false">V42</f>
        <v>20</v>
      </c>
      <c r="W43" s="63" t="n">
        <f aca="false">V43*U43</f>
        <v>0.00271385149804603</v>
      </c>
    </row>
    <row r="44" customFormat="false" ht="15" hidden="false" customHeight="false" outlineLevel="0" collapsed="false">
      <c r="B44" s="39" t="str">
        <f aca="false">B12 &amp; " x5"</f>
        <v>SYM3 x5</v>
      </c>
      <c r="C44" s="51" t="n">
        <f aca="false">C28*D28*E28*F28*G28-$C$9*$D$9*$E$9*$F$9*$G$9</f>
        <v>2688</v>
      </c>
      <c r="D44" s="52" t="n">
        <f aca="false">'Game Info'!$C$3*C44/$G$23</f>
        <v>0.000375248602198957</v>
      </c>
      <c r="E44" s="53" t="n">
        <f aca="false">'Game Info'!AA16</f>
        <v>750</v>
      </c>
      <c r="F44" s="54" t="n">
        <f aca="false">D44*E44/'Game Info'!$C$2</f>
        <v>0.0281436451649218</v>
      </c>
      <c r="I44" s="39" t="s">
        <v>54</v>
      </c>
      <c r="J44" s="39" t="s">
        <v>53</v>
      </c>
      <c r="K44" s="40" t="s">
        <v>53</v>
      </c>
      <c r="L44" s="40" t="s">
        <v>33</v>
      </c>
      <c r="M44" s="40" t="s">
        <v>53</v>
      </c>
      <c r="N44" s="41" t="s">
        <v>53</v>
      </c>
      <c r="O44" s="39" t="n">
        <f aca="false">IF(J44="X",C$37,C$22-C$37)</f>
        <v>3</v>
      </c>
      <c r="P44" s="40" t="n">
        <f aca="false">IF(K44="X",D$37,D$22-D$37)</f>
        <v>6</v>
      </c>
      <c r="Q44" s="40" t="n">
        <f aca="false">IF(L44="X",E$37,E$22-E$37)</f>
        <v>41</v>
      </c>
      <c r="R44" s="40" t="n">
        <f aca="false">IF(M44="X",F$37,F$22-F$37)</f>
        <v>6</v>
      </c>
      <c r="S44" s="41" t="n">
        <f aca="false">IF(N44="X",G$37,G$22-G$37)</f>
        <v>6</v>
      </c>
      <c r="T44" s="51" t="n">
        <f aca="false">PRODUCT(O44:S44)</f>
        <v>26568</v>
      </c>
      <c r="U44" s="62" t="n">
        <f aca="false">T44/$G$23</f>
        <v>0.000185446519033145</v>
      </c>
      <c r="V44" s="53" t="n">
        <f aca="false">V43</f>
        <v>20</v>
      </c>
      <c r="W44" s="63" t="n">
        <f aca="false">V44*U44</f>
        <v>0.0037089303806629</v>
      </c>
    </row>
    <row r="45" customFormat="false" ht="15" hidden="false" customHeight="false" outlineLevel="0" collapsed="false">
      <c r="B45" s="39" t="str">
        <f aca="false">B13 &amp; " x5"</f>
        <v>SYM4 x5</v>
      </c>
      <c r="C45" s="51" t="n">
        <f aca="false">(C29*D29*E29*F29-$C$9*$D$9*$E$9*$F$9)*G29</f>
        <v>2940</v>
      </c>
      <c r="D45" s="52" t="n">
        <f aca="false">'Game Info'!$C$3*C45/$G$23</f>
        <v>0.000410428158655109</v>
      </c>
      <c r="E45" s="53" t="n">
        <f aca="false">'Game Info'!AA17</f>
        <v>250</v>
      </c>
      <c r="F45" s="54" t="n">
        <f aca="false">D45*E45/'Game Info'!$C$2</f>
        <v>0.0102607039663777</v>
      </c>
      <c r="I45" s="39" t="s">
        <v>54</v>
      </c>
      <c r="J45" s="39" t="s">
        <v>53</v>
      </c>
      <c r="K45" s="40" t="s">
        <v>33</v>
      </c>
      <c r="L45" s="40" t="s">
        <v>53</v>
      </c>
      <c r="M45" s="40" t="s">
        <v>53</v>
      </c>
      <c r="N45" s="41" t="s">
        <v>53</v>
      </c>
      <c r="O45" s="39" t="n">
        <f aca="false">IF(J45="X",C$37,C$22-C$37)</f>
        <v>3</v>
      </c>
      <c r="P45" s="40" t="n">
        <f aca="false">IF(K45="X",D$37,D$22-D$37)</f>
        <v>36</v>
      </c>
      <c r="Q45" s="40" t="n">
        <f aca="false">IF(L45="X",E$37,E$22-E$37)</f>
        <v>6</v>
      </c>
      <c r="R45" s="40" t="n">
        <f aca="false">IF(M45="X",F$37,F$22-F$37)</f>
        <v>6</v>
      </c>
      <c r="S45" s="41" t="n">
        <f aca="false">IF(N45="X",G$37,G$22-G$37)</f>
        <v>6</v>
      </c>
      <c r="T45" s="51" t="n">
        <f aca="false">PRODUCT(O45:S45)</f>
        <v>23328</v>
      </c>
      <c r="U45" s="62" t="n">
        <f aca="false">T45/$G$23</f>
        <v>0.000162831089882762</v>
      </c>
      <c r="V45" s="53" t="n">
        <f aca="false">V44</f>
        <v>20</v>
      </c>
      <c r="W45" s="63" t="n">
        <f aca="false">V45*U45</f>
        <v>0.00325662179765523</v>
      </c>
    </row>
    <row r="46" customFormat="false" ht="15" hidden="false" customHeight="false" outlineLevel="0" collapsed="false">
      <c r="B46" s="39" t="str">
        <f aca="false">B14 &amp; " x5"</f>
        <v>SYM5 x5</v>
      </c>
      <c r="C46" s="51" t="n">
        <f aca="false">(C30*D30*E30*F30-$C$9*$D$9*$E$9*$F$9)*G30</f>
        <v>912</v>
      </c>
      <c r="D46" s="52" t="n">
        <f aca="false">'Game Info'!$C$3*C46/$G$23</f>
        <v>0.000127316490031789</v>
      </c>
      <c r="E46" s="53" t="n">
        <f aca="false">'Game Info'!AA18</f>
        <v>250</v>
      </c>
      <c r="F46" s="54" t="n">
        <f aca="false">D46*E46/'Game Info'!$C$2</f>
        <v>0.00318291225079472</v>
      </c>
      <c r="I46" s="55" t="s">
        <v>54</v>
      </c>
      <c r="J46" s="55" t="s">
        <v>33</v>
      </c>
      <c r="K46" s="56" t="s">
        <v>53</v>
      </c>
      <c r="L46" s="56" t="s">
        <v>53</v>
      </c>
      <c r="M46" s="56" t="s">
        <v>53</v>
      </c>
      <c r="N46" s="57" t="s">
        <v>53</v>
      </c>
      <c r="O46" s="55" t="n">
        <f aca="false">IF(J46="X",C$37,C$22-C$37)</f>
        <v>45</v>
      </c>
      <c r="P46" s="56" t="n">
        <f aca="false">IF(K46="X",D$37,D$22-D$37)</f>
        <v>6</v>
      </c>
      <c r="Q46" s="56" t="n">
        <f aca="false">IF(L46="X",E$37,E$22-E$37)</f>
        <v>6</v>
      </c>
      <c r="R46" s="56" t="n">
        <f aca="false">IF(M46="X",F$37,F$22-F$37)</f>
        <v>6</v>
      </c>
      <c r="S46" s="57" t="n">
        <f aca="false">IF(N46="X",G$37,G$22-G$37)</f>
        <v>6</v>
      </c>
      <c r="T46" s="58" t="n">
        <f aca="false">PRODUCT(O46:S46)</f>
        <v>58320</v>
      </c>
      <c r="U46" s="59" t="n">
        <f aca="false">T46/$G$23</f>
        <v>0.000407077724706904</v>
      </c>
      <c r="V46" s="60" t="n">
        <f aca="false">V45</f>
        <v>20</v>
      </c>
      <c r="W46" s="61" t="n">
        <f aca="false">V46*U46</f>
        <v>0.00814155449413808</v>
      </c>
    </row>
    <row r="47" customFormat="false" ht="15" hidden="false" customHeight="false" outlineLevel="0" collapsed="false">
      <c r="B47" s="39" t="str">
        <f aca="false">B15 &amp; " x5"</f>
        <v>A x5</v>
      </c>
      <c r="C47" s="51" t="n">
        <f aca="false">(C31*D31*E31*F31-$C$9*$D$9*$E$9*$F$9)*G31</f>
        <v>1980</v>
      </c>
      <c r="D47" s="52" t="n">
        <f aca="false">'Game Info'!$C$3*C47/$G$23</f>
        <v>0.00027641080072691</v>
      </c>
      <c r="E47" s="53" t="n">
        <f aca="false">'Game Info'!AA19</f>
        <v>125</v>
      </c>
      <c r="F47" s="54" t="n">
        <f aca="false">D47*E47/'Game Info'!$C$2</f>
        <v>0.00345513500908638</v>
      </c>
      <c r="I47" s="39" t="s">
        <v>55</v>
      </c>
      <c r="J47" s="39" t="s">
        <v>53</v>
      </c>
      <c r="K47" s="40" t="s">
        <v>53</v>
      </c>
      <c r="L47" s="40" t="s">
        <v>53</v>
      </c>
      <c r="M47" s="40" t="s">
        <v>33</v>
      </c>
      <c r="N47" s="41" t="s">
        <v>33</v>
      </c>
      <c r="O47" s="39" t="n">
        <f aca="false">IF(J47="X",C$37,C$22-C$37)</f>
        <v>3</v>
      </c>
      <c r="P47" s="40" t="n">
        <f aca="false">IF(K47="X",D$37,D$22-D$37)</f>
        <v>6</v>
      </c>
      <c r="Q47" s="40" t="n">
        <f aca="false">IF(L47="X",E$37,E$22-E$37)</f>
        <v>6</v>
      </c>
      <c r="R47" s="40" t="n">
        <f aca="false">IF(M47="X",F$37,F$22-F$37)</f>
        <v>30</v>
      </c>
      <c r="S47" s="41" t="n">
        <f aca="false">IF(N47="X",G$37,G$22-G$37)</f>
        <v>36</v>
      </c>
      <c r="T47" s="51" t="n">
        <f aca="false">PRODUCT(O47:S47)</f>
        <v>116640</v>
      </c>
      <c r="U47" s="62" t="n">
        <f aca="false">T47/$G$23</f>
        <v>0.000814155449413808</v>
      </c>
      <c r="V47" s="53" t="n">
        <f aca="false">'Game Info'!Y25</f>
        <v>5</v>
      </c>
      <c r="W47" s="63" t="n">
        <f aca="false">V47*U47</f>
        <v>0.00407077724706904</v>
      </c>
    </row>
    <row r="48" customFormat="false" ht="15" hidden="false" customHeight="false" outlineLevel="0" collapsed="false">
      <c r="B48" s="39" t="str">
        <f aca="false">B16 &amp; " x5"</f>
        <v>K x5</v>
      </c>
      <c r="C48" s="51" t="n">
        <f aca="false">(C32*D32*E32-$C$9*$D$9*$E$9)*F32*G32</f>
        <v>6435</v>
      </c>
      <c r="D48" s="52" t="n">
        <f aca="false">'Game Info'!$C$3*C48/$G$23</f>
        <v>0.000898335102362458</v>
      </c>
      <c r="E48" s="53" t="n">
        <f aca="false">'Game Info'!AA20</f>
        <v>100</v>
      </c>
      <c r="F48" s="54" t="n">
        <f aca="false">D48*E48/'Game Info'!$C$2</f>
        <v>0.00898335102362458</v>
      </c>
      <c r="I48" s="39" t="s">
        <v>55</v>
      </c>
      <c r="J48" s="39" t="s">
        <v>53</v>
      </c>
      <c r="K48" s="40" t="s">
        <v>53</v>
      </c>
      <c r="L48" s="40" t="s">
        <v>33</v>
      </c>
      <c r="M48" s="40" t="s">
        <v>53</v>
      </c>
      <c r="N48" s="41" t="s">
        <v>33</v>
      </c>
      <c r="O48" s="39" t="n">
        <f aca="false">IF(J48="X",C$37,C$22-C$37)</f>
        <v>3</v>
      </c>
      <c r="P48" s="40" t="n">
        <f aca="false">IF(K48="X",D$37,D$22-D$37)</f>
        <v>6</v>
      </c>
      <c r="Q48" s="40" t="n">
        <f aca="false">IF(L48="X",E$37,E$22-E$37)</f>
        <v>41</v>
      </c>
      <c r="R48" s="40" t="n">
        <f aca="false">IF(M48="X",F$37,F$22-F$37)</f>
        <v>6</v>
      </c>
      <c r="S48" s="41" t="n">
        <f aca="false">IF(N48="X",G$37,G$22-G$37)</f>
        <v>36</v>
      </c>
      <c r="T48" s="51" t="n">
        <f aca="false">PRODUCT(O48:S48)</f>
        <v>159408</v>
      </c>
      <c r="U48" s="62" t="n">
        <f aca="false">T48/$G$23</f>
        <v>0.00111267911419887</v>
      </c>
      <c r="V48" s="53" t="n">
        <f aca="false">V47</f>
        <v>5</v>
      </c>
      <c r="W48" s="63" t="n">
        <f aca="false">V48*U48</f>
        <v>0.00556339557099436</v>
      </c>
    </row>
    <row r="49" customFormat="false" ht="15" hidden="false" customHeight="false" outlineLevel="0" collapsed="false">
      <c r="B49" s="39" t="str">
        <f aca="false">B17 &amp; " x5"</f>
        <v>Q x5</v>
      </c>
      <c r="C49" s="51" t="n">
        <f aca="false">(C33*D33*E33-$C$9*$D$9*$E$9)*F33*G33</f>
        <v>3276</v>
      </c>
      <c r="D49" s="52" t="n">
        <f aca="false">'Game Info'!$C$3*C49/$G$23</f>
        <v>0.000457334233929979</v>
      </c>
      <c r="E49" s="53" t="n">
        <f aca="false">'Game Info'!AA21</f>
        <v>100</v>
      </c>
      <c r="F49" s="54" t="n">
        <f aca="false">D49*E49/'Game Info'!$C$2</f>
        <v>0.00457334233929979</v>
      </c>
      <c r="I49" s="39" t="s">
        <v>55</v>
      </c>
      <c r="J49" s="39" t="s">
        <v>53</v>
      </c>
      <c r="K49" s="40" t="s">
        <v>33</v>
      </c>
      <c r="L49" s="40" t="s">
        <v>53</v>
      </c>
      <c r="M49" s="40" t="s">
        <v>53</v>
      </c>
      <c r="N49" s="41" t="s">
        <v>33</v>
      </c>
      <c r="O49" s="39" t="n">
        <f aca="false">IF(J49="X",C$37,C$22-C$37)</f>
        <v>3</v>
      </c>
      <c r="P49" s="40" t="n">
        <f aca="false">IF(K49="X",D$37,D$22-D$37)</f>
        <v>36</v>
      </c>
      <c r="Q49" s="40" t="n">
        <f aca="false">IF(L49="X",E$37,E$22-E$37)</f>
        <v>6</v>
      </c>
      <c r="R49" s="40" t="n">
        <f aca="false">IF(M49="X",F$37,F$22-F$37)</f>
        <v>6</v>
      </c>
      <c r="S49" s="41" t="n">
        <f aca="false">IF(N49="X",G$37,G$22-G$37)</f>
        <v>36</v>
      </c>
      <c r="T49" s="51" t="n">
        <f aca="false">PRODUCT(O49:S49)</f>
        <v>139968</v>
      </c>
      <c r="U49" s="62" t="n">
        <f aca="false">T49/$G$23</f>
        <v>0.00097698653929657</v>
      </c>
      <c r="V49" s="53" t="n">
        <f aca="false">V48</f>
        <v>5</v>
      </c>
      <c r="W49" s="63" t="n">
        <f aca="false">V49*U49</f>
        <v>0.00488493269648285</v>
      </c>
    </row>
    <row r="50" customFormat="false" ht="15" hidden="false" customHeight="false" outlineLevel="0" collapsed="false">
      <c r="B50" s="39" t="str">
        <f aca="false">B18 &amp; " x5"</f>
        <v>J x5</v>
      </c>
      <c r="C50" s="51" t="n">
        <f aca="false">(C34*D34*E34-$C$9*$D$9*$E$9)*F34*G34</f>
        <v>8784</v>
      </c>
      <c r="D50" s="52" t="n">
        <f aca="false">'Game Info'!$C$3*C50/$G$23</f>
        <v>0.00122625882504302</v>
      </c>
      <c r="E50" s="53" t="n">
        <f aca="false">'Game Info'!AA22</f>
        <v>100</v>
      </c>
      <c r="F50" s="54" t="n">
        <f aca="false">D50*E50/'Game Info'!$C$2</f>
        <v>0.0122625882504302</v>
      </c>
      <c r="I50" s="39" t="s">
        <v>55</v>
      </c>
      <c r="J50" s="39" t="s">
        <v>33</v>
      </c>
      <c r="K50" s="40" t="s">
        <v>53</v>
      </c>
      <c r="L50" s="40" t="s">
        <v>53</v>
      </c>
      <c r="M50" s="40" t="s">
        <v>53</v>
      </c>
      <c r="N50" s="41" t="s">
        <v>33</v>
      </c>
      <c r="O50" s="39" t="n">
        <f aca="false">IF(J50="X",C$37,C$22-C$37)</f>
        <v>45</v>
      </c>
      <c r="P50" s="40" t="n">
        <f aca="false">IF(K50="X",D$37,D$22-D$37)</f>
        <v>6</v>
      </c>
      <c r="Q50" s="40" t="n">
        <f aca="false">IF(L50="X",E$37,E$22-E$37)</f>
        <v>6</v>
      </c>
      <c r="R50" s="40" t="n">
        <f aca="false">IF(M50="X",F$37,F$22-F$37)</f>
        <v>6</v>
      </c>
      <c r="S50" s="41" t="n">
        <f aca="false">IF(N50="X",G$37,G$22-G$37)</f>
        <v>36</v>
      </c>
      <c r="T50" s="51" t="n">
        <f aca="false">PRODUCT(O50:S50)</f>
        <v>349920</v>
      </c>
      <c r="U50" s="62" t="n">
        <f aca="false">T50/$G$23</f>
        <v>0.00244246634824142</v>
      </c>
      <c r="V50" s="53" t="n">
        <f aca="false">V49</f>
        <v>5</v>
      </c>
      <c r="W50" s="63" t="n">
        <f aca="false">V50*U50</f>
        <v>0.0122123317412071</v>
      </c>
    </row>
    <row r="51" customFormat="false" ht="15" hidden="false" customHeight="false" outlineLevel="0" collapsed="false">
      <c r="B51" s="39" t="str">
        <f aca="false">B19 &amp; " x5"</f>
        <v>10 x5</v>
      </c>
      <c r="C51" s="51" t="n">
        <f aca="false">(C35*D35*E35-$C$9*$D$9*$E$9)*F35*G35</f>
        <v>9786</v>
      </c>
      <c r="D51" s="52" t="n">
        <f aca="false">'Game Info'!$C$3*C51/$G$23</f>
        <v>0.00136613944238058</v>
      </c>
      <c r="E51" s="53" t="n">
        <f aca="false">'Game Info'!AA23</f>
        <v>100</v>
      </c>
      <c r="F51" s="54" t="n">
        <f aca="false">D51*E51/'Game Info'!$C$2</f>
        <v>0.0136613944238058</v>
      </c>
      <c r="I51" s="39" t="s">
        <v>55</v>
      </c>
      <c r="J51" s="39" t="s">
        <v>53</v>
      </c>
      <c r="K51" s="40" t="s">
        <v>53</v>
      </c>
      <c r="L51" s="40" t="s">
        <v>33</v>
      </c>
      <c r="M51" s="40" t="s">
        <v>33</v>
      </c>
      <c r="N51" s="41" t="s">
        <v>53</v>
      </c>
      <c r="O51" s="39" t="n">
        <f aca="false">IF(J51="X",C$37,C$22-C$37)</f>
        <v>3</v>
      </c>
      <c r="P51" s="40" t="n">
        <f aca="false">IF(K51="X",D$37,D$22-D$37)</f>
        <v>6</v>
      </c>
      <c r="Q51" s="40" t="n">
        <f aca="false">IF(L51="X",E$37,E$22-E$37)</f>
        <v>41</v>
      </c>
      <c r="R51" s="40" t="n">
        <f aca="false">IF(M51="X",F$37,F$22-F$37)</f>
        <v>30</v>
      </c>
      <c r="S51" s="41" t="n">
        <f aca="false">IF(N51="X",G$37,G$22-G$37)</f>
        <v>6</v>
      </c>
      <c r="T51" s="51" t="n">
        <f aca="false">PRODUCT(O51:S51)</f>
        <v>132840</v>
      </c>
      <c r="U51" s="62" t="n">
        <f aca="false">T51/$G$23</f>
        <v>0.000927232595165726</v>
      </c>
      <c r="V51" s="53" t="n">
        <f aca="false">V50</f>
        <v>5</v>
      </c>
      <c r="W51" s="63" t="n">
        <f aca="false">V51*U51</f>
        <v>0.00463616297582863</v>
      </c>
    </row>
    <row r="52" customFormat="false" ht="15" hidden="false" customHeight="false" outlineLevel="0" collapsed="false">
      <c r="B52" s="39" t="str">
        <f aca="false">B20 &amp; " x5"</f>
        <v>9 x5</v>
      </c>
      <c r="C52" s="51" t="n">
        <f aca="false">(C36*D36*E36-$C$9*$D$9*$E$9)*F36*G36</f>
        <v>8160</v>
      </c>
      <c r="D52" s="52" t="n">
        <f aca="false">'Game Info'!$C$3*C52/$G$23</f>
        <v>0.00113914754238969</v>
      </c>
      <c r="E52" s="53" t="n">
        <f aca="false">'Game Info'!AA24</f>
        <v>100</v>
      </c>
      <c r="F52" s="54" t="n">
        <f aca="false">D52*E52/'Game Info'!$C$2</f>
        <v>0.0113914754238969</v>
      </c>
      <c r="I52" s="39" t="s">
        <v>55</v>
      </c>
      <c r="J52" s="39" t="s">
        <v>53</v>
      </c>
      <c r="K52" s="40" t="s">
        <v>33</v>
      </c>
      <c r="L52" s="40" t="s">
        <v>53</v>
      </c>
      <c r="M52" s="40" t="s">
        <v>33</v>
      </c>
      <c r="N52" s="41" t="s">
        <v>53</v>
      </c>
      <c r="O52" s="39" t="n">
        <f aca="false">IF(J52="X",C$37,C$22-C$37)</f>
        <v>3</v>
      </c>
      <c r="P52" s="40" t="n">
        <f aca="false">IF(K52="X",D$37,D$22-D$37)</f>
        <v>36</v>
      </c>
      <c r="Q52" s="40" t="n">
        <f aca="false">IF(L52="X",E$37,E$22-E$37)</f>
        <v>6</v>
      </c>
      <c r="R52" s="40" t="n">
        <f aca="false">IF(M52="X",F$37,F$22-F$37)</f>
        <v>30</v>
      </c>
      <c r="S52" s="41" t="n">
        <f aca="false">IF(N52="X",G$37,G$22-G$37)</f>
        <v>6</v>
      </c>
      <c r="T52" s="51" t="n">
        <f aca="false">PRODUCT(O52:S52)</f>
        <v>116640</v>
      </c>
      <c r="U52" s="62" t="n">
        <f aca="false">T52/$G$23</f>
        <v>0.000814155449413808</v>
      </c>
      <c r="V52" s="53" t="n">
        <f aca="false">V51</f>
        <v>5</v>
      </c>
      <c r="W52" s="63" t="n">
        <f aca="false">V52*U52</f>
        <v>0.00407077724706904</v>
      </c>
    </row>
    <row r="53" customFormat="false" ht="15" hidden="false" customHeight="false" outlineLevel="0" collapsed="false">
      <c r="B53" s="39" t="str">
        <f aca="false">B9 &amp; " x4"</f>
        <v>WILD x4</v>
      </c>
      <c r="C53" s="51" t="n">
        <f aca="false">C9*D9*E9*F9*(G22-G9-G10-G11-G12)</f>
        <v>396</v>
      </c>
      <c r="D53" s="52" t="n">
        <f aca="false">'Game Info'!$C$3*C53/$G$23</f>
        <v>5.5282160145382E-005</v>
      </c>
      <c r="E53" s="53" t="n">
        <f aca="false">'Game Info'!Z13</f>
        <v>500</v>
      </c>
      <c r="F53" s="54" t="n">
        <f aca="false">D53*E53/'Game Info'!$C$2</f>
        <v>0.0027641080072691</v>
      </c>
      <c r="I53" s="39" t="s">
        <v>55</v>
      </c>
      <c r="J53" s="39" t="s">
        <v>33</v>
      </c>
      <c r="K53" s="40" t="s">
        <v>53</v>
      </c>
      <c r="L53" s="40" t="s">
        <v>53</v>
      </c>
      <c r="M53" s="40" t="s">
        <v>33</v>
      </c>
      <c r="N53" s="41" t="s">
        <v>53</v>
      </c>
      <c r="O53" s="39" t="n">
        <f aca="false">IF(J53="X",C$37,C$22-C$37)</f>
        <v>45</v>
      </c>
      <c r="P53" s="40" t="n">
        <f aca="false">IF(K53="X",D$37,D$22-D$37)</f>
        <v>6</v>
      </c>
      <c r="Q53" s="40" t="n">
        <f aca="false">IF(L53="X",E$37,E$22-E$37)</f>
        <v>6</v>
      </c>
      <c r="R53" s="40" t="n">
        <f aca="false">IF(M53="X",F$37,F$22-F$37)</f>
        <v>30</v>
      </c>
      <c r="S53" s="41" t="n">
        <f aca="false">IF(N53="X",G$37,G$22-G$37)</f>
        <v>6</v>
      </c>
      <c r="T53" s="51" t="n">
        <f aca="false">PRODUCT(O53:S53)</f>
        <v>291600</v>
      </c>
      <c r="U53" s="62" t="n">
        <f aca="false">T53/$G$23</f>
        <v>0.00203538862353452</v>
      </c>
      <c r="V53" s="53" t="n">
        <f aca="false">V52</f>
        <v>5</v>
      </c>
      <c r="W53" s="63" t="n">
        <f aca="false">V53*U53</f>
        <v>0.0101769431176726</v>
      </c>
    </row>
    <row r="54" customFormat="false" ht="15" hidden="false" customHeight="false" outlineLevel="0" collapsed="false">
      <c r="B54" s="39" t="str">
        <f aca="false">B10 &amp; " x4"</f>
        <v>SYM1 x4</v>
      </c>
      <c r="C54" s="51" t="n">
        <f aca="false">(C26*D26*E26-$C$9*$D$9*$E$9)*F26*($G$22-G26)</f>
        <v>3744</v>
      </c>
      <c r="D54" s="52" t="n">
        <f aca="false">'Game Info'!$C$3*C54/$G$23</f>
        <v>0.000522667695919976</v>
      </c>
      <c r="E54" s="53" t="n">
        <f aca="false">'Game Info'!Z14</f>
        <v>100</v>
      </c>
      <c r="F54" s="54" t="n">
        <f aca="false">D54*E54/'Game Info'!$C$2</f>
        <v>0.00522667695919976</v>
      </c>
      <c r="I54" s="39" t="s">
        <v>55</v>
      </c>
      <c r="J54" s="39" t="s">
        <v>53</v>
      </c>
      <c r="K54" s="40" t="s">
        <v>33</v>
      </c>
      <c r="L54" s="40" t="s">
        <v>33</v>
      </c>
      <c r="M54" s="40" t="s">
        <v>53</v>
      </c>
      <c r="N54" s="41" t="s">
        <v>53</v>
      </c>
      <c r="O54" s="39" t="n">
        <f aca="false">IF(J54="X",C$37,C$22-C$37)</f>
        <v>3</v>
      </c>
      <c r="P54" s="40" t="n">
        <f aca="false">IF(K54="X",D$37,D$22-D$37)</f>
        <v>36</v>
      </c>
      <c r="Q54" s="40" t="n">
        <f aca="false">IF(L54="X",E$37,E$22-E$37)</f>
        <v>41</v>
      </c>
      <c r="R54" s="40" t="n">
        <f aca="false">IF(M54="X",F$37,F$22-F$37)</f>
        <v>6</v>
      </c>
      <c r="S54" s="41" t="n">
        <f aca="false">IF(N54="X",G$37,G$22-G$37)</f>
        <v>6</v>
      </c>
      <c r="T54" s="51" t="n">
        <f aca="false">PRODUCT(O54:S54)</f>
        <v>159408</v>
      </c>
      <c r="U54" s="62" t="n">
        <f aca="false">T54/$G$23</f>
        <v>0.00111267911419887</v>
      </c>
      <c r="V54" s="53" t="n">
        <f aca="false">V53</f>
        <v>5</v>
      </c>
      <c r="W54" s="63" t="n">
        <f aca="false">V54*U54</f>
        <v>0.00556339557099436</v>
      </c>
    </row>
    <row r="55" customFormat="false" ht="15" hidden="false" customHeight="false" outlineLevel="0" collapsed="false">
      <c r="B55" s="39" t="str">
        <f aca="false">B11 &amp; " x4"</f>
        <v>SYM2 x4</v>
      </c>
      <c r="C55" s="51" t="n">
        <f aca="false">(C27*D27*E27-$C$9*$D$9*$E$9)*F27*($G$22-G27)</f>
        <v>35520</v>
      </c>
      <c r="D55" s="52" t="n">
        <f aca="false">'Game Info'!$C$3*C55/$G$23</f>
        <v>0.00495864224334336</v>
      </c>
      <c r="E55" s="53" t="n">
        <f aca="false">'Game Info'!Z15</f>
        <v>100</v>
      </c>
      <c r="F55" s="54" t="n">
        <f aca="false">D55*E55/'Game Info'!$C$2</f>
        <v>0.0495864224334336</v>
      </c>
      <c r="I55" s="39" t="s">
        <v>55</v>
      </c>
      <c r="J55" s="39" t="s">
        <v>33</v>
      </c>
      <c r="K55" s="40" t="s">
        <v>53</v>
      </c>
      <c r="L55" s="40" t="s">
        <v>33</v>
      </c>
      <c r="M55" s="40" t="s">
        <v>53</v>
      </c>
      <c r="N55" s="41" t="s">
        <v>53</v>
      </c>
      <c r="O55" s="39" t="n">
        <f aca="false">IF(J55="X",C$37,C$22-C$37)</f>
        <v>45</v>
      </c>
      <c r="P55" s="40" t="n">
        <f aca="false">IF(K55="X",D$37,D$22-D$37)</f>
        <v>6</v>
      </c>
      <c r="Q55" s="40" t="n">
        <f aca="false">IF(L55="X",E$37,E$22-E$37)</f>
        <v>41</v>
      </c>
      <c r="R55" s="40" t="n">
        <f aca="false">IF(M55="X",F$37,F$22-F$37)</f>
        <v>6</v>
      </c>
      <c r="S55" s="41" t="n">
        <f aca="false">IF(N55="X",G$37,G$22-G$37)</f>
        <v>6</v>
      </c>
      <c r="T55" s="51" t="n">
        <f aca="false">PRODUCT(O55:S55)</f>
        <v>398520</v>
      </c>
      <c r="U55" s="62" t="n">
        <f aca="false">T55/$G$23</f>
        <v>0.00278169778549718</v>
      </c>
      <c r="V55" s="53" t="n">
        <f aca="false">V54</f>
        <v>5</v>
      </c>
      <c r="W55" s="63" t="n">
        <f aca="false">V55*U55</f>
        <v>0.0139084889274859</v>
      </c>
    </row>
    <row r="56" customFormat="false" ht="15" hidden="false" customHeight="false" outlineLevel="0" collapsed="false">
      <c r="B56" s="39" t="str">
        <f aca="false">B12 &amp; " x4"</f>
        <v>SYM3 x4</v>
      </c>
      <c r="C56" s="51" t="n">
        <f aca="false">(C28*D28*E28-$C$9*$D$9*$E$9)*F28*($G$22-G28)</f>
        <v>33228</v>
      </c>
      <c r="D56" s="52" t="n">
        <f aca="false">'Game Info'!$C$3*C56/$G$23</f>
        <v>0.00463867580128978</v>
      </c>
      <c r="E56" s="53" t="n">
        <f aca="false">'Game Info'!Z16</f>
        <v>100</v>
      </c>
      <c r="F56" s="54" t="n">
        <f aca="false">D56*E56/'Game Info'!$C$2</f>
        <v>0.0463867580128978</v>
      </c>
      <c r="I56" s="55" t="s">
        <v>55</v>
      </c>
      <c r="J56" s="55" t="s">
        <v>33</v>
      </c>
      <c r="K56" s="56" t="s">
        <v>33</v>
      </c>
      <c r="L56" s="56" t="s">
        <v>53</v>
      </c>
      <c r="M56" s="56" t="s">
        <v>53</v>
      </c>
      <c r="N56" s="57" t="s">
        <v>53</v>
      </c>
      <c r="O56" s="55" t="n">
        <f aca="false">IF(J56="X",C$37,C$22-C$37)</f>
        <v>45</v>
      </c>
      <c r="P56" s="56" t="n">
        <f aca="false">IF(K56="X",D$37,D$22-D$37)</f>
        <v>36</v>
      </c>
      <c r="Q56" s="56" t="n">
        <f aca="false">IF(L56="X",E$37,E$22-E$37)</f>
        <v>6</v>
      </c>
      <c r="R56" s="56" t="n">
        <f aca="false">IF(M56="X",F$37,F$22-F$37)</f>
        <v>6</v>
      </c>
      <c r="S56" s="57" t="n">
        <f aca="false">IF(N56="X",G$37,G$22-G$37)</f>
        <v>6</v>
      </c>
      <c r="T56" s="58" t="n">
        <f aca="false">PRODUCT(O56:S56)</f>
        <v>349920</v>
      </c>
      <c r="U56" s="59" t="n">
        <f aca="false">T56/$G$23</f>
        <v>0.00244246634824142</v>
      </c>
      <c r="V56" s="60" t="n">
        <f aca="false">V55</f>
        <v>5</v>
      </c>
      <c r="W56" s="61" t="n">
        <f aca="false">V56*U56</f>
        <v>0.0122123317412071</v>
      </c>
    </row>
    <row r="57" customFormat="false" ht="15" hidden="false" customHeight="false" outlineLevel="0" collapsed="false">
      <c r="B57" s="39" t="str">
        <f aca="false">B13 &amp; " x4"</f>
        <v>SYM4 x4</v>
      </c>
      <c r="C57" s="51" t="n">
        <f aca="false">(C29*D29*E29-$C$9*$D$9*$E$9)*F29*($G$22-G29)</f>
        <v>19980</v>
      </c>
      <c r="D57" s="52" t="n">
        <f aca="false">'Game Info'!$C$3*C57/$G$23</f>
        <v>0.00278923626188064</v>
      </c>
      <c r="E57" s="53" t="n">
        <f aca="false">'Game Info'!Z17</f>
        <v>75</v>
      </c>
      <c r="F57" s="54" t="n">
        <f aca="false">D57*E57/'Game Info'!$C$2</f>
        <v>0.0209192719641048</v>
      </c>
    </row>
    <row r="58" customFormat="false" ht="15" hidden="false" customHeight="false" outlineLevel="0" collapsed="false">
      <c r="B58" s="39" t="str">
        <f aca="false">B14 &amp; " x4"</f>
        <v>SYM5 x4</v>
      </c>
      <c r="C58" s="51" t="n">
        <f aca="false">(C30*D30*E30-$C$9*$D$9*$E$9)*F30*($G$22-G30)</f>
        <v>8208</v>
      </c>
      <c r="D58" s="52" t="n">
        <f aca="false">'Game Info'!$C$3*C58/$G$23</f>
        <v>0.0011458484102861</v>
      </c>
      <c r="E58" s="53" t="n">
        <f aca="false">'Game Info'!Z18</f>
        <v>50</v>
      </c>
      <c r="F58" s="54" t="n">
        <f aca="false">D58*E58/'Game Info'!$C$2</f>
        <v>0.0057292420514305</v>
      </c>
    </row>
    <row r="59" customFormat="false" ht="15" hidden="false" customHeight="false" outlineLevel="0" collapsed="false">
      <c r="B59" s="39" t="str">
        <f aca="false">B15 &amp; " x4"</f>
        <v>A x4</v>
      </c>
      <c r="C59" s="51" t="n">
        <f aca="false">(C31*D31*E31-$C$9*$D$9*$E$9)*F31*($G$22-G31)</f>
        <v>24336</v>
      </c>
      <c r="D59" s="52" t="n">
        <f aca="false">'Game Info'!$C$3*C59/$G$23</f>
        <v>0.00339734002347984</v>
      </c>
      <c r="E59" s="53" t="n">
        <f aca="false">'Game Info'!Z19</f>
        <v>50</v>
      </c>
      <c r="F59" s="54" t="n">
        <f aca="false">D59*E59/'Game Info'!$C$2</f>
        <v>0.0169867001173992</v>
      </c>
    </row>
    <row r="60" customFormat="false" ht="15" hidden="false" customHeight="false" outlineLevel="0" collapsed="false">
      <c r="B60" s="39" t="str">
        <f aca="false">B16 &amp; " x4"</f>
        <v>K x4</v>
      </c>
      <c r="C60" s="51" t="n">
        <f aca="false">(C32*D32*E32-$C$9*$D$9*$E$9)*F32*($G$22-G32)</f>
        <v>83655</v>
      </c>
      <c r="D60" s="52" t="n">
        <f aca="false">'Game Info'!$C$3*C60/$G$23</f>
        <v>0.011678356330712</v>
      </c>
      <c r="E60" s="53" t="n">
        <f aca="false">'Game Info'!Z20</f>
        <v>50</v>
      </c>
      <c r="F60" s="54" t="n">
        <f aca="false">D60*E60/'Game Info'!$C$2</f>
        <v>0.0583917816535598</v>
      </c>
    </row>
    <row r="61" customFormat="false" ht="15" hidden="false" customHeight="false" outlineLevel="0" collapsed="false">
      <c r="B61" s="39" t="str">
        <f aca="false">B17 &amp; " x4"</f>
        <v>Q x4</v>
      </c>
      <c r="C61" s="51" t="n">
        <f aca="false">(C33*D33*E33-$C$9*$D$9*$E$9)*F33*($G$22-G33)</f>
        <v>16380</v>
      </c>
      <c r="D61" s="52" t="n">
        <f aca="false">'Game Info'!$C$3*C61/$G$23</f>
        <v>0.00228667116964989</v>
      </c>
      <c r="E61" s="53" t="n">
        <f aca="false">'Game Info'!Z21</f>
        <v>50</v>
      </c>
      <c r="F61" s="54" t="n">
        <f aca="false">D61*E61/'Game Info'!$C$2</f>
        <v>0.0114333558482495</v>
      </c>
    </row>
    <row r="62" customFormat="false" ht="15" hidden="false" customHeight="false" outlineLevel="0" collapsed="false">
      <c r="B62" s="39" t="str">
        <f aca="false">B18 &amp; " x4"</f>
        <v>J x4</v>
      </c>
      <c r="C62" s="51" t="n">
        <f aca="false">(C34*D34*E34-$C$9*$D$9*$E$9)*F34*($G$22-G34)</f>
        <v>52704</v>
      </c>
      <c r="D62" s="52" t="n">
        <f aca="false">'Game Info'!$C$3*C62/$G$23</f>
        <v>0.00735755295025812</v>
      </c>
      <c r="E62" s="53" t="n">
        <f aca="false">'Game Info'!Z22</f>
        <v>25</v>
      </c>
      <c r="F62" s="54" t="n">
        <f aca="false">D62*E62/'Game Info'!$C$2</f>
        <v>0.0183938823756453</v>
      </c>
    </row>
    <row r="63" customFormat="false" ht="15" hidden="false" customHeight="false" outlineLevel="0" collapsed="false">
      <c r="B63" s="39" t="str">
        <f aca="false">B19 &amp; " x4"</f>
        <v>10 x4</v>
      </c>
      <c r="C63" s="51" t="n">
        <f aca="false">(C35*D35*E35-$C$9*$D$9*$E$9)*F35*($G$22-G35)</f>
        <v>48930</v>
      </c>
      <c r="D63" s="52" t="n">
        <f aca="false">'Game Info'!$C$3*C63/$G$23</f>
        <v>0.00683069721190289</v>
      </c>
      <c r="E63" s="53" t="n">
        <f aca="false">'Game Info'!Z23</f>
        <v>25</v>
      </c>
      <c r="F63" s="54" t="n">
        <f aca="false">D63*E63/'Game Info'!$C$2</f>
        <v>0.0170767430297572</v>
      </c>
    </row>
    <row r="64" customFormat="false" ht="15" hidden="false" customHeight="false" outlineLevel="0" collapsed="false">
      <c r="B64" s="39" t="str">
        <f aca="false">B20 &amp; " x4"</f>
        <v>9 x4</v>
      </c>
      <c r="C64" s="51" t="n">
        <f aca="false">(C36*D36*E36-$C$9*$D$9*$E$9)*F36*($G$22-G36)</f>
        <v>77520</v>
      </c>
      <c r="D64" s="52" t="n">
        <f aca="false">'Game Info'!$C$3*C64/$G$23</f>
        <v>0.0108219016527021</v>
      </c>
      <c r="E64" s="53" t="n">
        <f aca="false">'Game Info'!Z24</f>
        <v>25</v>
      </c>
      <c r="F64" s="54" t="n">
        <f aca="false">D64*E64/'Game Info'!$C$2</f>
        <v>0.0270547541317551</v>
      </c>
    </row>
    <row r="65" customFormat="false" ht="15" hidden="false" customHeight="false" outlineLevel="0" collapsed="false">
      <c r="B65" s="39" t="str">
        <f aca="false">B9 &amp; " x3"</f>
        <v>WILD x3</v>
      </c>
      <c r="C65" s="51" t="n">
        <f aca="false">C9*D9*E9*((F22-F9)*G22-SUMPRODUCT(F10:F15,G26:G31))</f>
        <v>16920</v>
      </c>
      <c r="D65" s="52" t="n">
        <f aca="false">'Game Info'!$C$3*C65/$G$23</f>
        <v>0.00236205593348451</v>
      </c>
      <c r="E65" s="53" t="n">
        <f aca="false">'Game Info'!Y13</f>
        <v>100</v>
      </c>
      <c r="F65" s="54" t="n">
        <f aca="false">D65*E65/'Game Info'!$C$2</f>
        <v>0.0236205593348451</v>
      </c>
    </row>
    <row r="66" customFormat="false" ht="15" hidden="false" customHeight="false" outlineLevel="0" collapsed="false">
      <c r="B66" s="39" t="str">
        <f aca="false">B10 &amp; " x3"</f>
        <v>SYM1 x3</v>
      </c>
      <c r="C66" s="51" t="n">
        <f aca="false">(C26*D26*E26-$C$9*$D$9*$E$9)*($F$22-F26)*$G$22</f>
        <v>68544</v>
      </c>
      <c r="D66" s="52" t="n">
        <f aca="false">'Game Info'!$C$3*C66/$G$23</f>
        <v>0.0095688393560734</v>
      </c>
      <c r="E66" s="53" t="n">
        <f aca="false">'Game Info'!Y14</f>
        <v>25</v>
      </c>
      <c r="F66" s="54" t="n">
        <f aca="false">D66*E66/'Game Info'!$C$2</f>
        <v>0.0239220983901835</v>
      </c>
    </row>
    <row r="67" customFormat="false" ht="15" hidden="false" customHeight="false" outlineLevel="0" collapsed="false">
      <c r="B67" s="39" t="str">
        <f aca="false">B11 &amp; " x3"</f>
        <v>SYM2 x3</v>
      </c>
      <c r="C67" s="51" t="n">
        <f aca="false">(C27*D27*E27-$C$9*$D$9*$E$9)*($F$22-F27)*$G$22</f>
        <v>322560</v>
      </c>
      <c r="D67" s="52" t="n">
        <f aca="false">'Game Info'!$C$3*C67/$G$23</f>
        <v>0.0450298322638748</v>
      </c>
      <c r="E67" s="53" t="n">
        <f aca="false">'Game Info'!Y15</f>
        <v>25</v>
      </c>
      <c r="F67" s="54" t="n">
        <f aca="false">D67*E67/'Game Info'!$C$2</f>
        <v>0.112574580659687</v>
      </c>
    </row>
    <row r="68" customFormat="false" ht="15" hidden="false" customHeight="false" outlineLevel="0" collapsed="false">
      <c r="B68" s="39" t="str">
        <f aca="false">B12 &amp; " x3"</f>
        <v>SYM3 x3</v>
      </c>
      <c r="C68" s="51" t="n">
        <f aca="false">(C28*D28*E28-$C$9*$D$9*$E$9)*($F$22-F28)*$G$22</f>
        <v>286272</v>
      </c>
      <c r="D68" s="52" t="n">
        <f aca="false">'Game Info'!$C$3*C68/$G$23</f>
        <v>0.0399639761341889</v>
      </c>
      <c r="E68" s="53" t="n">
        <f aca="false">'Game Info'!Y16</f>
        <v>25</v>
      </c>
      <c r="F68" s="54" t="n">
        <f aca="false">D68*E68/'Game Info'!$C$2</f>
        <v>0.0999099403354723</v>
      </c>
    </row>
    <row r="69" customFormat="false" ht="15" hidden="false" customHeight="false" outlineLevel="0" collapsed="false">
      <c r="B69" s="39" t="str">
        <f aca="false">B13 &amp; " x3"</f>
        <v>SYM4 x3</v>
      </c>
      <c r="C69" s="51" t="n">
        <f aca="false">(C29*D29*E29-$C$9*$D$9*$E$9)*($F$22-F29)*$G$22</f>
        <v>140616</v>
      </c>
      <c r="D69" s="52" t="n">
        <f aca="false">'Game Info'!$C$3*C69/$G$23</f>
        <v>0.0196301925025329</v>
      </c>
      <c r="E69" s="53" t="n">
        <f aca="false">'Game Info'!Y17</f>
        <v>10</v>
      </c>
      <c r="F69" s="54" t="n">
        <f aca="false">D69*E69/'Game Info'!$C$2</f>
        <v>0.0196301925025329</v>
      </c>
    </row>
    <row r="70" customFormat="false" ht="15" hidden="false" customHeight="false" outlineLevel="0" collapsed="false">
      <c r="B70" s="39" t="str">
        <f aca="false">B14 &amp; " x3"</f>
        <v>SYM5 x3</v>
      </c>
      <c r="C70" s="51" t="n">
        <f aca="false">(C30*D30*E30-$C$9*$D$9*$E$9)*($F$22-F30)*$G$22</f>
        <v>154224</v>
      </c>
      <c r="D70" s="52" t="n">
        <f aca="false">'Game Info'!$C$3*C70/$G$23</f>
        <v>0.0215298885511651</v>
      </c>
      <c r="E70" s="53" t="n">
        <f aca="false">'Game Info'!Y18</f>
        <v>10</v>
      </c>
      <c r="F70" s="54" t="n">
        <f aca="false">D70*E70/'Game Info'!$C$2</f>
        <v>0.0215298885511651</v>
      </c>
    </row>
    <row r="71" customFormat="false" ht="15" hidden="false" customHeight="false" outlineLevel="0" collapsed="false">
      <c r="B71" s="39" t="str">
        <f aca="false">B15 &amp; " x3"</f>
        <v>A x3</v>
      </c>
      <c r="C71" s="51" t="n">
        <f aca="false">(C31*D31*E31-$C$9*$D$9*$E$9)*($F$22-F31)*$G$22</f>
        <v>209664</v>
      </c>
      <c r="D71" s="52" t="n">
        <f aca="false">'Game Info'!$C$3*C71/$G$23</f>
        <v>0.0292693909715186</v>
      </c>
      <c r="E71" s="53" t="n">
        <f aca="false">'Game Info'!Y19</f>
        <v>10</v>
      </c>
      <c r="F71" s="54" t="n">
        <f aca="false">D71*E71/'Game Info'!$C$2</f>
        <v>0.0292693909715186</v>
      </c>
    </row>
    <row r="72" customFormat="false" ht="15" hidden="false" customHeight="false" outlineLevel="0" collapsed="false">
      <c r="B72" s="39" t="str">
        <f aca="false">B16 &amp; " x3"</f>
        <v>K x3</v>
      </c>
      <c r="C72" s="51" t="n">
        <f aca="false">(C32*D32*E32-$C$9*$D$9*$E$9)*($F$22-F32)*$G$22</f>
        <v>558558</v>
      </c>
      <c r="D72" s="52" t="n">
        <f aca="false">'Game Info'!$C$3*C72/$G$23</f>
        <v>0.0779754868850614</v>
      </c>
      <c r="E72" s="53" t="n">
        <f aca="false">'Game Info'!Y20</f>
        <v>5</v>
      </c>
      <c r="F72" s="54" t="n">
        <f aca="false">D72*E72/'Game Info'!$C$2</f>
        <v>0.0389877434425307</v>
      </c>
    </row>
    <row r="73" customFormat="false" ht="15" hidden="false" customHeight="false" outlineLevel="0" collapsed="false">
      <c r="B73" s="39" t="str">
        <f aca="false">B17 &amp; " x3"</f>
        <v>Q x3</v>
      </c>
      <c r="C73" s="51" t="n">
        <f aca="false">(C33*D33*E33-$C$9*$D$9*$E$9)*($F$22-F33)*$G$22</f>
        <v>216216</v>
      </c>
      <c r="D73" s="52" t="n">
        <f aca="false">'Game Info'!$C$3*C73/$G$23</f>
        <v>0.0301840594393786</v>
      </c>
      <c r="E73" s="53" t="n">
        <f aca="false">'Game Info'!Y21</f>
        <v>5</v>
      </c>
      <c r="F73" s="54" t="n">
        <f aca="false">D73*E73/'Game Info'!$C$2</f>
        <v>0.0150920297196893</v>
      </c>
    </row>
    <row r="74" customFormat="false" ht="15" hidden="false" customHeight="false" outlineLevel="0" collapsed="false">
      <c r="B74" s="39" t="str">
        <f aca="false">B18 &amp; " x3"</f>
        <v>J x3</v>
      </c>
      <c r="C74" s="51" t="n">
        <f aca="false">(C34*D34*E34-$C$9*$D$9*$E$9)*($F$22-F34)*$G$22</f>
        <v>491904</v>
      </c>
      <c r="D74" s="52" t="n">
        <f aca="false">'Game Info'!$C$3*C74/$G$23</f>
        <v>0.0686704942024091</v>
      </c>
      <c r="E74" s="53" t="n">
        <f aca="false">'Game Info'!Y22</f>
        <v>5</v>
      </c>
      <c r="F74" s="54" t="n">
        <f aca="false">D74*E74/'Game Info'!$C$2</f>
        <v>0.0343352471012046</v>
      </c>
    </row>
    <row r="75" customFormat="false" ht="15" hidden="false" customHeight="false" outlineLevel="0" collapsed="false">
      <c r="B75" s="39" t="str">
        <f aca="false">B19 &amp; " x3"</f>
        <v>10 x3</v>
      </c>
      <c r="C75" s="51" t="n">
        <f aca="false">(C35*D35*E35-$C$9*$D$9*$E$9)*($F$22-F35)*$G$22</f>
        <v>293580</v>
      </c>
      <c r="D75" s="52" t="n">
        <f aca="false">'Game Info'!$C$3*C75/$G$23</f>
        <v>0.0409841832714173</v>
      </c>
      <c r="E75" s="53" t="n">
        <f aca="false">'Game Info'!Y23</f>
        <v>5</v>
      </c>
      <c r="F75" s="54" t="n">
        <f aca="false">D75*E75/'Game Info'!$C$2</f>
        <v>0.0204920916357087</v>
      </c>
    </row>
    <row r="76" customFormat="false" ht="15" hidden="false" customHeight="false" outlineLevel="0" collapsed="false">
      <c r="B76" s="39" t="str">
        <f aca="false">B20 &amp; " x3"</f>
        <v>9 x3</v>
      </c>
      <c r="C76" s="51" t="n">
        <f aca="false">(C36*D36*E36-$C$9*$D$9*$E$9)*($F$22-F36)*$G$22</f>
        <v>531216</v>
      </c>
      <c r="D76" s="52" t="n">
        <f aca="false">'Game Info'!$C$3*C76/$G$23</f>
        <v>0.0741585050095689</v>
      </c>
      <c r="E76" s="53" t="n">
        <f aca="false">'Game Info'!Y24</f>
        <v>5</v>
      </c>
      <c r="F76" s="54" t="n">
        <f aca="false">D76*E76/'Game Info'!$C$2</f>
        <v>0.0370792525047844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en-US</dc:language>
  <cp:lastModifiedBy/>
  <dcterms:modified xsi:type="dcterms:W3CDTF">2026-08-16T15:33:18Z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