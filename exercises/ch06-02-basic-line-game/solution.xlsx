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225"/>
  <workbookPr filterPrivacy="1"/>
  <xr:revisionPtr revIDLastSave="0" documentId="13_ncr:1_{079839A0-8262-4BD0-9C79-BF46B2330F74}" xr6:coauthVersionLast="47" xr6:coauthVersionMax="47" xr10:uidLastSave="{00000000-0000-0000-0000-000000000000}"/>
  <bookViews>
    <workbookView xWindow="-23148" yWindow="-2244" windowWidth="23256" windowHeight="13176" activeTab="1" xr2:uid="{00000000-000D-0000-FFFF-FFFF00000000}"/>
  </bookViews>
  <sheets>
    <sheet name="Game Info" sheetId="1" r:id="rId1"/>
    <sheet name="Base Game" sheetId="2" r:id="rId2"/>
    <sheet name="Free Game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C4" i="2" l="1"/>
  <c r="C3" i="2"/>
  <c r="C4" i="3"/>
  <c r="C3" i="3"/>
  <c r="F4" i="3"/>
  <c r="F3" i="3"/>
  <c r="C2"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40" i="3"/>
  <c r="D76"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40" i="3"/>
  <c r="C76" i="3"/>
  <c r="C74" i="3"/>
  <c r="C75" i="3"/>
  <c r="C73" i="3"/>
  <c r="C63" i="3"/>
  <c r="C64" i="3"/>
  <c r="C65" i="3"/>
  <c r="C66" i="3"/>
  <c r="C67" i="3"/>
  <c r="C68" i="3"/>
  <c r="C69" i="3"/>
  <c r="C70" i="3"/>
  <c r="C71" i="3"/>
  <c r="C72" i="3"/>
  <c r="C62" i="3"/>
  <c r="C52" i="3"/>
  <c r="C53" i="3"/>
  <c r="C54" i="3"/>
  <c r="C55" i="3"/>
  <c r="C56" i="3"/>
  <c r="C57" i="3"/>
  <c r="C58" i="3"/>
  <c r="C59" i="3"/>
  <c r="C60" i="3"/>
  <c r="C61" i="3"/>
  <c r="C51" i="3"/>
  <c r="C41" i="3"/>
  <c r="C42" i="3"/>
  <c r="C43" i="3"/>
  <c r="C44" i="3"/>
  <c r="C45" i="3"/>
  <c r="C46" i="3"/>
  <c r="C47" i="3"/>
  <c r="C48" i="3"/>
  <c r="C49" i="3"/>
  <c r="C50" i="3"/>
  <c r="B34" i="3"/>
  <c r="C34" i="3"/>
  <c r="D34" i="3"/>
  <c r="E34" i="3"/>
  <c r="F34" i="3"/>
  <c r="G34" i="3"/>
  <c r="B35" i="3"/>
  <c r="C35" i="3"/>
  <c r="D35" i="3"/>
  <c r="E35" i="3"/>
  <c r="F35" i="3"/>
  <c r="G35" i="3"/>
  <c r="B36" i="3"/>
  <c r="C36" i="3"/>
  <c r="D36" i="3"/>
  <c r="E36" i="3"/>
  <c r="F36" i="3"/>
  <c r="G36" i="3"/>
  <c r="D26" i="3"/>
  <c r="C26" i="3"/>
  <c r="C10" i="3"/>
  <c r="D10" i="3"/>
  <c r="E10" i="3"/>
  <c r="E26" i="3" s="1"/>
  <c r="F10" i="3"/>
  <c r="G10" i="3"/>
  <c r="C11" i="3"/>
  <c r="C27" i="3" s="1"/>
  <c r="D11" i="3"/>
  <c r="D27" i="3" s="1"/>
  <c r="E11" i="3"/>
  <c r="E27" i="3" s="1"/>
  <c r="F11" i="3"/>
  <c r="F27" i="3" s="1"/>
  <c r="G11" i="3"/>
  <c r="G27" i="3" s="1"/>
  <c r="C12" i="3"/>
  <c r="C28" i="3" s="1"/>
  <c r="D12" i="3"/>
  <c r="D28" i="3" s="1"/>
  <c r="E12" i="3"/>
  <c r="E28" i="3" s="1"/>
  <c r="F12" i="3"/>
  <c r="F28" i="3" s="1"/>
  <c r="G12" i="3"/>
  <c r="G22" i="3" s="1"/>
  <c r="C13" i="3"/>
  <c r="C29" i="3" s="1"/>
  <c r="D13" i="3"/>
  <c r="D29" i="3" s="1"/>
  <c r="E13" i="3"/>
  <c r="E29" i="3" s="1"/>
  <c r="F13" i="3"/>
  <c r="F29" i="3" s="1"/>
  <c r="G13" i="3"/>
  <c r="G29" i="3" s="1"/>
  <c r="C14" i="3"/>
  <c r="C30" i="3" s="1"/>
  <c r="D14" i="3"/>
  <c r="D30" i="3" s="1"/>
  <c r="E14" i="3"/>
  <c r="E30" i="3" s="1"/>
  <c r="F14" i="3"/>
  <c r="F30" i="3" s="1"/>
  <c r="G14" i="3"/>
  <c r="G30" i="3" s="1"/>
  <c r="C15" i="3"/>
  <c r="C31" i="3" s="1"/>
  <c r="D15" i="3"/>
  <c r="D31" i="3" s="1"/>
  <c r="E15" i="3"/>
  <c r="E31" i="3" s="1"/>
  <c r="F15" i="3"/>
  <c r="F31" i="3" s="1"/>
  <c r="G15" i="3"/>
  <c r="G31" i="3" s="1"/>
  <c r="C16" i="3"/>
  <c r="C32" i="3" s="1"/>
  <c r="D16" i="3"/>
  <c r="D32" i="3" s="1"/>
  <c r="E16" i="3"/>
  <c r="E32" i="3" s="1"/>
  <c r="F16" i="3"/>
  <c r="F32" i="3" s="1"/>
  <c r="G16" i="3"/>
  <c r="G32" i="3" s="1"/>
  <c r="C17" i="3"/>
  <c r="C33" i="3" s="1"/>
  <c r="D17" i="3"/>
  <c r="D33" i="3" s="1"/>
  <c r="E17" i="3"/>
  <c r="E33" i="3" s="1"/>
  <c r="F17" i="3"/>
  <c r="F33" i="3" s="1"/>
  <c r="G17" i="3"/>
  <c r="G33" i="3" s="1"/>
  <c r="C18" i="3"/>
  <c r="D18" i="3"/>
  <c r="E18" i="3"/>
  <c r="F18" i="3"/>
  <c r="G18" i="3"/>
  <c r="C19" i="3"/>
  <c r="D19" i="3"/>
  <c r="E19" i="3"/>
  <c r="F19" i="3"/>
  <c r="G19" i="3"/>
  <c r="C20" i="3"/>
  <c r="D20" i="3"/>
  <c r="E20" i="3"/>
  <c r="F20" i="3"/>
  <c r="G20" i="3"/>
  <c r="C21" i="3"/>
  <c r="C37" i="3" s="1"/>
  <c r="D21" i="3"/>
  <c r="D37" i="3" s="1"/>
  <c r="E21" i="3"/>
  <c r="E37" i="3" s="1"/>
  <c r="F21" i="3"/>
  <c r="F37" i="3" s="1"/>
  <c r="G21" i="3"/>
  <c r="G37" i="3" s="1"/>
  <c r="D9" i="3"/>
  <c r="D22" i="3" s="1"/>
  <c r="E9" i="3"/>
  <c r="E22" i="3" s="1"/>
  <c r="F9" i="3"/>
  <c r="F26" i="3" s="1"/>
  <c r="G9" i="3"/>
  <c r="G26" i="3" s="1"/>
  <c r="C9" i="3"/>
  <c r="C22" i="3" s="1"/>
  <c r="G2" i="2"/>
  <c r="C40" i="3" l="1"/>
  <c r="F22" i="3"/>
  <c r="G28" i="3"/>
  <c r="C2" i="2"/>
  <c r="F75"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39" i="2"/>
  <c r="D75"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39" i="2"/>
  <c r="C75" i="2"/>
  <c r="C73" i="2"/>
  <c r="C74" i="2"/>
  <c r="C72" i="2"/>
  <c r="C62" i="2"/>
  <c r="C63" i="2"/>
  <c r="C64" i="2"/>
  <c r="C65" i="2"/>
  <c r="C66" i="2"/>
  <c r="C67" i="2"/>
  <c r="C68" i="2"/>
  <c r="C69" i="2"/>
  <c r="C70" i="2"/>
  <c r="C71" i="2"/>
  <c r="C61" i="2"/>
  <c r="C51" i="2"/>
  <c r="C52" i="2"/>
  <c r="C53" i="2"/>
  <c r="C54" i="2"/>
  <c r="C55" i="2"/>
  <c r="C56" i="2"/>
  <c r="C57" i="2"/>
  <c r="C58" i="2"/>
  <c r="C59" i="2"/>
  <c r="C60" i="2"/>
  <c r="C50" i="2"/>
  <c r="C40" i="2"/>
  <c r="C41" i="2"/>
  <c r="C42" i="2"/>
  <c r="C43" i="2"/>
  <c r="C44" i="2"/>
  <c r="C45" i="2"/>
  <c r="C46" i="2"/>
  <c r="C47" i="2"/>
  <c r="C48" i="2"/>
  <c r="C49" i="2"/>
  <c r="C39" i="2"/>
  <c r="B34" i="2"/>
  <c r="C34" i="2"/>
  <c r="D34" i="2"/>
  <c r="E34" i="2"/>
  <c r="F34" i="2"/>
  <c r="G34" i="2"/>
  <c r="B35" i="2"/>
  <c r="C35" i="2"/>
  <c r="D35" i="2"/>
  <c r="E35" i="2"/>
  <c r="F35" i="2"/>
  <c r="G35" i="2"/>
  <c r="D25" i="2"/>
  <c r="C25" i="2"/>
  <c r="C9" i="2"/>
  <c r="D9" i="2"/>
  <c r="E9" i="2"/>
  <c r="E25" i="2" s="1"/>
  <c r="F9" i="2"/>
  <c r="F25" i="2" s="1"/>
  <c r="G9" i="2"/>
  <c r="G25" i="2" s="1"/>
  <c r="C10" i="2"/>
  <c r="C26" i="2" s="1"/>
  <c r="D10" i="2"/>
  <c r="D26" i="2" s="1"/>
  <c r="E10" i="2"/>
  <c r="E26" i="2" s="1"/>
  <c r="F10" i="2"/>
  <c r="F26" i="2" s="1"/>
  <c r="G10" i="2"/>
  <c r="G26" i="2" s="1"/>
  <c r="C11" i="2"/>
  <c r="C27" i="2" s="1"/>
  <c r="D11" i="2"/>
  <c r="D27" i="2" s="1"/>
  <c r="E11" i="2"/>
  <c r="E27" i="2" s="1"/>
  <c r="F11" i="2"/>
  <c r="F27" i="2" s="1"/>
  <c r="G11" i="2"/>
  <c r="G27" i="2" s="1"/>
  <c r="C12" i="2"/>
  <c r="C28" i="2" s="1"/>
  <c r="D12" i="2"/>
  <c r="D28" i="2" s="1"/>
  <c r="E12" i="2"/>
  <c r="E28" i="2" s="1"/>
  <c r="F12" i="2"/>
  <c r="F28" i="2" s="1"/>
  <c r="G12" i="2"/>
  <c r="G28" i="2" s="1"/>
  <c r="C13" i="2"/>
  <c r="C29" i="2" s="1"/>
  <c r="D13" i="2"/>
  <c r="D29" i="2" s="1"/>
  <c r="E13" i="2"/>
  <c r="E29" i="2" s="1"/>
  <c r="F13" i="2"/>
  <c r="F29" i="2" s="1"/>
  <c r="G13" i="2"/>
  <c r="G29" i="2" s="1"/>
  <c r="C14" i="2"/>
  <c r="C30" i="2" s="1"/>
  <c r="D14" i="2"/>
  <c r="D30" i="2" s="1"/>
  <c r="E14" i="2"/>
  <c r="E30" i="2" s="1"/>
  <c r="F14" i="2"/>
  <c r="F30" i="2" s="1"/>
  <c r="G14" i="2"/>
  <c r="G30" i="2" s="1"/>
  <c r="C15" i="2"/>
  <c r="C31" i="2" s="1"/>
  <c r="D15" i="2"/>
  <c r="D31" i="2" s="1"/>
  <c r="E15" i="2"/>
  <c r="E31" i="2" s="1"/>
  <c r="F15" i="2"/>
  <c r="F31" i="2" s="1"/>
  <c r="G15" i="2"/>
  <c r="G31" i="2" s="1"/>
  <c r="C16" i="2"/>
  <c r="C32" i="2" s="1"/>
  <c r="D16" i="2"/>
  <c r="D32" i="2" s="1"/>
  <c r="E16" i="2"/>
  <c r="E32" i="2" s="1"/>
  <c r="F16" i="2"/>
  <c r="F32" i="2" s="1"/>
  <c r="G16" i="2"/>
  <c r="G32" i="2" s="1"/>
  <c r="C17" i="2"/>
  <c r="C33" i="2" s="1"/>
  <c r="D17" i="2"/>
  <c r="D33" i="2" s="1"/>
  <c r="E17" i="2"/>
  <c r="E33" i="2" s="1"/>
  <c r="F17" i="2"/>
  <c r="F33" i="2" s="1"/>
  <c r="G17" i="2"/>
  <c r="G33" i="2" s="1"/>
  <c r="C18" i="2"/>
  <c r="D18" i="2"/>
  <c r="E18" i="2"/>
  <c r="F18" i="2"/>
  <c r="G18" i="2"/>
  <c r="C19" i="2"/>
  <c r="D19" i="2"/>
  <c r="E19" i="2"/>
  <c r="F19" i="2"/>
  <c r="G19" i="2"/>
  <c r="C20" i="2"/>
  <c r="C36" i="2" s="1"/>
  <c r="D20" i="2"/>
  <c r="D36" i="2" s="1"/>
  <c r="E20" i="2"/>
  <c r="E36" i="2" s="1"/>
  <c r="F20" i="2"/>
  <c r="F36" i="2" s="1"/>
  <c r="G20" i="2"/>
  <c r="G36" i="2" s="1"/>
  <c r="D8" i="2"/>
  <c r="D21" i="2" s="1"/>
  <c r="E8" i="2"/>
  <c r="E21" i="2" s="1"/>
  <c r="F8" i="2"/>
  <c r="F21" i="2" s="1"/>
  <c r="G8" i="2"/>
  <c r="C8" i="2"/>
  <c r="C21" i="2" s="1"/>
  <c r="G4" i="3"/>
  <c r="E76" i="3"/>
  <c r="B76" i="3"/>
  <c r="E75" i="3"/>
  <c r="B75" i="3"/>
  <c r="E74" i="3"/>
  <c r="B74" i="3"/>
  <c r="E73" i="3"/>
  <c r="B73" i="3"/>
  <c r="E72" i="3"/>
  <c r="B72" i="3"/>
  <c r="E71" i="3"/>
  <c r="B71" i="3"/>
  <c r="E70" i="3"/>
  <c r="B70" i="3"/>
  <c r="E69" i="3"/>
  <c r="B69" i="3"/>
  <c r="E68" i="3"/>
  <c r="B68" i="3"/>
  <c r="E67" i="3"/>
  <c r="B67" i="3"/>
  <c r="E66" i="3"/>
  <c r="B66" i="3"/>
  <c r="E65" i="3"/>
  <c r="B65" i="3"/>
  <c r="E64" i="3"/>
  <c r="B64" i="3"/>
  <c r="E63" i="3"/>
  <c r="B63" i="3"/>
  <c r="E62" i="3"/>
  <c r="B62" i="3"/>
  <c r="E61" i="3"/>
  <c r="B61" i="3"/>
  <c r="E60" i="3"/>
  <c r="B60" i="3"/>
  <c r="E59" i="3"/>
  <c r="B59" i="3"/>
  <c r="E58" i="3"/>
  <c r="B58" i="3"/>
  <c r="E57" i="3"/>
  <c r="B57" i="3"/>
  <c r="E56" i="3"/>
  <c r="B56" i="3"/>
  <c r="E55" i="3"/>
  <c r="B55" i="3"/>
  <c r="E54" i="3"/>
  <c r="B54" i="3"/>
  <c r="E53" i="3"/>
  <c r="B53" i="3"/>
  <c r="E52" i="3"/>
  <c r="B52" i="3"/>
  <c r="E51" i="3"/>
  <c r="B51" i="3"/>
  <c r="E50" i="3"/>
  <c r="B50" i="3"/>
  <c r="E49" i="3"/>
  <c r="B49" i="3"/>
  <c r="E48" i="3"/>
  <c r="B48" i="3"/>
  <c r="E47" i="3"/>
  <c r="B47" i="3"/>
  <c r="E46" i="3"/>
  <c r="B46" i="3"/>
  <c r="E45" i="3"/>
  <c r="B45" i="3"/>
  <c r="E44" i="3"/>
  <c r="B44" i="3"/>
  <c r="E43" i="3"/>
  <c r="B43" i="3"/>
  <c r="E42" i="3"/>
  <c r="B42" i="3"/>
  <c r="E41" i="3"/>
  <c r="B41" i="3"/>
  <c r="E40" i="3"/>
  <c r="B40" i="3"/>
  <c r="B33" i="3"/>
  <c r="B32" i="3"/>
  <c r="B31" i="3"/>
  <c r="B30" i="3"/>
  <c r="B29" i="3"/>
  <c r="B28" i="3"/>
  <c r="B27" i="3"/>
  <c r="B26" i="3"/>
  <c r="G3" i="3"/>
  <c r="B26" i="2"/>
  <c r="B27" i="2"/>
  <c r="B28" i="2"/>
  <c r="B29" i="2"/>
  <c r="B30" i="2"/>
  <c r="B31" i="2"/>
  <c r="B32" i="2"/>
  <c r="B33" i="2"/>
  <c r="B25" i="2"/>
  <c r="B73" i="2"/>
  <c r="B74" i="2"/>
  <c r="B72" i="2"/>
  <c r="E73" i="2"/>
  <c r="E74" i="2"/>
  <c r="E72" i="2"/>
  <c r="B65" i="2"/>
  <c r="E65" i="2"/>
  <c r="B54" i="2"/>
  <c r="E54" i="2"/>
  <c r="B43" i="2"/>
  <c r="E43" i="2"/>
  <c r="G21" i="2" l="1"/>
  <c r="B66" i="2"/>
  <c r="E66" i="2"/>
  <c r="B55" i="2"/>
  <c r="E55" i="2"/>
  <c r="B44" i="2"/>
  <c r="E44" i="2"/>
  <c r="G23" i="3" l="1"/>
  <c r="E62" i="2"/>
  <c r="E51" i="2"/>
  <c r="E40" i="2"/>
  <c r="E63" i="2"/>
  <c r="E52" i="2"/>
  <c r="E41" i="2"/>
  <c r="E64" i="2"/>
  <c r="E53" i="2"/>
  <c r="E42" i="2"/>
  <c r="E67" i="2"/>
  <c r="E56" i="2"/>
  <c r="E45" i="2"/>
  <c r="E68" i="2"/>
  <c r="E57" i="2"/>
  <c r="E46" i="2"/>
  <c r="E69" i="2"/>
  <c r="E58" i="2"/>
  <c r="E47" i="2"/>
  <c r="E70" i="2"/>
  <c r="E59" i="2"/>
  <c r="E48" i="2"/>
  <c r="E71" i="2"/>
  <c r="E60" i="2"/>
  <c r="E49" i="2"/>
  <c r="E75" i="2"/>
  <c r="E61" i="2"/>
  <c r="E50" i="2"/>
  <c r="E39" i="2"/>
  <c r="B40" i="2"/>
  <c r="B51" i="2"/>
  <c r="B62" i="2"/>
  <c r="B41" i="2"/>
  <c r="B52" i="2"/>
  <c r="B63" i="2"/>
  <c r="B42" i="2"/>
  <c r="B53" i="2"/>
  <c r="B64" i="2"/>
  <c r="B45" i="2"/>
  <c r="B56" i="2"/>
  <c r="B67" i="2"/>
  <c r="B46" i="2"/>
  <c r="B57" i="2"/>
  <c r="B68" i="2"/>
  <c r="B47" i="2"/>
  <c r="B58" i="2"/>
  <c r="B69" i="2"/>
  <c r="B48" i="2"/>
  <c r="B59" i="2"/>
  <c r="B70" i="2"/>
  <c r="B49" i="2"/>
  <c r="B60" i="2"/>
  <c r="B71" i="2"/>
  <c r="B75" i="2"/>
  <c r="B61" i="2"/>
  <c r="B50" i="2"/>
  <c r="B39" i="2"/>
  <c r="G22" i="2" l="1"/>
</calcChain>
</file>

<file path=xl/sharedStrings.xml><?xml version="1.0" encoding="utf-8"?>
<sst xmlns="http://schemas.openxmlformats.org/spreadsheetml/2006/main" count="489" uniqueCount="60">
  <si>
    <t>Pos.</t>
  </si>
  <si>
    <t>Reel 1</t>
  </si>
  <si>
    <t>Reel 2</t>
  </si>
  <si>
    <t>Reel 3</t>
  </si>
  <si>
    <t>Reel 4</t>
  </si>
  <si>
    <t>Reel 5</t>
  </si>
  <si>
    <t>K</t>
  </si>
  <si>
    <t>J</t>
  </si>
  <si>
    <t>10</t>
  </si>
  <si>
    <t>9</t>
  </si>
  <si>
    <t>Q</t>
  </si>
  <si>
    <t>WILD</t>
  </si>
  <si>
    <t>Lines</t>
  </si>
  <si>
    <t>Scats</t>
  </si>
  <si>
    <t>BG</t>
  </si>
  <si>
    <t>FG</t>
  </si>
  <si>
    <t>Total</t>
  </si>
  <si>
    <t>Symbol</t>
  </si>
  <si>
    <t>Cycle</t>
  </si>
  <si>
    <t>2x</t>
  </si>
  <si>
    <t>3x</t>
  </si>
  <si>
    <t>4x</t>
  </si>
  <si>
    <t>5x</t>
  </si>
  <si>
    <t>Combination</t>
  </si>
  <si>
    <t>Hits</t>
  </si>
  <si>
    <t>Prob</t>
  </si>
  <si>
    <t>Pay</t>
  </si>
  <si>
    <t>Contribution</t>
  </si>
  <si>
    <t>Trigger Prob</t>
  </si>
  <si>
    <t>Spins</t>
  </si>
  <si>
    <t>Base Game</t>
  </si>
  <si>
    <t>Free Games</t>
  </si>
  <si>
    <t>A</t>
  </si>
  <si>
    <t>SYM1</t>
  </si>
  <si>
    <t>SYM2</t>
  </si>
  <si>
    <t>SYM3</t>
  </si>
  <si>
    <t>SYM4</t>
  </si>
  <si>
    <t>SYM5</t>
  </si>
  <si>
    <t>BASE GAME REELS</t>
  </si>
  <si>
    <t>FREE GAME REELS</t>
  </si>
  <si>
    <t>FREE GAME SPINS</t>
  </si>
  <si>
    <t>PAYTABLE</t>
  </si>
  <si>
    <t>Pay per Spin</t>
  </si>
  <si>
    <t>Symbol Distribution</t>
  </si>
  <si>
    <t>Free Games Odds</t>
  </si>
  <si>
    <t>GAME RULES</t>
  </si>
  <si>
    <t>--</t>
  </si>
  <si>
    <t>FG (on screen)</t>
  </si>
  <si>
    <t>Derived Symbols</t>
  </si>
  <si>
    <t>Total Bet</t>
  </si>
  <si>
    <t>*FG win is multiplied by total bet.</t>
  </si>
  <si>
    <t>FG only appears on reels 1, 2, and 3.
WILD only appears on reels 2, 3, 4, and 5.
WILD substitutes for all symbols except FG.
All wins pay left to right except FG.
FG wins added to payline wins
FG wins multiplied by the total bet.
3 FG symbols award 10 free games.
3 FG symbols can retrigger an additional 5 free games.
On every Free Game, an extra WILD is added to reels 2, 3, 4, and 5.</t>
  </si>
  <si>
    <t>PAY LINES</t>
  </si>
  <si>
    <t>Total Pay</t>
  </si>
  <si>
    <t>Avg Spins</t>
  </si>
  <si>
    <t>&lt;-- STEP 1</t>
  </si>
  <si>
    <t>&lt;-- STEP 2</t>
  </si>
  <si>
    <t>&lt;-- STEP 3</t>
  </si>
  <si>
    <t>&lt;-- STEP 4</t>
  </si>
  <si>
    <t>&lt;-- STEP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</si>
</sst>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
    <numFmt numFmtId="165" formatCode="0.00000000"/>
    <numFmt numFmtId="166" formatCode="0.000%"/>
    <numFmt numFmtId="167" formatCode="0\x"/>
  </numFmts>
  <fonts count="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sz val="10"/>
      <name val="Arial"/>
      <family val="2"/>
    </font>
    <font>
      <sz val="8"/>
      <name val="Calibri"/>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rgb="FFFFFF0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5">
    <xf numFmtId="0" fontId="0" fillId="0" borderId="0"/>
    <xf numFmtId="9" fontId="1" fillId="0" borderId="0" applyFont="0" applyFill="0" applyBorder="0" applyAlignment="0" applyProtection="0"/>
    <xf numFmtId="0" fontId="5" fillId="0" borderId="0"/>
    <xf numFmtId="0" fontId="5" fillId="0" borderId="0"/>
    <xf numFmtId="0" fontId="5" fillId="0" borderId="0"/>
  </cellStyleXfs>
  <cellXfs count="90">
    <xf numFmtId="0" fontId="0" fillId="0" borderId="0" xfId="0"/>
    <xf numFmtId="0" fontId="4" fillId="0" borderId="0" xfId="0" applyNumberFormat="1" applyFont="1" applyBorder="1" applyAlignment="1">
      <alignment horizontal="center"/>
    </xf>
    <xf numFmtId="0" fontId="2" fillId="0" borderId="0" xfId="0" applyFont="1" applyBorder="1" applyAlignment="1">
      <alignment horizontal="center"/>
    </xf>
    <xf numFmtId="49" fontId="4" fillId="0" borderId="0" xfId="0" applyNumberFormat="1" applyFont="1" applyBorder="1" applyAlignment="1">
      <alignment horizontal="center"/>
    </xf>
    <xf numFmtId="0" fontId="4" fillId="0" borderId="0" xfId="0" applyFont="1" applyBorder="1" applyAlignment="1">
      <alignment horizontal="center"/>
    </xf>
    <xf numFmtId="0" fontId="0" fillId="0" borderId="0" xfId="0" applyFont="1" applyAlignment="1">
      <alignment horizontal="center"/>
    </xf>
    <xf numFmtId="0" fontId="0" fillId="0" borderId="11" xfId="0" applyFont="1" applyBorder="1" applyAlignment="1">
      <alignment horizontal="center"/>
    </xf>
    <xf numFmtId="0" fontId="0" fillId="0" borderId="12" xfId="0" applyFont="1" applyBorder="1" applyAlignment="1">
      <alignment horizontal="center"/>
    </xf>
    <xf numFmtId="0" fontId="0" fillId="0" borderId="11" xfId="0" applyNumberFormat="1" applyFont="1" applyBorder="1" applyAlignment="1">
      <alignment horizontal="center"/>
    </xf>
    <xf numFmtId="0" fontId="0" fillId="0" borderId="12" xfId="0" applyNumberFormat="1" applyFont="1" applyBorder="1" applyAlignment="1">
      <alignment horizontal="center"/>
    </xf>
    <xf numFmtId="0" fontId="4" fillId="0" borderId="6" xfId="0" applyNumberFormat="1" applyFont="1" applyBorder="1" applyAlignment="1">
      <alignment horizontal="center"/>
    </xf>
    <xf numFmtId="0" fontId="4" fillId="0" borderId="6" xfId="0" applyFont="1" applyBorder="1" applyAlignment="1">
      <alignment horizontal="center"/>
    </xf>
    <xf numFmtId="0" fontId="4" fillId="0" borderId="8" xfId="0" applyFont="1" applyBorder="1" applyAlignment="1">
      <alignment horizontal="center"/>
    </xf>
    <xf numFmtId="0" fontId="0" fillId="3" borderId="1" xfId="0" applyFont="1" applyFill="1" applyBorder="1" applyAlignment="1">
      <alignment horizontal="center"/>
    </xf>
    <xf numFmtId="0" fontId="0" fillId="3" borderId="13" xfId="0" applyFont="1" applyFill="1" applyBorder="1" applyAlignment="1">
      <alignment horizontal="center"/>
    </xf>
    <xf numFmtId="0" fontId="0" fillId="3" borderId="14" xfId="0" applyFont="1" applyFill="1" applyBorder="1" applyAlignment="1">
      <alignment horizontal="center"/>
    </xf>
    <xf numFmtId="0" fontId="0" fillId="0" borderId="0" xfId="0" applyAlignment="1">
      <alignment horizontal="center"/>
    </xf>
    <xf numFmtId="0" fontId="0" fillId="0" borderId="2" xfId="0" applyBorder="1" applyAlignment="1">
      <alignment horizontal="center"/>
    </xf>
    <xf numFmtId="0" fontId="0" fillId="0" borderId="5" xfId="0" applyBorder="1" applyAlignment="1">
      <alignment horizontal="center"/>
    </xf>
    <xf numFmtId="0" fontId="0" fillId="0" borderId="0" xfId="0" applyBorder="1" applyAlignment="1">
      <alignment horizontal="center"/>
    </xf>
    <xf numFmtId="0" fontId="0" fillId="0" borderId="7" xfId="0" applyBorder="1" applyAlignment="1">
      <alignment horizontal="center"/>
    </xf>
    <xf numFmtId="0" fontId="0" fillId="0" borderId="15" xfId="0" applyBorder="1" applyAlignment="1">
      <alignment horizontal="center"/>
    </xf>
    <xf numFmtId="0" fontId="0" fillId="0" borderId="14" xfId="0" applyBorder="1" applyAlignment="1">
      <alignment horizontal="center"/>
    </xf>
    <xf numFmtId="0" fontId="0" fillId="3" borderId="15" xfId="0" applyFill="1" applyBorder="1" applyAlignment="1">
      <alignment horizontal="center"/>
    </xf>
    <xf numFmtId="0" fontId="0" fillId="3" borderId="13" xfId="0" applyFill="1" applyBorder="1" applyAlignment="1">
      <alignment horizontal="center"/>
    </xf>
    <xf numFmtId="0" fontId="0" fillId="3" borderId="14" xfId="0" applyFill="1" applyBorder="1" applyAlignment="1">
      <alignment horizontal="center"/>
    </xf>
    <xf numFmtId="0" fontId="0" fillId="3" borderId="1" xfId="0" applyFill="1" applyBorder="1" applyAlignment="1">
      <alignment horizontal="center"/>
    </xf>
    <xf numFmtId="0" fontId="0" fillId="0" borderId="11" xfId="0" applyBorder="1" applyAlignment="1">
      <alignment horizontal="center"/>
    </xf>
    <xf numFmtId="0" fontId="0" fillId="0" borderId="1" xfId="0" applyBorder="1" applyAlignment="1">
      <alignment horizontal="center"/>
    </xf>
    <xf numFmtId="0" fontId="0" fillId="0" borderId="10" xfId="0" applyBorder="1" applyAlignment="1">
      <alignment horizontal="center"/>
    </xf>
    <xf numFmtId="0" fontId="0" fillId="2" borderId="0" xfId="0" applyFill="1" applyBorder="1" applyAlignment="1">
      <alignment horizontal="center"/>
    </xf>
    <xf numFmtId="0" fontId="0" fillId="2" borderId="8" xfId="0" applyFill="1" applyBorder="1" applyAlignment="1">
      <alignment horizontal="center"/>
    </xf>
    <xf numFmtId="0" fontId="4" fillId="3" borderId="1" xfId="0" applyNumberFormat="1" applyFont="1" applyFill="1" applyBorder="1" applyAlignment="1">
      <alignment horizontal="center"/>
    </xf>
    <xf numFmtId="0" fontId="4" fillId="3" borderId="13" xfId="0" applyNumberFormat="1" applyFont="1" applyFill="1" applyBorder="1" applyAlignment="1">
      <alignment horizontal="center"/>
    </xf>
    <xf numFmtId="0" fontId="4" fillId="3" borderId="14" xfId="0" applyNumberFormat="1" applyFont="1" applyFill="1" applyBorder="1" applyAlignment="1">
      <alignment horizontal="center"/>
    </xf>
    <xf numFmtId="0" fontId="0" fillId="3" borderId="2" xfId="0" applyFill="1" applyBorder="1" applyAlignment="1">
      <alignment horizontal="center"/>
    </xf>
    <xf numFmtId="0" fontId="0" fillId="3" borderId="10" xfId="0" applyFill="1" applyBorder="1" applyAlignment="1">
      <alignment horizontal="center"/>
    </xf>
    <xf numFmtId="0" fontId="3" fillId="0" borderId="0" xfId="0" applyFont="1" applyAlignment="1">
      <alignment horizontal="left"/>
    </xf>
    <xf numFmtId="0" fontId="2" fillId="0" borderId="6" xfId="0" applyNumberFormat="1" applyFont="1" applyFill="1" applyBorder="1" applyAlignment="1">
      <alignment horizontal="center"/>
    </xf>
    <xf numFmtId="0" fontId="2" fillId="0" borderId="6" xfId="0" applyFont="1" applyBorder="1" applyAlignment="1">
      <alignment horizontal="center"/>
    </xf>
    <xf numFmtId="10" fontId="0" fillId="0" borderId="0" xfId="0" applyNumberFormat="1" applyAlignment="1">
      <alignment horizontal="center"/>
    </xf>
    <xf numFmtId="10" fontId="0" fillId="0" borderId="0" xfId="1" applyNumberFormat="1" applyFont="1" applyAlignment="1">
      <alignment horizontal="center"/>
    </xf>
    <xf numFmtId="0" fontId="0" fillId="0" borderId="0" xfId="0" applyFont="1" applyAlignment="1">
      <alignment horizontal="left"/>
    </xf>
    <xf numFmtId="0" fontId="2" fillId="0" borderId="8" xfId="0" applyNumberFormat="1" applyFont="1" applyFill="1" applyBorder="1" applyAlignment="1">
      <alignment horizontal="center"/>
    </xf>
    <xf numFmtId="0" fontId="2" fillId="0" borderId="9" xfId="0" applyNumberFormat="1" applyFont="1" applyFill="1" applyBorder="1" applyAlignment="1">
      <alignment horizontal="center"/>
    </xf>
    <xf numFmtId="0" fontId="0" fillId="0" borderId="0" xfId="0" applyAlignment="1">
      <alignment horizontal="right"/>
    </xf>
    <xf numFmtId="0" fontId="4" fillId="0" borderId="5" xfId="0" applyFont="1" applyBorder="1" applyAlignment="1">
      <alignment horizontal="center"/>
    </xf>
    <xf numFmtId="0" fontId="4" fillId="0" borderId="7" xfId="0" applyFont="1" applyBorder="1" applyAlignment="1">
      <alignment horizontal="center"/>
    </xf>
    <xf numFmtId="0" fontId="4" fillId="0" borderId="9" xfId="0" applyNumberFormat="1" applyFont="1" applyBorder="1" applyAlignment="1">
      <alignment horizontal="center"/>
    </xf>
    <xf numFmtId="49" fontId="4" fillId="0" borderId="2" xfId="0" applyNumberFormat="1" applyFont="1" applyBorder="1" applyAlignment="1">
      <alignment horizontal="center"/>
    </xf>
    <xf numFmtId="0" fontId="4" fillId="0" borderId="3" xfId="0" applyNumberFormat="1" applyFont="1" applyBorder="1" applyAlignment="1">
      <alignment horizontal="center"/>
    </xf>
    <xf numFmtId="0" fontId="4" fillId="0" borderId="4" xfId="0" applyNumberFormat="1" applyFont="1" applyBorder="1" applyAlignment="1">
      <alignment horizontal="center"/>
    </xf>
    <xf numFmtId="49" fontId="4" fillId="0" borderId="5" xfId="0" applyNumberFormat="1" applyFont="1" applyBorder="1" applyAlignment="1">
      <alignment horizontal="center"/>
    </xf>
    <xf numFmtId="0" fontId="4" fillId="0" borderId="5" xfId="0" applyNumberFormat="1" applyFont="1" applyBorder="1" applyAlignment="1">
      <alignment horizontal="center"/>
    </xf>
    <xf numFmtId="0" fontId="2" fillId="0" borderId="1" xfId="0" applyFont="1" applyBorder="1" applyAlignment="1">
      <alignment horizontal="center"/>
    </xf>
    <xf numFmtId="0" fontId="2" fillId="0" borderId="0" xfId="0" quotePrefix="1" applyNumberFormat="1" applyFont="1" applyFill="1" applyBorder="1" applyAlignment="1">
      <alignment horizontal="center"/>
    </xf>
    <xf numFmtId="0" fontId="2" fillId="0" borderId="13" xfId="0" quotePrefix="1" applyFont="1" applyBorder="1" applyAlignment="1">
      <alignment horizontal="center"/>
    </xf>
    <xf numFmtId="0" fontId="2" fillId="0" borderId="14" xfId="0" quotePrefix="1" applyFont="1" applyBorder="1" applyAlignment="1">
      <alignment horizontal="center"/>
    </xf>
    <xf numFmtId="167" fontId="2" fillId="0" borderId="13" xfId="0" applyNumberFormat="1" applyFont="1" applyBorder="1" applyAlignment="1">
      <alignment horizontal="center"/>
    </xf>
    <xf numFmtId="2" fontId="0" fillId="2" borderId="10" xfId="0" applyNumberFormat="1" applyFill="1" applyBorder="1" applyAlignment="1">
      <alignment horizontal="center"/>
    </xf>
    <xf numFmtId="2" fontId="0" fillId="2" borderId="12" xfId="0" applyNumberFormat="1" applyFill="1" applyBorder="1" applyAlignment="1">
      <alignment horizontal="center"/>
    </xf>
    <xf numFmtId="1" fontId="0" fillId="4" borderId="1" xfId="0" applyNumberFormat="1" applyFill="1" applyBorder="1" applyAlignment="1">
      <alignment horizontal="center"/>
    </xf>
    <xf numFmtId="10" fontId="3" fillId="4" borderId="1" xfId="0" applyNumberFormat="1" applyFont="1" applyFill="1" applyBorder="1" applyAlignment="1">
      <alignment horizontal="center"/>
    </xf>
    <xf numFmtId="10" fontId="0" fillId="4" borderId="1" xfId="0" applyNumberFormat="1" applyFill="1" applyBorder="1" applyAlignment="1">
      <alignment horizontal="center"/>
    </xf>
    <xf numFmtId="10" fontId="0" fillId="4" borderId="1" xfId="1" applyNumberFormat="1" applyFont="1" applyFill="1" applyBorder="1" applyAlignment="1">
      <alignment horizontal="center"/>
    </xf>
    <xf numFmtId="0" fontId="0" fillId="4" borderId="5" xfId="0" applyFill="1" applyBorder="1" applyAlignment="1">
      <alignment horizontal="center"/>
    </xf>
    <xf numFmtId="0" fontId="0" fillId="4" borderId="0" xfId="0" applyFill="1" applyBorder="1" applyAlignment="1">
      <alignment horizontal="center"/>
    </xf>
    <xf numFmtId="0" fontId="0" fillId="4" borderId="6"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4" borderId="8" xfId="0" applyFill="1" applyBorder="1" applyAlignment="1">
      <alignment horizontal="center"/>
    </xf>
    <xf numFmtId="0" fontId="0" fillId="4" borderId="13" xfId="0" applyFill="1" applyBorder="1" applyAlignment="1">
      <alignment horizontal="center"/>
    </xf>
    <xf numFmtId="0" fontId="0" fillId="4" borderId="14" xfId="0" applyFill="1" applyBorder="1" applyAlignment="1">
      <alignment horizontal="center"/>
    </xf>
    <xf numFmtId="166" fontId="0" fillId="4" borderId="11" xfId="1" applyNumberFormat="1" applyFont="1" applyFill="1" applyBorder="1" applyAlignment="1">
      <alignment horizontal="center"/>
    </xf>
    <xf numFmtId="166" fontId="0" fillId="4" borderId="12" xfId="1" applyNumberFormat="1" applyFont="1" applyFill="1" applyBorder="1" applyAlignment="1">
      <alignment horizontal="center"/>
    </xf>
    <xf numFmtId="165" fontId="0" fillId="4" borderId="0" xfId="0" applyNumberFormat="1" applyFill="1" applyBorder="1" applyAlignment="1">
      <alignment horizontal="center"/>
    </xf>
    <xf numFmtId="165" fontId="0" fillId="4" borderId="8" xfId="0" applyNumberFormat="1" applyFill="1" applyBorder="1" applyAlignment="1">
      <alignment horizontal="center"/>
    </xf>
    <xf numFmtId="2" fontId="0" fillId="4" borderId="1" xfId="0" applyNumberFormat="1" applyFill="1" applyBorder="1" applyAlignment="1">
      <alignment horizontal="center"/>
    </xf>
    <xf numFmtId="2" fontId="3" fillId="4" borderId="1" xfId="1" applyNumberFormat="1" applyFont="1" applyFill="1" applyBorder="1" applyAlignment="1">
      <alignment horizontal="center"/>
    </xf>
    <xf numFmtId="164" fontId="0" fillId="4" borderId="2" xfId="0" applyNumberFormat="1" applyFill="1" applyBorder="1" applyAlignment="1">
      <alignment horizontal="center"/>
    </xf>
    <xf numFmtId="164" fontId="0" fillId="4" borderId="7" xfId="0" applyNumberFormat="1" applyFill="1" applyBorder="1" applyAlignment="1">
      <alignment horizontal="center"/>
    </xf>
    <xf numFmtId="0" fontId="0" fillId="0" borderId="2" xfId="0" applyFont="1" applyBorder="1" applyAlignment="1">
      <alignment horizontal="left" vertical="top" wrapText="1"/>
    </xf>
    <xf numFmtId="0" fontId="0" fillId="0" borderId="3" xfId="0" applyFont="1" applyBorder="1" applyAlignment="1">
      <alignment horizontal="left" vertical="top" wrapText="1"/>
    </xf>
    <xf numFmtId="0" fontId="0" fillId="0" borderId="4" xfId="0" applyFont="1" applyBorder="1" applyAlignment="1">
      <alignment horizontal="left" vertical="top" wrapText="1"/>
    </xf>
    <xf numFmtId="0" fontId="0" fillId="0" borderId="5" xfId="0" applyFont="1" applyBorder="1" applyAlignment="1">
      <alignment horizontal="left" vertical="top" wrapText="1"/>
    </xf>
    <xf numFmtId="0" fontId="0" fillId="0" borderId="0" xfId="0" applyFont="1" applyBorder="1" applyAlignment="1">
      <alignment horizontal="left" vertical="top" wrapText="1"/>
    </xf>
    <xf numFmtId="0" fontId="0" fillId="0" borderId="6" xfId="0" applyFont="1" applyBorder="1" applyAlignment="1">
      <alignment horizontal="left" vertical="top" wrapText="1"/>
    </xf>
    <xf numFmtId="0" fontId="0" fillId="0" borderId="7" xfId="0" applyFont="1" applyBorder="1" applyAlignment="1">
      <alignment horizontal="left" vertical="top" wrapText="1"/>
    </xf>
    <xf numFmtId="0" fontId="0" fillId="0" borderId="8" xfId="0" applyFont="1" applyBorder="1" applyAlignment="1">
      <alignment horizontal="left" vertical="top" wrapText="1"/>
    </xf>
    <xf numFmtId="0" fontId="0" fillId="0" borderId="9" xfId="0" applyFont="1" applyBorder="1" applyAlignment="1">
      <alignment horizontal="left" vertical="top" wrapText="1"/>
    </xf>
  </cellXfs>
  <cellStyles count="5">
    <cellStyle name="Normal" xfId="0" builtinId="0"/>
    <cellStyle name="Normal 10 2" xfId="4" xr:uid="{0659EA68-4221-495B-82A2-D9BD8E5B1822}"/>
    <cellStyle name="Normal 2" xfId="3" xr:uid="{DF87EDFA-42B2-4A67-9B9F-31789A40C196}"/>
    <cellStyle name="Normal 3" xfId="2" xr:uid="{ABF30E5B-B690-4ACC-B7EA-E6B7292E2881}"/>
    <cellStyle name="Percent" xfId="1" builtinId="5"/>
  </cellStyles>
  <dxfs count="16">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theme="4" tint="0.3999450666829432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theme="4" tint="0.3999450666829432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theme="4" tint="0.3999450666829432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theme="4" tint="0.39994506668294322"/>
        </patternFill>
      </fill>
    </dxf>
  </dxfs>
  <tableStyles count="0" defaultTableStyle="TableStyleMedium2" defaultPivotStyle="PivotStyleLight16"/>
  <colors>
    <mruColors>
      <color rgb="FF0000FF"/>
      <color rgb="FFFFB3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188259</xdr:colOff>
      <xdr:row>18</xdr:row>
      <xdr:rowOff>33618</xdr:rowOff>
    </xdr:from>
    <xdr:to>
      <xdr:col>7</xdr:col>
      <xdr:colOff>437030</xdr:colOff>
      <xdr:row>29</xdr:row>
      <xdr:rowOff>22412</xdr:rowOff>
    </xdr:to>
    <xdr:pic>
      <xdr:nvPicPr>
        <xdr:cNvPr id="2" name="Picture 1">
          <a:extLst>
            <a:ext uri="{FF2B5EF4-FFF2-40B4-BE49-F238E27FC236}">
              <a16:creationId xmlns:a16="http://schemas.microsoft.com/office/drawing/2014/main" id="{CD582B52-1F08-BDE6-0BD9-1D2F476CA30B}"/>
            </a:ext>
          </a:extLst>
        </xdr:cNvPr>
        <xdr:cNvPicPr>
          <a:picLocks noChangeAspect="1"/>
        </xdr:cNvPicPr>
      </xdr:nvPicPr>
      <xdr:blipFill>
        <a:blip xmlns:r="http://schemas.openxmlformats.org/officeDocument/2006/relationships" r:embed="rId1"/>
        <a:stretch>
          <a:fillRect/>
        </a:stretch>
      </xdr:blipFill>
      <xdr:spPr>
        <a:xfrm>
          <a:off x="188259" y="3462618"/>
          <a:ext cx="4585447" cy="208429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AA170"/>
  <sheetViews>
    <sheetView zoomScale="85" zoomScaleNormal="85" workbookViewId="0">
      <selection activeCell="Y24" sqref="Y24"/>
    </sheetView>
  </sheetViews>
  <sheetFormatPr defaultColWidth="10.28515625" defaultRowHeight="15" x14ac:dyDescent="0.25"/>
  <cols>
    <col min="1" max="1" width="3.5703125" style="5" customWidth="1"/>
    <col min="2" max="16384" width="10.28515625" style="5"/>
  </cols>
  <sheetData>
    <row r="2" spans="2:27" x14ac:dyDescent="0.25">
      <c r="B2" s="5" t="s">
        <v>49</v>
      </c>
      <c r="C2" s="54">
        <v>50</v>
      </c>
    </row>
    <row r="3" spans="2:27" ht="15" customHeight="1" x14ac:dyDescent="0.25">
      <c r="B3" s="5" t="s">
        <v>12</v>
      </c>
      <c r="C3" s="54">
        <v>50</v>
      </c>
    </row>
    <row r="5" spans="2:27" x14ac:dyDescent="0.25">
      <c r="B5" s="37" t="s">
        <v>45</v>
      </c>
      <c r="I5" s="37" t="s">
        <v>38</v>
      </c>
      <c r="P5" s="37" t="s">
        <v>39</v>
      </c>
      <c r="W5" s="37" t="s">
        <v>40</v>
      </c>
    </row>
    <row r="6" spans="2:27" ht="15" customHeight="1" x14ac:dyDescent="0.25">
      <c r="B6" s="81" t="s">
        <v>51</v>
      </c>
      <c r="C6" s="82"/>
      <c r="D6" s="82"/>
      <c r="E6" s="82"/>
      <c r="F6" s="82"/>
      <c r="G6" s="83"/>
      <c r="I6" s="32" t="s">
        <v>0</v>
      </c>
      <c r="J6" s="33" t="s">
        <v>1</v>
      </c>
      <c r="K6" s="33" t="s">
        <v>2</v>
      </c>
      <c r="L6" s="33" t="s">
        <v>3</v>
      </c>
      <c r="M6" s="33" t="s">
        <v>4</v>
      </c>
      <c r="N6" s="34" t="s">
        <v>5</v>
      </c>
      <c r="P6" s="32" t="s">
        <v>0</v>
      </c>
      <c r="Q6" s="33" t="s">
        <v>1</v>
      </c>
      <c r="R6" s="33" t="s">
        <v>2</v>
      </c>
      <c r="S6" s="33" t="s">
        <v>3</v>
      </c>
      <c r="T6" s="33" t="s">
        <v>4</v>
      </c>
      <c r="U6" s="34" t="s">
        <v>5</v>
      </c>
      <c r="W6" s="32" t="s">
        <v>13</v>
      </c>
      <c r="X6" s="33" t="s">
        <v>14</v>
      </c>
      <c r="Y6" s="34" t="s">
        <v>15</v>
      </c>
    </row>
    <row r="7" spans="2:27" x14ac:dyDescent="0.25">
      <c r="B7" s="84"/>
      <c r="C7" s="85"/>
      <c r="D7" s="85"/>
      <c r="E7" s="85"/>
      <c r="F7" s="85"/>
      <c r="G7" s="86"/>
      <c r="I7" s="8">
        <v>1</v>
      </c>
      <c r="J7" s="49" t="s">
        <v>35</v>
      </c>
      <c r="K7" s="50" t="s">
        <v>6</v>
      </c>
      <c r="L7" s="50">
        <v>10</v>
      </c>
      <c r="M7" s="50" t="s">
        <v>7</v>
      </c>
      <c r="N7" s="51" t="s">
        <v>7</v>
      </c>
      <c r="P7" s="8">
        <v>1</v>
      </c>
      <c r="Q7" s="49" t="s">
        <v>35</v>
      </c>
      <c r="R7" s="50" t="s">
        <v>6</v>
      </c>
      <c r="S7" s="50">
        <v>10</v>
      </c>
      <c r="T7" s="50" t="s">
        <v>7</v>
      </c>
      <c r="U7" s="51" t="s">
        <v>7</v>
      </c>
      <c r="W7" s="6">
        <v>5</v>
      </c>
      <c r="X7" s="55" t="s">
        <v>46</v>
      </c>
      <c r="Y7" s="38" t="s">
        <v>46</v>
      </c>
    </row>
    <row r="8" spans="2:27" x14ac:dyDescent="0.25">
      <c r="B8" s="84"/>
      <c r="C8" s="85"/>
      <c r="D8" s="85"/>
      <c r="E8" s="85"/>
      <c r="F8" s="85"/>
      <c r="G8" s="86"/>
      <c r="I8" s="8">
        <v>2</v>
      </c>
      <c r="J8" s="52" t="s">
        <v>6</v>
      </c>
      <c r="K8" s="1" t="s">
        <v>34</v>
      </c>
      <c r="L8" s="1" t="s">
        <v>32</v>
      </c>
      <c r="M8" s="1">
        <v>10</v>
      </c>
      <c r="N8" s="10" t="s">
        <v>34</v>
      </c>
      <c r="P8" s="8">
        <v>2</v>
      </c>
      <c r="Q8" s="52" t="s">
        <v>6</v>
      </c>
      <c r="R8" s="1" t="s">
        <v>34</v>
      </c>
      <c r="S8" s="1" t="s">
        <v>32</v>
      </c>
      <c r="T8" s="1">
        <v>10</v>
      </c>
      <c r="U8" s="10" t="s">
        <v>34</v>
      </c>
      <c r="W8" s="6">
        <v>4</v>
      </c>
      <c r="X8" s="2" t="s">
        <v>46</v>
      </c>
      <c r="Y8" s="39" t="s">
        <v>46</v>
      </c>
    </row>
    <row r="9" spans="2:27" x14ac:dyDescent="0.25">
      <c r="B9" s="84"/>
      <c r="C9" s="85"/>
      <c r="D9" s="85"/>
      <c r="E9" s="85"/>
      <c r="F9" s="85"/>
      <c r="G9" s="86"/>
      <c r="I9" s="8">
        <v>3</v>
      </c>
      <c r="J9" s="52" t="s">
        <v>34</v>
      </c>
      <c r="K9" s="1" t="s">
        <v>7</v>
      </c>
      <c r="L9" s="1" t="s">
        <v>36</v>
      </c>
      <c r="M9" s="1" t="s">
        <v>35</v>
      </c>
      <c r="N9" s="10" t="s">
        <v>6</v>
      </c>
      <c r="P9" s="8">
        <v>3</v>
      </c>
      <c r="Q9" s="52" t="s">
        <v>34</v>
      </c>
      <c r="R9" s="1" t="s">
        <v>7</v>
      </c>
      <c r="S9" s="1" t="s">
        <v>36</v>
      </c>
      <c r="T9" s="1" t="s">
        <v>35</v>
      </c>
      <c r="U9" s="10" t="s">
        <v>6</v>
      </c>
      <c r="W9" s="7">
        <v>3</v>
      </c>
      <c r="X9" s="43">
        <v>10</v>
      </c>
      <c r="Y9" s="44">
        <v>5</v>
      </c>
    </row>
    <row r="10" spans="2:27" x14ac:dyDescent="0.25">
      <c r="B10" s="84"/>
      <c r="C10" s="85"/>
      <c r="D10" s="85"/>
      <c r="E10" s="85"/>
      <c r="F10" s="85"/>
      <c r="G10" s="86"/>
      <c r="I10" s="8">
        <v>4</v>
      </c>
      <c r="J10" s="52" t="s">
        <v>8</v>
      </c>
      <c r="K10" s="1" t="s">
        <v>11</v>
      </c>
      <c r="L10" s="1" t="s">
        <v>6</v>
      </c>
      <c r="M10" s="1" t="s">
        <v>6</v>
      </c>
      <c r="N10" s="10" t="s">
        <v>35</v>
      </c>
      <c r="P10" s="8">
        <v>4</v>
      </c>
      <c r="Q10" s="52" t="s">
        <v>8</v>
      </c>
      <c r="R10" s="1" t="s">
        <v>11</v>
      </c>
      <c r="S10" s="1" t="s">
        <v>6</v>
      </c>
      <c r="T10" s="1" t="s">
        <v>6</v>
      </c>
      <c r="U10" s="10" t="s">
        <v>35</v>
      </c>
    </row>
    <row r="11" spans="2:27" x14ac:dyDescent="0.25">
      <c r="B11" s="84"/>
      <c r="C11" s="85"/>
      <c r="D11" s="85"/>
      <c r="E11" s="85"/>
      <c r="F11" s="85"/>
      <c r="G11" s="86"/>
      <c r="I11" s="8">
        <v>5</v>
      </c>
      <c r="J11" s="52" t="s">
        <v>36</v>
      </c>
      <c r="K11" s="1">
        <v>9</v>
      </c>
      <c r="L11" s="1" t="s">
        <v>7</v>
      </c>
      <c r="M11" s="1">
        <v>10</v>
      </c>
      <c r="N11" s="10">
        <v>10</v>
      </c>
      <c r="P11" s="8">
        <v>5</v>
      </c>
      <c r="Q11" s="52" t="s">
        <v>36</v>
      </c>
      <c r="R11" s="1">
        <v>9</v>
      </c>
      <c r="S11" s="1" t="s">
        <v>7</v>
      </c>
      <c r="T11" s="1">
        <v>10</v>
      </c>
      <c r="U11" s="10">
        <v>10</v>
      </c>
      <c r="W11" s="37" t="s">
        <v>41</v>
      </c>
    </row>
    <row r="12" spans="2:27" x14ac:dyDescent="0.25">
      <c r="B12" s="84"/>
      <c r="C12" s="85"/>
      <c r="D12" s="85"/>
      <c r="E12" s="85"/>
      <c r="F12" s="85"/>
      <c r="G12" s="86"/>
      <c r="I12" s="8">
        <v>6</v>
      </c>
      <c r="J12" s="52" t="s">
        <v>6</v>
      </c>
      <c r="K12" s="1" t="s">
        <v>34</v>
      </c>
      <c r="L12" s="1" t="s">
        <v>35</v>
      </c>
      <c r="M12" s="1" t="s">
        <v>37</v>
      </c>
      <c r="N12" s="10" t="s">
        <v>33</v>
      </c>
      <c r="P12" s="8">
        <v>6</v>
      </c>
      <c r="Q12" s="52" t="s">
        <v>6</v>
      </c>
      <c r="R12" s="1" t="s">
        <v>34</v>
      </c>
      <c r="S12" s="1" t="s">
        <v>35</v>
      </c>
      <c r="T12" s="1" t="s">
        <v>37</v>
      </c>
      <c r="U12" s="10" t="s">
        <v>33</v>
      </c>
      <c r="W12" s="13" t="s">
        <v>17</v>
      </c>
      <c r="X12" s="14" t="s">
        <v>19</v>
      </c>
      <c r="Y12" s="14" t="s">
        <v>20</v>
      </c>
      <c r="Z12" s="14" t="s">
        <v>21</v>
      </c>
      <c r="AA12" s="15" t="s">
        <v>22</v>
      </c>
    </row>
    <row r="13" spans="2:27" x14ac:dyDescent="0.25">
      <c r="B13" s="84"/>
      <c r="C13" s="85"/>
      <c r="D13" s="85"/>
      <c r="E13" s="85"/>
      <c r="F13" s="85"/>
      <c r="G13" s="86"/>
      <c r="I13" s="8">
        <v>7</v>
      </c>
      <c r="J13" s="52" t="s">
        <v>7</v>
      </c>
      <c r="K13" s="1" t="s">
        <v>32</v>
      </c>
      <c r="L13" s="1" t="s">
        <v>10</v>
      </c>
      <c r="M13" s="1" t="s">
        <v>6</v>
      </c>
      <c r="N13" s="10" t="s">
        <v>33</v>
      </c>
      <c r="P13" s="8">
        <v>7</v>
      </c>
      <c r="Q13" s="52" t="s">
        <v>7</v>
      </c>
      <c r="R13" s="1" t="s">
        <v>32</v>
      </c>
      <c r="S13" s="1" t="s">
        <v>10</v>
      </c>
      <c r="T13" s="1" t="s">
        <v>6</v>
      </c>
      <c r="U13" s="10" t="s">
        <v>33</v>
      </c>
      <c r="W13" s="27" t="s">
        <v>33</v>
      </c>
      <c r="X13" s="2">
        <v>10</v>
      </c>
      <c r="Y13" s="2">
        <v>40</v>
      </c>
      <c r="Z13" s="2">
        <v>200</v>
      </c>
      <c r="AA13" s="39">
        <v>1000</v>
      </c>
    </row>
    <row r="14" spans="2:27" x14ac:dyDescent="0.25">
      <c r="B14" s="84"/>
      <c r="C14" s="85"/>
      <c r="D14" s="85"/>
      <c r="E14" s="85"/>
      <c r="F14" s="85"/>
      <c r="G14" s="86"/>
      <c r="I14" s="8">
        <v>8</v>
      </c>
      <c r="J14" s="52" t="s">
        <v>33</v>
      </c>
      <c r="K14" s="1" t="s">
        <v>35</v>
      </c>
      <c r="L14" s="1" t="s">
        <v>34</v>
      </c>
      <c r="M14" s="1" t="s">
        <v>36</v>
      </c>
      <c r="N14" s="10" t="s">
        <v>33</v>
      </c>
      <c r="P14" s="8">
        <v>8</v>
      </c>
      <c r="Q14" s="52" t="s">
        <v>33</v>
      </c>
      <c r="R14" s="1" t="s">
        <v>35</v>
      </c>
      <c r="S14" s="1" t="s">
        <v>34</v>
      </c>
      <c r="T14" s="1" t="s">
        <v>36</v>
      </c>
      <c r="U14" s="10" t="s">
        <v>33</v>
      </c>
      <c r="W14" s="27" t="s">
        <v>34</v>
      </c>
      <c r="X14" s="2">
        <v>4</v>
      </c>
      <c r="Y14" s="2">
        <v>40</v>
      </c>
      <c r="Z14" s="2">
        <v>150</v>
      </c>
      <c r="AA14" s="39">
        <v>500</v>
      </c>
    </row>
    <row r="15" spans="2:27" x14ac:dyDescent="0.25">
      <c r="B15" s="87"/>
      <c r="C15" s="88"/>
      <c r="D15" s="88"/>
      <c r="E15" s="88"/>
      <c r="F15" s="88"/>
      <c r="G15" s="89"/>
      <c r="I15" s="8">
        <v>9</v>
      </c>
      <c r="J15" s="52" t="s">
        <v>33</v>
      </c>
      <c r="K15" s="1">
        <v>9</v>
      </c>
      <c r="L15" s="1" t="s">
        <v>6</v>
      </c>
      <c r="M15" s="1" t="s">
        <v>32</v>
      </c>
      <c r="N15" s="10" t="s">
        <v>33</v>
      </c>
      <c r="P15" s="8">
        <v>9</v>
      </c>
      <c r="Q15" s="52" t="s">
        <v>33</v>
      </c>
      <c r="R15" s="1">
        <v>9</v>
      </c>
      <c r="S15" s="1" t="s">
        <v>6</v>
      </c>
      <c r="T15" s="1" t="s">
        <v>32</v>
      </c>
      <c r="U15" s="10" t="s">
        <v>33</v>
      </c>
      <c r="W15" s="27" t="s">
        <v>35</v>
      </c>
      <c r="X15" s="2">
        <v>4</v>
      </c>
      <c r="Y15" s="2">
        <v>40</v>
      </c>
      <c r="Z15" s="2">
        <v>150</v>
      </c>
      <c r="AA15" s="39">
        <v>500</v>
      </c>
    </row>
    <row r="16" spans="2:27" x14ac:dyDescent="0.25">
      <c r="I16" s="8">
        <v>10</v>
      </c>
      <c r="J16" s="52" t="s">
        <v>33</v>
      </c>
      <c r="K16" s="1">
        <v>10</v>
      </c>
      <c r="L16" s="1" t="s">
        <v>11</v>
      </c>
      <c r="M16" s="1">
        <v>9</v>
      </c>
      <c r="N16" s="10">
        <v>9</v>
      </c>
      <c r="P16" s="8">
        <v>10</v>
      </c>
      <c r="Q16" s="52" t="s">
        <v>33</v>
      </c>
      <c r="R16" s="1">
        <v>10</v>
      </c>
      <c r="S16" s="1" t="s">
        <v>11</v>
      </c>
      <c r="T16" s="1">
        <v>9</v>
      </c>
      <c r="U16" s="10">
        <v>9</v>
      </c>
      <c r="W16" s="27" t="s">
        <v>36</v>
      </c>
      <c r="X16" s="2" t="s">
        <v>46</v>
      </c>
      <c r="Y16" s="2">
        <v>20</v>
      </c>
      <c r="Z16" s="2">
        <v>100</v>
      </c>
      <c r="AA16" s="39">
        <v>400</v>
      </c>
    </row>
    <row r="17" spans="2:27" x14ac:dyDescent="0.25">
      <c r="I17" s="8">
        <v>11</v>
      </c>
      <c r="J17" s="52" t="s">
        <v>33</v>
      </c>
      <c r="K17" s="1" t="s">
        <v>36</v>
      </c>
      <c r="L17" s="1" t="s">
        <v>32</v>
      </c>
      <c r="M17" s="1" t="s">
        <v>34</v>
      </c>
      <c r="N17" s="10" t="s">
        <v>35</v>
      </c>
      <c r="P17" s="8">
        <v>11</v>
      </c>
      <c r="Q17" s="52" t="s">
        <v>33</v>
      </c>
      <c r="R17" s="1" t="s">
        <v>36</v>
      </c>
      <c r="S17" s="1" t="s">
        <v>32</v>
      </c>
      <c r="T17" s="1" t="s">
        <v>34</v>
      </c>
      <c r="U17" s="10" t="s">
        <v>35</v>
      </c>
      <c r="W17" s="27" t="s">
        <v>37</v>
      </c>
      <c r="X17" s="2" t="s">
        <v>46</v>
      </c>
      <c r="Y17" s="2">
        <v>20</v>
      </c>
      <c r="Z17" s="2">
        <v>100</v>
      </c>
      <c r="AA17" s="39">
        <v>400</v>
      </c>
    </row>
    <row r="18" spans="2:27" x14ac:dyDescent="0.25">
      <c r="B18" s="37" t="s">
        <v>52</v>
      </c>
      <c r="I18" s="8">
        <v>12</v>
      </c>
      <c r="J18" s="52" t="s">
        <v>9</v>
      </c>
      <c r="K18" s="1" t="s">
        <v>7</v>
      </c>
      <c r="L18" s="1" t="s">
        <v>35</v>
      </c>
      <c r="M18" s="1" t="s">
        <v>6</v>
      </c>
      <c r="N18" s="10">
        <v>10</v>
      </c>
      <c r="P18" s="8">
        <v>12</v>
      </c>
      <c r="Q18" s="52" t="s">
        <v>9</v>
      </c>
      <c r="R18" s="1" t="s">
        <v>7</v>
      </c>
      <c r="S18" s="1" t="s">
        <v>35</v>
      </c>
      <c r="T18" s="1" t="s">
        <v>6</v>
      </c>
      <c r="U18" s="10">
        <v>10</v>
      </c>
      <c r="W18" s="27" t="s">
        <v>32</v>
      </c>
      <c r="X18" s="2" t="s">
        <v>46</v>
      </c>
      <c r="Y18" s="2">
        <v>20</v>
      </c>
      <c r="Z18" s="2">
        <v>50</v>
      </c>
      <c r="AA18" s="39">
        <v>400</v>
      </c>
    </row>
    <row r="19" spans="2:27" x14ac:dyDescent="0.25">
      <c r="I19" s="8">
        <v>13</v>
      </c>
      <c r="J19" s="52" t="s">
        <v>8</v>
      </c>
      <c r="K19" s="1" t="s">
        <v>34</v>
      </c>
      <c r="L19" s="1" t="s">
        <v>6</v>
      </c>
      <c r="M19" s="1" t="s">
        <v>36</v>
      </c>
      <c r="N19" s="10" t="s">
        <v>36</v>
      </c>
      <c r="P19" s="8">
        <v>13</v>
      </c>
      <c r="Q19" s="52" t="s">
        <v>8</v>
      </c>
      <c r="R19" s="1" t="s">
        <v>34</v>
      </c>
      <c r="S19" s="1" t="s">
        <v>6</v>
      </c>
      <c r="T19" s="1" t="s">
        <v>36</v>
      </c>
      <c r="U19" s="10" t="s">
        <v>36</v>
      </c>
      <c r="W19" s="27" t="s">
        <v>6</v>
      </c>
      <c r="X19" s="2" t="s">
        <v>46</v>
      </c>
      <c r="Y19" s="2">
        <v>20</v>
      </c>
      <c r="Z19" s="2">
        <v>50</v>
      </c>
      <c r="AA19" s="39">
        <v>400</v>
      </c>
    </row>
    <row r="20" spans="2:27" x14ac:dyDescent="0.25">
      <c r="I20" s="8">
        <v>14</v>
      </c>
      <c r="J20" s="52" t="s">
        <v>34</v>
      </c>
      <c r="K20" s="1" t="s">
        <v>32</v>
      </c>
      <c r="L20" s="3" t="s">
        <v>33</v>
      </c>
      <c r="M20" s="1">
        <v>10</v>
      </c>
      <c r="N20" s="10" t="s">
        <v>10</v>
      </c>
      <c r="P20" s="8">
        <v>14</v>
      </c>
      <c r="Q20" s="52" t="s">
        <v>34</v>
      </c>
      <c r="R20" s="1" t="s">
        <v>32</v>
      </c>
      <c r="S20" s="3" t="s">
        <v>33</v>
      </c>
      <c r="T20" s="1">
        <v>10</v>
      </c>
      <c r="U20" s="10" t="s">
        <v>10</v>
      </c>
      <c r="W20" s="27" t="s">
        <v>10</v>
      </c>
      <c r="X20" s="2" t="s">
        <v>46</v>
      </c>
      <c r="Y20" s="2">
        <v>10</v>
      </c>
      <c r="Z20" s="2">
        <v>30</v>
      </c>
      <c r="AA20" s="39">
        <v>200</v>
      </c>
    </row>
    <row r="21" spans="2:27" x14ac:dyDescent="0.25">
      <c r="I21" s="8">
        <v>15</v>
      </c>
      <c r="J21" s="52" t="s">
        <v>32</v>
      </c>
      <c r="K21" s="4" t="s">
        <v>15</v>
      </c>
      <c r="L21" s="3" t="s">
        <v>33</v>
      </c>
      <c r="M21" s="1" t="s">
        <v>11</v>
      </c>
      <c r="N21" s="10" t="s">
        <v>11</v>
      </c>
      <c r="P21" s="8">
        <v>15</v>
      </c>
      <c r="Q21" s="52" t="s">
        <v>32</v>
      </c>
      <c r="R21" s="4" t="s">
        <v>15</v>
      </c>
      <c r="S21" s="3" t="s">
        <v>33</v>
      </c>
      <c r="T21" s="1" t="s">
        <v>11</v>
      </c>
      <c r="U21" s="10" t="s">
        <v>11</v>
      </c>
      <c r="W21" s="27" t="s">
        <v>7</v>
      </c>
      <c r="X21" s="2" t="s">
        <v>46</v>
      </c>
      <c r="Y21" s="2">
        <v>10</v>
      </c>
      <c r="Z21" s="2">
        <v>30</v>
      </c>
      <c r="AA21" s="39">
        <v>200</v>
      </c>
    </row>
    <row r="22" spans="2:27" x14ac:dyDescent="0.25">
      <c r="I22" s="8">
        <v>16</v>
      </c>
      <c r="J22" s="52" t="s">
        <v>36</v>
      </c>
      <c r="K22" s="1">
        <v>9</v>
      </c>
      <c r="L22" s="3" t="s">
        <v>33</v>
      </c>
      <c r="M22" s="1">
        <v>9</v>
      </c>
      <c r="N22" s="11" t="s">
        <v>32</v>
      </c>
      <c r="P22" s="8">
        <v>16</v>
      </c>
      <c r="Q22" s="52" t="s">
        <v>36</v>
      </c>
      <c r="R22" s="1">
        <v>9</v>
      </c>
      <c r="S22" s="3" t="s">
        <v>33</v>
      </c>
      <c r="T22" s="1">
        <v>9</v>
      </c>
      <c r="U22" s="11" t="s">
        <v>32</v>
      </c>
      <c r="W22" s="27">
        <v>10</v>
      </c>
      <c r="X22" s="2" t="s">
        <v>46</v>
      </c>
      <c r="Y22" s="2">
        <v>10</v>
      </c>
      <c r="Z22" s="2">
        <v>20</v>
      </c>
      <c r="AA22" s="39">
        <v>200</v>
      </c>
    </row>
    <row r="23" spans="2:27" x14ac:dyDescent="0.25">
      <c r="I23" s="8">
        <v>17</v>
      </c>
      <c r="J23" s="46" t="s">
        <v>10</v>
      </c>
      <c r="K23" s="1" t="s">
        <v>7</v>
      </c>
      <c r="L23" s="3" t="s">
        <v>33</v>
      </c>
      <c r="M23" s="1" t="s">
        <v>35</v>
      </c>
      <c r="N23" s="11" t="s">
        <v>37</v>
      </c>
      <c r="P23" s="8">
        <v>17</v>
      </c>
      <c r="Q23" s="46" t="s">
        <v>10</v>
      </c>
      <c r="R23" s="1" t="s">
        <v>7</v>
      </c>
      <c r="S23" s="3" t="s">
        <v>33</v>
      </c>
      <c r="T23" s="1" t="s">
        <v>35</v>
      </c>
      <c r="U23" s="11" t="s">
        <v>37</v>
      </c>
      <c r="W23" s="27">
        <v>9</v>
      </c>
      <c r="X23" s="2" t="s">
        <v>46</v>
      </c>
      <c r="Y23" s="2">
        <v>10</v>
      </c>
      <c r="Z23" s="2">
        <v>20</v>
      </c>
      <c r="AA23" s="39">
        <v>200</v>
      </c>
    </row>
    <row r="24" spans="2:27" x14ac:dyDescent="0.25">
      <c r="I24" s="8">
        <v>18</v>
      </c>
      <c r="J24" s="52" t="s">
        <v>37</v>
      </c>
      <c r="K24" s="1" t="s">
        <v>36</v>
      </c>
      <c r="L24" s="1">
        <v>10</v>
      </c>
      <c r="M24" s="1" t="s">
        <v>10</v>
      </c>
      <c r="N24" s="11">
        <v>9</v>
      </c>
      <c r="P24" s="8">
        <v>18</v>
      </c>
      <c r="Q24" s="52" t="s">
        <v>37</v>
      </c>
      <c r="R24" s="1" t="s">
        <v>36</v>
      </c>
      <c r="S24" s="1">
        <v>10</v>
      </c>
      <c r="T24" s="1" t="s">
        <v>10</v>
      </c>
      <c r="U24" s="11">
        <v>9</v>
      </c>
      <c r="W24" s="28" t="s">
        <v>15</v>
      </c>
      <c r="X24" s="56" t="s">
        <v>46</v>
      </c>
      <c r="Y24" s="58">
        <v>4</v>
      </c>
      <c r="Z24" s="56" t="s">
        <v>46</v>
      </c>
      <c r="AA24" s="57" t="s">
        <v>46</v>
      </c>
    </row>
    <row r="25" spans="2:27" x14ac:dyDescent="0.25">
      <c r="I25" s="8">
        <v>19</v>
      </c>
      <c r="J25" s="46" t="s">
        <v>6</v>
      </c>
      <c r="K25" s="1" t="s">
        <v>6</v>
      </c>
      <c r="L25" s="1">
        <v>9</v>
      </c>
      <c r="M25" s="1" t="s">
        <v>34</v>
      </c>
      <c r="N25" s="11" t="s">
        <v>10</v>
      </c>
      <c r="P25" s="8">
        <v>19</v>
      </c>
      <c r="Q25" s="46" t="s">
        <v>6</v>
      </c>
      <c r="R25" s="1" t="s">
        <v>6</v>
      </c>
      <c r="S25" s="1">
        <v>9</v>
      </c>
      <c r="T25" s="1" t="s">
        <v>34</v>
      </c>
      <c r="U25" s="11" t="s">
        <v>10</v>
      </c>
      <c r="W25" s="42" t="s">
        <v>50</v>
      </c>
    </row>
    <row r="26" spans="2:27" x14ac:dyDescent="0.25">
      <c r="I26" s="8">
        <v>20</v>
      </c>
      <c r="J26" s="46" t="s">
        <v>32</v>
      </c>
      <c r="K26" s="1" t="s">
        <v>37</v>
      </c>
      <c r="L26" s="4" t="s">
        <v>15</v>
      </c>
      <c r="M26" s="1">
        <v>10</v>
      </c>
      <c r="N26" s="11" t="s">
        <v>36</v>
      </c>
      <c r="P26" s="8">
        <v>20</v>
      </c>
      <c r="Q26" s="46" t="s">
        <v>32</v>
      </c>
      <c r="R26" s="1" t="s">
        <v>37</v>
      </c>
      <c r="S26" s="4" t="s">
        <v>15</v>
      </c>
      <c r="T26" s="1">
        <v>10</v>
      </c>
      <c r="U26" s="11" t="s">
        <v>36</v>
      </c>
    </row>
    <row r="27" spans="2:27" x14ac:dyDescent="0.25">
      <c r="I27" s="8">
        <v>21</v>
      </c>
      <c r="J27" s="46" t="s">
        <v>36</v>
      </c>
      <c r="K27" s="1" t="s">
        <v>10</v>
      </c>
      <c r="L27" s="1" t="s">
        <v>10</v>
      </c>
      <c r="M27" s="1" t="s">
        <v>7</v>
      </c>
      <c r="N27" s="11" t="s">
        <v>7</v>
      </c>
      <c r="P27" s="8">
        <v>21</v>
      </c>
      <c r="Q27" s="46" t="s">
        <v>36</v>
      </c>
      <c r="R27" s="1" t="s">
        <v>10</v>
      </c>
      <c r="S27" s="1" t="s">
        <v>10</v>
      </c>
      <c r="T27" s="1" t="s">
        <v>7</v>
      </c>
      <c r="U27" s="11" t="s">
        <v>7</v>
      </c>
    </row>
    <row r="28" spans="2:27" x14ac:dyDescent="0.25">
      <c r="I28" s="8">
        <v>22</v>
      </c>
      <c r="J28" s="46" t="s">
        <v>6</v>
      </c>
      <c r="K28" s="1" t="s">
        <v>15</v>
      </c>
      <c r="L28" s="1" t="s">
        <v>37</v>
      </c>
      <c r="M28" s="1" t="s">
        <v>36</v>
      </c>
      <c r="N28" s="11" t="s">
        <v>35</v>
      </c>
      <c r="P28" s="8">
        <v>22</v>
      </c>
      <c r="Q28" s="46" t="s">
        <v>6</v>
      </c>
      <c r="R28" s="1" t="s">
        <v>15</v>
      </c>
      <c r="S28" s="1" t="s">
        <v>37</v>
      </c>
      <c r="T28" s="1" t="s">
        <v>36</v>
      </c>
      <c r="U28" s="11" t="s">
        <v>35</v>
      </c>
    </row>
    <row r="29" spans="2:27" x14ac:dyDescent="0.25">
      <c r="I29" s="8">
        <v>23</v>
      </c>
      <c r="J29" s="46" t="s">
        <v>15</v>
      </c>
      <c r="K29" s="1" t="s">
        <v>32</v>
      </c>
      <c r="L29" s="1" t="s">
        <v>7</v>
      </c>
      <c r="M29" s="1" t="s">
        <v>32</v>
      </c>
      <c r="N29" s="11">
        <v>10</v>
      </c>
      <c r="P29" s="8">
        <v>23</v>
      </c>
      <c r="Q29" s="46" t="s">
        <v>15</v>
      </c>
      <c r="R29" s="1" t="s">
        <v>32</v>
      </c>
      <c r="S29" s="1" t="s">
        <v>7</v>
      </c>
      <c r="T29" s="1" t="s">
        <v>32</v>
      </c>
      <c r="U29" s="11">
        <v>10</v>
      </c>
    </row>
    <row r="30" spans="2:27" x14ac:dyDescent="0.25">
      <c r="I30" s="8">
        <v>24</v>
      </c>
      <c r="J30" s="46" t="s">
        <v>10</v>
      </c>
      <c r="K30" s="1">
        <v>10</v>
      </c>
      <c r="L30" s="1" t="s">
        <v>35</v>
      </c>
      <c r="M30" s="1" t="s">
        <v>7</v>
      </c>
      <c r="N30" s="10" t="s">
        <v>11</v>
      </c>
      <c r="P30" s="8">
        <v>24</v>
      </c>
      <c r="Q30" s="46" t="s">
        <v>10</v>
      </c>
      <c r="R30" s="1">
        <v>10</v>
      </c>
      <c r="S30" s="1" t="s">
        <v>35</v>
      </c>
      <c r="T30" s="1" t="s">
        <v>7</v>
      </c>
      <c r="U30" s="10" t="s">
        <v>11</v>
      </c>
    </row>
    <row r="31" spans="2:27" x14ac:dyDescent="0.25">
      <c r="I31" s="8">
        <v>25</v>
      </c>
      <c r="J31" s="46" t="s">
        <v>32</v>
      </c>
      <c r="K31" s="1" t="s">
        <v>34</v>
      </c>
      <c r="L31" s="4">
        <v>9</v>
      </c>
      <c r="M31" s="1" t="s">
        <v>35</v>
      </c>
      <c r="N31" s="11" t="s">
        <v>34</v>
      </c>
      <c r="P31" s="8">
        <v>25</v>
      </c>
      <c r="Q31" s="46" t="s">
        <v>32</v>
      </c>
      <c r="R31" s="1" t="s">
        <v>34</v>
      </c>
      <c r="S31" s="4">
        <v>9</v>
      </c>
      <c r="T31" s="1" t="s">
        <v>35</v>
      </c>
      <c r="U31" s="11" t="s">
        <v>34</v>
      </c>
    </row>
    <row r="32" spans="2:27" x14ac:dyDescent="0.25">
      <c r="I32" s="8">
        <v>26</v>
      </c>
      <c r="J32" s="46" t="s">
        <v>36</v>
      </c>
      <c r="K32" s="1">
        <v>9</v>
      </c>
      <c r="L32" s="4" t="s">
        <v>36</v>
      </c>
      <c r="M32" s="1" t="s">
        <v>10</v>
      </c>
      <c r="N32" s="11">
        <v>10</v>
      </c>
      <c r="P32" s="8">
        <v>26</v>
      </c>
      <c r="Q32" s="46" t="s">
        <v>36</v>
      </c>
      <c r="R32" s="1">
        <v>9</v>
      </c>
      <c r="S32" s="4" t="s">
        <v>36</v>
      </c>
      <c r="T32" s="1" t="s">
        <v>10</v>
      </c>
      <c r="U32" s="11">
        <v>10</v>
      </c>
    </row>
    <row r="33" spans="9:21" x14ac:dyDescent="0.25">
      <c r="I33" s="8">
        <v>27</v>
      </c>
      <c r="J33" s="46">
        <v>9</v>
      </c>
      <c r="K33" s="1" t="s">
        <v>35</v>
      </c>
      <c r="L33" s="4" t="s">
        <v>6</v>
      </c>
      <c r="M33" s="1" t="s">
        <v>32</v>
      </c>
      <c r="N33" s="11" t="s">
        <v>10</v>
      </c>
      <c r="P33" s="8">
        <v>27</v>
      </c>
      <c r="Q33" s="46">
        <v>9</v>
      </c>
      <c r="R33" s="1" t="s">
        <v>35</v>
      </c>
      <c r="S33" s="4" t="s">
        <v>6</v>
      </c>
      <c r="T33" s="1" t="s">
        <v>32</v>
      </c>
      <c r="U33" s="11" t="s">
        <v>10</v>
      </c>
    </row>
    <row r="34" spans="9:21" x14ac:dyDescent="0.25">
      <c r="I34" s="8">
        <v>28</v>
      </c>
      <c r="J34" s="52" t="s">
        <v>33</v>
      </c>
      <c r="K34" s="1" t="s">
        <v>7</v>
      </c>
      <c r="L34" s="4">
        <v>10</v>
      </c>
      <c r="M34" s="1" t="s">
        <v>34</v>
      </c>
      <c r="N34" s="11" t="s">
        <v>35</v>
      </c>
      <c r="P34" s="8">
        <v>28</v>
      </c>
      <c r="Q34" s="52" t="s">
        <v>33</v>
      </c>
      <c r="R34" s="1" t="s">
        <v>7</v>
      </c>
      <c r="S34" s="4">
        <v>10</v>
      </c>
      <c r="T34" s="1" t="s">
        <v>34</v>
      </c>
      <c r="U34" s="11" t="s">
        <v>35</v>
      </c>
    </row>
    <row r="35" spans="9:21" x14ac:dyDescent="0.25">
      <c r="I35" s="8">
        <v>29</v>
      </c>
      <c r="J35" s="52" t="s">
        <v>33</v>
      </c>
      <c r="K35" s="1">
        <v>10</v>
      </c>
      <c r="L35" s="4" t="s">
        <v>35</v>
      </c>
      <c r="M35" s="1">
        <v>9</v>
      </c>
      <c r="N35" s="11">
        <v>10</v>
      </c>
      <c r="P35" s="8">
        <v>29</v>
      </c>
      <c r="Q35" s="52" t="s">
        <v>33</v>
      </c>
      <c r="R35" s="1">
        <v>10</v>
      </c>
      <c r="S35" s="4" t="s">
        <v>35</v>
      </c>
      <c r="T35" s="1">
        <v>9</v>
      </c>
      <c r="U35" s="11">
        <v>10</v>
      </c>
    </row>
    <row r="36" spans="9:21" x14ac:dyDescent="0.25">
      <c r="I36" s="8">
        <v>30</v>
      </c>
      <c r="J36" s="52" t="s">
        <v>33</v>
      </c>
      <c r="K36" s="1" t="s">
        <v>11</v>
      </c>
      <c r="L36" s="4" t="s">
        <v>10</v>
      </c>
      <c r="M36" s="1" t="s">
        <v>36</v>
      </c>
      <c r="N36" s="11" t="s">
        <v>37</v>
      </c>
      <c r="P36" s="8">
        <v>30</v>
      </c>
      <c r="Q36" s="52" t="s">
        <v>33</v>
      </c>
      <c r="R36" s="1" t="s">
        <v>11</v>
      </c>
      <c r="S36" s="4" t="s">
        <v>10</v>
      </c>
      <c r="T36" s="1" t="s">
        <v>36</v>
      </c>
      <c r="U36" s="11" t="s">
        <v>37</v>
      </c>
    </row>
    <row r="37" spans="9:21" x14ac:dyDescent="0.25">
      <c r="I37" s="8">
        <v>31</v>
      </c>
      <c r="J37" s="52" t="s">
        <v>33</v>
      </c>
      <c r="K37" s="1" t="s">
        <v>6</v>
      </c>
      <c r="L37" s="4" t="s">
        <v>34</v>
      </c>
      <c r="M37" s="1" t="s">
        <v>6</v>
      </c>
      <c r="N37" s="11" t="s">
        <v>7</v>
      </c>
      <c r="P37" s="8">
        <v>31</v>
      </c>
      <c r="Q37" s="52" t="s">
        <v>33</v>
      </c>
      <c r="R37" s="1" t="s">
        <v>6</v>
      </c>
      <c r="S37" s="4" t="s">
        <v>34</v>
      </c>
      <c r="T37" s="1" t="s">
        <v>6</v>
      </c>
      <c r="U37" s="11" t="s">
        <v>7</v>
      </c>
    </row>
    <row r="38" spans="9:21" x14ac:dyDescent="0.25">
      <c r="I38" s="8">
        <v>32</v>
      </c>
      <c r="J38" s="46">
        <v>10</v>
      </c>
      <c r="K38" s="1" t="s">
        <v>34</v>
      </c>
      <c r="L38" s="4" t="s">
        <v>6</v>
      </c>
      <c r="M38" s="1">
        <v>10</v>
      </c>
      <c r="N38" s="11" t="s">
        <v>36</v>
      </c>
      <c r="P38" s="8">
        <v>32</v>
      </c>
      <c r="Q38" s="46">
        <v>10</v>
      </c>
      <c r="R38" s="1" t="s">
        <v>34</v>
      </c>
      <c r="S38" s="4" t="s">
        <v>6</v>
      </c>
      <c r="T38" s="1">
        <v>10</v>
      </c>
      <c r="U38" s="11" t="s">
        <v>36</v>
      </c>
    </row>
    <row r="39" spans="9:21" x14ac:dyDescent="0.25">
      <c r="I39" s="8">
        <v>33</v>
      </c>
      <c r="J39" s="46" t="s">
        <v>15</v>
      </c>
      <c r="K39" s="1" t="s">
        <v>7</v>
      </c>
      <c r="L39" s="4" t="s">
        <v>15</v>
      </c>
      <c r="M39" s="1" t="s">
        <v>36</v>
      </c>
      <c r="N39" s="11" t="s">
        <v>32</v>
      </c>
      <c r="P39" s="8">
        <v>33</v>
      </c>
      <c r="Q39" s="46" t="s">
        <v>15</v>
      </c>
      <c r="R39" s="1" t="s">
        <v>7</v>
      </c>
      <c r="S39" s="4" t="s">
        <v>15</v>
      </c>
      <c r="T39" s="1" t="s">
        <v>36</v>
      </c>
      <c r="U39" s="11" t="s">
        <v>32</v>
      </c>
    </row>
    <row r="40" spans="9:21" x14ac:dyDescent="0.25">
      <c r="I40" s="8">
        <v>34</v>
      </c>
      <c r="J40" s="46" t="s">
        <v>7</v>
      </c>
      <c r="K40" s="3" t="s">
        <v>33</v>
      </c>
      <c r="L40" s="4" t="s">
        <v>7</v>
      </c>
      <c r="M40" s="1">
        <v>9</v>
      </c>
      <c r="N40" s="11" t="s">
        <v>6</v>
      </c>
      <c r="P40" s="8">
        <v>34</v>
      </c>
      <c r="Q40" s="46" t="s">
        <v>7</v>
      </c>
      <c r="R40" s="3" t="s">
        <v>33</v>
      </c>
      <c r="S40" s="4" t="s">
        <v>7</v>
      </c>
      <c r="T40" s="1">
        <v>9</v>
      </c>
      <c r="U40" s="11" t="s">
        <v>6</v>
      </c>
    </row>
    <row r="41" spans="9:21" x14ac:dyDescent="0.25">
      <c r="I41" s="8">
        <v>35</v>
      </c>
      <c r="J41" s="46" t="s">
        <v>34</v>
      </c>
      <c r="K41" s="3" t="s">
        <v>33</v>
      </c>
      <c r="L41" s="4" t="s">
        <v>35</v>
      </c>
      <c r="M41" s="1" t="s">
        <v>37</v>
      </c>
      <c r="N41" s="11" t="s">
        <v>11</v>
      </c>
      <c r="P41" s="8">
        <v>35</v>
      </c>
      <c r="Q41" s="46" t="s">
        <v>34</v>
      </c>
      <c r="R41" s="3" t="s">
        <v>33</v>
      </c>
      <c r="S41" s="4" t="s">
        <v>35</v>
      </c>
      <c r="T41" s="1" t="s">
        <v>37</v>
      </c>
      <c r="U41" s="11" t="s">
        <v>11</v>
      </c>
    </row>
    <row r="42" spans="9:21" x14ac:dyDescent="0.25">
      <c r="I42" s="8">
        <v>36</v>
      </c>
      <c r="J42" s="46">
        <v>9</v>
      </c>
      <c r="K42" s="3" t="s">
        <v>33</v>
      </c>
      <c r="L42" s="4">
        <v>9</v>
      </c>
      <c r="M42" s="4" t="s">
        <v>7</v>
      </c>
      <c r="N42" s="11" t="s">
        <v>10</v>
      </c>
      <c r="P42" s="8">
        <v>36</v>
      </c>
      <c r="Q42" s="46">
        <v>9</v>
      </c>
      <c r="R42" s="3" t="s">
        <v>33</v>
      </c>
      <c r="S42" s="4">
        <v>9</v>
      </c>
      <c r="T42" s="4" t="s">
        <v>7</v>
      </c>
      <c r="U42" s="11" t="s">
        <v>10</v>
      </c>
    </row>
    <row r="43" spans="9:21" x14ac:dyDescent="0.25">
      <c r="I43" s="8">
        <v>37</v>
      </c>
      <c r="J43" s="46" t="s">
        <v>35</v>
      </c>
      <c r="K43" s="3" t="s">
        <v>33</v>
      </c>
      <c r="L43" s="4" t="s">
        <v>37</v>
      </c>
      <c r="M43" s="3" t="s">
        <v>33</v>
      </c>
      <c r="N43" s="11" t="s">
        <v>7</v>
      </c>
      <c r="P43" s="8">
        <v>37</v>
      </c>
      <c r="Q43" s="46" t="s">
        <v>35</v>
      </c>
      <c r="R43" s="3" t="s">
        <v>33</v>
      </c>
      <c r="S43" s="4" t="s">
        <v>37</v>
      </c>
      <c r="T43" s="3" t="s">
        <v>33</v>
      </c>
      <c r="U43" s="11" t="s">
        <v>7</v>
      </c>
    </row>
    <row r="44" spans="9:21" x14ac:dyDescent="0.25">
      <c r="I44" s="8">
        <v>38</v>
      </c>
      <c r="J44" s="46" t="s">
        <v>7</v>
      </c>
      <c r="K44" s="4" t="s">
        <v>6</v>
      </c>
      <c r="L44" s="4" t="s">
        <v>10</v>
      </c>
      <c r="M44" s="3" t="s">
        <v>33</v>
      </c>
      <c r="N44" s="11" t="s">
        <v>35</v>
      </c>
      <c r="P44" s="8">
        <v>38</v>
      </c>
      <c r="Q44" s="46" t="s">
        <v>7</v>
      </c>
      <c r="R44" s="4" t="s">
        <v>6</v>
      </c>
      <c r="S44" s="4" t="s">
        <v>10</v>
      </c>
      <c r="T44" s="3" t="s">
        <v>33</v>
      </c>
      <c r="U44" s="11" t="s">
        <v>35</v>
      </c>
    </row>
    <row r="45" spans="9:21" x14ac:dyDescent="0.25">
      <c r="I45" s="8">
        <v>39</v>
      </c>
      <c r="J45" s="46" t="s">
        <v>32</v>
      </c>
      <c r="K45" s="4">
        <v>9</v>
      </c>
      <c r="L45" s="4" t="s">
        <v>34</v>
      </c>
      <c r="M45" s="3" t="s">
        <v>33</v>
      </c>
      <c r="N45" s="11">
        <v>10</v>
      </c>
      <c r="P45" s="8">
        <v>39</v>
      </c>
      <c r="Q45" s="46" t="s">
        <v>32</v>
      </c>
      <c r="R45" s="4">
        <v>9</v>
      </c>
      <c r="S45" s="4" t="s">
        <v>34</v>
      </c>
      <c r="T45" s="3" t="s">
        <v>33</v>
      </c>
      <c r="U45" s="11">
        <v>10</v>
      </c>
    </row>
    <row r="46" spans="9:21" x14ac:dyDescent="0.25">
      <c r="I46" s="8">
        <v>40</v>
      </c>
      <c r="J46" s="46" t="s">
        <v>34</v>
      </c>
      <c r="K46" s="4" t="s">
        <v>15</v>
      </c>
      <c r="L46" s="4" t="s">
        <v>6</v>
      </c>
      <c r="M46" s="3" t="s">
        <v>33</v>
      </c>
      <c r="N46" s="11" t="s">
        <v>36</v>
      </c>
      <c r="P46" s="8">
        <v>40</v>
      </c>
      <c r="Q46" s="46" t="s">
        <v>34</v>
      </c>
      <c r="R46" s="4" t="s">
        <v>7</v>
      </c>
      <c r="S46" s="4" t="s">
        <v>6</v>
      </c>
      <c r="T46" s="3" t="s">
        <v>33</v>
      </c>
      <c r="U46" s="11" t="s">
        <v>36</v>
      </c>
    </row>
    <row r="47" spans="9:21" x14ac:dyDescent="0.25">
      <c r="I47" s="8">
        <v>41</v>
      </c>
      <c r="J47" s="46">
        <v>10</v>
      </c>
      <c r="K47" s="4" t="s">
        <v>37</v>
      </c>
      <c r="L47" s="4" t="s">
        <v>7</v>
      </c>
      <c r="M47" s="4"/>
      <c r="N47" s="11" t="s">
        <v>10</v>
      </c>
      <c r="P47" s="8">
        <v>41</v>
      </c>
      <c r="Q47" s="46">
        <v>10</v>
      </c>
      <c r="R47" s="4" t="s">
        <v>37</v>
      </c>
      <c r="S47" s="4" t="s">
        <v>7</v>
      </c>
      <c r="T47" s="3" t="s">
        <v>11</v>
      </c>
      <c r="U47" s="11" t="s">
        <v>10</v>
      </c>
    </row>
    <row r="48" spans="9:21" x14ac:dyDescent="0.25">
      <c r="I48" s="8">
        <v>42</v>
      </c>
      <c r="J48" s="46" t="s">
        <v>36</v>
      </c>
      <c r="K48" s="4">
        <v>9</v>
      </c>
      <c r="L48" s="4" t="s">
        <v>35</v>
      </c>
      <c r="M48" s="4"/>
      <c r="N48" s="11" t="s">
        <v>34</v>
      </c>
      <c r="P48" s="8">
        <v>42</v>
      </c>
      <c r="Q48" s="46" t="s">
        <v>36</v>
      </c>
      <c r="R48" s="4">
        <v>9</v>
      </c>
      <c r="S48" s="4" t="s">
        <v>35</v>
      </c>
      <c r="T48" s="4"/>
      <c r="U48" s="11" t="s">
        <v>34</v>
      </c>
    </row>
    <row r="49" spans="9:21" x14ac:dyDescent="0.25">
      <c r="I49" s="8">
        <v>43</v>
      </c>
      <c r="J49" s="46">
        <v>9</v>
      </c>
      <c r="K49" s="3"/>
      <c r="L49" s="4">
        <v>9</v>
      </c>
      <c r="M49" s="4"/>
      <c r="N49" s="11"/>
      <c r="P49" s="8">
        <v>43</v>
      </c>
      <c r="Q49" s="46">
        <v>9</v>
      </c>
      <c r="R49" s="3" t="s">
        <v>11</v>
      </c>
      <c r="S49" s="4">
        <v>9</v>
      </c>
      <c r="T49" s="4"/>
      <c r="U49" s="11" t="s">
        <v>11</v>
      </c>
    </row>
    <row r="50" spans="9:21" x14ac:dyDescent="0.25">
      <c r="I50" s="8">
        <v>44</v>
      </c>
      <c r="J50" s="46" t="s">
        <v>15</v>
      </c>
      <c r="K50" s="3"/>
      <c r="L50" s="4" t="s">
        <v>37</v>
      </c>
      <c r="M50" s="4"/>
      <c r="N50" s="11"/>
      <c r="P50" s="8">
        <v>44</v>
      </c>
      <c r="Q50" s="46" t="s">
        <v>15</v>
      </c>
      <c r="R50" s="3"/>
      <c r="S50" s="4" t="s">
        <v>37</v>
      </c>
      <c r="T50" s="4"/>
      <c r="U50" s="11"/>
    </row>
    <row r="51" spans="9:21" x14ac:dyDescent="0.25">
      <c r="I51" s="8">
        <v>45</v>
      </c>
      <c r="J51" s="46">
        <v>10</v>
      </c>
      <c r="K51" s="3"/>
      <c r="L51" s="4" t="s">
        <v>10</v>
      </c>
      <c r="M51" s="4"/>
      <c r="N51" s="11"/>
      <c r="P51" s="8">
        <v>45</v>
      </c>
      <c r="Q51" s="46">
        <v>10</v>
      </c>
      <c r="R51" s="3"/>
      <c r="S51" s="4" t="s">
        <v>10</v>
      </c>
      <c r="T51" s="4"/>
      <c r="U51" s="11"/>
    </row>
    <row r="52" spans="9:21" x14ac:dyDescent="0.25">
      <c r="I52" s="8">
        <v>46</v>
      </c>
      <c r="J52" s="52" t="s">
        <v>37</v>
      </c>
      <c r="K52" s="3"/>
      <c r="L52" s="4" t="s">
        <v>34</v>
      </c>
      <c r="M52" s="4"/>
      <c r="N52" s="11"/>
      <c r="P52" s="8">
        <v>46</v>
      </c>
      <c r="Q52" s="52" t="s">
        <v>37</v>
      </c>
      <c r="R52" s="3"/>
      <c r="S52" s="4" t="s">
        <v>34</v>
      </c>
      <c r="T52" s="4"/>
      <c r="U52" s="11"/>
    </row>
    <row r="53" spans="9:21" x14ac:dyDescent="0.25">
      <c r="I53" s="8">
        <v>47</v>
      </c>
      <c r="J53" s="46" t="s">
        <v>10</v>
      </c>
      <c r="K53" s="4"/>
      <c r="L53" s="4" t="s">
        <v>6</v>
      </c>
      <c r="M53" s="4"/>
      <c r="N53" s="11"/>
      <c r="P53" s="8">
        <v>47</v>
      </c>
      <c r="Q53" s="46" t="s">
        <v>10</v>
      </c>
      <c r="R53" s="4"/>
      <c r="S53" s="4" t="s">
        <v>6</v>
      </c>
      <c r="T53" s="4"/>
      <c r="U53" s="11"/>
    </row>
    <row r="54" spans="9:21" x14ac:dyDescent="0.25">
      <c r="I54" s="8">
        <v>48</v>
      </c>
      <c r="J54" s="46" t="s">
        <v>36</v>
      </c>
      <c r="K54" s="4"/>
      <c r="L54" s="4"/>
      <c r="M54" s="4"/>
      <c r="N54" s="11"/>
      <c r="P54" s="8">
        <v>48</v>
      </c>
      <c r="Q54" s="46" t="s">
        <v>36</v>
      </c>
      <c r="R54" s="4"/>
      <c r="S54" s="3" t="s">
        <v>11</v>
      </c>
      <c r="T54" s="4"/>
      <c r="U54" s="11"/>
    </row>
    <row r="55" spans="9:21" x14ac:dyDescent="0.25">
      <c r="I55" s="8">
        <v>49</v>
      </c>
      <c r="J55" s="46"/>
      <c r="K55" s="4"/>
      <c r="L55" s="4"/>
      <c r="M55" s="4"/>
      <c r="N55" s="11"/>
      <c r="P55" s="8">
        <v>49</v>
      </c>
      <c r="Q55" s="46"/>
      <c r="R55" s="4"/>
      <c r="S55" s="4"/>
      <c r="T55" s="4"/>
      <c r="U55" s="11"/>
    </row>
    <row r="56" spans="9:21" x14ac:dyDescent="0.25">
      <c r="I56" s="8">
        <v>50</v>
      </c>
      <c r="J56" s="46"/>
      <c r="K56" s="4"/>
      <c r="L56" s="4"/>
      <c r="M56" s="4"/>
      <c r="N56" s="11"/>
      <c r="P56" s="8">
        <v>50</v>
      </c>
      <c r="Q56" s="46"/>
      <c r="R56" s="4"/>
      <c r="S56" s="4"/>
      <c r="T56" s="4"/>
      <c r="U56" s="11"/>
    </row>
    <row r="57" spans="9:21" x14ac:dyDescent="0.25">
      <c r="I57" s="8">
        <v>51</v>
      </c>
      <c r="J57" s="46"/>
      <c r="K57" s="4"/>
      <c r="L57" s="4"/>
      <c r="M57" s="4"/>
      <c r="N57" s="11"/>
      <c r="P57" s="8">
        <v>51</v>
      </c>
      <c r="Q57" s="46"/>
      <c r="R57" s="4"/>
      <c r="S57" s="4"/>
      <c r="T57" s="4"/>
      <c r="U57" s="11"/>
    </row>
    <row r="58" spans="9:21" x14ac:dyDescent="0.25">
      <c r="I58" s="8">
        <v>52</v>
      </c>
      <c r="J58" s="46"/>
      <c r="K58" s="4"/>
      <c r="L58" s="4"/>
      <c r="M58" s="4"/>
      <c r="N58" s="11"/>
      <c r="P58" s="8">
        <v>52</v>
      </c>
      <c r="Q58" s="46"/>
      <c r="R58" s="4"/>
      <c r="S58" s="4"/>
      <c r="T58" s="4"/>
      <c r="U58" s="11"/>
    </row>
    <row r="59" spans="9:21" x14ac:dyDescent="0.25">
      <c r="I59" s="8">
        <v>53</v>
      </c>
      <c r="J59" s="46"/>
      <c r="K59" s="4"/>
      <c r="L59" s="4"/>
      <c r="M59" s="4"/>
      <c r="N59" s="11"/>
      <c r="P59" s="8">
        <v>53</v>
      </c>
      <c r="Q59" s="46"/>
      <c r="R59" s="4"/>
      <c r="S59" s="4"/>
      <c r="T59" s="4"/>
      <c r="U59" s="11"/>
    </row>
    <row r="60" spans="9:21" x14ac:dyDescent="0.25">
      <c r="I60" s="8">
        <v>54</v>
      </c>
      <c r="J60" s="46"/>
      <c r="K60" s="4"/>
      <c r="L60" s="3"/>
      <c r="M60" s="4"/>
      <c r="N60" s="11"/>
      <c r="P60" s="8">
        <v>54</v>
      </c>
      <c r="Q60" s="46"/>
      <c r="R60" s="4"/>
      <c r="S60" s="3"/>
      <c r="T60" s="4"/>
      <c r="U60" s="11"/>
    </row>
    <row r="61" spans="9:21" x14ac:dyDescent="0.25">
      <c r="I61" s="8">
        <v>55</v>
      </c>
      <c r="J61" s="46"/>
      <c r="K61" s="4"/>
      <c r="L61" s="3"/>
      <c r="M61" s="4"/>
      <c r="N61" s="11"/>
      <c r="P61" s="8">
        <v>55</v>
      </c>
      <c r="Q61" s="46"/>
      <c r="R61" s="4"/>
      <c r="S61" s="3"/>
      <c r="T61" s="4"/>
      <c r="U61" s="11"/>
    </row>
    <row r="62" spans="9:21" x14ac:dyDescent="0.25">
      <c r="I62" s="8">
        <v>56</v>
      </c>
      <c r="J62" s="46"/>
      <c r="K62" s="4"/>
      <c r="L62" s="3"/>
      <c r="M62" s="4"/>
      <c r="N62" s="11"/>
      <c r="P62" s="8">
        <v>56</v>
      </c>
      <c r="Q62" s="46"/>
      <c r="R62" s="4"/>
      <c r="S62" s="3"/>
      <c r="T62" s="4"/>
      <c r="U62" s="11"/>
    </row>
    <row r="63" spans="9:21" x14ac:dyDescent="0.25">
      <c r="I63" s="8">
        <v>57</v>
      </c>
      <c r="J63" s="46"/>
      <c r="K63" s="3"/>
      <c r="L63" s="3"/>
      <c r="M63" s="4"/>
      <c r="N63" s="11"/>
      <c r="P63" s="8">
        <v>57</v>
      </c>
      <c r="Q63" s="46"/>
      <c r="R63" s="3"/>
      <c r="S63" s="3"/>
      <c r="T63" s="4"/>
      <c r="U63" s="11"/>
    </row>
    <row r="64" spans="9:21" x14ac:dyDescent="0.25">
      <c r="I64" s="8">
        <v>58</v>
      </c>
      <c r="J64" s="46"/>
      <c r="K64" s="3"/>
      <c r="L64" s="4"/>
      <c r="M64" s="4"/>
      <c r="N64" s="11"/>
      <c r="P64" s="8">
        <v>58</v>
      </c>
      <c r="Q64" s="46"/>
      <c r="R64" s="3"/>
      <c r="S64" s="4"/>
      <c r="T64" s="4"/>
      <c r="U64" s="11"/>
    </row>
    <row r="65" spans="9:21" x14ac:dyDescent="0.25">
      <c r="I65" s="8">
        <v>59</v>
      </c>
      <c r="J65" s="46"/>
      <c r="K65" s="3"/>
      <c r="L65" s="4"/>
      <c r="M65" s="4"/>
      <c r="N65" s="10"/>
      <c r="P65" s="8">
        <v>59</v>
      </c>
      <c r="Q65" s="46"/>
      <c r="R65" s="3"/>
      <c r="S65" s="4"/>
      <c r="T65" s="4"/>
      <c r="U65" s="10"/>
    </row>
    <row r="66" spans="9:21" x14ac:dyDescent="0.25">
      <c r="I66" s="8">
        <v>60</v>
      </c>
      <c r="J66" s="46"/>
      <c r="K66" s="3"/>
      <c r="L66" s="4"/>
      <c r="M66" s="4"/>
      <c r="N66" s="11"/>
      <c r="P66" s="8">
        <v>60</v>
      </c>
      <c r="Q66" s="46"/>
      <c r="R66" s="3"/>
      <c r="S66" s="4"/>
      <c r="T66" s="4"/>
      <c r="U66" s="11"/>
    </row>
    <row r="67" spans="9:21" x14ac:dyDescent="0.25">
      <c r="I67" s="8">
        <v>61</v>
      </c>
      <c r="J67" s="46"/>
      <c r="K67" s="4"/>
      <c r="L67" s="4"/>
      <c r="M67" s="4"/>
      <c r="N67" s="11"/>
      <c r="P67" s="8">
        <v>61</v>
      </c>
      <c r="Q67" s="46"/>
      <c r="R67" s="4"/>
      <c r="S67" s="4"/>
      <c r="T67" s="4"/>
      <c r="U67" s="11"/>
    </row>
    <row r="68" spans="9:21" x14ac:dyDescent="0.25">
      <c r="I68" s="8">
        <v>62</v>
      </c>
      <c r="J68" s="46"/>
      <c r="K68" s="4"/>
      <c r="L68" s="4"/>
      <c r="M68" s="4"/>
      <c r="N68" s="11"/>
      <c r="P68" s="8">
        <v>62</v>
      </c>
      <c r="Q68" s="46"/>
      <c r="R68" s="4"/>
      <c r="S68" s="4"/>
      <c r="T68" s="4"/>
      <c r="U68" s="11"/>
    </row>
    <row r="69" spans="9:21" x14ac:dyDescent="0.25">
      <c r="I69" s="8">
        <v>63</v>
      </c>
      <c r="J69" s="46"/>
      <c r="K69" s="4"/>
      <c r="L69" s="4"/>
      <c r="M69" s="4"/>
      <c r="N69" s="11"/>
      <c r="P69" s="8">
        <v>63</v>
      </c>
      <c r="Q69" s="46"/>
      <c r="R69" s="4"/>
      <c r="S69" s="4"/>
      <c r="T69" s="4"/>
      <c r="U69" s="11"/>
    </row>
    <row r="70" spans="9:21" x14ac:dyDescent="0.25">
      <c r="I70" s="8">
        <v>64</v>
      </c>
      <c r="J70" s="46"/>
      <c r="K70" s="4"/>
      <c r="L70" s="4"/>
      <c r="M70" s="4"/>
      <c r="N70" s="11"/>
      <c r="P70" s="8">
        <v>64</v>
      </c>
      <c r="Q70" s="46"/>
      <c r="R70" s="4"/>
      <c r="S70" s="4"/>
      <c r="T70" s="4"/>
      <c r="U70" s="11"/>
    </row>
    <row r="71" spans="9:21" x14ac:dyDescent="0.25">
      <c r="I71" s="8">
        <v>65</v>
      </c>
      <c r="J71" s="46"/>
      <c r="K71" s="4"/>
      <c r="L71" s="4"/>
      <c r="M71" s="4"/>
      <c r="N71" s="11"/>
      <c r="P71" s="8">
        <v>65</v>
      </c>
      <c r="Q71" s="46"/>
      <c r="R71" s="4"/>
      <c r="S71" s="4"/>
      <c r="T71" s="4"/>
      <c r="U71" s="11"/>
    </row>
    <row r="72" spans="9:21" x14ac:dyDescent="0.25">
      <c r="I72" s="8">
        <v>66</v>
      </c>
      <c r="J72" s="52"/>
      <c r="K72" s="4"/>
      <c r="L72" s="1"/>
      <c r="M72" s="4"/>
      <c r="N72" s="11"/>
      <c r="P72" s="8">
        <v>66</v>
      </c>
      <c r="Q72" s="52"/>
      <c r="R72" s="4"/>
      <c r="S72" s="1"/>
      <c r="T72" s="4"/>
      <c r="U72" s="11"/>
    </row>
    <row r="73" spans="9:21" x14ac:dyDescent="0.25">
      <c r="I73" s="8">
        <v>67</v>
      </c>
      <c r="J73" s="52"/>
      <c r="K73" s="4"/>
      <c r="L73" s="4"/>
      <c r="M73" s="4"/>
      <c r="N73" s="11"/>
      <c r="P73" s="8">
        <v>67</v>
      </c>
      <c r="Q73" s="52"/>
      <c r="R73" s="4"/>
      <c r="S73" s="4"/>
      <c r="T73" s="4"/>
      <c r="U73" s="11"/>
    </row>
    <row r="74" spans="9:21" x14ac:dyDescent="0.25">
      <c r="I74" s="8">
        <v>68</v>
      </c>
      <c r="J74" s="52"/>
      <c r="K74" s="4"/>
      <c r="L74" s="4"/>
      <c r="M74" s="4"/>
      <c r="N74" s="11"/>
      <c r="P74" s="8">
        <v>68</v>
      </c>
      <c r="Q74" s="52"/>
      <c r="R74" s="4"/>
      <c r="S74" s="4"/>
      <c r="T74" s="4"/>
      <c r="U74" s="11"/>
    </row>
    <row r="75" spans="9:21" x14ac:dyDescent="0.25">
      <c r="I75" s="8">
        <v>69</v>
      </c>
      <c r="J75" s="52"/>
      <c r="K75" s="4"/>
      <c r="L75" s="4"/>
      <c r="M75" s="4"/>
      <c r="N75" s="11"/>
      <c r="P75" s="8">
        <v>69</v>
      </c>
      <c r="Q75" s="52"/>
      <c r="R75" s="4"/>
      <c r="S75" s="4"/>
      <c r="T75" s="4"/>
      <c r="U75" s="11"/>
    </row>
    <row r="76" spans="9:21" x14ac:dyDescent="0.25">
      <c r="I76" s="8">
        <v>70</v>
      </c>
      <c r="J76" s="52"/>
      <c r="K76" s="4"/>
      <c r="L76" s="4"/>
      <c r="M76" s="4"/>
      <c r="N76" s="11"/>
      <c r="P76" s="8">
        <v>70</v>
      </c>
      <c r="Q76" s="52"/>
      <c r="R76" s="4"/>
      <c r="S76" s="4"/>
      <c r="T76" s="4"/>
      <c r="U76" s="11"/>
    </row>
    <row r="77" spans="9:21" x14ac:dyDescent="0.25">
      <c r="I77" s="8">
        <v>71</v>
      </c>
      <c r="J77" s="52"/>
      <c r="K77" s="4"/>
      <c r="L77" s="4"/>
      <c r="M77" s="4"/>
      <c r="N77" s="11"/>
      <c r="P77" s="8">
        <v>71</v>
      </c>
      <c r="Q77" s="52"/>
      <c r="R77" s="4"/>
      <c r="S77" s="4"/>
      <c r="T77" s="4"/>
      <c r="U77" s="11"/>
    </row>
    <row r="78" spans="9:21" x14ac:dyDescent="0.25">
      <c r="I78" s="8">
        <v>72</v>
      </c>
      <c r="J78" s="52"/>
      <c r="K78" s="4"/>
      <c r="L78" s="4"/>
      <c r="M78" s="4"/>
      <c r="N78" s="11"/>
      <c r="P78" s="8">
        <v>72</v>
      </c>
      <c r="Q78" s="52"/>
      <c r="R78" s="4"/>
      <c r="S78" s="4"/>
      <c r="T78" s="4"/>
      <c r="U78" s="11"/>
    </row>
    <row r="79" spans="9:21" x14ac:dyDescent="0.25">
      <c r="I79" s="8">
        <v>73</v>
      </c>
      <c r="J79" s="52"/>
      <c r="K79" s="4"/>
      <c r="L79" s="4"/>
      <c r="M79" s="4"/>
      <c r="N79" s="11"/>
      <c r="P79" s="8">
        <v>73</v>
      </c>
      <c r="Q79" s="52"/>
      <c r="R79" s="4"/>
      <c r="S79" s="4"/>
      <c r="T79" s="4"/>
      <c r="U79" s="11"/>
    </row>
    <row r="80" spans="9:21" x14ac:dyDescent="0.25">
      <c r="I80" s="8">
        <v>74</v>
      </c>
      <c r="J80" s="52"/>
      <c r="K80" s="4"/>
      <c r="L80" s="4"/>
      <c r="M80" s="4"/>
      <c r="N80" s="11"/>
      <c r="P80" s="8">
        <v>74</v>
      </c>
      <c r="Q80" s="52"/>
      <c r="R80" s="4"/>
      <c r="S80" s="4"/>
      <c r="T80" s="4"/>
      <c r="U80" s="11"/>
    </row>
    <row r="81" spans="9:21" x14ac:dyDescent="0.25">
      <c r="I81" s="8">
        <v>75</v>
      </c>
      <c r="J81" s="52"/>
      <c r="K81" s="4"/>
      <c r="L81" s="4"/>
      <c r="M81" s="4"/>
      <c r="N81" s="11"/>
      <c r="P81" s="8">
        <v>75</v>
      </c>
      <c r="Q81" s="52"/>
      <c r="R81" s="4"/>
      <c r="S81" s="4"/>
      <c r="T81" s="4"/>
      <c r="U81" s="11"/>
    </row>
    <row r="82" spans="9:21" x14ac:dyDescent="0.25">
      <c r="I82" s="8">
        <v>76</v>
      </c>
      <c r="J82" s="53"/>
      <c r="K82" s="4"/>
      <c r="L82" s="4"/>
      <c r="M82" s="4"/>
      <c r="N82" s="11"/>
      <c r="P82" s="8">
        <v>76</v>
      </c>
      <c r="Q82" s="53"/>
      <c r="R82" s="4"/>
      <c r="S82" s="4"/>
      <c r="T82" s="4"/>
      <c r="U82" s="11"/>
    </row>
    <row r="83" spans="9:21" x14ac:dyDescent="0.25">
      <c r="I83" s="8">
        <v>77</v>
      </c>
      <c r="J83" s="53"/>
      <c r="K83" s="4"/>
      <c r="L83" s="4"/>
      <c r="M83" s="4"/>
      <c r="N83" s="11"/>
      <c r="P83" s="8">
        <v>77</v>
      </c>
      <c r="Q83" s="53"/>
      <c r="R83" s="4"/>
      <c r="S83" s="4"/>
      <c r="T83" s="4"/>
      <c r="U83" s="11"/>
    </row>
    <row r="84" spans="9:21" x14ac:dyDescent="0.25">
      <c r="I84" s="8">
        <v>78</v>
      </c>
      <c r="J84" s="53"/>
      <c r="K84" s="4"/>
      <c r="L84" s="4"/>
      <c r="M84" s="4"/>
      <c r="N84" s="11"/>
      <c r="P84" s="8">
        <v>78</v>
      </c>
      <c r="Q84" s="53"/>
      <c r="R84" s="4"/>
      <c r="S84" s="4"/>
      <c r="T84" s="4"/>
      <c r="U84" s="11"/>
    </row>
    <row r="85" spans="9:21" x14ac:dyDescent="0.25">
      <c r="I85" s="8">
        <v>79</v>
      </c>
      <c r="J85" s="53"/>
      <c r="K85" s="4"/>
      <c r="L85" s="4"/>
      <c r="M85" s="1"/>
      <c r="N85" s="11"/>
      <c r="P85" s="8">
        <v>79</v>
      </c>
      <c r="Q85" s="53"/>
      <c r="R85" s="4"/>
      <c r="S85" s="4"/>
      <c r="T85" s="1"/>
      <c r="U85" s="11"/>
    </row>
    <row r="86" spans="9:21" x14ac:dyDescent="0.25">
      <c r="I86" s="8">
        <v>80</v>
      </c>
      <c r="J86" s="53"/>
      <c r="K86" s="4"/>
      <c r="L86" s="4"/>
      <c r="M86" s="4"/>
      <c r="N86" s="10"/>
      <c r="P86" s="8">
        <v>80</v>
      </c>
      <c r="Q86" s="53"/>
      <c r="R86" s="4"/>
      <c r="S86" s="4"/>
      <c r="T86" s="4"/>
      <c r="U86" s="10"/>
    </row>
    <row r="87" spans="9:21" x14ac:dyDescent="0.25">
      <c r="I87" s="8">
        <v>81</v>
      </c>
      <c r="J87" s="53"/>
      <c r="K87" s="4"/>
      <c r="L87" s="4"/>
      <c r="M87" s="4"/>
      <c r="N87" s="11"/>
      <c r="P87" s="8">
        <v>81</v>
      </c>
      <c r="Q87" s="53"/>
      <c r="R87" s="4"/>
      <c r="S87" s="4"/>
      <c r="T87" s="4"/>
      <c r="U87" s="11"/>
    </row>
    <row r="88" spans="9:21" x14ac:dyDescent="0.25">
      <c r="I88" s="8">
        <v>82</v>
      </c>
      <c r="J88" s="53"/>
      <c r="K88" s="4"/>
      <c r="L88" s="4"/>
      <c r="M88" s="4"/>
      <c r="N88" s="11"/>
      <c r="P88" s="8">
        <v>82</v>
      </c>
      <c r="Q88" s="53"/>
      <c r="R88" s="4"/>
      <c r="S88" s="4"/>
      <c r="T88" s="4"/>
      <c r="U88" s="11"/>
    </row>
    <row r="89" spans="9:21" x14ac:dyDescent="0.25">
      <c r="I89" s="8">
        <v>83</v>
      </c>
      <c r="J89" s="53"/>
      <c r="K89" s="4"/>
      <c r="L89" s="1"/>
      <c r="M89" s="4"/>
      <c r="N89" s="11"/>
      <c r="P89" s="8">
        <v>83</v>
      </c>
      <c r="Q89" s="53"/>
      <c r="R89" s="4"/>
      <c r="S89" s="1"/>
      <c r="T89" s="4"/>
      <c r="U89" s="11"/>
    </row>
    <row r="90" spans="9:21" x14ac:dyDescent="0.25">
      <c r="I90" s="8">
        <v>84</v>
      </c>
      <c r="J90" s="53"/>
      <c r="K90" s="4"/>
      <c r="L90" s="1"/>
      <c r="M90" s="4"/>
      <c r="N90" s="11"/>
      <c r="P90" s="8">
        <v>84</v>
      </c>
      <c r="Q90" s="53"/>
      <c r="R90" s="4"/>
      <c r="S90" s="1"/>
      <c r="T90" s="4"/>
      <c r="U90" s="11"/>
    </row>
    <row r="91" spans="9:21" x14ac:dyDescent="0.25">
      <c r="I91" s="8">
        <v>85</v>
      </c>
      <c r="J91" s="46"/>
      <c r="K91" s="4"/>
      <c r="L91" s="1"/>
      <c r="M91" s="4"/>
      <c r="N91" s="11"/>
      <c r="P91" s="8">
        <v>85</v>
      </c>
      <c r="Q91" s="46"/>
      <c r="R91" s="4"/>
      <c r="S91" s="1"/>
      <c r="T91" s="4"/>
      <c r="U91" s="11"/>
    </row>
    <row r="92" spans="9:21" x14ac:dyDescent="0.25">
      <c r="I92" s="8">
        <v>86</v>
      </c>
      <c r="J92" s="46"/>
      <c r="K92" s="4"/>
      <c r="L92" s="1"/>
      <c r="M92" s="4"/>
      <c r="N92" s="11"/>
      <c r="P92" s="8">
        <v>86</v>
      </c>
      <c r="Q92" s="46"/>
      <c r="R92" s="4"/>
      <c r="S92" s="1"/>
      <c r="T92" s="4"/>
      <c r="U92" s="11"/>
    </row>
    <row r="93" spans="9:21" x14ac:dyDescent="0.25">
      <c r="I93" s="8">
        <v>87</v>
      </c>
      <c r="J93" s="46"/>
      <c r="K93" s="4"/>
      <c r="L93" s="1"/>
      <c r="M93" s="4"/>
      <c r="N93" s="11"/>
      <c r="P93" s="8">
        <v>87</v>
      </c>
      <c r="Q93" s="46"/>
      <c r="R93" s="4"/>
      <c r="S93" s="1"/>
      <c r="T93" s="4"/>
      <c r="U93" s="11"/>
    </row>
    <row r="94" spans="9:21" x14ac:dyDescent="0.25">
      <c r="I94" s="8">
        <v>88</v>
      </c>
      <c r="J94" s="53"/>
      <c r="K94" s="1"/>
      <c r="L94" s="1"/>
      <c r="M94" s="4"/>
      <c r="N94" s="11"/>
      <c r="P94" s="8">
        <v>88</v>
      </c>
      <c r="Q94" s="53"/>
      <c r="R94" s="1"/>
      <c r="S94" s="1"/>
      <c r="T94" s="4"/>
      <c r="U94" s="11"/>
    </row>
    <row r="95" spans="9:21" x14ac:dyDescent="0.25">
      <c r="I95" s="8">
        <v>89</v>
      </c>
      <c r="J95" s="53"/>
      <c r="K95" s="4"/>
      <c r="L95" s="1"/>
      <c r="M95" s="4"/>
      <c r="N95" s="11"/>
      <c r="P95" s="8">
        <v>89</v>
      </c>
      <c r="Q95" s="53"/>
      <c r="R95" s="4"/>
      <c r="S95" s="1"/>
      <c r="T95" s="4"/>
      <c r="U95" s="11"/>
    </row>
    <row r="96" spans="9:21" x14ac:dyDescent="0.25">
      <c r="I96" s="8">
        <v>90</v>
      </c>
      <c r="J96" s="53"/>
      <c r="K96" s="4"/>
      <c r="L96" s="1"/>
      <c r="M96" s="4"/>
      <c r="N96" s="11"/>
      <c r="P96" s="8">
        <v>90</v>
      </c>
      <c r="Q96" s="53"/>
      <c r="R96" s="4"/>
      <c r="S96" s="1"/>
      <c r="T96" s="4"/>
      <c r="U96" s="11"/>
    </row>
    <row r="97" spans="9:21" x14ac:dyDescent="0.25">
      <c r="I97" s="8">
        <v>91</v>
      </c>
      <c r="J97" s="53"/>
      <c r="K97" s="4"/>
      <c r="L97" s="1"/>
      <c r="M97" s="4"/>
      <c r="N97" s="11"/>
      <c r="P97" s="8">
        <v>91</v>
      </c>
      <c r="Q97" s="53"/>
      <c r="R97" s="4"/>
      <c r="S97" s="1"/>
      <c r="T97" s="4"/>
      <c r="U97" s="11"/>
    </row>
    <row r="98" spans="9:21" x14ac:dyDescent="0.25">
      <c r="I98" s="8">
        <v>92</v>
      </c>
      <c r="J98" s="53"/>
      <c r="K98" s="4"/>
      <c r="L98" s="1"/>
      <c r="M98" s="4"/>
      <c r="N98" s="11"/>
      <c r="P98" s="8">
        <v>92</v>
      </c>
      <c r="Q98" s="53"/>
      <c r="R98" s="4"/>
      <c r="S98" s="1"/>
      <c r="T98" s="4"/>
      <c r="U98" s="11"/>
    </row>
    <row r="99" spans="9:21" x14ac:dyDescent="0.25">
      <c r="I99" s="8">
        <v>93</v>
      </c>
      <c r="J99" s="53"/>
      <c r="K99" s="4"/>
      <c r="L99" s="1"/>
      <c r="M99" s="4"/>
      <c r="N99" s="10"/>
      <c r="P99" s="8">
        <v>93</v>
      </c>
      <c r="Q99" s="53"/>
      <c r="R99" s="4"/>
      <c r="S99" s="1"/>
      <c r="T99" s="4"/>
      <c r="U99" s="10"/>
    </row>
    <row r="100" spans="9:21" x14ac:dyDescent="0.25">
      <c r="I100" s="8">
        <v>94</v>
      </c>
      <c r="J100" s="53"/>
      <c r="K100" s="4"/>
      <c r="L100" s="1"/>
      <c r="M100" s="4"/>
      <c r="N100" s="11"/>
      <c r="P100" s="8">
        <v>94</v>
      </c>
      <c r="Q100" s="53"/>
      <c r="R100" s="4"/>
      <c r="S100" s="1"/>
      <c r="T100" s="4"/>
      <c r="U100" s="11"/>
    </row>
    <row r="101" spans="9:21" x14ac:dyDescent="0.25">
      <c r="I101" s="8">
        <v>95</v>
      </c>
      <c r="J101" s="53"/>
      <c r="K101" s="4"/>
      <c r="L101" s="1"/>
      <c r="M101" s="4"/>
      <c r="N101" s="11"/>
      <c r="P101" s="8">
        <v>95</v>
      </c>
      <c r="Q101" s="53"/>
      <c r="R101" s="4"/>
      <c r="S101" s="1"/>
      <c r="T101" s="4"/>
      <c r="U101" s="11"/>
    </row>
    <row r="102" spans="9:21" x14ac:dyDescent="0.25">
      <c r="I102" s="8">
        <v>96</v>
      </c>
      <c r="J102" s="46"/>
      <c r="K102" s="4"/>
      <c r="L102" s="1"/>
      <c r="M102" s="4"/>
      <c r="N102" s="11"/>
      <c r="P102" s="8">
        <v>96</v>
      </c>
      <c r="Q102" s="46"/>
      <c r="R102" s="4"/>
      <c r="S102" s="1"/>
      <c r="T102" s="4"/>
      <c r="U102" s="11"/>
    </row>
    <row r="103" spans="9:21" x14ac:dyDescent="0.25">
      <c r="I103" s="8">
        <v>97</v>
      </c>
      <c r="J103" s="46"/>
      <c r="K103" s="4"/>
      <c r="L103" s="1"/>
      <c r="M103" s="4"/>
      <c r="N103" s="11"/>
      <c r="P103" s="8">
        <v>97</v>
      </c>
      <c r="Q103" s="46"/>
      <c r="R103" s="4"/>
      <c r="S103" s="1"/>
      <c r="T103" s="4"/>
      <c r="U103" s="11"/>
    </row>
    <row r="104" spans="9:21" x14ac:dyDescent="0.25">
      <c r="I104" s="8">
        <v>98</v>
      </c>
      <c r="J104" s="46"/>
      <c r="K104" s="4"/>
      <c r="L104" s="1"/>
      <c r="M104" s="4"/>
      <c r="N104" s="11"/>
      <c r="P104" s="8">
        <v>98</v>
      </c>
      <c r="Q104" s="46"/>
      <c r="R104" s="4"/>
      <c r="S104" s="1"/>
      <c r="T104" s="4"/>
      <c r="U104" s="11"/>
    </row>
    <row r="105" spans="9:21" x14ac:dyDescent="0.25">
      <c r="I105" s="8">
        <v>99</v>
      </c>
      <c r="J105" s="46"/>
      <c r="K105" s="4"/>
      <c r="L105" s="1"/>
      <c r="M105" s="4"/>
      <c r="N105" s="11"/>
      <c r="P105" s="8">
        <v>99</v>
      </c>
      <c r="Q105" s="46"/>
      <c r="R105" s="4"/>
      <c r="S105" s="1"/>
      <c r="T105" s="4"/>
      <c r="U105" s="11"/>
    </row>
    <row r="106" spans="9:21" x14ac:dyDescent="0.25">
      <c r="I106" s="8">
        <v>100</v>
      </c>
      <c r="J106" s="46"/>
      <c r="K106" s="4"/>
      <c r="L106" s="4"/>
      <c r="M106" s="4"/>
      <c r="N106" s="11"/>
      <c r="P106" s="8">
        <v>100</v>
      </c>
      <c r="Q106" s="46"/>
      <c r="R106" s="4"/>
      <c r="S106" s="4"/>
      <c r="T106" s="4"/>
      <c r="U106" s="11"/>
    </row>
    <row r="107" spans="9:21" x14ac:dyDescent="0.25">
      <c r="I107" s="8">
        <v>101</v>
      </c>
      <c r="J107" s="46"/>
      <c r="K107" s="4"/>
      <c r="L107" s="4"/>
      <c r="M107" s="1"/>
      <c r="N107" s="11"/>
      <c r="P107" s="8">
        <v>101</v>
      </c>
      <c r="Q107" s="46"/>
      <c r="R107" s="4"/>
      <c r="S107" s="4"/>
      <c r="T107" s="1"/>
      <c r="U107" s="11"/>
    </row>
    <row r="108" spans="9:21" x14ac:dyDescent="0.25">
      <c r="I108" s="8">
        <v>102</v>
      </c>
      <c r="J108" s="46"/>
      <c r="K108" s="4"/>
      <c r="L108" s="4"/>
      <c r="M108" s="4"/>
      <c r="N108" s="11"/>
      <c r="P108" s="8">
        <v>102</v>
      </c>
      <c r="Q108" s="46"/>
      <c r="R108" s="4"/>
      <c r="S108" s="4"/>
      <c r="T108" s="4"/>
      <c r="U108" s="11"/>
    </row>
    <row r="109" spans="9:21" x14ac:dyDescent="0.25">
      <c r="I109" s="8">
        <v>103</v>
      </c>
      <c r="J109" s="46"/>
      <c r="K109" s="4"/>
      <c r="L109" s="4"/>
      <c r="M109" s="4"/>
      <c r="N109" s="11"/>
      <c r="P109" s="8">
        <v>103</v>
      </c>
      <c r="Q109" s="46"/>
      <c r="R109" s="4"/>
      <c r="S109" s="4"/>
      <c r="T109" s="4"/>
      <c r="U109" s="11"/>
    </row>
    <row r="110" spans="9:21" x14ac:dyDescent="0.25">
      <c r="I110" s="8">
        <v>104</v>
      </c>
      <c r="J110" s="46"/>
      <c r="K110" s="4"/>
      <c r="L110" s="4"/>
      <c r="M110" s="4"/>
      <c r="N110" s="11"/>
      <c r="P110" s="8">
        <v>104</v>
      </c>
      <c r="Q110" s="46"/>
      <c r="R110" s="4"/>
      <c r="S110" s="4"/>
      <c r="T110" s="4"/>
      <c r="U110" s="11"/>
    </row>
    <row r="111" spans="9:21" x14ac:dyDescent="0.25">
      <c r="I111" s="8">
        <v>105</v>
      </c>
      <c r="J111" s="46"/>
      <c r="K111" s="4"/>
      <c r="L111" s="4"/>
      <c r="M111" s="4"/>
      <c r="N111" s="10"/>
      <c r="P111" s="8">
        <v>105</v>
      </c>
      <c r="Q111" s="46"/>
      <c r="R111" s="4"/>
      <c r="S111" s="4"/>
      <c r="T111" s="4"/>
      <c r="U111" s="10"/>
    </row>
    <row r="112" spans="9:21" x14ac:dyDescent="0.25">
      <c r="I112" s="8">
        <v>106</v>
      </c>
      <c r="J112" s="46"/>
      <c r="K112" s="4"/>
      <c r="L112" s="4"/>
      <c r="M112" s="4"/>
      <c r="N112" s="11"/>
      <c r="P112" s="8">
        <v>106</v>
      </c>
      <c r="Q112" s="46"/>
      <c r="R112" s="4"/>
      <c r="S112" s="4"/>
      <c r="T112" s="4"/>
      <c r="U112" s="11"/>
    </row>
    <row r="113" spans="9:21" x14ac:dyDescent="0.25">
      <c r="I113" s="8">
        <v>107</v>
      </c>
      <c r="J113" s="46"/>
      <c r="K113" s="4"/>
      <c r="L113" s="4"/>
      <c r="M113" s="4"/>
      <c r="N113" s="11"/>
      <c r="P113" s="8">
        <v>107</v>
      </c>
      <c r="Q113" s="46"/>
      <c r="R113" s="4"/>
      <c r="S113" s="4"/>
      <c r="T113" s="4"/>
      <c r="U113" s="11"/>
    </row>
    <row r="114" spans="9:21" x14ac:dyDescent="0.25">
      <c r="I114" s="8">
        <v>108</v>
      </c>
      <c r="J114" s="46"/>
      <c r="K114" s="4"/>
      <c r="L114" s="4"/>
      <c r="M114" s="4"/>
      <c r="N114" s="11"/>
      <c r="P114" s="8">
        <v>108</v>
      </c>
      <c r="Q114" s="46"/>
      <c r="R114" s="4"/>
      <c r="S114" s="4"/>
      <c r="T114" s="4"/>
      <c r="U114" s="11"/>
    </row>
    <row r="115" spans="9:21" x14ac:dyDescent="0.25">
      <c r="I115" s="8">
        <v>109</v>
      </c>
      <c r="J115" s="46"/>
      <c r="K115" s="4"/>
      <c r="L115" s="4"/>
      <c r="M115" s="4"/>
      <c r="N115" s="11"/>
      <c r="P115" s="8">
        <v>109</v>
      </c>
      <c r="Q115" s="46"/>
      <c r="R115" s="4"/>
      <c r="S115" s="4"/>
      <c r="T115" s="4"/>
      <c r="U115" s="11"/>
    </row>
    <row r="116" spans="9:21" x14ac:dyDescent="0.25">
      <c r="I116" s="8">
        <v>110</v>
      </c>
      <c r="J116" s="46"/>
      <c r="K116" s="4"/>
      <c r="L116" s="4"/>
      <c r="M116" s="4"/>
      <c r="N116" s="11"/>
      <c r="P116" s="8">
        <v>110</v>
      </c>
      <c r="Q116" s="46"/>
      <c r="R116" s="4"/>
      <c r="S116" s="4"/>
      <c r="T116" s="4"/>
      <c r="U116" s="11"/>
    </row>
    <row r="117" spans="9:21" x14ac:dyDescent="0.25">
      <c r="I117" s="8">
        <v>111</v>
      </c>
      <c r="J117" s="46"/>
      <c r="K117" s="4"/>
      <c r="L117" s="4"/>
      <c r="M117" s="4"/>
      <c r="N117" s="11"/>
      <c r="P117" s="8">
        <v>111</v>
      </c>
      <c r="Q117" s="46"/>
      <c r="R117" s="4"/>
      <c r="S117" s="4"/>
      <c r="T117" s="4"/>
      <c r="U117" s="11"/>
    </row>
    <row r="118" spans="9:21" x14ac:dyDescent="0.25">
      <c r="I118" s="8">
        <v>112</v>
      </c>
      <c r="J118" s="46"/>
      <c r="K118" s="4"/>
      <c r="L118" s="4"/>
      <c r="M118" s="4"/>
      <c r="N118" s="11"/>
      <c r="P118" s="8">
        <v>112</v>
      </c>
      <c r="Q118" s="46"/>
      <c r="R118" s="4"/>
      <c r="S118" s="4"/>
      <c r="T118" s="4"/>
      <c r="U118" s="11"/>
    </row>
    <row r="119" spans="9:21" x14ac:dyDescent="0.25">
      <c r="I119" s="8">
        <v>113</v>
      </c>
      <c r="J119" s="46"/>
      <c r="K119" s="4"/>
      <c r="L119" s="4"/>
      <c r="M119" s="4"/>
      <c r="N119" s="11"/>
      <c r="P119" s="8">
        <v>113</v>
      </c>
      <c r="Q119" s="46"/>
      <c r="R119" s="4"/>
      <c r="S119" s="4"/>
      <c r="T119" s="4"/>
      <c r="U119" s="11"/>
    </row>
    <row r="120" spans="9:21" x14ac:dyDescent="0.25">
      <c r="I120" s="8">
        <v>114</v>
      </c>
      <c r="J120" s="46"/>
      <c r="K120" s="4"/>
      <c r="L120" s="4"/>
      <c r="M120" s="4"/>
      <c r="N120" s="11"/>
      <c r="P120" s="8">
        <v>114</v>
      </c>
      <c r="Q120" s="46"/>
      <c r="R120" s="4"/>
      <c r="S120" s="4"/>
      <c r="T120" s="4"/>
      <c r="U120" s="11"/>
    </row>
    <row r="121" spans="9:21" x14ac:dyDescent="0.25">
      <c r="I121" s="8">
        <v>115</v>
      </c>
      <c r="J121" s="46"/>
      <c r="K121" s="4"/>
      <c r="L121" s="4"/>
      <c r="M121" s="4"/>
      <c r="N121" s="10"/>
      <c r="P121" s="8">
        <v>115</v>
      </c>
      <c r="Q121" s="46"/>
      <c r="R121" s="4"/>
      <c r="S121" s="4"/>
      <c r="T121" s="4"/>
      <c r="U121" s="10"/>
    </row>
    <row r="122" spans="9:21" x14ac:dyDescent="0.25">
      <c r="I122" s="8">
        <v>116</v>
      </c>
      <c r="J122" s="46"/>
      <c r="K122" s="4"/>
      <c r="L122" s="4"/>
      <c r="M122" s="4"/>
      <c r="N122" s="11"/>
      <c r="P122" s="8">
        <v>116</v>
      </c>
      <c r="Q122" s="46"/>
      <c r="R122" s="4"/>
      <c r="S122" s="4"/>
      <c r="T122" s="4"/>
      <c r="U122" s="11"/>
    </row>
    <row r="123" spans="9:21" x14ac:dyDescent="0.25">
      <c r="I123" s="8">
        <v>117</v>
      </c>
      <c r="J123" s="46"/>
      <c r="K123" s="4"/>
      <c r="L123" s="4"/>
      <c r="M123" s="4"/>
      <c r="N123" s="11"/>
      <c r="P123" s="8">
        <v>117</v>
      </c>
      <c r="Q123" s="46"/>
      <c r="R123" s="4"/>
      <c r="S123" s="4"/>
      <c r="T123" s="4"/>
      <c r="U123" s="11"/>
    </row>
    <row r="124" spans="9:21" x14ac:dyDescent="0.25">
      <c r="I124" s="8">
        <v>118</v>
      </c>
      <c r="J124" s="46"/>
      <c r="K124" s="4"/>
      <c r="L124" s="4"/>
      <c r="M124" s="4"/>
      <c r="N124" s="11"/>
      <c r="P124" s="8">
        <v>118</v>
      </c>
      <c r="Q124" s="46"/>
      <c r="R124" s="4"/>
      <c r="S124" s="4"/>
      <c r="T124" s="4"/>
      <c r="U124" s="11"/>
    </row>
    <row r="125" spans="9:21" x14ac:dyDescent="0.25">
      <c r="I125" s="8">
        <v>119</v>
      </c>
      <c r="J125" s="46"/>
      <c r="K125" s="4"/>
      <c r="L125" s="4"/>
      <c r="M125" s="4"/>
      <c r="N125" s="11"/>
      <c r="P125" s="8">
        <v>119</v>
      </c>
      <c r="Q125" s="46"/>
      <c r="R125" s="4"/>
      <c r="S125" s="4"/>
      <c r="T125" s="4"/>
      <c r="U125" s="11"/>
    </row>
    <row r="126" spans="9:21" x14ac:dyDescent="0.25">
      <c r="I126" s="8">
        <v>120</v>
      </c>
      <c r="J126" s="46"/>
      <c r="K126" s="4"/>
      <c r="L126" s="4"/>
      <c r="M126" s="4"/>
      <c r="N126" s="11"/>
      <c r="P126" s="8">
        <v>120</v>
      </c>
      <c r="Q126" s="46"/>
      <c r="R126" s="4"/>
      <c r="S126" s="4"/>
      <c r="T126" s="4"/>
      <c r="U126" s="11"/>
    </row>
    <row r="127" spans="9:21" x14ac:dyDescent="0.25">
      <c r="I127" s="8">
        <v>121</v>
      </c>
      <c r="J127" s="46"/>
      <c r="K127" s="4"/>
      <c r="L127" s="4"/>
      <c r="M127" s="4"/>
      <c r="N127" s="11"/>
      <c r="P127" s="8">
        <v>121</v>
      </c>
      <c r="Q127" s="46"/>
      <c r="R127" s="4"/>
      <c r="S127" s="4"/>
      <c r="T127" s="4"/>
      <c r="U127" s="11"/>
    </row>
    <row r="128" spans="9:21" x14ac:dyDescent="0.25">
      <c r="I128" s="8">
        <v>122</v>
      </c>
      <c r="J128" s="46"/>
      <c r="K128" s="4"/>
      <c r="L128" s="4"/>
      <c r="M128" s="4"/>
      <c r="N128" s="11"/>
      <c r="P128" s="8">
        <v>122</v>
      </c>
      <c r="Q128" s="46"/>
      <c r="R128" s="4"/>
      <c r="S128" s="4"/>
      <c r="T128" s="4"/>
      <c r="U128" s="11"/>
    </row>
    <row r="129" spans="9:21" x14ac:dyDescent="0.25">
      <c r="I129" s="8">
        <v>123</v>
      </c>
      <c r="J129" s="46"/>
      <c r="K129" s="4"/>
      <c r="L129" s="4"/>
      <c r="M129" s="4"/>
      <c r="N129" s="11"/>
      <c r="P129" s="8">
        <v>123</v>
      </c>
      <c r="Q129" s="46"/>
      <c r="R129" s="4"/>
      <c r="S129" s="4"/>
      <c r="T129" s="4"/>
      <c r="U129" s="11"/>
    </row>
    <row r="130" spans="9:21" x14ac:dyDescent="0.25">
      <c r="I130" s="8">
        <v>124</v>
      </c>
      <c r="J130" s="46"/>
      <c r="K130" s="4"/>
      <c r="L130" s="4"/>
      <c r="M130" s="4"/>
      <c r="N130" s="11"/>
      <c r="P130" s="8">
        <v>124</v>
      </c>
      <c r="Q130" s="46"/>
      <c r="R130" s="4"/>
      <c r="S130" s="4"/>
      <c r="T130" s="4"/>
      <c r="U130" s="11"/>
    </row>
    <row r="131" spans="9:21" x14ac:dyDescent="0.25">
      <c r="I131" s="8">
        <v>125</v>
      </c>
      <c r="J131" s="46"/>
      <c r="K131" s="4"/>
      <c r="L131" s="4"/>
      <c r="M131" s="4"/>
      <c r="N131" s="11"/>
      <c r="P131" s="8">
        <v>125</v>
      </c>
      <c r="Q131" s="46"/>
      <c r="R131" s="4"/>
      <c r="S131" s="4"/>
      <c r="T131" s="4"/>
      <c r="U131" s="11"/>
    </row>
    <row r="132" spans="9:21" x14ac:dyDescent="0.25">
      <c r="I132" s="8">
        <v>126</v>
      </c>
      <c r="J132" s="46"/>
      <c r="K132" s="4"/>
      <c r="L132" s="4"/>
      <c r="M132" s="4"/>
      <c r="N132" s="11"/>
      <c r="P132" s="8">
        <v>126</v>
      </c>
      <c r="Q132" s="46"/>
      <c r="R132" s="4"/>
      <c r="S132" s="4"/>
      <c r="T132" s="4"/>
      <c r="U132" s="11"/>
    </row>
    <row r="133" spans="9:21" x14ac:dyDescent="0.25">
      <c r="I133" s="8">
        <v>127</v>
      </c>
      <c r="J133" s="46"/>
      <c r="K133" s="4"/>
      <c r="L133" s="4"/>
      <c r="M133" s="4"/>
      <c r="N133" s="11"/>
      <c r="P133" s="8">
        <v>127</v>
      </c>
      <c r="Q133" s="46"/>
      <c r="R133" s="4"/>
      <c r="S133" s="4"/>
      <c r="T133" s="4"/>
      <c r="U133" s="11"/>
    </row>
    <row r="134" spans="9:21" x14ac:dyDescent="0.25">
      <c r="I134" s="8">
        <v>128</v>
      </c>
      <c r="J134" s="46"/>
      <c r="K134" s="4"/>
      <c r="L134" s="4"/>
      <c r="M134" s="4"/>
      <c r="N134" s="11"/>
      <c r="P134" s="8">
        <v>128</v>
      </c>
      <c r="Q134" s="46"/>
      <c r="R134" s="4"/>
      <c r="S134" s="4"/>
      <c r="T134" s="4"/>
      <c r="U134" s="11"/>
    </row>
    <row r="135" spans="9:21" x14ac:dyDescent="0.25">
      <c r="I135" s="8">
        <v>129</v>
      </c>
      <c r="J135" s="46"/>
      <c r="K135" s="4"/>
      <c r="L135" s="4"/>
      <c r="M135" s="4"/>
      <c r="N135" s="11"/>
      <c r="P135" s="8">
        <v>129</v>
      </c>
      <c r="Q135" s="46"/>
      <c r="R135" s="4"/>
      <c r="S135" s="4"/>
      <c r="T135" s="4"/>
      <c r="U135" s="11"/>
    </row>
    <row r="136" spans="9:21" x14ac:dyDescent="0.25">
      <c r="I136" s="8">
        <v>130</v>
      </c>
      <c r="J136" s="46"/>
      <c r="K136" s="4"/>
      <c r="L136" s="4"/>
      <c r="M136" s="4"/>
      <c r="N136" s="11"/>
      <c r="P136" s="8">
        <v>130</v>
      </c>
      <c r="Q136" s="46"/>
      <c r="R136" s="4"/>
      <c r="S136" s="4"/>
      <c r="T136" s="4"/>
      <c r="U136" s="11"/>
    </row>
    <row r="137" spans="9:21" x14ac:dyDescent="0.25">
      <c r="I137" s="8">
        <v>131</v>
      </c>
      <c r="J137" s="46"/>
      <c r="K137" s="4"/>
      <c r="L137" s="4"/>
      <c r="M137" s="4"/>
      <c r="N137" s="10"/>
      <c r="P137" s="8">
        <v>131</v>
      </c>
      <c r="Q137" s="46"/>
      <c r="R137" s="4"/>
      <c r="S137" s="4"/>
      <c r="T137" s="4"/>
      <c r="U137" s="10"/>
    </row>
    <row r="138" spans="9:21" x14ac:dyDescent="0.25">
      <c r="I138" s="8">
        <v>132</v>
      </c>
      <c r="J138" s="46"/>
      <c r="K138" s="4"/>
      <c r="L138" s="4"/>
      <c r="M138" s="4"/>
      <c r="N138" s="10"/>
      <c r="P138" s="8">
        <v>132</v>
      </c>
      <c r="Q138" s="46"/>
      <c r="R138" s="4"/>
      <c r="S138" s="4"/>
      <c r="T138" s="4"/>
      <c r="U138" s="10"/>
    </row>
    <row r="139" spans="9:21" x14ac:dyDescent="0.25">
      <c r="I139" s="8">
        <v>133</v>
      </c>
      <c r="J139" s="46"/>
      <c r="K139" s="4"/>
      <c r="L139" s="4"/>
      <c r="M139" s="4"/>
      <c r="N139" s="10"/>
      <c r="P139" s="8">
        <v>133</v>
      </c>
      <c r="Q139" s="46"/>
      <c r="R139" s="4"/>
      <c r="S139" s="4"/>
      <c r="T139" s="4"/>
      <c r="U139" s="10"/>
    </row>
    <row r="140" spans="9:21" x14ac:dyDescent="0.25">
      <c r="I140" s="8">
        <v>134</v>
      </c>
      <c r="J140" s="46"/>
      <c r="K140" s="4"/>
      <c r="L140" s="4"/>
      <c r="M140" s="4"/>
      <c r="N140" s="11"/>
      <c r="P140" s="8">
        <v>134</v>
      </c>
      <c r="Q140" s="46"/>
      <c r="R140" s="4"/>
      <c r="S140" s="4"/>
      <c r="T140" s="4"/>
      <c r="U140" s="11"/>
    </row>
    <row r="141" spans="9:21" x14ac:dyDescent="0.25">
      <c r="I141" s="8">
        <v>135</v>
      </c>
      <c r="J141" s="46"/>
      <c r="K141" s="4"/>
      <c r="L141" s="4"/>
      <c r="M141" s="4"/>
      <c r="N141" s="11"/>
      <c r="P141" s="8">
        <v>135</v>
      </c>
      <c r="Q141" s="46"/>
      <c r="R141" s="4"/>
      <c r="S141" s="4"/>
      <c r="T141" s="4"/>
      <c r="U141" s="11"/>
    </row>
    <row r="142" spans="9:21" x14ac:dyDescent="0.25">
      <c r="I142" s="8">
        <v>136</v>
      </c>
      <c r="J142" s="46"/>
      <c r="K142" s="4"/>
      <c r="L142" s="4"/>
      <c r="M142" s="4"/>
      <c r="N142" s="11"/>
      <c r="P142" s="8">
        <v>136</v>
      </c>
      <c r="Q142" s="46"/>
      <c r="R142" s="4"/>
      <c r="S142" s="4"/>
      <c r="T142" s="4"/>
      <c r="U142" s="11"/>
    </row>
    <row r="143" spans="9:21" x14ac:dyDescent="0.25">
      <c r="I143" s="8">
        <v>137</v>
      </c>
      <c r="J143" s="46"/>
      <c r="K143" s="4"/>
      <c r="L143" s="4"/>
      <c r="M143" s="4"/>
      <c r="N143" s="11"/>
      <c r="P143" s="8">
        <v>137</v>
      </c>
      <c r="Q143" s="46"/>
      <c r="R143" s="4"/>
      <c r="S143" s="4"/>
      <c r="T143" s="4"/>
      <c r="U143" s="11"/>
    </row>
    <row r="144" spans="9:21" x14ac:dyDescent="0.25">
      <c r="I144" s="8">
        <v>138</v>
      </c>
      <c r="J144" s="46"/>
      <c r="K144" s="4"/>
      <c r="L144" s="4"/>
      <c r="M144" s="4"/>
      <c r="N144" s="11"/>
      <c r="P144" s="8">
        <v>138</v>
      </c>
      <c r="Q144" s="46"/>
      <c r="R144" s="4"/>
      <c r="S144" s="4"/>
      <c r="T144" s="4"/>
      <c r="U144" s="11"/>
    </row>
    <row r="145" spans="9:21" x14ac:dyDescent="0.25">
      <c r="I145" s="8">
        <v>139</v>
      </c>
      <c r="J145" s="46"/>
      <c r="K145" s="4"/>
      <c r="L145" s="4"/>
      <c r="M145" s="4"/>
      <c r="N145" s="11"/>
      <c r="P145" s="8">
        <v>139</v>
      </c>
      <c r="Q145" s="46"/>
      <c r="R145" s="4"/>
      <c r="S145" s="4"/>
      <c r="T145" s="4"/>
      <c r="U145" s="11"/>
    </row>
    <row r="146" spans="9:21" x14ac:dyDescent="0.25">
      <c r="I146" s="8">
        <v>140</v>
      </c>
      <c r="J146" s="46"/>
      <c r="K146" s="4"/>
      <c r="L146" s="4"/>
      <c r="M146" s="4"/>
      <c r="N146" s="11"/>
      <c r="P146" s="8">
        <v>140</v>
      </c>
      <c r="Q146" s="46"/>
      <c r="R146" s="4"/>
      <c r="S146" s="4"/>
      <c r="T146" s="4"/>
      <c r="U146" s="11"/>
    </row>
    <row r="147" spans="9:21" x14ac:dyDescent="0.25">
      <c r="I147" s="8">
        <v>141</v>
      </c>
      <c r="J147" s="46"/>
      <c r="K147" s="4"/>
      <c r="L147" s="4"/>
      <c r="M147" s="4"/>
      <c r="N147" s="10"/>
      <c r="P147" s="8">
        <v>141</v>
      </c>
      <c r="Q147" s="46"/>
      <c r="R147" s="4"/>
      <c r="S147" s="4"/>
      <c r="T147" s="4"/>
      <c r="U147" s="10"/>
    </row>
    <row r="148" spans="9:21" x14ac:dyDescent="0.25">
      <c r="I148" s="8">
        <v>142</v>
      </c>
      <c r="J148" s="46"/>
      <c r="K148" s="4"/>
      <c r="L148" s="4"/>
      <c r="M148" s="4"/>
      <c r="N148" s="10"/>
      <c r="P148" s="8">
        <v>142</v>
      </c>
      <c r="Q148" s="46"/>
      <c r="R148" s="4"/>
      <c r="S148" s="4"/>
      <c r="T148" s="4"/>
      <c r="U148" s="10"/>
    </row>
    <row r="149" spans="9:21" x14ac:dyDescent="0.25">
      <c r="I149" s="8">
        <v>143</v>
      </c>
      <c r="J149" s="46"/>
      <c r="K149" s="4"/>
      <c r="L149" s="4"/>
      <c r="M149" s="4"/>
      <c r="N149" s="10"/>
      <c r="P149" s="8">
        <v>143</v>
      </c>
      <c r="Q149" s="46"/>
      <c r="R149" s="4"/>
      <c r="S149" s="4"/>
      <c r="T149" s="4"/>
      <c r="U149" s="10"/>
    </row>
    <row r="150" spans="9:21" x14ac:dyDescent="0.25">
      <c r="I150" s="8">
        <v>144</v>
      </c>
      <c r="J150" s="46"/>
      <c r="K150" s="4"/>
      <c r="L150" s="4"/>
      <c r="M150" s="4"/>
      <c r="N150" s="10"/>
      <c r="P150" s="8">
        <v>144</v>
      </c>
      <c r="Q150" s="46"/>
      <c r="R150" s="4"/>
      <c r="S150" s="4"/>
      <c r="T150" s="4"/>
      <c r="U150" s="10"/>
    </row>
    <row r="151" spans="9:21" x14ac:dyDescent="0.25">
      <c r="I151" s="8">
        <v>145</v>
      </c>
      <c r="J151" s="46"/>
      <c r="K151" s="4"/>
      <c r="L151" s="4"/>
      <c r="M151" s="4"/>
      <c r="N151" s="10"/>
      <c r="P151" s="8">
        <v>145</v>
      </c>
      <c r="Q151" s="46"/>
      <c r="R151" s="4"/>
      <c r="S151" s="4"/>
      <c r="T151" s="4"/>
      <c r="U151" s="10"/>
    </row>
    <row r="152" spans="9:21" x14ac:dyDescent="0.25">
      <c r="I152" s="8">
        <v>146</v>
      </c>
      <c r="J152" s="46"/>
      <c r="K152" s="4"/>
      <c r="L152" s="4"/>
      <c r="M152" s="4"/>
      <c r="N152" s="10"/>
      <c r="P152" s="8">
        <v>146</v>
      </c>
      <c r="Q152" s="46"/>
      <c r="R152" s="4"/>
      <c r="S152" s="4"/>
      <c r="T152" s="4"/>
      <c r="U152" s="10"/>
    </row>
    <row r="153" spans="9:21" x14ac:dyDescent="0.25">
      <c r="I153" s="8">
        <v>147</v>
      </c>
      <c r="J153" s="46"/>
      <c r="K153" s="4"/>
      <c r="L153" s="4"/>
      <c r="M153" s="4"/>
      <c r="N153" s="10"/>
      <c r="P153" s="8">
        <v>147</v>
      </c>
      <c r="Q153" s="46"/>
      <c r="R153" s="4"/>
      <c r="S153" s="4"/>
      <c r="T153" s="4"/>
      <c r="U153" s="10"/>
    </row>
    <row r="154" spans="9:21" x14ac:dyDescent="0.25">
      <c r="I154" s="8">
        <v>148</v>
      </c>
      <c r="J154" s="46"/>
      <c r="K154" s="4"/>
      <c r="L154" s="4"/>
      <c r="M154" s="4"/>
      <c r="N154" s="10"/>
      <c r="P154" s="8">
        <v>148</v>
      </c>
      <c r="Q154" s="46"/>
      <c r="R154" s="4"/>
      <c r="S154" s="4"/>
      <c r="T154" s="4"/>
      <c r="U154" s="10"/>
    </row>
    <row r="155" spans="9:21" x14ac:dyDescent="0.25">
      <c r="I155" s="8">
        <v>149</v>
      </c>
      <c r="J155" s="46"/>
      <c r="K155" s="4"/>
      <c r="L155" s="4"/>
      <c r="M155" s="4"/>
      <c r="N155" s="10"/>
      <c r="P155" s="8">
        <v>149</v>
      </c>
      <c r="Q155" s="46"/>
      <c r="R155" s="4"/>
      <c r="S155" s="4"/>
      <c r="T155" s="4"/>
      <c r="U155" s="10"/>
    </row>
    <row r="156" spans="9:21" x14ac:dyDescent="0.25">
      <c r="I156" s="8">
        <v>150</v>
      </c>
      <c r="J156" s="46"/>
      <c r="K156" s="4"/>
      <c r="L156" s="4"/>
      <c r="M156" s="4"/>
      <c r="N156" s="10"/>
      <c r="P156" s="8">
        <v>150</v>
      </c>
      <c r="Q156" s="46"/>
      <c r="R156" s="4"/>
      <c r="S156" s="4"/>
      <c r="T156" s="4"/>
      <c r="U156" s="10"/>
    </row>
    <row r="157" spans="9:21" x14ac:dyDescent="0.25">
      <c r="I157" s="8">
        <v>151</v>
      </c>
      <c r="J157" s="46"/>
      <c r="K157" s="4"/>
      <c r="L157" s="4"/>
      <c r="M157" s="4"/>
      <c r="N157" s="10"/>
      <c r="P157" s="8">
        <v>151</v>
      </c>
      <c r="Q157" s="46"/>
      <c r="R157" s="4"/>
      <c r="S157" s="4"/>
      <c r="T157" s="4"/>
      <c r="U157" s="10"/>
    </row>
    <row r="158" spans="9:21" x14ac:dyDescent="0.25">
      <c r="I158" s="8">
        <v>152</v>
      </c>
      <c r="J158" s="46"/>
      <c r="K158" s="4"/>
      <c r="L158" s="4"/>
      <c r="M158" s="4"/>
      <c r="N158" s="10"/>
      <c r="P158" s="8">
        <v>152</v>
      </c>
      <c r="Q158" s="46"/>
      <c r="R158" s="4"/>
      <c r="S158" s="4"/>
      <c r="T158" s="4"/>
      <c r="U158" s="10"/>
    </row>
    <row r="159" spans="9:21" x14ac:dyDescent="0.25">
      <c r="I159" s="8">
        <v>153</v>
      </c>
      <c r="J159" s="46"/>
      <c r="K159" s="4"/>
      <c r="L159" s="4"/>
      <c r="M159" s="4"/>
      <c r="N159" s="10"/>
      <c r="P159" s="8">
        <v>153</v>
      </c>
      <c r="Q159" s="46"/>
      <c r="R159" s="4"/>
      <c r="S159" s="4"/>
      <c r="T159" s="4"/>
      <c r="U159" s="10"/>
    </row>
    <row r="160" spans="9:21" x14ac:dyDescent="0.25">
      <c r="I160" s="8">
        <v>154</v>
      </c>
      <c r="J160" s="46"/>
      <c r="K160" s="4"/>
      <c r="L160" s="4"/>
      <c r="M160" s="4"/>
      <c r="N160" s="10"/>
      <c r="P160" s="8">
        <v>154</v>
      </c>
      <c r="Q160" s="46"/>
      <c r="R160" s="4"/>
      <c r="S160" s="4"/>
      <c r="T160" s="4"/>
      <c r="U160" s="10"/>
    </row>
    <row r="161" spans="9:21" x14ac:dyDescent="0.25">
      <c r="I161" s="8">
        <v>155</v>
      </c>
      <c r="J161" s="46"/>
      <c r="K161" s="4"/>
      <c r="L161" s="4"/>
      <c r="M161" s="4"/>
      <c r="N161" s="10"/>
      <c r="P161" s="8">
        <v>155</v>
      </c>
      <c r="Q161" s="46"/>
      <c r="R161" s="4"/>
      <c r="S161" s="4"/>
      <c r="T161" s="4"/>
      <c r="U161" s="10"/>
    </row>
    <row r="162" spans="9:21" x14ac:dyDescent="0.25">
      <c r="I162" s="8">
        <v>156</v>
      </c>
      <c r="J162" s="46"/>
      <c r="K162" s="4"/>
      <c r="L162" s="4"/>
      <c r="M162" s="4"/>
      <c r="N162" s="10"/>
      <c r="P162" s="8">
        <v>156</v>
      </c>
      <c r="Q162" s="46"/>
      <c r="R162" s="4"/>
      <c r="S162" s="4"/>
      <c r="T162" s="4"/>
      <c r="U162" s="10"/>
    </row>
    <row r="163" spans="9:21" x14ac:dyDescent="0.25">
      <c r="I163" s="8">
        <v>157</v>
      </c>
      <c r="J163" s="46"/>
      <c r="K163" s="4"/>
      <c r="L163" s="4"/>
      <c r="M163" s="4"/>
      <c r="N163" s="10"/>
      <c r="P163" s="8">
        <v>157</v>
      </c>
      <c r="Q163" s="46"/>
      <c r="R163" s="4"/>
      <c r="S163" s="4"/>
      <c r="T163" s="4"/>
      <c r="U163" s="10"/>
    </row>
    <row r="164" spans="9:21" x14ac:dyDescent="0.25">
      <c r="I164" s="8">
        <v>158</v>
      </c>
      <c r="J164" s="46"/>
      <c r="K164" s="4"/>
      <c r="L164" s="4"/>
      <c r="M164" s="4"/>
      <c r="N164" s="10"/>
      <c r="P164" s="8">
        <v>158</v>
      </c>
      <c r="Q164" s="46"/>
      <c r="R164" s="4"/>
      <c r="S164" s="4"/>
      <c r="T164" s="4"/>
      <c r="U164" s="10"/>
    </row>
    <row r="165" spans="9:21" x14ac:dyDescent="0.25">
      <c r="I165" s="8">
        <v>159</v>
      </c>
      <c r="J165" s="46"/>
      <c r="K165" s="4"/>
      <c r="L165" s="4"/>
      <c r="M165" s="4"/>
      <c r="N165" s="10"/>
      <c r="P165" s="8">
        <v>159</v>
      </c>
      <c r="Q165" s="46"/>
      <c r="R165" s="4"/>
      <c r="S165" s="4"/>
      <c r="T165" s="4"/>
      <c r="U165" s="10"/>
    </row>
    <row r="166" spans="9:21" x14ac:dyDescent="0.25">
      <c r="I166" s="8">
        <v>160</v>
      </c>
      <c r="J166" s="46"/>
      <c r="K166" s="4"/>
      <c r="L166" s="4"/>
      <c r="M166" s="4"/>
      <c r="N166" s="10"/>
      <c r="P166" s="8">
        <v>160</v>
      </c>
      <c r="Q166" s="46"/>
      <c r="R166" s="4"/>
      <c r="S166" s="4"/>
      <c r="T166" s="4"/>
      <c r="U166" s="10"/>
    </row>
    <row r="167" spans="9:21" x14ac:dyDescent="0.25">
      <c r="I167" s="8">
        <v>161</v>
      </c>
      <c r="J167" s="46"/>
      <c r="K167" s="4"/>
      <c r="L167" s="4"/>
      <c r="M167" s="4"/>
      <c r="N167" s="10"/>
      <c r="P167" s="8">
        <v>161</v>
      </c>
      <c r="Q167" s="46"/>
      <c r="R167" s="4"/>
      <c r="S167" s="4"/>
      <c r="T167" s="4"/>
      <c r="U167" s="10"/>
    </row>
    <row r="168" spans="9:21" x14ac:dyDescent="0.25">
      <c r="I168" s="8">
        <v>162</v>
      </c>
      <c r="J168" s="46"/>
      <c r="K168" s="4"/>
      <c r="L168" s="4"/>
      <c r="M168" s="4"/>
      <c r="N168" s="10"/>
      <c r="P168" s="8">
        <v>162</v>
      </c>
      <c r="Q168" s="46"/>
      <c r="R168" s="4"/>
      <c r="S168" s="4"/>
      <c r="T168" s="4"/>
      <c r="U168" s="10"/>
    </row>
    <row r="169" spans="9:21" x14ac:dyDescent="0.25">
      <c r="I169" s="8">
        <v>163</v>
      </c>
      <c r="J169" s="46"/>
      <c r="K169" s="4"/>
      <c r="L169" s="4"/>
      <c r="M169" s="4"/>
      <c r="N169" s="10"/>
      <c r="P169" s="8">
        <v>163</v>
      </c>
      <c r="Q169" s="46"/>
      <c r="R169" s="4"/>
      <c r="S169" s="4"/>
      <c r="T169" s="4"/>
      <c r="U169" s="10"/>
    </row>
    <row r="170" spans="9:21" x14ac:dyDescent="0.25">
      <c r="I170" s="9">
        <v>164</v>
      </c>
      <c r="J170" s="47"/>
      <c r="K170" s="12"/>
      <c r="L170" s="12"/>
      <c r="M170" s="12"/>
      <c r="N170" s="48"/>
      <c r="P170" s="9">
        <v>164</v>
      </c>
      <c r="Q170" s="47"/>
      <c r="R170" s="12"/>
      <c r="S170" s="12"/>
      <c r="T170" s="12"/>
      <c r="U170" s="48"/>
    </row>
  </sheetData>
  <mergeCells count="1">
    <mergeCell ref="B6:G15"/>
  </mergeCells>
  <phoneticPr fontId="6" type="noConversion"/>
  <conditionalFormatting sqref="X7:Y9 J7:N33 J38:N170 K34:N37">
    <cfRule type="containsText" dxfId="15" priority="85" operator="containsText" text="SCAT2">
      <formula>NOT(ISERROR(SEARCH("SCAT2",J7)))</formula>
    </cfRule>
    <cfRule type="containsText" dxfId="14" priority="86" operator="containsText" text="WILD">
      <formula>NOT(ISERROR(SEARCH("WILD",J7)))</formula>
    </cfRule>
  </conditionalFormatting>
  <conditionalFormatting sqref="J7:N33 J38:N170 K34:N37">
    <cfRule type="containsText" dxfId="13" priority="13" operator="containsText" text="FG">
      <formula>NOT(ISERROR(SEARCH("FG",J7)))</formula>
    </cfRule>
    <cfRule type="containsText" dxfId="12" priority="22" operator="containsText" text="SYM">
      <formula>NOT(ISERROR(SEARCH("SYM",J7)))</formula>
    </cfRule>
  </conditionalFormatting>
  <conditionalFormatting sqref="Q49:U170 Q41:T48 Q7:U40">
    <cfRule type="containsText" dxfId="11" priority="11" operator="containsText" text="SCAT2">
      <formula>NOT(ISERROR(SEARCH("SCAT2",Q7)))</formula>
    </cfRule>
    <cfRule type="containsText" dxfId="10" priority="12" operator="containsText" text="WILD">
      <formula>NOT(ISERROR(SEARCH("WILD",Q7)))</formula>
    </cfRule>
  </conditionalFormatting>
  <conditionalFormatting sqref="Q49:U170 Q41:T48 Q7:U40">
    <cfRule type="containsText" dxfId="9" priority="9" operator="containsText" text="FG">
      <formula>NOT(ISERROR(SEARCH("FG",Q7)))</formula>
    </cfRule>
    <cfRule type="containsText" dxfId="8" priority="10" operator="containsText" text="SYM">
      <formula>NOT(ISERROR(SEARCH("SYM",Q7)))</formula>
    </cfRule>
  </conditionalFormatting>
  <conditionalFormatting sqref="U41:U48">
    <cfRule type="containsText" dxfId="7" priority="7" operator="containsText" text="SCAT2">
      <formula>NOT(ISERROR(SEARCH("SCAT2",U41)))</formula>
    </cfRule>
    <cfRule type="containsText" dxfId="6" priority="8" operator="containsText" text="WILD">
      <formula>NOT(ISERROR(SEARCH("WILD",U41)))</formula>
    </cfRule>
  </conditionalFormatting>
  <conditionalFormatting sqref="U41:U48">
    <cfRule type="containsText" dxfId="5" priority="5" operator="containsText" text="FG">
      <formula>NOT(ISERROR(SEARCH("FG",U41)))</formula>
    </cfRule>
    <cfRule type="containsText" dxfId="4" priority="6" operator="containsText" text="SYM">
      <formula>NOT(ISERROR(SEARCH("SYM",U41)))</formula>
    </cfRule>
  </conditionalFormatting>
  <conditionalFormatting sqref="J34:J37">
    <cfRule type="containsText" dxfId="3" priority="3" operator="containsText" text="SCAT2">
      <formula>NOT(ISERROR(SEARCH("SCAT2",J34)))</formula>
    </cfRule>
    <cfRule type="containsText" dxfId="2" priority="4" operator="containsText" text="WILD">
      <formula>NOT(ISERROR(SEARCH("WILD",J34)))</formula>
    </cfRule>
  </conditionalFormatting>
  <conditionalFormatting sqref="J34:J37">
    <cfRule type="containsText" dxfId="1" priority="1" operator="containsText" text="FG">
      <formula>NOT(ISERROR(SEARCH("FG",J34)))</formula>
    </cfRule>
    <cfRule type="containsText" dxfId="0" priority="2" operator="containsText" text="SYM">
      <formula>NOT(ISERROR(SEARCH("SYM",J34)))</formula>
    </cfRule>
  </conditionalFormatting>
  <pageMargins left="0.7" right="0.7" top="0.75" bottom="0.75" header="0.3" footer="0.3"/>
  <pageSetup orientation="portrait" horizontalDpi="4294967293"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1A9EC-6D64-4CD5-B512-F22D6E9EC0E1}">
  <dimension ref="B2:M75"/>
  <sheetViews>
    <sheetView tabSelected="1" zoomScale="130" zoomScaleNormal="130" workbookViewId="0">
      <selection activeCell="C5" sqref="C5"/>
    </sheetView>
  </sheetViews>
  <sheetFormatPr defaultColWidth="8.85546875" defaultRowHeight="15" x14ac:dyDescent="0.25"/>
  <cols>
    <col min="1" max="1" width="3.42578125" style="16" customWidth="1"/>
    <col min="2" max="2" width="15.140625" style="16" customWidth="1"/>
    <col min="3" max="7" width="13.28515625" style="16" customWidth="1"/>
    <col min="8" max="16384" width="8.85546875" style="16"/>
  </cols>
  <sheetData>
    <row r="2" spans="2:8" x14ac:dyDescent="0.25">
      <c r="B2" s="16" t="s">
        <v>30</v>
      </c>
      <c r="C2" s="63">
        <f>SUM(F39:F75)</f>
        <v>0.81862871847911733</v>
      </c>
      <c r="D2" s="37" t="s">
        <v>58</v>
      </c>
      <c r="F2" s="45" t="s">
        <v>44</v>
      </c>
      <c r="G2" s="61">
        <f>1/D75</f>
        <v>82.25</v>
      </c>
      <c r="H2" s="37" t="s">
        <v>59</v>
      </c>
    </row>
    <row r="3" spans="2:8" x14ac:dyDescent="0.25">
      <c r="B3" s="16" t="s">
        <v>31</v>
      </c>
      <c r="C3" s="64">
        <f>'Free Games'!C4/'Base Game'!G2</f>
        <v>0.13221994882199681</v>
      </c>
    </row>
    <row r="4" spans="2:8" x14ac:dyDescent="0.25">
      <c r="B4" s="16" t="s">
        <v>16</v>
      </c>
      <c r="C4" s="62">
        <f>C2+C3</f>
        <v>0.95084866730111417</v>
      </c>
    </row>
    <row r="6" spans="2:8" x14ac:dyDescent="0.25">
      <c r="B6" s="37" t="s">
        <v>43</v>
      </c>
    </row>
    <row r="7" spans="2:8" x14ac:dyDescent="0.25">
      <c r="B7" s="26" t="s">
        <v>17</v>
      </c>
      <c r="C7" s="24" t="s">
        <v>1</v>
      </c>
      <c r="D7" s="24" t="s">
        <v>2</v>
      </c>
      <c r="E7" s="24" t="s">
        <v>3</v>
      </c>
      <c r="F7" s="24" t="s">
        <v>4</v>
      </c>
      <c r="G7" s="25" t="s">
        <v>5</v>
      </c>
    </row>
    <row r="8" spans="2:8" x14ac:dyDescent="0.25">
      <c r="B8" s="27" t="s">
        <v>11</v>
      </c>
      <c r="C8" s="65">
        <f>COUNTIF('Game Info'!J$7:J$170,'Base Game'!$B8)</f>
        <v>0</v>
      </c>
      <c r="D8" s="66">
        <f>COUNTIF('Game Info'!K$7:K$170,'Base Game'!$B8)</f>
        <v>2</v>
      </c>
      <c r="E8" s="66">
        <f>COUNTIF('Game Info'!L$7:L$170,'Base Game'!$B8)</f>
        <v>1</v>
      </c>
      <c r="F8" s="66">
        <f>COUNTIF('Game Info'!M$7:M$170,'Base Game'!$B8)</f>
        <v>1</v>
      </c>
      <c r="G8" s="67">
        <f>COUNTIF('Game Info'!N$7:N$170,'Base Game'!$B8)</f>
        <v>3</v>
      </c>
      <c r="H8" s="37" t="s">
        <v>55</v>
      </c>
    </row>
    <row r="9" spans="2:8" x14ac:dyDescent="0.25">
      <c r="B9" s="27" t="s">
        <v>33</v>
      </c>
      <c r="C9" s="65">
        <f>COUNTIF('Game Info'!J$7:J$170,'Base Game'!$B9)</f>
        <v>8</v>
      </c>
      <c r="D9" s="66">
        <f>COUNTIF('Game Info'!K$7:K$170,'Base Game'!$B9)</f>
        <v>4</v>
      </c>
      <c r="E9" s="66">
        <f>COUNTIF('Game Info'!L$7:L$170,'Base Game'!$B9)</f>
        <v>4</v>
      </c>
      <c r="F9" s="66">
        <f>COUNTIF('Game Info'!M$7:M$170,'Base Game'!$B9)</f>
        <v>4</v>
      </c>
      <c r="G9" s="67">
        <f>COUNTIF('Game Info'!N$7:N$170,'Base Game'!$B9)</f>
        <v>4</v>
      </c>
    </row>
    <row r="10" spans="2:8" x14ac:dyDescent="0.25">
      <c r="B10" s="27" t="s">
        <v>34</v>
      </c>
      <c r="C10" s="65">
        <f>COUNTIF('Game Info'!J$7:J$170,'Base Game'!$B10)</f>
        <v>4</v>
      </c>
      <c r="D10" s="66">
        <f>COUNTIF('Game Info'!K$7:K$170,'Base Game'!$B10)</f>
        <v>5</v>
      </c>
      <c r="E10" s="66">
        <f>COUNTIF('Game Info'!L$7:L$170,'Base Game'!$B10)</f>
        <v>4</v>
      </c>
      <c r="F10" s="66">
        <f>COUNTIF('Game Info'!M$7:M$170,'Base Game'!$B10)</f>
        <v>3</v>
      </c>
      <c r="G10" s="67">
        <f>COUNTIF('Game Info'!N$7:N$170,'Base Game'!$B10)</f>
        <v>3</v>
      </c>
    </row>
    <row r="11" spans="2:8" x14ac:dyDescent="0.25">
      <c r="B11" s="27" t="s">
        <v>35</v>
      </c>
      <c r="C11" s="65">
        <f>COUNTIF('Game Info'!J$7:J$170,'Base Game'!$B11)</f>
        <v>2</v>
      </c>
      <c r="D11" s="66">
        <f>COUNTIF('Game Info'!K$7:K$170,'Base Game'!$B11)</f>
        <v>2</v>
      </c>
      <c r="E11" s="66">
        <f>COUNTIF('Game Info'!L$7:L$170,'Base Game'!$B11)</f>
        <v>6</v>
      </c>
      <c r="F11" s="66">
        <f>COUNTIF('Game Info'!M$7:M$170,'Base Game'!$B11)</f>
        <v>3</v>
      </c>
      <c r="G11" s="67">
        <f>COUNTIF('Game Info'!N$7:N$170,'Base Game'!$B11)</f>
        <v>5</v>
      </c>
    </row>
    <row r="12" spans="2:8" x14ac:dyDescent="0.25">
      <c r="B12" s="27" t="s">
        <v>36</v>
      </c>
      <c r="C12" s="65">
        <f>COUNTIF('Game Info'!J$7:J$170,'Base Game'!$B12)</f>
        <v>6</v>
      </c>
      <c r="D12" s="66">
        <f>COUNTIF('Game Info'!K$7:K$170,'Base Game'!$B12)</f>
        <v>2</v>
      </c>
      <c r="E12" s="66">
        <f>COUNTIF('Game Info'!L$7:L$170,'Base Game'!$B12)</f>
        <v>2</v>
      </c>
      <c r="F12" s="66">
        <f>COUNTIF('Game Info'!M$7:M$170,'Base Game'!$B12)</f>
        <v>5</v>
      </c>
      <c r="G12" s="67">
        <f>COUNTIF('Game Info'!N$7:N$170,'Base Game'!$B12)</f>
        <v>4</v>
      </c>
    </row>
    <row r="13" spans="2:8" x14ac:dyDescent="0.25">
      <c r="B13" s="27" t="s">
        <v>37</v>
      </c>
      <c r="C13" s="65">
        <f>COUNTIF('Game Info'!J$7:J$170,'Base Game'!$B13)</f>
        <v>2</v>
      </c>
      <c r="D13" s="66">
        <f>COUNTIF('Game Info'!K$7:K$170,'Base Game'!$B13)</f>
        <v>2</v>
      </c>
      <c r="E13" s="66">
        <f>COUNTIF('Game Info'!L$7:L$170,'Base Game'!$B13)</f>
        <v>3</v>
      </c>
      <c r="F13" s="66">
        <f>COUNTIF('Game Info'!M$7:M$170,'Base Game'!$B13)</f>
        <v>2</v>
      </c>
      <c r="G13" s="67">
        <f>COUNTIF('Game Info'!N$7:N$170,'Base Game'!$B13)</f>
        <v>2</v>
      </c>
    </row>
    <row r="14" spans="2:8" x14ac:dyDescent="0.25">
      <c r="B14" s="27" t="s">
        <v>32</v>
      </c>
      <c r="C14" s="65">
        <f>COUNTIF('Game Info'!J$7:J$170,'Base Game'!$B14)</f>
        <v>4</v>
      </c>
      <c r="D14" s="66">
        <f>COUNTIF('Game Info'!K$7:K$170,'Base Game'!$B14)</f>
        <v>3</v>
      </c>
      <c r="E14" s="66">
        <f>COUNTIF('Game Info'!L$7:L$170,'Base Game'!$B14)</f>
        <v>2</v>
      </c>
      <c r="F14" s="66">
        <f>COUNTIF('Game Info'!M$7:M$170,'Base Game'!$B14)</f>
        <v>3</v>
      </c>
      <c r="G14" s="67">
        <f>COUNTIF('Game Info'!N$7:N$170,'Base Game'!$B14)</f>
        <v>2</v>
      </c>
    </row>
    <row r="15" spans="2:8" x14ac:dyDescent="0.25">
      <c r="B15" s="27" t="s">
        <v>6</v>
      </c>
      <c r="C15" s="65">
        <f>COUNTIF('Game Info'!J$7:J$170,'Base Game'!$B15)</f>
        <v>4</v>
      </c>
      <c r="D15" s="66">
        <f>COUNTIF('Game Info'!K$7:K$170,'Base Game'!$B15)</f>
        <v>4</v>
      </c>
      <c r="E15" s="66">
        <f>COUNTIF('Game Info'!L$7:L$170,'Base Game'!$B15)</f>
        <v>7</v>
      </c>
      <c r="F15" s="66">
        <f>COUNTIF('Game Info'!M$7:M$170,'Base Game'!$B15)</f>
        <v>4</v>
      </c>
      <c r="G15" s="67">
        <f>COUNTIF('Game Info'!N$7:N$170,'Base Game'!$B15)</f>
        <v>2</v>
      </c>
    </row>
    <row r="16" spans="2:8" x14ac:dyDescent="0.25">
      <c r="B16" s="27" t="s">
        <v>10</v>
      </c>
      <c r="C16" s="65">
        <f>COUNTIF('Game Info'!J$7:J$170,'Base Game'!$B16)</f>
        <v>3</v>
      </c>
      <c r="D16" s="66">
        <f>COUNTIF('Game Info'!K$7:K$170,'Base Game'!$B16)</f>
        <v>1</v>
      </c>
      <c r="E16" s="66">
        <f>COUNTIF('Game Info'!L$7:L$170,'Base Game'!$B16)</f>
        <v>5</v>
      </c>
      <c r="F16" s="66">
        <f>COUNTIF('Game Info'!M$7:M$170,'Base Game'!$B16)</f>
        <v>2</v>
      </c>
      <c r="G16" s="67">
        <f>COUNTIF('Game Info'!N$7:N$170,'Base Game'!$B16)</f>
        <v>5</v>
      </c>
    </row>
    <row r="17" spans="2:13" x14ac:dyDescent="0.25">
      <c r="B17" s="27" t="s">
        <v>7</v>
      </c>
      <c r="C17" s="65">
        <f>COUNTIF('Game Info'!J$7:J$170,'Base Game'!$B17)</f>
        <v>3</v>
      </c>
      <c r="D17" s="66">
        <f>COUNTIF('Game Info'!K$7:K$170,'Base Game'!$B17)</f>
        <v>5</v>
      </c>
      <c r="E17" s="66">
        <f>COUNTIF('Game Info'!L$7:L$170,'Base Game'!$B17)</f>
        <v>4</v>
      </c>
      <c r="F17" s="66">
        <f>COUNTIF('Game Info'!M$7:M$170,'Base Game'!$B17)</f>
        <v>4</v>
      </c>
      <c r="G17" s="67">
        <f>COUNTIF('Game Info'!N$7:N$170,'Base Game'!$B17)</f>
        <v>4</v>
      </c>
      <c r="L17" s="41"/>
      <c r="M17" s="40"/>
    </row>
    <row r="18" spans="2:13" x14ac:dyDescent="0.25">
      <c r="B18" s="27">
        <v>10</v>
      </c>
      <c r="C18" s="65">
        <f>COUNTIF('Game Info'!J$7:J$170,'Base Game'!$B18)</f>
        <v>5</v>
      </c>
      <c r="D18" s="66">
        <f>COUNTIF('Game Info'!K$7:K$170,'Base Game'!$B18)</f>
        <v>3</v>
      </c>
      <c r="E18" s="66">
        <f>COUNTIF('Game Info'!L$7:L$170,'Base Game'!$B18)</f>
        <v>3</v>
      </c>
      <c r="F18" s="66">
        <f>COUNTIF('Game Info'!M$7:M$170,'Base Game'!$B18)</f>
        <v>5</v>
      </c>
      <c r="G18" s="67">
        <f>COUNTIF('Game Info'!N$7:N$170,'Base Game'!$B18)</f>
        <v>6</v>
      </c>
      <c r="L18" s="41"/>
      <c r="M18" s="40"/>
    </row>
    <row r="19" spans="2:13" x14ac:dyDescent="0.25">
      <c r="B19" s="27">
        <v>9</v>
      </c>
      <c r="C19" s="65">
        <f>COUNTIF('Game Info'!J$7:J$170,'Base Game'!$B19)</f>
        <v>4</v>
      </c>
      <c r="D19" s="66">
        <f>COUNTIF('Game Info'!K$7:K$170,'Base Game'!$B19)</f>
        <v>6</v>
      </c>
      <c r="E19" s="66">
        <f>COUNTIF('Game Info'!L$7:L$170,'Base Game'!$B19)</f>
        <v>4</v>
      </c>
      <c r="F19" s="66">
        <f>COUNTIF('Game Info'!M$7:M$170,'Base Game'!$B19)</f>
        <v>4</v>
      </c>
      <c r="G19" s="67">
        <f>COUNTIF('Game Info'!N$7:N$170,'Base Game'!$B19)</f>
        <v>2</v>
      </c>
      <c r="L19" s="41"/>
      <c r="M19" s="40"/>
    </row>
    <row r="20" spans="2:13" x14ac:dyDescent="0.25">
      <c r="B20" s="27" t="s">
        <v>15</v>
      </c>
      <c r="C20" s="65">
        <f>COUNTIF('Game Info'!J$7:J$170,'Base Game'!$B20)</f>
        <v>3</v>
      </c>
      <c r="D20" s="66">
        <f>COUNTIF('Game Info'!K$7:K$170,'Base Game'!$B20)</f>
        <v>3</v>
      </c>
      <c r="E20" s="66">
        <f>COUNTIF('Game Info'!L$7:L$170,'Base Game'!$B20)</f>
        <v>2</v>
      </c>
      <c r="F20" s="66">
        <f>COUNTIF('Game Info'!M$7:M$170,'Base Game'!$B20)</f>
        <v>0</v>
      </c>
      <c r="G20" s="67">
        <f>COUNTIF('Game Info'!N$7:N$170,'Base Game'!$B20)</f>
        <v>0</v>
      </c>
    </row>
    <row r="21" spans="2:13" x14ac:dyDescent="0.25">
      <c r="B21" s="28" t="s">
        <v>16</v>
      </c>
      <c r="C21" s="71">
        <f>SUM(C8:C20)</f>
        <v>48</v>
      </c>
      <c r="D21" s="71">
        <f t="shared" ref="D21:G21" si="0">SUM(D8:D20)</f>
        <v>42</v>
      </c>
      <c r="E21" s="71">
        <f t="shared" si="0"/>
        <v>47</v>
      </c>
      <c r="F21" s="71">
        <f t="shared" si="0"/>
        <v>40</v>
      </c>
      <c r="G21" s="72">
        <f t="shared" si="0"/>
        <v>42</v>
      </c>
    </row>
    <row r="22" spans="2:13" x14ac:dyDescent="0.25">
      <c r="F22" s="21" t="s">
        <v>18</v>
      </c>
      <c r="G22" s="22">
        <f>PRODUCT(C21:G21)</f>
        <v>159183360</v>
      </c>
    </row>
    <row r="24" spans="2:13" x14ac:dyDescent="0.25">
      <c r="B24" s="37" t="s">
        <v>48</v>
      </c>
    </row>
    <row r="25" spans="2:13" x14ac:dyDescent="0.25">
      <c r="B25" s="29" t="str">
        <f>B9 &amp; " + WILD"</f>
        <v>SYM1 + WILD</v>
      </c>
      <c r="C25" s="68">
        <f>C9+C$8</f>
        <v>8</v>
      </c>
      <c r="D25" s="68">
        <f t="shared" ref="D25:G25" si="1">D9+D$8</f>
        <v>6</v>
      </c>
      <c r="E25" s="68">
        <f t="shared" si="1"/>
        <v>5</v>
      </c>
      <c r="F25" s="68">
        <f t="shared" si="1"/>
        <v>5</v>
      </c>
      <c r="G25" s="69">
        <f t="shared" si="1"/>
        <v>7</v>
      </c>
      <c r="H25" s="37" t="s">
        <v>56</v>
      </c>
    </row>
    <row r="26" spans="2:13" x14ac:dyDescent="0.25">
      <c r="B26" s="27" t="str">
        <f t="shared" ref="B26:B35" si="2">B10 &amp; " + WILD"</f>
        <v>SYM2 + WILD</v>
      </c>
      <c r="C26" s="66">
        <f t="shared" ref="C26:G26" si="3">C10+C$8</f>
        <v>4</v>
      </c>
      <c r="D26" s="66">
        <f t="shared" si="3"/>
        <v>7</v>
      </c>
      <c r="E26" s="66">
        <f t="shared" si="3"/>
        <v>5</v>
      </c>
      <c r="F26" s="66">
        <f t="shared" si="3"/>
        <v>4</v>
      </c>
      <c r="G26" s="67">
        <f t="shared" si="3"/>
        <v>6</v>
      </c>
    </row>
    <row r="27" spans="2:13" x14ac:dyDescent="0.25">
      <c r="B27" s="27" t="str">
        <f t="shared" si="2"/>
        <v>SYM3 + WILD</v>
      </c>
      <c r="C27" s="66">
        <f t="shared" ref="C27:G27" si="4">C11+C$8</f>
        <v>2</v>
      </c>
      <c r="D27" s="66">
        <f t="shared" si="4"/>
        <v>4</v>
      </c>
      <c r="E27" s="66">
        <f t="shared" si="4"/>
        <v>7</v>
      </c>
      <c r="F27" s="66">
        <f t="shared" si="4"/>
        <v>4</v>
      </c>
      <c r="G27" s="67">
        <f t="shared" si="4"/>
        <v>8</v>
      </c>
    </row>
    <row r="28" spans="2:13" x14ac:dyDescent="0.25">
      <c r="B28" s="27" t="str">
        <f t="shared" si="2"/>
        <v>SYM4 + WILD</v>
      </c>
      <c r="C28" s="66">
        <f t="shared" ref="C28:G28" si="5">C12+C$8</f>
        <v>6</v>
      </c>
      <c r="D28" s="66">
        <f t="shared" si="5"/>
        <v>4</v>
      </c>
      <c r="E28" s="66">
        <f t="shared" si="5"/>
        <v>3</v>
      </c>
      <c r="F28" s="66">
        <f t="shared" si="5"/>
        <v>6</v>
      </c>
      <c r="G28" s="67">
        <f t="shared" si="5"/>
        <v>7</v>
      </c>
    </row>
    <row r="29" spans="2:13" x14ac:dyDescent="0.25">
      <c r="B29" s="27" t="str">
        <f t="shared" si="2"/>
        <v>SYM5 + WILD</v>
      </c>
      <c r="C29" s="66">
        <f t="shared" ref="C29:G29" si="6">C13+C$8</f>
        <v>2</v>
      </c>
      <c r="D29" s="66">
        <f t="shared" si="6"/>
        <v>4</v>
      </c>
      <c r="E29" s="66">
        <f t="shared" si="6"/>
        <v>4</v>
      </c>
      <c r="F29" s="66">
        <f t="shared" si="6"/>
        <v>3</v>
      </c>
      <c r="G29" s="67">
        <f t="shared" si="6"/>
        <v>5</v>
      </c>
    </row>
    <row r="30" spans="2:13" x14ac:dyDescent="0.25">
      <c r="B30" s="27" t="str">
        <f t="shared" si="2"/>
        <v>A + WILD</v>
      </c>
      <c r="C30" s="66">
        <f t="shared" ref="C30:G30" si="7">C14+C$8</f>
        <v>4</v>
      </c>
      <c r="D30" s="66">
        <f t="shared" si="7"/>
        <v>5</v>
      </c>
      <c r="E30" s="66">
        <f t="shared" si="7"/>
        <v>3</v>
      </c>
      <c r="F30" s="66">
        <f t="shared" si="7"/>
        <v>4</v>
      </c>
      <c r="G30" s="67">
        <f t="shared" si="7"/>
        <v>5</v>
      </c>
    </row>
    <row r="31" spans="2:13" x14ac:dyDescent="0.25">
      <c r="B31" s="27" t="str">
        <f t="shared" si="2"/>
        <v>K + WILD</v>
      </c>
      <c r="C31" s="66">
        <f t="shared" ref="C31:G31" si="8">C15+C$8</f>
        <v>4</v>
      </c>
      <c r="D31" s="66">
        <f t="shared" si="8"/>
        <v>6</v>
      </c>
      <c r="E31" s="66">
        <f t="shared" si="8"/>
        <v>8</v>
      </c>
      <c r="F31" s="66">
        <f t="shared" si="8"/>
        <v>5</v>
      </c>
      <c r="G31" s="67">
        <f t="shared" si="8"/>
        <v>5</v>
      </c>
    </row>
    <row r="32" spans="2:13" x14ac:dyDescent="0.25">
      <c r="B32" s="27" t="str">
        <f t="shared" si="2"/>
        <v>Q + WILD</v>
      </c>
      <c r="C32" s="66">
        <f t="shared" ref="C32:G32" si="9">C16+C$8</f>
        <v>3</v>
      </c>
      <c r="D32" s="66">
        <f t="shared" si="9"/>
        <v>3</v>
      </c>
      <c r="E32" s="66">
        <f t="shared" si="9"/>
        <v>6</v>
      </c>
      <c r="F32" s="66">
        <f t="shared" si="9"/>
        <v>3</v>
      </c>
      <c r="G32" s="67">
        <f t="shared" si="9"/>
        <v>8</v>
      </c>
    </row>
    <row r="33" spans="2:7" x14ac:dyDescent="0.25">
      <c r="B33" s="27" t="str">
        <f t="shared" si="2"/>
        <v>J + WILD</v>
      </c>
      <c r="C33" s="66">
        <f t="shared" ref="C33:G33" si="10">C17+C$8</f>
        <v>3</v>
      </c>
      <c r="D33" s="66">
        <f t="shared" si="10"/>
        <v>7</v>
      </c>
      <c r="E33" s="66">
        <f t="shared" si="10"/>
        <v>5</v>
      </c>
      <c r="F33" s="66">
        <f t="shared" si="10"/>
        <v>5</v>
      </c>
      <c r="G33" s="67">
        <f t="shared" si="10"/>
        <v>7</v>
      </c>
    </row>
    <row r="34" spans="2:7" x14ac:dyDescent="0.25">
      <c r="B34" s="27" t="str">
        <f t="shared" si="2"/>
        <v>10 + WILD</v>
      </c>
      <c r="C34" s="66">
        <f t="shared" ref="C34:G34" si="11">C18+C$8</f>
        <v>5</v>
      </c>
      <c r="D34" s="66">
        <f t="shared" si="11"/>
        <v>5</v>
      </c>
      <c r="E34" s="66">
        <f t="shared" si="11"/>
        <v>4</v>
      </c>
      <c r="F34" s="66">
        <f t="shared" si="11"/>
        <v>6</v>
      </c>
      <c r="G34" s="67">
        <f t="shared" si="11"/>
        <v>9</v>
      </c>
    </row>
    <row r="35" spans="2:7" x14ac:dyDescent="0.25">
      <c r="B35" s="27" t="str">
        <f t="shared" si="2"/>
        <v>9 + WILD</v>
      </c>
      <c r="C35" s="66">
        <f t="shared" ref="C35:G35" si="12">C19+C$8</f>
        <v>4</v>
      </c>
      <c r="D35" s="66">
        <f t="shared" si="12"/>
        <v>8</v>
      </c>
      <c r="E35" s="66">
        <f t="shared" si="12"/>
        <v>5</v>
      </c>
      <c r="F35" s="66">
        <f t="shared" si="12"/>
        <v>5</v>
      </c>
      <c r="G35" s="67">
        <f t="shared" si="12"/>
        <v>5</v>
      </c>
    </row>
    <row r="36" spans="2:7" x14ac:dyDescent="0.25">
      <c r="B36" s="28" t="s">
        <v>47</v>
      </c>
      <c r="C36" s="71">
        <f>4*C20</f>
        <v>12</v>
      </c>
      <c r="D36" s="71">
        <f t="shared" ref="D36:G36" si="13">4*D20</f>
        <v>12</v>
      </c>
      <c r="E36" s="71">
        <f t="shared" si="13"/>
        <v>8</v>
      </c>
      <c r="F36" s="71">
        <f t="shared" si="13"/>
        <v>0</v>
      </c>
      <c r="G36" s="72">
        <f t="shared" si="13"/>
        <v>0</v>
      </c>
    </row>
    <row r="38" spans="2:7" x14ac:dyDescent="0.25">
      <c r="B38" s="23" t="s">
        <v>23</v>
      </c>
      <c r="C38" s="24" t="s">
        <v>24</v>
      </c>
      <c r="D38" s="24" t="s">
        <v>25</v>
      </c>
      <c r="E38" s="24" t="s">
        <v>26</v>
      </c>
      <c r="F38" s="26" t="s">
        <v>27</v>
      </c>
    </row>
    <row r="39" spans="2:7" x14ac:dyDescent="0.25">
      <c r="B39" s="18" t="str">
        <f t="shared" ref="B39:B49" si="14">B9 &amp; " x5"</f>
        <v>SYM1 x5</v>
      </c>
      <c r="C39" s="66">
        <f>C25*D25*E25*F25*G25</f>
        <v>8400</v>
      </c>
      <c r="D39" s="75">
        <f>C39*'Game Info'!$C$3/$G$22</f>
        <v>2.6384667342114151E-3</v>
      </c>
      <c r="E39" s="30">
        <f>'Game Info'!AA13</f>
        <v>1000</v>
      </c>
      <c r="F39" s="73">
        <f>D39*E39/'Game Info'!$C$2</f>
        <v>5.27693346842283E-2</v>
      </c>
      <c r="G39" s="37" t="s">
        <v>57</v>
      </c>
    </row>
    <row r="40" spans="2:7" x14ac:dyDescent="0.25">
      <c r="B40" s="18" t="str">
        <f t="shared" si="14"/>
        <v>SYM2 x5</v>
      </c>
      <c r="C40" s="66">
        <f t="shared" ref="C40:C49" si="15">C26*D26*E26*F26*G26</f>
        <v>3360</v>
      </c>
      <c r="D40" s="75">
        <f>C40*'Game Info'!$C$3/$G$22</f>
        <v>1.0553866936845661E-3</v>
      </c>
      <c r="E40" s="30">
        <f>'Game Info'!AA14</f>
        <v>500</v>
      </c>
      <c r="F40" s="73">
        <f>D40*E40/'Game Info'!$C$2</f>
        <v>1.0553866936845662E-2</v>
      </c>
    </row>
    <row r="41" spans="2:7" x14ac:dyDescent="0.25">
      <c r="B41" s="18" t="str">
        <f t="shared" si="14"/>
        <v>SYM3 x5</v>
      </c>
      <c r="C41" s="66">
        <f t="shared" si="15"/>
        <v>1792</v>
      </c>
      <c r="D41" s="75">
        <f>C41*'Game Info'!$C$3/$G$22</f>
        <v>5.6287290329843525E-4</v>
      </c>
      <c r="E41" s="30">
        <f>'Game Info'!AA15</f>
        <v>500</v>
      </c>
      <c r="F41" s="73">
        <f>D41*E41/'Game Info'!$C$2</f>
        <v>5.6287290329843521E-3</v>
      </c>
    </row>
    <row r="42" spans="2:7" x14ac:dyDescent="0.25">
      <c r="B42" s="18" t="str">
        <f t="shared" si="14"/>
        <v>SYM4 x5</v>
      </c>
      <c r="C42" s="66">
        <f t="shared" si="15"/>
        <v>3024</v>
      </c>
      <c r="D42" s="75">
        <f>C42*'Game Info'!$C$3/$G$22</f>
        <v>9.4984802431610945E-4</v>
      </c>
      <c r="E42" s="30">
        <f>'Game Info'!AA16</f>
        <v>400</v>
      </c>
      <c r="F42" s="73">
        <f>D42*E42/'Game Info'!$C$2</f>
        <v>7.5987841945288756E-3</v>
      </c>
    </row>
    <row r="43" spans="2:7" x14ac:dyDescent="0.25">
      <c r="B43" s="18" t="str">
        <f t="shared" si="14"/>
        <v>SYM5 x5</v>
      </c>
      <c r="C43" s="66">
        <f t="shared" si="15"/>
        <v>480</v>
      </c>
      <c r="D43" s="75">
        <f>C43*'Game Info'!$C$3/$G$22</f>
        <v>1.5076952766922372E-4</v>
      </c>
      <c r="E43" s="30">
        <f>'Game Info'!AA17</f>
        <v>400</v>
      </c>
      <c r="F43" s="73">
        <f>D43*E43/'Game Info'!$C$2</f>
        <v>1.2061562213537898E-3</v>
      </c>
    </row>
    <row r="44" spans="2:7" x14ac:dyDescent="0.25">
      <c r="B44" s="18" t="str">
        <f t="shared" si="14"/>
        <v>A x5</v>
      </c>
      <c r="C44" s="66">
        <f t="shared" si="15"/>
        <v>1200</v>
      </c>
      <c r="D44" s="75">
        <f>C44*'Game Info'!$C$3/$G$22</f>
        <v>3.7692381917305928E-4</v>
      </c>
      <c r="E44" s="30">
        <f>'Game Info'!AA18</f>
        <v>400</v>
      </c>
      <c r="F44" s="73">
        <f>D44*E44/'Game Info'!$C$2</f>
        <v>3.0153905533844743E-3</v>
      </c>
    </row>
    <row r="45" spans="2:7" x14ac:dyDescent="0.25">
      <c r="B45" s="18" t="str">
        <f t="shared" si="14"/>
        <v>K x5</v>
      </c>
      <c r="C45" s="66">
        <f t="shared" si="15"/>
        <v>4800</v>
      </c>
      <c r="D45" s="75">
        <f>C45*'Game Info'!$C$3/$G$22</f>
        <v>1.5076952766922371E-3</v>
      </c>
      <c r="E45" s="30">
        <f>'Game Info'!AA19</f>
        <v>400</v>
      </c>
      <c r="F45" s="73">
        <f>D45*E45/'Game Info'!$C$2</f>
        <v>1.2061562213537897E-2</v>
      </c>
    </row>
    <row r="46" spans="2:7" x14ac:dyDescent="0.25">
      <c r="B46" s="18" t="str">
        <f t="shared" si="14"/>
        <v>Q x5</v>
      </c>
      <c r="C46" s="66">
        <f t="shared" si="15"/>
        <v>1296</v>
      </c>
      <c r="D46" s="75">
        <f>C46*'Game Info'!$C$3/$G$22</f>
        <v>4.0707772470690402E-4</v>
      </c>
      <c r="E46" s="30">
        <f>'Game Info'!AA20</f>
        <v>200</v>
      </c>
      <c r="F46" s="73">
        <f>D46*E46/'Game Info'!$C$2</f>
        <v>1.6283108988276161E-3</v>
      </c>
    </row>
    <row r="47" spans="2:7" x14ac:dyDescent="0.25">
      <c r="B47" s="18" t="str">
        <f t="shared" si="14"/>
        <v>J x5</v>
      </c>
      <c r="C47" s="66">
        <f t="shared" si="15"/>
        <v>3675</v>
      </c>
      <c r="D47" s="75">
        <f>C47*'Game Info'!$C$3/$G$22</f>
        <v>1.154329196217494E-3</v>
      </c>
      <c r="E47" s="30">
        <f>'Game Info'!AA21</f>
        <v>200</v>
      </c>
      <c r="F47" s="73">
        <f>D47*E47/'Game Info'!$C$2</f>
        <v>4.6173167848699761E-3</v>
      </c>
    </row>
    <row r="48" spans="2:7" x14ac:dyDescent="0.25">
      <c r="B48" s="18" t="str">
        <f t="shared" si="14"/>
        <v>10 x5</v>
      </c>
      <c r="C48" s="66">
        <f t="shared" si="15"/>
        <v>5400</v>
      </c>
      <c r="D48" s="75">
        <f>C48*'Game Info'!$C$3/$G$22</f>
        <v>1.6961571862787667E-3</v>
      </c>
      <c r="E48" s="30">
        <f>'Game Info'!AA22</f>
        <v>200</v>
      </c>
      <c r="F48" s="73">
        <f>D48*E48/'Game Info'!$C$2</f>
        <v>6.7846287451150669E-3</v>
      </c>
    </row>
    <row r="49" spans="2:6" x14ac:dyDescent="0.25">
      <c r="B49" s="20" t="str">
        <f t="shared" si="14"/>
        <v>9 x5</v>
      </c>
      <c r="C49" s="70">
        <f t="shared" si="15"/>
        <v>4000</v>
      </c>
      <c r="D49" s="76">
        <f>C49*'Game Info'!$C$3/$G$22</f>
        <v>1.2564127305768643E-3</v>
      </c>
      <c r="E49" s="31">
        <f>'Game Info'!AA23</f>
        <v>200</v>
      </c>
      <c r="F49" s="74">
        <f>D49*E49/'Game Info'!$C$2</f>
        <v>5.0256509223074574E-3</v>
      </c>
    </row>
    <row r="50" spans="2:6" x14ac:dyDescent="0.25">
      <c r="B50" s="18" t="str">
        <f t="shared" ref="B50:B60" si="16">B9 &amp; " x4"</f>
        <v>SYM1 x4</v>
      </c>
      <c r="C50" s="66">
        <f>C25*D25*E25*F25*($G$21-G25)</f>
        <v>42000</v>
      </c>
      <c r="D50" s="75">
        <f>C50*'Game Info'!$C$3/$G$22</f>
        <v>1.3192333671057075E-2</v>
      </c>
      <c r="E50" s="30">
        <f>'Game Info'!Z13</f>
        <v>200</v>
      </c>
      <c r="F50" s="73">
        <f>D50*E50/'Game Info'!$C$2</f>
        <v>5.27693346842283E-2</v>
      </c>
    </row>
    <row r="51" spans="2:6" x14ac:dyDescent="0.25">
      <c r="B51" s="18" t="str">
        <f t="shared" si="16"/>
        <v>SYM2 x4</v>
      </c>
      <c r="C51" s="66">
        <f t="shared" ref="C51:C60" si="17">C26*D26*E26*F26*($G$21-G26)</f>
        <v>20160</v>
      </c>
      <c r="D51" s="75">
        <f>C51*'Game Info'!$C$3/$G$22</f>
        <v>6.3323201621073959E-3</v>
      </c>
      <c r="E51" s="30">
        <f>'Game Info'!Z14</f>
        <v>150</v>
      </c>
      <c r="F51" s="73">
        <f>D51*E51/'Game Info'!$C$2</f>
        <v>1.8996960486322188E-2</v>
      </c>
    </row>
    <row r="52" spans="2:6" x14ac:dyDescent="0.25">
      <c r="B52" s="18" t="str">
        <f t="shared" si="16"/>
        <v>SYM3 x4</v>
      </c>
      <c r="C52" s="66">
        <f t="shared" si="17"/>
        <v>7616</v>
      </c>
      <c r="D52" s="75">
        <f>C52*'Game Info'!$C$3/$G$22</f>
        <v>2.3922098390183498E-3</v>
      </c>
      <c r="E52" s="30">
        <f>'Game Info'!Z15</f>
        <v>150</v>
      </c>
      <c r="F52" s="73">
        <f>D52*E52/'Game Info'!$C$2</f>
        <v>7.1766295170550502E-3</v>
      </c>
    </row>
    <row r="53" spans="2:6" x14ac:dyDescent="0.25">
      <c r="B53" s="18" t="str">
        <f t="shared" si="16"/>
        <v>SYM4 x4</v>
      </c>
      <c r="C53" s="66">
        <f t="shared" si="17"/>
        <v>15120</v>
      </c>
      <c r="D53" s="75">
        <f>C53*'Game Info'!$C$3/$G$22</f>
        <v>4.7492401215805469E-3</v>
      </c>
      <c r="E53" s="30">
        <f>'Game Info'!Z16</f>
        <v>100</v>
      </c>
      <c r="F53" s="73">
        <f>D53*E53/'Game Info'!$C$2</f>
        <v>9.4984802431610938E-3</v>
      </c>
    </row>
    <row r="54" spans="2:6" x14ac:dyDescent="0.25">
      <c r="B54" s="18" t="str">
        <f t="shared" si="16"/>
        <v>SYM5 x4</v>
      </c>
      <c r="C54" s="66">
        <f t="shared" si="17"/>
        <v>3552</v>
      </c>
      <c r="D54" s="75">
        <f>C54*'Game Info'!$C$3/$G$22</f>
        <v>1.1156945047522556E-3</v>
      </c>
      <c r="E54" s="30">
        <f>'Game Info'!Z17</f>
        <v>100</v>
      </c>
      <c r="F54" s="73">
        <f>D54*E54/'Game Info'!$C$2</f>
        <v>2.2313890095045112E-3</v>
      </c>
    </row>
    <row r="55" spans="2:6" x14ac:dyDescent="0.25">
      <c r="B55" s="18" t="str">
        <f t="shared" si="16"/>
        <v>A x4</v>
      </c>
      <c r="C55" s="66">
        <f t="shared" si="17"/>
        <v>8880</v>
      </c>
      <c r="D55" s="75">
        <f>C55*'Game Info'!$C$3/$G$22</f>
        <v>2.7892362618806388E-3</v>
      </c>
      <c r="E55" s="30">
        <f>'Game Info'!Z18</f>
        <v>50</v>
      </c>
      <c r="F55" s="73">
        <f>D55*E55/'Game Info'!$C$2</f>
        <v>2.7892362618806388E-3</v>
      </c>
    </row>
    <row r="56" spans="2:6" x14ac:dyDescent="0.25">
      <c r="B56" s="18" t="str">
        <f t="shared" si="16"/>
        <v>K x4</v>
      </c>
      <c r="C56" s="66">
        <f t="shared" si="17"/>
        <v>35520</v>
      </c>
      <c r="D56" s="75">
        <f>C56*'Game Info'!$C$3/$G$22</f>
        <v>1.1156945047522555E-2</v>
      </c>
      <c r="E56" s="30">
        <f>'Game Info'!Z19</f>
        <v>50</v>
      </c>
      <c r="F56" s="73">
        <f>D56*E56/'Game Info'!$C$2</f>
        <v>1.1156945047522555E-2</v>
      </c>
    </row>
    <row r="57" spans="2:6" x14ac:dyDescent="0.25">
      <c r="B57" s="18" t="str">
        <f t="shared" si="16"/>
        <v>Q x4</v>
      </c>
      <c r="C57" s="66">
        <f t="shared" si="17"/>
        <v>5508</v>
      </c>
      <c r="D57" s="75">
        <f>C57*'Game Info'!$C$3/$G$22</f>
        <v>1.7300803300043422E-3</v>
      </c>
      <c r="E57" s="30">
        <f>'Game Info'!Z20</f>
        <v>30</v>
      </c>
      <c r="F57" s="73">
        <f>D57*E57/'Game Info'!$C$2</f>
        <v>1.0380481980026054E-3</v>
      </c>
    </row>
    <row r="58" spans="2:6" x14ac:dyDescent="0.25">
      <c r="B58" s="18" t="str">
        <f t="shared" si="16"/>
        <v>J x4</v>
      </c>
      <c r="C58" s="66">
        <f t="shared" si="17"/>
        <v>18375</v>
      </c>
      <c r="D58" s="75">
        <f>C58*'Game Info'!$C$3/$G$22</f>
        <v>5.7716459810874705E-3</v>
      </c>
      <c r="E58" s="30">
        <f>'Game Info'!Z21</f>
        <v>30</v>
      </c>
      <c r="F58" s="73">
        <f>D58*E58/'Game Info'!$C$2</f>
        <v>3.4629875886524825E-3</v>
      </c>
    </row>
    <row r="59" spans="2:6" x14ac:dyDescent="0.25">
      <c r="B59" s="18" t="str">
        <f t="shared" si="16"/>
        <v>10 x4</v>
      </c>
      <c r="C59" s="66">
        <f t="shared" si="17"/>
        <v>19800</v>
      </c>
      <c r="D59" s="75">
        <f>C59*'Game Info'!$C$3/$G$22</f>
        <v>6.2192430163554788E-3</v>
      </c>
      <c r="E59" s="30">
        <f>'Game Info'!Z22</f>
        <v>20</v>
      </c>
      <c r="F59" s="73">
        <f>D59*E59/'Game Info'!$C$2</f>
        <v>2.4876972065421914E-3</v>
      </c>
    </row>
    <row r="60" spans="2:6" x14ac:dyDescent="0.25">
      <c r="B60" s="20" t="str">
        <f t="shared" si="16"/>
        <v>9 x4</v>
      </c>
      <c r="C60" s="70">
        <f t="shared" si="17"/>
        <v>29600</v>
      </c>
      <c r="D60" s="76">
        <f>C60*'Game Info'!$C$3/$G$22</f>
        <v>9.2974542062687956E-3</v>
      </c>
      <c r="E60" s="31">
        <f>'Game Info'!Z23</f>
        <v>20</v>
      </c>
      <c r="F60" s="74">
        <f>D60*E60/'Game Info'!$C$2</f>
        <v>3.7189816825075185E-3</v>
      </c>
    </row>
    <row r="61" spans="2:6" x14ac:dyDescent="0.25">
      <c r="B61" s="18" t="str">
        <f t="shared" ref="B61:B71" si="18">B9 &amp; " x3"</f>
        <v>SYM1 x3</v>
      </c>
      <c r="C61" s="66">
        <f>C25*D25*E25*($F$21-F25)*$G$21</f>
        <v>352800</v>
      </c>
      <c r="D61" s="75">
        <f>C61*'Game Info'!$C$3/$G$22</f>
        <v>0.11081560283687943</v>
      </c>
      <c r="E61" s="30">
        <f>'Game Info'!Y13</f>
        <v>40</v>
      </c>
      <c r="F61" s="73">
        <f>D61*E61/'Game Info'!$C$2</f>
        <v>8.8652482269503549E-2</v>
      </c>
    </row>
    <row r="62" spans="2:6" x14ac:dyDescent="0.25">
      <c r="B62" s="18" t="str">
        <f t="shared" si="18"/>
        <v>SYM2 x3</v>
      </c>
      <c r="C62" s="66">
        <f t="shared" ref="C62:C71" si="19">C26*D26*E26*($F$21-F26)*$G$21</f>
        <v>211680</v>
      </c>
      <c r="D62" s="75">
        <f>C62*'Game Info'!$C$3/$G$22</f>
        <v>6.6489361702127658E-2</v>
      </c>
      <c r="E62" s="30">
        <f>'Game Info'!Y14</f>
        <v>40</v>
      </c>
      <c r="F62" s="73">
        <f>D62*E62/'Game Info'!$C$2</f>
        <v>5.3191489361702128E-2</v>
      </c>
    </row>
    <row r="63" spans="2:6" x14ac:dyDescent="0.25">
      <c r="B63" s="18" t="str">
        <f t="shared" si="18"/>
        <v>SYM3 x3</v>
      </c>
      <c r="C63" s="66">
        <f t="shared" si="19"/>
        <v>84672</v>
      </c>
      <c r="D63" s="75">
        <f>C63*'Game Info'!$C$3/$G$22</f>
        <v>2.6595744680851064E-2</v>
      </c>
      <c r="E63" s="30">
        <f>'Game Info'!Y15</f>
        <v>40</v>
      </c>
      <c r="F63" s="73">
        <f>D63*E63/'Game Info'!$C$2</f>
        <v>2.1276595744680851E-2</v>
      </c>
    </row>
    <row r="64" spans="2:6" x14ac:dyDescent="0.25">
      <c r="B64" s="18" t="str">
        <f t="shared" si="18"/>
        <v>SYM4 x3</v>
      </c>
      <c r="C64" s="66">
        <f t="shared" si="19"/>
        <v>102816</v>
      </c>
      <c r="D64" s="75">
        <f>C64*'Game Info'!$C$3/$G$22</f>
        <v>3.2294832826747721E-2</v>
      </c>
      <c r="E64" s="30">
        <f>'Game Info'!Y16</f>
        <v>20</v>
      </c>
      <c r="F64" s="73">
        <f>D64*E64/'Game Info'!$C$2</f>
        <v>1.2917933130699088E-2</v>
      </c>
    </row>
    <row r="65" spans="2:6" x14ac:dyDescent="0.25">
      <c r="B65" s="18" t="str">
        <f t="shared" si="18"/>
        <v>SYM5 x3</v>
      </c>
      <c r="C65" s="66">
        <f t="shared" si="19"/>
        <v>49728</v>
      </c>
      <c r="D65" s="75">
        <f>C65*'Game Info'!$C$3/$G$22</f>
        <v>1.5619723066531577E-2</v>
      </c>
      <c r="E65" s="30">
        <f>'Game Info'!Y17</f>
        <v>20</v>
      </c>
      <c r="F65" s="73">
        <f>D65*E65/'Game Info'!$C$2</f>
        <v>6.247889226612631E-3</v>
      </c>
    </row>
    <row r="66" spans="2:6" x14ac:dyDescent="0.25">
      <c r="B66" s="18" t="str">
        <f t="shared" si="18"/>
        <v>A x3</v>
      </c>
      <c r="C66" s="66">
        <f t="shared" si="19"/>
        <v>90720</v>
      </c>
      <c r="D66" s="75">
        <f>C66*'Game Info'!$C$3/$G$22</f>
        <v>2.8495440729483283E-2</v>
      </c>
      <c r="E66" s="30">
        <f>'Game Info'!Y18</f>
        <v>20</v>
      </c>
      <c r="F66" s="73">
        <f>D66*E66/'Game Info'!$C$2</f>
        <v>1.1398176291793315E-2</v>
      </c>
    </row>
    <row r="67" spans="2:6" x14ac:dyDescent="0.25">
      <c r="B67" s="18" t="str">
        <f t="shared" si="18"/>
        <v>K x3</v>
      </c>
      <c r="C67" s="66">
        <f t="shared" si="19"/>
        <v>282240</v>
      </c>
      <c r="D67" s="75">
        <f>C67*'Game Info'!$C$3/$G$22</f>
        <v>8.8652482269503549E-2</v>
      </c>
      <c r="E67" s="30">
        <f>'Game Info'!Y19</f>
        <v>20</v>
      </c>
      <c r="F67" s="73">
        <f>D67*E67/'Game Info'!$C$2</f>
        <v>3.5460992907801421E-2</v>
      </c>
    </row>
    <row r="68" spans="2:6" x14ac:dyDescent="0.25">
      <c r="B68" s="18" t="str">
        <f t="shared" si="18"/>
        <v>Q x3</v>
      </c>
      <c r="C68" s="66">
        <f t="shared" si="19"/>
        <v>83916</v>
      </c>
      <c r="D68" s="75">
        <f>C68*'Game Info'!$C$3/$G$22</f>
        <v>2.6358282674772037E-2</v>
      </c>
      <c r="E68" s="30">
        <f>'Game Info'!Y20</f>
        <v>10</v>
      </c>
      <c r="F68" s="73">
        <f>D68*E68/'Game Info'!$C$2</f>
        <v>5.2716565349544076E-3</v>
      </c>
    </row>
    <row r="69" spans="2:6" x14ac:dyDescent="0.25">
      <c r="B69" s="18" t="str">
        <f t="shared" si="18"/>
        <v>J x3</v>
      </c>
      <c r="C69" s="66">
        <f t="shared" si="19"/>
        <v>154350</v>
      </c>
      <c r="D69" s="75">
        <f>C69*'Game Info'!$C$3/$G$22</f>
        <v>4.848182624113475E-2</v>
      </c>
      <c r="E69" s="30">
        <f>'Game Info'!Y21</f>
        <v>10</v>
      </c>
      <c r="F69" s="73">
        <f>D69*E69/'Game Info'!$C$2</f>
        <v>9.6963652482269496E-3</v>
      </c>
    </row>
    <row r="70" spans="2:6" x14ac:dyDescent="0.25">
      <c r="B70" s="18" t="str">
        <f t="shared" si="18"/>
        <v>10 x3</v>
      </c>
      <c r="C70" s="66">
        <f t="shared" si="19"/>
        <v>142800</v>
      </c>
      <c r="D70" s="75">
        <f>C70*'Game Info'!$C$3/$G$22</f>
        <v>4.4853934481594054E-2</v>
      </c>
      <c r="E70" s="30">
        <f>'Game Info'!Y22</f>
        <v>10</v>
      </c>
      <c r="F70" s="73">
        <f>D70*E70/'Game Info'!$C$2</f>
        <v>8.9707868963188105E-3</v>
      </c>
    </row>
    <row r="71" spans="2:6" x14ac:dyDescent="0.25">
      <c r="B71" s="20" t="str">
        <f t="shared" si="18"/>
        <v>9 x3</v>
      </c>
      <c r="C71" s="70">
        <f t="shared" si="19"/>
        <v>235200</v>
      </c>
      <c r="D71" s="76">
        <f>C71*'Game Info'!$C$3/$G$22</f>
        <v>7.3877068557919617E-2</v>
      </c>
      <c r="E71" s="31">
        <f>'Game Info'!Y23</f>
        <v>10</v>
      </c>
      <c r="F71" s="74">
        <f>D71*E71/'Game Info'!$C$2</f>
        <v>1.4775413711583925E-2</v>
      </c>
    </row>
    <row r="72" spans="2:6" s="19" customFormat="1" x14ac:dyDescent="0.25">
      <c r="B72" s="18" t="str">
        <f>B9 &amp; " x2"</f>
        <v>SYM1 x2</v>
      </c>
      <c r="C72" s="66">
        <f>C25*D25*($E$21-E25)*$F$21*$G$21</f>
        <v>3386880</v>
      </c>
      <c r="D72" s="75">
        <f>C72*'Game Info'!$C$3/$G$22</f>
        <v>1.0638297872340425</v>
      </c>
      <c r="E72" s="30">
        <f>'Game Info'!X13</f>
        <v>10</v>
      </c>
      <c r="F72" s="73">
        <f>D72*E72/'Game Info'!$C$2</f>
        <v>0.21276595744680851</v>
      </c>
    </row>
    <row r="73" spans="2:6" s="19" customFormat="1" x14ac:dyDescent="0.25">
      <c r="B73" s="18" t="str">
        <f>B10 &amp; " x2"</f>
        <v>SYM2 x2</v>
      </c>
      <c r="C73" s="66">
        <f t="shared" ref="C73:C74" si="20">C26*D26*($E$21-E26)*$F$21*$G$21</f>
        <v>1975680</v>
      </c>
      <c r="D73" s="75">
        <f>C73*'Game Info'!$C$3/$G$22</f>
        <v>0.62056737588652477</v>
      </c>
      <c r="E73" s="30">
        <f>'Game Info'!X14</f>
        <v>4</v>
      </c>
      <c r="F73" s="73">
        <f>D73*E73/'Game Info'!$C$2</f>
        <v>4.9645390070921981E-2</v>
      </c>
    </row>
    <row r="74" spans="2:6" s="19" customFormat="1" x14ac:dyDescent="0.25">
      <c r="B74" s="20" t="str">
        <f>B11 &amp; " x2"</f>
        <v>SYM3 x2</v>
      </c>
      <c r="C74" s="70">
        <f t="shared" si="20"/>
        <v>537600</v>
      </c>
      <c r="D74" s="76">
        <f>C74*'Game Info'!$C$3/$G$22</f>
        <v>0.16886187098953057</v>
      </c>
      <c r="E74" s="31">
        <f>'Game Info'!X15</f>
        <v>4</v>
      </c>
      <c r="F74" s="74">
        <f>D74*E74/'Game Info'!$C$2</f>
        <v>1.3508949679162446E-2</v>
      </c>
    </row>
    <row r="75" spans="2:6" x14ac:dyDescent="0.25">
      <c r="B75" s="20" t="str">
        <f>B20 &amp; " x3"</f>
        <v>FG x3</v>
      </c>
      <c r="C75" s="70">
        <f>C36*D36*E36*F21*G21</f>
        <v>1935360</v>
      </c>
      <c r="D75" s="76">
        <f>C75/$G$22</f>
        <v>1.2158054711246201E-2</v>
      </c>
      <c r="E75" s="31">
        <f>'Game Info'!Y24</f>
        <v>4</v>
      </c>
      <c r="F75" s="74">
        <f>D75*E75</f>
        <v>4.8632218844984802E-2</v>
      </c>
    </row>
  </sheetData>
  <phoneticPr fontId="6" type="noConversion"/>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C7CD-198C-4E44-AFA8-9C4B699C8726}">
  <dimension ref="B2:H76"/>
  <sheetViews>
    <sheetView zoomScale="115" zoomScaleNormal="115" workbookViewId="0">
      <selection activeCell="C4" sqref="C4"/>
    </sheetView>
  </sheetViews>
  <sheetFormatPr defaultColWidth="8.85546875" defaultRowHeight="15" x14ac:dyDescent="0.25"/>
  <cols>
    <col min="1" max="1" width="3.42578125" style="16" customWidth="1"/>
    <col min="2" max="2" width="13.7109375" style="16" customWidth="1"/>
    <col min="3" max="3" width="11.7109375" style="16" customWidth="1"/>
    <col min="4" max="4" width="12.42578125" style="16" bestFit="1" customWidth="1"/>
    <col min="5" max="5" width="8.85546875" style="16"/>
    <col min="6" max="6" width="11.28515625" style="16" bestFit="1" customWidth="1"/>
    <col min="7" max="7" width="12.28515625" style="16" customWidth="1"/>
    <col min="8" max="16384" width="8.85546875" style="16"/>
  </cols>
  <sheetData>
    <row r="2" spans="2:7" x14ac:dyDescent="0.25">
      <c r="B2" s="16" t="s">
        <v>42</v>
      </c>
      <c r="C2" s="77">
        <f>SUM(F40:F76)</f>
        <v>1.0453575643686399</v>
      </c>
      <c r="F2" s="35" t="s">
        <v>28</v>
      </c>
      <c r="G2" s="36" t="s">
        <v>29</v>
      </c>
    </row>
    <row r="3" spans="2:7" x14ac:dyDescent="0.25">
      <c r="B3" s="19" t="s">
        <v>54</v>
      </c>
      <c r="C3" s="77">
        <f>G3/(1-F4*G4)</f>
        <v>10.403225806451612</v>
      </c>
      <c r="E3" s="17" t="s">
        <v>14</v>
      </c>
      <c r="F3" s="79">
        <f>1/'Base Game'!G2</f>
        <v>1.2158054711246201E-2</v>
      </c>
      <c r="G3" s="59">
        <f>'Game Info'!X9</f>
        <v>10</v>
      </c>
    </row>
    <row r="4" spans="2:7" x14ac:dyDescent="0.25">
      <c r="B4" s="16" t="s">
        <v>53</v>
      </c>
      <c r="C4" s="78">
        <f>C2*C3</f>
        <v>10.875090790609237</v>
      </c>
      <c r="E4" s="20" t="s">
        <v>15</v>
      </c>
      <c r="F4" s="80">
        <f>D76</f>
        <v>7.7519379844961239E-3</v>
      </c>
      <c r="G4" s="60">
        <f>'Game Info'!Y9</f>
        <v>5</v>
      </c>
    </row>
    <row r="7" spans="2:7" x14ac:dyDescent="0.25">
      <c r="B7" s="37" t="s">
        <v>43</v>
      </c>
    </row>
    <row r="8" spans="2:7" x14ac:dyDescent="0.25">
      <c r="B8" s="26" t="s">
        <v>17</v>
      </c>
      <c r="C8" s="24" t="s">
        <v>1</v>
      </c>
      <c r="D8" s="24" t="s">
        <v>2</v>
      </c>
      <c r="E8" s="24" t="s">
        <v>3</v>
      </c>
      <c r="F8" s="24" t="s">
        <v>4</v>
      </c>
      <c r="G8" s="25" t="s">
        <v>5</v>
      </c>
    </row>
    <row r="9" spans="2:7" x14ac:dyDescent="0.25">
      <c r="B9" s="27" t="s">
        <v>11</v>
      </c>
      <c r="C9" s="65">
        <f>COUNTIF('Game Info'!Q$7:Q$170,$B9)</f>
        <v>0</v>
      </c>
      <c r="D9" s="66">
        <f>COUNTIF('Game Info'!R$7:R$170,$B9)</f>
        <v>3</v>
      </c>
      <c r="E9" s="66">
        <f>COUNTIF('Game Info'!S$7:S$170,$B9)</f>
        <v>2</v>
      </c>
      <c r="F9" s="66">
        <f>COUNTIF('Game Info'!T$7:T$170,$B9)</f>
        <v>2</v>
      </c>
      <c r="G9" s="67">
        <f>COUNTIF('Game Info'!U$7:U$170,$B9)</f>
        <v>4</v>
      </c>
    </row>
    <row r="10" spans="2:7" x14ac:dyDescent="0.25">
      <c r="B10" s="27" t="s">
        <v>33</v>
      </c>
      <c r="C10" s="65">
        <f>COUNTIF('Game Info'!Q$7:Q$170,$B10)</f>
        <v>8</v>
      </c>
      <c r="D10" s="66">
        <f>COUNTIF('Game Info'!R$7:R$170,$B10)</f>
        <v>4</v>
      </c>
      <c r="E10" s="66">
        <f>COUNTIF('Game Info'!S$7:S$170,$B10)</f>
        <v>4</v>
      </c>
      <c r="F10" s="66">
        <f>COUNTIF('Game Info'!T$7:T$170,$B10)</f>
        <v>4</v>
      </c>
      <c r="G10" s="67">
        <f>COUNTIF('Game Info'!U$7:U$170,$B10)</f>
        <v>4</v>
      </c>
    </row>
    <row r="11" spans="2:7" x14ac:dyDescent="0.25">
      <c r="B11" s="27" t="s">
        <v>34</v>
      </c>
      <c r="C11" s="65">
        <f>COUNTIF('Game Info'!Q$7:Q$170,$B11)</f>
        <v>4</v>
      </c>
      <c r="D11" s="66">
        <f>COUNTIF('Game Info'!R$7:R$170,$B11)</f>
        <v>5</v>
      </c>
      <c r="E11" s="66">
        <f>COUNTIF('Game Info'!S$7:S$170,$B11)</f>
        <v>4</v>
      </c>
      <c r="F11" s="66">
        <f>COUNTIF('Game Info'!T$7:T$170,$B11)</f>
        <v>3</v>
      </c>
      <c r="G11" s="67">
        <f>COUNTIF('Game Info'!U$7:U$170,$B11)</f>
        <v>3</v>
      </c>
    </row>
    <row r="12" spans="2:7" x14ac:dyDescent="0.25">
      <c r="B12" s="27" t="s">
        <v>35</v>
      </c>
      <c r="C12" s="65">
        <f>COUNTIF('Game Info'!Q$7:Q$170,$B12)</f>
        <v>2</v>
      </c>
      <c r="D12" s="66">
        <f>COUNTIF('Game Info'!R$7:R$170,$B12)</f>
        <v>2</v>
      </c>
      <c r="E12" s="66">
        <f>COUNTIF('Game Info'!S$7:S$170,$B12)</f>
        <v>6</v>
      </c>
      <c r="F12" s="66">
        <f>COUNTIF('Game Info'!T$7:T$170,$B12)</f>
        <v>3</v>
      </c>
      <c r="G12" s="67">
        <f>COUNTIF('Game Info'!U$7:U$170,$B12)</f>
        <v>5</v>
      </c>
    </row>
    <row r="13" spans="2:7" x14ac:dyDescent="0.25">
      <c r="B13" s="27" t="s">
        <v>36</v>
      </c>
      <c r="C13" s="65">
        <f>COUNTIF('Game Info'!Q$7:Q$170,$B13)</f>
        <v>6</v>
      </c>
      <c r="D13" s="66">
        <f>COUNTIF('Game Info'!R$7:R$170,$B13)</f>
        <v>2</v>
      </c>
      <c r="E13" s="66">
        <f>COUNTIF('Game Info'!S$7:S$170,$B13)</f>
        <v>2</v>
      </c>
      <c r="F13" s="66">
        <f>COUNTIF('Game Info'!T$7:T$170,$B13)</f>
        <v>5</v>
      </c>
      <c r="G13" s="67">
        <f>COUNTIF('Game Info'!U$7:U$170,$B13)</f>
        <v>4</v>
      </c>
    </row>
    <row r="14" spans="2:7" x14ac:dyDescent="0.25">
      <c r="B14" s="27" t="s">
        <v>37</v>
      </c>
      <c r="C14" s="65">
        <f>COUNTIF('Game Info'!Q$7:Q$170,$B14)</f>
        <v>2</v>
      </c>
      <c r="D14" s="66">
        <f>COUNTIF('Game Info'!R$7:R$170,$B14)</f>
        <v>2</v>
      </c>
      <c r="E14" s="66">
        <f>COUNTIF('Game Info'!S$7:S$170,$B14)</f>
        <v>3</v>
      </c>
      <c r="F14" s="66">
        <f>COUNTIF('Game Info'!T$7:T$170,$B14)</f>
        <v>2</v>
      </c>
      <c r="G14" s="67">
        <f>COUNTIF('Game Info'!U$7:U$170,$B14)</f>
        <v>2</v>
      </c>
    </row>
    <row r="15" spans="2:7" x14ac:dyDescent="0.25">
      <c r="B15" s="27" t="s">
        <v>32</v>
      </c>
      <c r="C15" s="65">
        <f>COUNTIF('Game Info'!Q$7:Q$170,$B15)</f>
        <v>4</v>
      </c>
      <c r="D15" s="66">
        <f>COUNTIF('Game Info'!R$7:R$170,$B15)</f>
        <v>3</v>
      </c>
      <c r="E15" s="66">
        <f>COUNTIF('Game Info'!S$7:S$170,$B15)</f>
        <v>2</v>
      </c>
      <c r="F15" s="66">
        <f>COUNTIF('Game Info'!T$7:T$170,$B15)</f>
        <v>3</v>
      </c>
      <c r="G15" s="67">
        <f>COUNTIF('Game Info'!U$7:U$170,$B15)</f>
        <v>2</v>
      </c>
    </row>
    <row r="16" spans="2:7" x14ac:dyDescent="0.25">
      <c r="B16" s="27" t="s">
        <v>6</v>
      </c>
      <c r="C16" s="65">
        <f>COUNTIF('Game Info'!Q$7:Q$170,$B16)</f>
        <v>4</v>
      </c>
      <c r="D16" s="66">
        <f>COUNTIF('Game Info'!R$7:R$170,$B16)</f>
        <v>4</v>
      </c>
      <c r="E16" s="66">
        <f>COUNTIF('Game Info'!S$7:S$170,$B16)</f>
        <v>7</v>
      </c>
      <c r="F16" s="66">
        <f>COUNTIF('Game Info'!T$7:T$170,$B16)</f>
        <v>4</v>
      </c>
      <c r="G16" s="67">
        <f>COUNTIF('Game Info'!U$7:U$170,$B16)</f>
        <v>2</v>
      </c>
    </row>
    <row r="17" spans="2:7" x14ac:dyDescent="0.25">
      <c r="B17" s="27" t="s">
        <v>10</v>
      </c>
      <c r="C17" s="65">
        <f>COUNTIF('Game Info'!Q$7:Q$170,$B17)</f>
        <v>3</v>
      </c>
      <c r="D17" s="66">
        <f>COUNTIF('Game Info'!R$7:R$170,$B17)</f>
        <v>1</v>
      </c>
      <c r="E17" s="66">
        <f>COUNTIF('Game Info'!S$7:S$170,$B17)</f>
        <v>5</v>
      </c>
      <c r="F17" s="66">
        <f>COUNTIF('Game Info'!T$7:T$170,$B17)</f>
        <v>2</v>
      </c>
      <c r="G17" s="67">
        <f>COUNTIF('Game Info'!U$7:U$170,$B17)</f>
        <v>5</v>
      </c>
    </row>
    <row r="18" spans="2:7" x14ac:dyDescent="0.25">
      <c r="B18" s="27" t="s">
        <v>7</v>
      </c>
      <c r="C18" s="65">
        <f>COUNTIF('Game Info'!Q$7:Q$170,$B18)</f>
        <v>3</v>
      </c>
      <c r="D18" s="66">
        <f>COUNTIF('Game Info'!R$7:R$170,$B18)</f>
        <v>6</v>
      </c>
      <c r="E18" s="66">
        <f>COUNTIF('Game Info'!S$7:S$170,$B18)</f>
        <v>4</v>
      </c>
      <c r="F18" s="66">
        <f>COUNTIF('Game Info'!T$7:T$170,$B18)</f>
        <v>4</v>
      </c>
      <c r="G18" s="67">
        <f>COUNTIF('Game Info'!U$7:U$170,$B18)</f>
        <v>4</v>
      </c>
    </row>
    <row r="19" spans="2:7" x14ac:dyDescent="0.25">
      <c r="B19" s="27">
        <v>10</v>
      </c>
      <c r="C19" s="65">
        <f>COUNTIF('Game Info'!Q$7:Q$170,$B19)</f>
        <v>5</v>
      </c>
      <c r="D19" s="66">
        <f>COUNTIF('Game Info'!R$7:R$170,$B19)</f>
        <v>3</v>
      </c>
      <c r="E19" s="66">
        <f>COUNTIF('Game Info'!S$7:S$170,$B19)</f>
        <v>3</v>
      </c>
      <c r="F19" s="66">
        <f>COUNTIF('Game Info'!T$7:T$170,$B19)</f>
        <v>5</v>
      </c>
      <c r="G19" s="67">
        <f>COUNTIF('Game Info'!U$7:U$170,$B19)</f>
        <v>6</v>
      </c>
    </row>
    <row r="20" spans="2:7" x14ac:dyDescent="0.25">
      <c r="B20" s="27">
        <v>9</v>
      </c>
      <c r="C20" s="65">
        <f>COUNTIF('Game Info'!Q$7:Q$170,$B20)</f>
        <v>4</v>
      </c>
      <c r="D20" s="66">
        <f>COUNTIF('Game Info'!R$7:R$170,$B20)</f>
        <v>6</v>
      </c>
      <c r="E20" s="66">
        <f>COUNTIF('Game Info'!S$7:S$170,$B20)</f>
        <v>4</v>
      </c>
      <c r="F20" s="66">
        <f>COUNTIF('Game Info'!T$7:T$170,$B20)</f>
        <v>4</v>
      </c>
      <c r="G20" s="67">
        <f>COUNTIF('Game Info'!U$7:U$170,$B20)</f>
        <v>2</v>
      </c>
    </row>
    <row r="21" spans="2:7" x14ac:dyDescent="0.25">
      <c r="B21" s="27" t="s">
        <v>15</v>
      </c>
      <c r="C21" s="65">
        <f>COUNTIF('Game Info'!Q$7:Q$170,$B21)</f>
        <v>3</v>
      </c>
      <c r="D21" s="66">
        <f>COUNTIF('Game Info'!R$7:R$170,$B21)</f>
        <v>2</v>
      </c>
      <c r="E21" s="66">
        <f>COUNTIF('Game Info'!S$7:S$170,$B21)</f>
        <v>2</v>
      </c>
      <c r="F21" s="66">
        <f>COUNTIF('Game Info'!T$7:T$170,$B21)</f>
        <v>0</v>
      </c>
      <c r="G21" s="67">
        <f>COUNTIF('Game Info'!U$7:U$170,$B21)</f>
        <v>0</v>
      </c>
    </row>
    <row r="22" spans="2:7" x14ac:dyDescent="0.25">
      <c r="B22" s="28" t="s">
        <v>16</v>
      </c>
      <c r="C22" s="71">
        <f>SUM(C9:C21)</f>
        <v>48</v>
      </c>
      <c r="D22" s="71">
        <f t="shared" ref="D22:G22" si="0">SUM(D9:D21)</f>
        <v>43</v>
      </c>
      <c r="E22" s="71">
        <f t="shared" si="0"/>
        <v>48</v>
      </c>
      <c r="F22" s="71">
        <f t="shared" si="0"/>
        <v>41</v>
      </c>
      <c r="G22" s="72">
        <f t="shared" si="0"/>
        <v>43</v>
      </c>
    </row>
    <row r="23" spans="2:7" x14ac:dyDescent="0.25">
      <c r="F23" s="21" t="s">
        <v>18</v>
      </c>
      <c r="G23" s="22">
        <f>PRODUCT(C22:G22)</f>
        <v>174663936</v>
      </c>
    </row>
    <row r="25" spans="2:7" x14ac:dyDescent="0.25">
      <c r="B25" s="37" t="s">
        <v>48</v>
      </c>
    </row>
    <row r="26" spans="2:7" x14ac:dyDescent="0.25">
      <c r="B26" s="29" t="str">
        <f>B10 &amp; " + WILD"</f>
        <v>SYM1 + WILD</v>
      </c>
      <c r="C26" s="68">
        <f>C10+C$9</f>
        <v>8</v>
      </c>
      <c r="D26" s="68">
        <f t="shared" ref="D26:G26" si="1">D10+D$9</f>
        <v>7</v>
      </c>
      <c r="E26" s="68">
        <f t="shared" si="1"/>
        <v>6</v>
      </c>
      <c r="F26" s="68">
        <f t="shared" si="1"/>
        <v>6</v>
      </c>
      <c r="G26" s="69">
        <f t="shared" si="1"/>
        <v>8</v>
      </c>
    </row>
    <row r="27" spans="2:7" x14ac:dyDescent="0.25">
      <c r="B27" s="27" t="str">
        <f t="shared" ref="B27:B36" si="2">B11 &amp; " + WILD"</f>
        <v>SYM2 + WILD</v>
      </c>
      <c r="C27" s="66">
        <f t="shared" ref="C27:G27" si="3">C11+C$9</f>
        <v>4</v>
      </c>
      <c r="D27" s="66">
        <f t="shared" si="3"/>
        <v>8</v>
      </c>
      <c r="E27" s="66">
        <f t="shared" si="3"/>
        <v>6</v>
      </c>
      <c r="F27" s="66">
        <f t="shared" si="3"/>
        <v>5</v>
      </c>
      <c r="G27" s="67">
        <f t="shared" si="3"/>
        <v>7</v>
      </c>
    </row>
    <row r="28" spans="2:7" x14ac:dyDescent="0.25">
      <c r="B28" s="27" t="str">
        <f t="shared" si="2"/>
        <v>SYM3 + WILD</v>
      </c>
      <c r="C28" s="66">
        <f t="shared" ref="C28:G28" si="4">C12+C$9</f>
        <v>2</v>
      </c>
      <c r="D28" s="66">
        <f t="shared" si="4"/>
        <v>5</v>
      </c>
      <c r="E28" s="66">
        <f t="shared" si="4"/>
        <v>8</v>
      </c>
      <c r="F28" s="66">
        <f t="shared" si="4"/>
        <v>5</v>
      </c>
      <c r="G28" s="67">
        <f t="shared" si="4"/>
        <v>9</v>
      </c>
    </row>
    <row r="29" spans="2:7" x14ac:dyDescent="0.25">
      <c r="B29" s="27" t="str">
        <f t="shared" si="2"/>
        <v>SYM4 + WILD</v>
      </c>
      <c r="C29" s="66">
        <f t="shared" ref="C29:G29" si="5">C13+C$9</f>
        <v>6</v>
      </c>
      <c r="D29" s="66">
        <f t="shared" si="5"/>
        <v>5</v>
      </c>
      <c r="E29" s="66">
        <f t="shared" si="5"/>
        <v>4</v>
      </c>
      <c r="F29" s="66">
        <f t="shared" si="5"/>
        <v>7</v>
      </c>
      <c r="G29" s="67">
        <f t="shared" si="5"/>
        <v>8</v>
      </c>
    </row>
    <row r="30" spans="2:7" x14ac:dyDescent="0.25">
      <c r="B30" s="27" t="str">
        <f t="shared" si="2"/>
        <v>SYM5 + WILD</v>
      </c>
      <c r="C30" s="66">
        <f t="shared" ref="C30:G30" si="6">C14+C$9</f>
        <v>2</v>
      </c>
      <c r="D30" s="66">
        <f t="shared" si="6"/>
        <v>5</v>
      </c>
      <c r="E30" s="66">
        <f t="shared" si="6"/>
        <v>5</v>
      </c>
      <c r="F30" s="66">
        <f t="shared" si="6"/>
        <v>4</v>
      </c>
      <c r="G30" s="67">
        <f t="shared" si="6"/>
        <v>6</v>
      </c>
    </row>
    <row r="31" spans="2:7" x14ac:dyDescent="0.25">
      <c r="B31" s="27" t="str">
        <f t="shared" si="2"/>
        <v>A + WILD</v>
      </c>
      <c r="C31" s="66">
        <f t="shared" ref="C31:G31" si="7">C15+C$9</f>
        <v>4</v>
      </c>
      <c r="D31" s="66">
        <f t="shared" si="7"/>
        <v>6</v>
      </c>
      <c r="E31" s="66">
        <f t="shared" si="7"/>
        <v>4</v>
      </c>
      <c r="F31" s="66">
        <f t="shared" si="7"/>
        <v>5</v>
      </c>
      <c r="G31" s="67">
        <f t="shared" si="7"/>
        <v>6</v>
      </c>
    </row>
    <row r="32" spans="2:7" x14ac:dyDescent="0.25">
      <c r="B32" s="27" t="str">
        <f t="shared" si="2"/>
        <v>K + WILD</v>
      </c>
      <c r="C32" s="66">
        <f t="shared" ref="C32:G32" si="8">C16+C$9</f>
        <v>4</v>
      </c>
      <c r="D32" s="66">
        <f t="shared" si="8"/>
        <v>7</v>
      </c>
      <c r="E32" s="66">
        <f t="shared" si="8"/>
        <v>9</v>
      </c>
      <c r="F32" s="66">
        <f t="shared" si="8"/>
        <v>6</v>
      </c>
      <c r="G32" s="67">
        <f t="shared" si="8"/>
        <v>6</v>
      </c>
    </row>
    <row r="33" spans="2:7" x14ac:dyDescent="0.25">
      <c r="B33" s="27" t="str">
        <f t="shared" si="2"/>
        <v>Q + WILD</v>
      </c>
      <c r="C33" s="66">
        <f t="shared" ref="C33:G33" si="9">C17+C$9</f>
        <v>3</v>
      </c>
      <c r="D33" s="66">
        <f t="shared" si="9"/>
        <v>4</v>
      </c>
      <c r="E33" s="66">
        <f t="shared" si="9"/>
        <v>7</v>
      </c>
      <c r="F33" s="66">
        <f t="shared" si="9"/>
        <v>4</v>
      </c>
      <c r="G33" s="67">
        <f t="shared" si="9"/>
        <v>9</v>
      </c>
    </row>
    <row r="34" spans="2:7" x14ac:dyDescent="0.25">
      <c r="B34" s="27" t="str">
        <f t="shared" si="2"/>
        <v>J + WILD</v>
      </c>
      <c r="C34" s="66">
        <f t="shared" ref="C34:G34" si="10">C18+C$9</f>
        <v>3</v>
      </c>
      <c r="D34" s="66">
        <f t="shared" si="10"/>
        <v>9</v>
      </c>
      <c r="E34" s="66">
        <f t="shared" si="10"/>
        <v>6</v>
      </c>
      <c r="F34" s="66">
        <f t="shared" si="10"/>
        <v>6</v>
      </c>
      <c r="G34" s="67">
        <f t="shared" si="10"/>
        <v>8</v>
      </c>
    </row>
    <row r="35" spans="2:7" x14ac:dyDescent="0.25">
      <c r="B35" s="27" t="str">
        <f t="shared" si="2"/>
        <v>10 + WILD</v>
      </c>
      <c r="C35" s="66">
        <f t="shared" ref="C35:G35" si="11">C19+C$9</f>
        <v>5</v>
      </c>
      <c r="D35" s="66">
        <f t="shared" si="11"/>
        <v>6</v>
      </c>
      <c r="E35" s="66">
        <f t="shared" si="11"/>
        <v>5</v>
      </c>
      <c r="F35" s="66">
        <f t="shared" si="11"/>
        <v>7</v>
      </c>
      <c r="G35" s="67">
        <f t="shared" si="11"/>
        <v>10</v>
      </c>
    </row>
    <row r="36" spans="2:7" x14ac:dyDescent="0.25">
      <c r="B36" s="27" t="str">
        <f t="shared" si="2"/>
        <v>9 + WILD</v>
      </c>
      <c r="C36" s="66">
        <f t="shared" ref="C36:G36" si="12">C20+C$9</f>
        <v>4</v>
      </c>
      <c r="D36" s="66">
        <f t="shared" si="12"/>
        <v>9</v>
      </c>
      <c r="E36" s="66">
        <f t="shared" si="12"/>
        <v>6</v>
      </c>
      <c r="F36" s="66">
        <f t="shared" si="12"/>
        <v>6</v>
      </c>
      <c r="G36" s="67">
        <f t="shared" si="12"/>
        <v>6</v>
      </c>
    </row>
    <row r="37" spans="2:7" x14ac:dyDescent="0.25">
      <c r="B37" s="28" t="s">
        <v>47</v>
      </c>
      <c r="C37" s="71">
        <f>4*C21</f>
        <v>12</v>
      </c>
      <c r="D37" s="71">
        <f t="shared" ref="D37:G37" si="13">4*D21</f>
        <v>8</v>
      </c>
      <c r="E37" s="71">
        <f t="shared" si="13"/>
        <v>8</v>
      </c>
      <c r="F37" s="71">
        <f t="shared" si="13"/>
        <v>0</v>
      </c>
      <c r="G37" s="72">
        <f t="shared" si="13"/>
        <v>0</v>
      </c>
    </row>
    <row r="39" spans="2:7" x14ac:dyDescent="0.25">
      <c r="B39" s="23" t="s">
        <v>23</v>
      </c>
      <c r="C39" s="24" t="s">
        <v>24</v>
      </c>
      <c r="D39" s="24" t="s">
        <v>25</v>
      </c>
      <c r="E39" s="24" t="s">
        <v>26</v>
      </c>
      <c r="F39" s="26" t="s">
        <v>27</v>
      </c>
    </row>
    <row r="40" spans="2:7" x14ac:dyDescent="0.25">
      <c r="B40" s="18" t="str">
        <f t="shared" ref="B40:B50" si="14">B10 &amp; " x5"</f>
        <v>SYM1 x5</v>
      </c>
      <c r="C40" s="66">
        <f>C26*D26*E26*F26*G26</f>
        <v>16128</v>
      </c>
      <c r="D40" s="75">
        <f>C40*'Game Info'!$C$3/$G$23</f>
        <v>4.6168660713107939E-3</v>
      </c>
      <c r="E40" s="30">
        <f>'Game Info'!AA13</f>
        <v>1000</v>
      </c>
      <c r="F40" s="73">
        <f>D40*E40/'Game Info'!$C$2</f>
        <v>9.2337321426215868E-2</v>
      </c>
    </row>
    <row r="41" spans="2:7" x14ac:dyDescent="0.25">
      <c r="B41" s="18" t="str">
        <f t="shared" si="14"/>
        <v>SYM2 x5</v>
      </c>
      <c r="C41" s="66">
        <f t="shared" ref="C41:C50" si="15">C27*D27*E27*F27*G27</f>
        <v>6720</v>
      </c>
      <c r="D41" s="75">
        <f>C41*'Game Info'!$C$3/$G$23</f>
        <v>1.9236941963794976E-3</v>
      </c>
      <c r="E41" s="30">
        <f>'Game Info'!AA14</f>
        <v>500</v>
      </c>
      <c r="F41" s="73">
        <f>D41*E41/'Game Info'!$C$2</f>
        <v>1.9236941963794975E-2</v>
      </c>
    </row>
    <row r="42" spans="2:7" x14ac:dyDescent="0.25">
      <c r="B42" s="18" t="str">
        <f t="shared" si="14"/>
        <v>SYM3 x5</v>
      </c>
      <c r="C42" s="66">
        <f t="shared" si="15"/>
        <v>3600</v>
      </c>
      <c r="D42" s="75">
        <f>C42*'Game Info'!$C$3/$G$23</f>
        <v>1.0305504623461595E-3</v>
      </c>
      <c r="E42" s="30">
        <f>'Game Info'!AA15</f>
        <v>500</v>
      </c>
      <c r="F42" s="73">
        <f>D42*E42/'Game Info'!$C$2</f>
        <v>1.0305504623461595E-2</v>
      </c>
    </row>
    <row r="43" spans="2:7" x14ac:dyDescent="0.25">
      <c r="B43" s="18" t="str">
        <f t="shared" si="14"/>
        <v>SYM4 x5</v>
      </c>
      <c r="C43" s="66">
        <f t="shared" si="15"/>
        <v>6720</v>
      </c>
      <c r="D43" s="75">
        <f>C43*'Game Info'!$C$3/$G$23</f>
        <v>1.9236941963794976E-3</v>
      </c>
      <c r="E43" s="30">
        <f>'Game Info'!AA16</f>
        <v>400</v>
      </c>
      <c r="F43" s="73">
        <f>D43*E43/'Game Info'!$C$2</f>
        <v>1.5389553571035981E-2</v>
      </c>
    </row>
    <row r="44" spans="2:7" x14ac:dyDescent="0.25">
      <c r="B44" s="18" t="str">
        <f t="shared" si="14"/>
        <v>SYM5 x5</v>
      </c>
      <c r="C44" s="66">
        <f t="shared" si="15"/>
        <v>1200</v>
      </c>
      <c r="D44" s="75">
        <f>C44*'Game Info'!$C$3/$G$23</f>
        <v>3.4351682078205315E-4</v>
      </c>
      <c r="E44" s="30">
        <f>'Game Info'!AA17</f>
        <v>400</v>
      </c>
      <c r="F44" s="73">
        <f>D44*E44/'Game Info'!$C$2</f>
        <v>2.7481345662564247E-3</v>
      </c>
    </row>
    <row r="45" spans="2:7" x14ac:dyDescent="0.25">
      <c r="B45" s="18" t="str">
        <f t="shared" si="14"/>
        <v>A x5</v>
      </c>
      <c r="C45" s="66">
        <f t="shared" si="15"/>
        <v>2880</v>
      </c>
      <c r="D45" s="75">
        <f>C45*'Game Info'!$C$3/$G$23</f>
        <v>8.2444036987692755E-4</v>
      </c>
      <c r="E45" s="30">
        <f>'Game Info'!AA18</f>
        <v>400</v>
      </c>
      <c r="F45" s="73">
        <f>D45*E45/'Game Info'!$C$2</f>
        <v>6.5955229590154204E-3</v>
      </c>
    </row>
    <row r="46" spans="2:7" x14ac:dyDescent="0.25">
      <c r="B46" s="18" t="str">
        <f t="shared" si="14"/>
        <v>K x5</v>
      </c>
      <c r="C46" s="66">
        <f t="shared" si="15"/>
        <v>9072</v>
      </c>
      <c r="D46" s="75">
        <f>C46*'Game Info'!$C$3/$G$23</f>
        <v>2.5969871651123216E-3</v>
      </c>
      <c r="E46" s="30">
        <f>'Game Info'!AA19</f>
        <v>400</v>
      </c>
      <c r="F46" s="73">
        <f>D46*E46/'Game Info'!$C$2</f>
        <v>2.0775897320898573E-2</v>
      </c>
    </row>
    <row r="47" spans="2:7" x14ac:dyDescent="0.25">
      <c r="B47" s="18" t="str">
        <f t="shared" si="14"/>
        <v>Q x5</v>
      </c>
      <c r="C47" s="66">
        <f t="shared" si="15"/>
        <v>3024</v>
      </c>
      <c r="D47" s="75">
        <f>C47*'Game Info'!$C$3/$G$23</f>
        <v>8.6566238837077392E-4</v>
      </c>
      <c r="E47" s="30">
        <f>'Game Info'!AA20</f>
        <v>200</v>
      </c>
      <c r="F47" s="73">
        <f>D47*E47/'Game Info'!$C$2</f>
        <v>3.4626495534830961E-3</v>
      </c>
    </row>
    <row r="48" spans="2:7" x14ac:dyDescent="0.25">
      <c r="B48" s="18" t="str">
        <f t="shared" si="14"/>
        <v>J x5</v>
      </c>
      <c r="C48" s="66">
        <f t="shared" si="15"/>
        <v>7776</v>
      </c>
      <c r="D48" s="75">
        <f>C48*'Game Info'!$C$3/$G$23</f>
        <v>2.2259889986677044E-3</v>
      </c>
      <c r="E48" s="30">
        <f>'Game Info'!AA21</f>
        <v>200</v>
      </c>
      <c r="F48" s="73">
        <f>D48*E48/'Game Info'!$C$2</f>
        <v>8.9039559946708178E-3</v>
      </c>
    </row>
    <row r="49" spans="2:6" x14ac:dyDescent="0.25">
      <c r="B49" s="18" t="str">
        <f t="shared" si="14"/>
        <v>10 x5</v>
      </c>
      <c r="C49" s="66">
        <f t="shared" si="15"/>
        <v>10500</v>
      </c>
      <c r="D49" s="75">
        <f>C49*'Game Info'!$C$3/$G$23</f>
        <v>3.005772181842965E-3</v>
      </c>
      <c r="E49" s="30">
        <f>'Game Info'!AA22</f>
        <v>200</v>
      </c>
      <c r="F49" s="73">
        <f>D49*E49/'Game Info'!$C$2</f>
        <v>1.202308872737186E-2</v>
      </c>
    </row>
    <row r="50" spans="2:6" x14ac:dyDescent="0.25">
      <c r="B50" s="20" t="str">
        <f t="shared" si="14"/>
        <v>9 x5</v>
      </c>
      <c r="C50" s="70">
        <f t="shared" si="15"/>
        <v>7776</v>
      </c>
      <c r="D50" s="76">
        <f>C50*'Game Info'!$C$3/$G$23</f>
        <v>2.2259889986677044E-3</v>
      </c>
      <c r="E50" s="31">
        <f>'Game Info'!AA23</f>
        <v>200</v>
      </c>
      <c r="F50" s="74">
        <f>D50*E50/'Game Info'!$C$2</f>
        <v>8.9039559946708178E-3</v>
      </c>
    </row>
    <row r="51" spans="2:6" x14ac:dyDescent="0.25">
      <c r="B51" s="18" t="str">
        <f t="shared" ref="B51:B61" si="16">B10 &amp; " x4"</f>
        <v>SYM1 x4</v>
      </c>
      <c r="C51" s="66">
        <f>C26*D26*E26*F26*($G$22-G26)</f>
        <v>70560</v>
      </c>
      <c r="D51" s="75">
        <f>C51*'Game Info'!$C$3/$G$23</f>
        <v>2.0198789061984725E-2</v>
      </c>
      <c r="E51" s="30">
        <f>'Game Info'!Z13</f>
        <v>200</v>
      </c>
      <c r="F51" s="73">
        <f>D51*E51/'Game Info'!$C$2</f>
        <v>8.0795156247938898E-2</v>
      </c>
    </row>
    <row r="52" spans="2:6" x14ac:dyDescent="0.25">
      <c r="B52" s="18" t="str">
        <f t="shared" si="16"/>
        <v>SYM2 x4</v>
      </c>
      <c r="C52" s="66">
        <f t="shared" ref="C52:C61" si="17">C27*D27*E27*F27*($G$22-G27)</f>
        <v>34560</v>
      </c>
      <c r="D52" s="75">
        <f>C52*'Game Info'!$C$3/$G$23</f>
        <v>9.8932844385231297E-3</v>
      </c>
      <c r="E52" s="30">
        <f>'Game Info'!Z14</f>
        <v>150</v>
      </c>
      <c r="F52" s="73">
        <f>D52*E52/'Game Info'!$C$2</f>
        <v>2.9679853315569389E-2</v>
      </c>
    </row>
    <row r="53" spans="2:6" x14ac:dyDescent="0.25">
      <c r="B53" s="18" t="str">
        <f t="shared" si="16"/>
        <v>SYM3 x4</v>
      </c>
      <c r="C53" s="66">
        <f t="shared" si="17"/>
        <v>13600</v>
      </c>
      <c r="D53" s="75">
        <f>C53*'Game Info'!$C$3/$G$23</f>
        <v>3.8931906355299355E-3</v>
      </c>
      <c r="E53" s="30">
        <f>'Game Info'!Z15</f>
        <v>150</v>
      </c>
      <c r="F53" s="73">
        <f>D53*E53/'Game Info'!$C$2</f>
        <v>1.1679571906589808E-2</v>
      </c>
    </row>
    <row r="54" spans="2:6" x14ac:dyDescent="0.25">
      <c r="B54" s="18" t="str">
        <f t="shared" si="16"/>
        <v>SYM4 x4</v>
      </c>
      <c r="C54" s="66">
        <f t="shared" si="17"/>
        <v>29400</v>
      </c>
      <c r="D54" s="75">
        <f>C54*'Game Info'!$C$3/$G$23</f>
        <v>8.4161621091603019E-3</v>
      </c>
      <c r="E54" s="30">
        <f>'Game Info'!Z16</f>
        <v>100</v>
      </c>
      <c r="F54" s="73">
        <f>D54*E54/'Game Info'!$C$2</f>
        <v>1.6832324218320604E-2</v>
      </c>
    </row>
    <row r="55" spans="2:6" x14ac:dyDescent="0.25">
      <c r="B55" s="18" t="str">
        <f t="shared" si="16"/>
        <v>SYM5 x4</v>
      </c>
      <c r="C55" s="66">
        <f t="shared" si="17"/>
        <v>7400</v>
      </c>
      <c r="D55" s="75">
        <f>C55*'Game Info'!$C$3/$G$23</f>
        <v>2.1183537281559942E-3</v>
      </c>
      <c r="E55" s="30">
        <f>'Game Info'!Z17</f>
        <v>100</v>
      </c>
      <c r="F55" s="73">
        <f>D55*E55/'Game Info'!$C$2</f>
        <v>4.2367074563119883E-3</v>
      </c>
    </row>
    <row r="56" spans="2:6" x14ac:dyDescent="0.25">
      <c r="B56" s="18" t="str">
        <f t="shared" si="16"/>
        <v>A x4</v>
      </c>
      <c r="C56" s="66">
        <f t="shared" si="17"/>
        <v>17760</v>
      </c>
      <c r="D56" s="75">
        <f>C56*'Game Info'!$C$3/$G$23</f>
        <v>5.0840489475743869E-3</v>
      </c>
      <c r="E56" s="30">
        <f>'Game Info'!Z18</f>
        <v>50</v>
      </c>
      <c r="F56" s="73">
        <f>D56*E56/'Game Info'!$C$2</f>
        <v>5.0840489475743869E-3</v>
      </c>
    </row>
    <row r="57" spans="2:6" x14ac:dyDescent="0.25">
      <c r="B57" s="18" t="str">
        <f t="shared" si="16"/>
        <v>K x4</v>
      </c>
      <c r="C57" s="66">
        <f t="shared" si="17"/>
        <v>55944</v>
      </c>
      <c r="D57" s="75">
        <f>C57*'Game Info'!$C$3/$G$23</f>
        <v>1.6014754184859318E-2</v>
      </c>
      <c r="E57" s="30">
        <f>'Game Info'!Z19</f>
        <v>50</v>
      </c>
      <c r="F57" s="73">
        <f>D57*E57/'Game Info'!$C$2</f>
        <v>1.6014754184859318E-2</v>
      </c>
    </row>
    <row r="58" spans="2:6" x14ac:dyDescent="0.25">
      <c r="B58" s="18" t="str">
        <f t="shared" si="16"/>
        <v>Q x4</v>
      </c>
      <c r="C58" s="66">
        <f t="shared" si="17"/>
        <v>11424</v>
      </c>
      <c r="D58" s="75">
        <f>C58*'Game Info'!$C$3/$G$23</f>
        <v>3.2702801338451459E-3</v>
      </c>
      <c r="E58" s="30">
        <f>'Game Info'!Z20</f>
        <v>30</v>
      </c>
      <c r="F58" s="73">
        <f>D58*E58/'Game Info'!$C$2</f>
        <v>1.9621680803070876E-3</v>
      </c>
    </row>
    <row r="59" spans="2:6" x14ac:dyDescent="0.25">
      <c r="B59" s="18" t="str">
        <f t="shared" si="16"/>
        <v>J x4</v>
      </c>
      <c r="C59" s="66">
        <f t="shared" si="17"/>
        <v>34020</v>
      </c>
      <c r="D59" s="75">
        <f>C59*'Game Info'!$C$3/$G$23</f>
        <v>9.7387018691712061E-3</v>
      </c>
      <c r="E59" s="30">
        <f>'Game Info'!Z21</f>
        <v>30</v>
      </c>
      <c r="F59" s="73">
        <f>D59*E59/'Game Info'!$C$2</f>
        <v>5.8432211215027237E-3</v>
      </c>
    </row>
    <row r="60" spans="2:6" x14ac:dyDescent="0.25">
      <c r="B60" s="18" t="str">
        <f t="shared" si="16"/>
        <v>10 x4</v>
      </c>
      <c r="C60" s="66">
        <f t="shared" si="17"/>
        <v>34650</v>
      </c>
      <c r="D60" s="75">
        <f>C60*'Game Info'!$C$3/$G$23</f>
        <v>9.9190482000817842E-3</v>
      </c>
      <c r="E60" s="30">
        <f>'Game Info'!Z22</f>
        <v>20</v>
      </c>
      <c r="F60" s="73">
        <f>D60*E60/'Game Info'!$C$2</f>
        <v>3.9676192800327135E-3</v>
      </c>
    </row>
    <row r="61" spans="2:6" x14ac:dyDescent="0.25">
      <c r="B61" s="20" t="str">
        <f t="shared" si="16"/>
        <v>9 x4</v>
      </c>
      <c r="C61" s="70">
        <f t="shared" si="17"/>
        <v>47952</v>
      </c>
      <c r="D61" s="76">
        <f>C61*'Game Info'!$C$3/$G$23</f>
        <v>1.3726932158450843E-2</v>
      </c>
      <c r="E61" s="31">
        <f>'Game Info'!Z23</f>
        <v>20</v>
      </c>
      <c r="F61" s="74">
        <f>D61*E61/'Game Info'!$C$2</f>
        <v>5.4907728633803374E-3</v>
      </c>
    </row>
    <row r="62" spans="2:6" x14ac:dyDescent="0.25">
      <c r="B62" s="18" t="str">
        <f t="shared" ref="B62:B72" si="18">B10 &amp; " x3"</f>
        <v>SYM1 x3</v>
      </c>
      <c r="C62" s="66">
        <f>C26*D26*E26*($F$22-F26)*$G$22</f>
        <v>505680</v>
      </c>
      <c r="D62" s="75">
        <f>C62*'Game Info'!$C$3/$G$23</f>
        <v>0.1447579882775572</v>
      </c>
      <c r="E62" s="30">
        <f>'Game Info'!Y13</f>
        <v>40</v>
      </c>
      <c r="F62" s="73">
        <f>D62*E62/'Game Info'!$C$2</f>
        <v>0.11580639062204576</v>
      </c>
    </row>
    <row r="63" spans="2:6" x14ac:dyDescent="0.25">
      <c r="B63" s="18" t="str">
        <f t="shared" si="18"/>
        <v>SYM2 x3</v>
      </c>
      <c r="C63" s="66">
        <f t="shared" ref="C63:C72" si="19">C27*D27*E27*($F$22-F27)*$G$22</f>
        <v>297216</v>
      </c>
      <c r="D63" s="75">
        <f>C63*'Game Info'!$C$3/$G$23</f>
        <v>8.508224617129892E-2</v>
      </c>
      <c r="E63" s="30">
        <f>'Game Info'!Y14</f>
        <v>40</v>
      </c>
      <c r="F63" s="73">
        <f>D63*E63/'Game Info'!$C$2</f>
        <v>6.8065796937039125E-2</v>
      </c>
    </row>
    <row r="64" spans="2:6" x14ac:dyDescent="0.25">
      <c r="B64" s="18" t="str">
        <f t="shared" si="18"/>
        <v>SYM3 x3</v>
      </c>
      <c r="C64" s="66">
        <f t="shared" si="19"/>
        <v>123840</v>
      </c>
      <c r="D64" s="75">
        <f>C64*'Game Info'!$C$3/$G$23</f>
        <v>3.5450935904707881E-2</v>
      </c>
      <c r="E64" s="30">
        <f>'Game Info'!Y15</f>
        <v>40</v>
      </c>
      <c r="F64" s="73">
        <f>D64*E64/'Game Info'!$C$2</f>
        <v>2.8360748723766305E-2</v>
      </c>
    </row>
    <row r="65" spans="2:8" x14ac:dyDescent="0.25">
      <c r="B65" s="18" t="str">
        <f t="shared" si="18"/>
        <v>SYM4 x3</v>
      </c>
      <c r="C65" s="66">
        <f t="shared" si="19"/>
        <v>175440</v>
      </c>
      <c r="D65" s="75">
        <f>C65*'Game Info'!$C$3/$G$23</f>
        <v>5.0222159198336169E-2</v>
      </c>
      <c r="E65" s="30">
        <f>'Game Info'!Y16</f>
        <v>20</v>
      </c>
      <c r="F65" s="73">
        <f>D65*E65/'Game Info'!$C$2</f>
        <v>2.0088863679334469E-2</v>
      </c>
    </row>
    <row r="66" spans="2:8" x14ac:dyDescent="0.25">
      <c r="B66" s="18" t="str">
        <f t="shared" si="18"/>
        <v>SYM5 x3</v>
      </c>
      <c r="C66" s="66">
        <f t="shared" si="19"/>
        <v>79550</v>
      </c>
      <c r="D66" s="75">
        <f>C66*'Game Info'!$C$3/$G$23</f>
        <v>2.2772302577676939E-2</v>
      </c>
      <c r="E66" s="30">
        <f>'Game Info'!Y17</f>
        <v>20</v>
      </c>
      <c r="F66" s="73">
        <f>D66*E66/'Game Info'!$C$2</f>
        <v>9.1089210310707752E-3</v>
      </c>
    </row>
    <row r="67" spans="2:8" x14ac:dyDescent="0.25">
      <c r="B67" s="18" t="str">
        <f t="shared" si="18"/>
        <v>A x3</v>
      </c>
      <c r="C67" s="66">
        <f t="shared" si="19"/>
        <v>148608</v>
      </c>
      <c r="D67" s="75">
        <f>C67*'Game Info'!$C$3/$G$23</f>
        <v>4.254112308564946E-2</v>
      </c>
      <c r="E67" s="30">
        <f>'Game Info'!Y18</f>
        <v>20</v>
      </c>
      <c r="F67" s="73">
        <f>D67*E67/'Game Info'!$C$2</f>
        <v>1.7016449234259781E-2</v>
      </c>
    </row>
    <row r="68" spans="2:8" x14ac:dyDescent="0.25">
      <c r="B68" s="18" t="str">
        <f t="shared" si="18"/>
        <v>K x3</v>
      </c>
      <c r="C68" s="66">
        <f t="shared" si="19"/>
        <v>379260</v>
      </c>
      <c r="D68" s="75">
        <f>C68*'Game Info'!$C$3/$G$23</f>
        <v>0.10856849120816789</v>
      </c>
      <c r="E68" s="30">
        <f>'Game Info'!Y19</f>
        <v>20</v>
      </c>
      <c r="F68" s="73">
        <f>D68*E68/'Game Info'!$C$2</f>
        <v>4.3427396483267156E-2</v>
      </c>
    </row>
    <row r="69" spans="2:8" x14ac:dyDescent="0.25">
      <c r="B69" s="18" t="str">
        <f t="shared" si="18"/>
        <v>Q x3</v>
      </c>
      <c r="C69" s="66">
        <f t="shared" si="19"/>
        <v>133644</v>
      </c>
      <c r="D69" s="75">
        <f>C69*'Game Info'!$C$3/$G$23</f>
        <v>3.8257468330497257E-2</v>
      </c>
      <c r="E69" s="30">
        <f>'Game Info'!Y20</f>
        <v>10</v>
      </c>
      <c r="F69" s="73">
        <f>D69*E69/'Game Info'!$C$2</f>
        <v>7.6514936660994513E-3</v>
      </c>
    </row>
    <row r="70" spans="2:8" x14ac:dyDescent="0.25">
      <c r="B70" s="18" t="str">
        <f t="shared" si="18"/>
        <v>J x3</v>
      </c>
      <c r="C70" s="66">
        <f t="shared" si="19"/>
        <v>243810</v>
      </c>
      <c r="D70" s="75">
        <f>C70*'Game Info'!$C$3/$G$23</f>
        <v>6.9794030062393653E-2</v>
      </c>
      <c r="E70" s="30">
        <f>'Game Info'!Y21</f>
        <v>10</v>
      </c>
      <c r="F70" s="73">
        <f>D70*E70/'Game Info'!$C$2</f>
        <v>1.3958806012478731E-2</v>
      </c>
    </row>
    <row r="71" spans="2:8" x14ac:dyDescent="0.25">
      <c r="B71" s="18" t="str">
        <f t="shared" si="18"/>
        <v>10 x3</v>
      </c>
      <c r="C71" s="66">
        <f t="shared" si="19"/>
        <v>219300</v>
      </c>
      <c r="D71" s="75">
        <f>C71*'Game Info'!$C$3/$G$23</f>
        <v>6.2777698997920212E-2</v>
      </c>
      <c r="E71" s="30">
        <f>'Game Info'!Y22</f>
        <v>10</v>
      </c>
      <c r="F71" s="73">
        <f>D71*E71/'Game Info'!$C$2</f>
        <v>1.2555539799584041E-2</v>
      </c>
    </row>
    <row r="72" spans="2:8" x14ac:dyDescent="0.25">
      <c r="B72" s="20" t="str">
        <f t="shared" si="18"/>
        <v>9 x3</v>
      </c>
      <c r="C72" s="70">
        <f t="shared" si="19"/>
        <v>325080</v>
      </c>
      <c r="D72" s="76">
        <f>C72*'Game Info'!$C$3/$G$23</f>
        <v>9.3058706749858194E-2</v>
      </c>
      <c r="E72" s="31">
        <f>'Game Info'!Y23</f>
        <v>10</v>
      </c>
      <c r="F72" s="74">
        <f>D72*E72/'Game Info'!$C$2</f>
        <v>1.8611741349971636E-2</v>
      </c>
    </row>
    <row r="73" spans="2:8" x14ac:dyDescent="0.25">
      <c r="B73" s="18" t="str">
        <f>B10 &amp; " x2"</f>
        <v>SYM1 x2</v>
      </c>
      <c r="C73" s="66">
        <f>C26*D26*($E$22-E26)*$F$22*$G$22</f>
        <v>4146576</v>
      </c>
      <c r="D73" s="75">
        <f>C73*'Game Info'!$C$3/$G$23</f>
        <v>1.1870155038759691</v>
      </c>
      <c r="E73" s="30">
        <f>'Game Info'!X13</f>
        <v>10</v>
      </c>
      <c r="F73" s="73">
        <f>D73*E73/'Game Info'!$C$2</f>
        <v>0.23740310077519383</v>
      </c>
      <c r="G73" s="19"/>
      <c r="H73" s="19"/>
    </row>
    <row r="74" spans="2:8" x14ac:dyDescent="0.25">
      <c r="B74" s="18" t="str">
        <f>B11 &amp; " x2"</f>
        <v>SYM2 x2</v>
      </c>
      <c r="C74" s="66">
        <f t="shared" ref="C74:C75" si="20">C27*D27*($E$22-E27)*$F$22*$G$22</f>
        <v>2369472</v>
      </c>
      <c r="D74" s="75">
        <f>C74*'Game Info'!$C$3/$G$23</f>
        <v>0.67829457364341084</v>
      </c>
      <c r="E74" s="30">
        <f>'Game Info'!X14</f>
        <v>4</v>
      </c>
      <c r="F74" s="73">
        <f>D74*E74/'Game Info'!$C$2</f>
        <v>5.4263565891472867E-2</v>
      </c>
      <c r="G74" s="19"/>
      <c r="H74" s="19"/>
    </row>
    <row r="75" spans="2:8" x14ac:dyDescent="0.25">
      <c r="B75" s="20" t="str">
        <f>B12 &amp; " x2"</f>
        <v>SYM3 x2</v>
      </c>
      <c r="C75" s="70">
        <f t="shared" si="20"/>
        <v>705200</v>
      </c>
      <c r="D75" s="76">
        <f>C75*'Game Info'!$C$3/$G$23</f>
        <v>0.2018733850129199</v>
      </c>
      <c r="E75" s="31">
        <f>'Game Info'!X15</f>
        <v>4</v>
      </c>
      <c r="F75" s="74">
        <f>D75*E75/'Game Info'!$C$2</f>
        <v>1.6149870801033594E-2</v>
      </c>
      <c r="G75" s="19"/>
      <c r="H75" s="19"/>
    </row>
    <row r="76" spans="2:8" x14ac:dyDescent="0.25">
      <c r="B76" s="20" t="str">
        <f>B21 &amp; " x3"</f>
        <v>FG x3</v>
      </c>
      <c r="C76" s="70">
        <f>C37*D37*E37*F22*G22</f>
        <v>1353984</v>
      </c>
      <c r="D76" s="76">
        <f>C76/$G$23</f>
        <v>7.7519379844961239E-3</v>
      </c>
      <c r="E76" s="31">
        <f>'Game Info'!Y24</f>
        <v>4</v>
      </c>
      <c r="F76" s="74">
        <f>D76*E76/'Game Info'!$C$2</f>
        <v>6.2015503875968996E-4</v>
      </c>
    </row>
  </sheetData>
  <phoneticPr fontId="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Game Info</vt:lpstr>
      <vt:lpstr>Base Game</vt:lpstr>
      <vt:lpstr>Free Games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2022-05-29T15:04:54Z</dcterms:modified>
</cp:coreProperties>
</file>