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me Info" sheetId="1" state="visible" r:id="rId3"/>
    <sheet name="BG" sheetId="2" state="visible" r:id="rId4"/>
    <sheet name="FG" sheetId="3" state="visible" r:id="rId5"/>
    <sheet name="BG Reels" sheetId="4" state="visible" r:id="rId6"/>
    <sheet name="FG Reel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<sst xmlns="http://schemas.openxmlformats.org/spreadsheetml/2006/main" count="1394" uniqueCount="59">
  <si>
    <t xml:space="preserve">Bet</t>
  </si>
  <si>
    <t xml:space="preserve">GAME RULES</t>
  </si>
  <si>
    <t xml:space="preserve">BG Reels</t>
  </si>
  <si>
    <t xml:space="preserve">FG Reels</t>
  </si>
  <si>
    <t xml:space="preserve">Game Pays - Standard</t>
  </si>
  <si>
    <t xml:space="preserve">FG Spins</t>
  </si>
  <si>
    <r>
      <rPr>
        <b val="true"/>
        <sz val="11"/>
        <color theme="1"/>
        <rFont val="Calibri"/>
        <family val="2"/>
        <charset val="1"/>
      </rPr>
      <t xml:space="preserve">Base Game
</t>
    </r>
    <r>
      <rPr>
        <sz val="11"/>
        <color theme="1"/>
        <rFont val="Calibri"/>
        <family val="2"/>
        <charset val="1"/>
      </rPr>
      <t xml:space="preserve">All wins pay in any position from left to right on adjacent reels, beginning with the leftmost reel.
There are 1024 ways to win.
A Wild in a winning combination is wild and substitutes for all symbols. 
</t>
    </r>
    <r>
      <rPr>
        <b val="true"/>
        <sz val="11"/>
        <color theme="1"/>
        <rFont val="Calibri"/>
        <family val="2"/>
        <charset val="1"/>
      </rPr>
      <t xml:space="preserve">Free Games Feature
</t>
    </r>
    <r>
      <rPr>
        <sz val="11"/>
        <color theme="1"/>
        <rFont val="Calibri"/>
        <family val="2"/>
        <charset val="1"/>
      </rPr>
      <t xml:space="preserve">3, 4, or 5 scattered FG symbols awards 8, 15, or 20 free games, respectively.
2, 3, 4, or 5 scattered FG symbols awards 5, 8, 15, or 20 free games, respectively.</t>
    </r>
  </si>
  <si>
    <t xml:space="preserve">Pos.</t>
  </si>
  <si>
    <t xml:space="preserve">Reel 1</t>
  </si>
  <si>
    <t xml:space="preserve">Reel 2</t>
  </si>
  <si>
    <t xml:space="preserve">Reel 3</t>
  </si>
  <si>
    <t xml:space="preserve">Reel 4</t>
  </si>
  <si>
    <t xml:space="preserve">Reel 5</t>
  </si>
  <si>
    <t xml:space="preserve">Symbol</t>
  </si>
  <si>
    <t xml:space="preserve">2x</t>
  </si>
  <si>
    <t xml:space="preserve">3x</t>
  </si>
  <si>
    <t xml:space="preserve">4x</t>
  </si>
  <si>
    <t xml:space="preserve">5x</t>
  </si>
  <si>
    <t xml:space="preserve">Trigger</t>
  </si>
  <si>
    <t xml:space="preserve">BG</t>
  </si>
  <si>
    <t xml:space="preserve">FG</t>
  </si>
  <si>
    <t xml:space="preserve">SYM4</t>
  </si>
  <si>
    <t xml:space="preserve">SYM1</t>
  </si>
  <si>
    <t xml:space="preserve">FG x5</t>
  </si>
  <si>
    <t xml:space="preserve">SYM3</t>
  </si>
  <si>
    <t xml:space="preserve">K</t>
  </si>
  <si>
    <t xml:space="preserve">SYM5</t>
  </si>
  <si>
    <t xml:space="preserve">SYM2</t>
  </si>
  <si>
    <t xml:space="preserve">FG x4</t>
  </si>
  <si>
    <t xml:space="preserve">J</t>
  </si>
  <si>
    <t xml:space="preserve">Q</t>
  </si>
  <si>
    <t xml:space="preserve">FG x3</t>
  </si>
  <si>
    <t xml:space="preserve">FG x2</t>
  </si>
  <si>
    <t xml:space="preserve">--</t>
  </si>
  <si>
    <t xml:space="preserve">A</t>
  </si>
  <si>
    <t xml:space="preserve">WILD</t>
  </si>
  <si>
    <t xml:space="preserve">FG*</t>
  </si>
  <si>
    <t xml:space="preserve">* Scatter pays are multiplied by total bet</t>
  </si>
  <si>
    <t xml:space="preserve">Rules for Ways Pays</t>
  </si>
  <si>
    <t xml:space="preserve">Except for the FG symbol, all winning combinations are payable only when appearing on valid positions on adjacent reels
All winning combinations amounts are multiplied by the number of winning symbols the appear on each reel.
For each symbol, only the highest winning combinations is paid each spin.</t>
  </si>
  <si>
    <t xml:space="preserve">Example</t>
  </si>
  <si>
    <t xml:space="preserve">^^^ 4 of a kind wins, 6 ways</t>
  </si>
  <si>
    <t xml:space="preserve">Free Games Odds</t>
  </si>
  <si>
    <t xml:space="preserve">Total Return</t>
  </si>
  <si>
    <t xml:space="preserve">Reel Height</t>
  </si>
  <si>
    <t xml:space="preserve">WW</t>
  </si>
  <si>
    <t xml:space="preserve">Total</t>
  </si>
  <si>
    <t xml:space="preserve">Cycle</t>
  </si>
  <si>
    <t xml:space="preserve">Symbol Appearances</t>
  </si>
  <si>
    <t xml:space="preserve">Combination</t>
  </si>
  <si>
    <t xml:space="preserve">Hits</t>
  </si>
  <si>
    <t xml:space="preserve">Prob</t>
  </si>
  <si>
    <t xml:space="preserve">Pay</t>
  </si>
  <si>
    <t xml:space="preserve">Contribution</t>
  </si>
  <si>
    <t xml:space="preserve">X</t>
  </si>
  <si>
    <t xml:space="preserve">Pay per Spin</t>
  </si>
  <si>
    <t xml:space="preserve">Avg Spins</t>
  </si>
  <si>
    <t xml:space="preserve">BG Spins</t>
  </si>
  <si>
    <t xml:space="preserve">Avg Pay</t>
  </si>
</sst>
</file>

<file path=xl/styles.xml><?xml version="1.0" encoding="utf-8"?>
<styleSheet xmlns="http://schemas.openxmlformats.org/spreadsheetml/2006/main">
  <numFmts count="13">
    <numFmt numFmtId="164" formatCode="General"/>
    <numFmt numFmtId="165" formatCode="#,##0_);\(#,##0\)"/>
    <numFmt numFmtId="166" formatCode="_-* #,##0.00_-;\-* #,##0.00_-;_-* \-??_-;_-@_-"/>
    <numFmt numFmtId="167" formatCode="_(* #,##0.00_);_(* \(#,##0.00\);_(* \-??_);_(@_)"/>
    <numFmt numFmtId="168" formatCode="_(\$* #,##0.00_);_(\$* \(#,##0.00\);_(\$* \-??_);_(@_)"/>
    <numFmt numFmtId="169" formatCode="_-\$* #,##0.00_-;&quot;-$&quot;* #,##0.00_-;_-\$* \-??_-;_-@_-"/>
    <numFmt numFmtId="170" formatCode="0"/>
    <numFmt numFmtId="171" formatCode="0%"/>
    <numFmt numFmtId="172" formatCode="0\x"/>
    <numFmt numFmtId="173" formatCode="0.000%"/>
    <numFmt numFmtId="174" formatCode="0.00%"/>
    <numFmt numFmtId="175" formatCode="0.00000000"/>
    <numFmt numFmtId="176" formatCode="0.00"/>
  </numFmts>
  <fonts count="15">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u val="single"/>
      <sz val="10"/>
      <color rgb="FF800080"/>
      <name val="Arial"/>
      <family val="2"/>
      <charset val="1"/>
    </font>
    <font>
      <sz val="11"/>
      <color rgb="FF9C6500"/>
      <name val="Calibri"/>
      <family val="2"/>
      <charset val="1"/>
    </font>
    <font>
      <sz val="12"/>
      <name val="Times New Roman"/>
      <family val="1"/>
      <charset val="1"/>
    </font>
    <font>
      <sz val="10"/>
      <name val="Arial"/>
      <family val="2"/>
      <charset val="1"/>
    </font>
    <font>
      <sz val="11"/>
      <color rgb="FF000000"/>
      <name val="Calibri"/>
      <family val="2"/>
      <charset val="1"/>
    </font>
    <font>
      <sz val="8"/>
      <name val="Arial"/>
      <family val="0"/>
      <charset val="1"/>
    </font>
    <font>
      <b val="true"/>
      <sz val="18"/>
      <color theme="3"/>
      <name val="Calibri Light"/>
      <family val="2"/>
      <charset val="1"/>
    </font>
    <font>
      <sz val="11"/>
      <color rgb="FFFF0000"/>
      <name val="Calibri"/>
      <family val="2"/>
      <charset val="1"/>
    </font>
    <font>
      <b val="true"/>
      <sz val="11"/>
      <color theme="1"/>
      <name val="Calibri"/>
      <family val="2"/>
      <charset val="1"/>
    </font>
    <font>
      <sz val="11"/>
      <name val="Calibri"/>
      <family val="2"/>
      <charset val="1"/>
    </font>
  </fonts>
  <fills count="14">
    <fill>
      <patternFill patternType="none"/>
    </fill>
    <fill>
      <patternFill patternType="gray125"/>
    </fill>
    <fill>
      <patternFill patternType="solid">
        <fgColor theme="4" tint="0.3999"/>
        <bgColor rgb="FF8FAADC"/>
      </patternFill>
    </fill>
    <fill>
      <patternFill patternType="solid">
        <fgColor theme="5" tint="0.3999"/>
        <bgColor rgb="FFFFC7CE"/>
      </patternFill>
    </fill>
    <fill>
      <patternFill patternType="solid">
        <fgColor theme="6" tint="0.3999"/>
        <bgColor rgb="FF9DC3E6"/>
      </patternFill>
    </fill>
    <fill>
      <patternFill patternType="solid">
        <fgColor theme="7" tint="0.3999"/>
        <bgColor rgb="FFFFEB9C"/>
      </patternFill>
    </fill>
    <fill>
      <patternFill patternType="solid">
        <fgColor theme="8" tint="0.3999"/>
        <bgColor rgb="FF9DC3E6"/>
      </patternFill>
    </fill>
    <fill>
      <patternFill patternType="solid">
        <fgColor theme="9" tint="0.3999"/>
        <bgColor rgb="FFC9C9C9"/>
      </patternFill>
    </fill>
    <fill>
      <patternFill patternType="solid">
        <fgColor rgb="FFFFEB9C"/>
        <bgColor rgb="FFFBE5D6"/>
      </patternFill>
    </fill>
    <fill>
      <patternFill patternType="solid">
        <fgColor theme="4" tint="0.7999"/>
        <bgColor rgb="FFF2F2F2"/>
      </patternFill>
    </fill>
    <fill>
      <patternFill patternType="solid">
        <fgColor rgb="FFFF0000"/>
        <bgColor rgb="FF9C0006"/>
      </patternFill>
    </fill>
    <fill>
      <patternFill patternType="solid">
        <fgColor rgb="FFFFFF00"/>
        <bgColor rgb="FFFFD966"/>
      </patternFill>
    </fill>
    <fill>
      <patternFill patternType="solid">
        <fgColor theme="5" tint="0.7999"/>
        <bgColor rgb="FFF2F2F2"/>
      </patternFill>
    </fill>
    <fill>
      <patternFill patternType="solid">
        <fgColor theme="0" tint="-0.05"/>
        <bgColor rgb="FFDEEBF7"/>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top style="thin"/>
      <bottom/>
      <diagonal/>
    </border>
    <border diagonalUp="false" diagonalDown="false">
      <left style="thin"/>
      <right/>
      <top style="thin"/>
      <bottom/>
      <diagonal/>
    </border>
  </borders>
  <cellStyleXfs count="50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8" borderId="0" applyFont="true" applyBorder="false" applyAlignment="true" applyProtection="false">
      <alignment horizontal="general" vertical="bottom" textRotation="0" wrapText="false" indent="0" shrinkToFit="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0"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71" fontId="0" fillId="0" borderId="0" applyFont="true" applyBorder="false" applyAlignment="true" applyProtection="false">
      <alignment horizontal="general" vertical="bottom" textRotation="0" wrapText="false" indent="0" shrinkToFit="false"/>
    </xf>
    <xf numFmtId="164" fontId="8"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false" applyAlignment="true" applyProtection="false">
      <alignment horizontal="general" vertical="bottom" textRotation="0" wrapText="false" indent="0" shrinkToFit="false"/>
    </xf>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center" vertical="bottom" textRotation="0" wrapText="false" indent="0" shrinkToFit="false"/>
      <protection locked="true" hidden="false"/>
    </xf>
    <xf numFmtId="164" fontId="14" fillId="9" borderId="2" xfId="0" applyFont="true" applyBorder="true" applyAlignment="true" applyProtection="false">
      <alignment horizontal="center" vertical="bottom" textRotation="0" wrapText="false" indent="0" shrinkToFit="false"/>
      <protection locked="true" hidden="false"/>
    </xf>
    <xf numFmtId="164" fontId="14" fillId="9" borderId="3" xfId="0" applyFont="true" applyBorder="true" applyAlignment="true" applyProtection="false">
      <alignment horizontal="center" vertical="bottom"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0" fillId="9" borderId="2" xfId="0" applyFont="true" applyBorder="true" applyAlignment="true" applyProtection="false">
      <alignment horizontal="center" vertical="bottom" textRotation="0" wrapText="false" indent="0" shrinkToFit="false"/>
      <protection locked="true" hidden="false"/>
    </xf>
    <xf numFmtId="164" fontId="0" fillId="9" borderId="3"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8" fillId="0" borderId="0" xfId="421" applyFont="true" applyBorder="true" applyAlignment="true" applyProtection="true">
      <alignment horizontal="center" vertical="bottom" textRotation="0" wrapText="false" indent="0" shrinkToFit="false"/>
      <protection locked="false" hidden="false"/>
    </xf>
    <xf numFmtId="164" fontId="8" fillId="0" borderId="5" xfId="421" applyFont="true" applyBorder="true" applyAlignment="true" applyProtection="true">
      <alignment horizontal="center" vertical="bottom" textRotation="0" wrapText="false" indent="0" shrinkToFit="false"/>
      <protection locked="false" hidden="false"/>
    </xf>
    <xf numFmtId="164" fontId="8" fillId="0" borderId="0" xfId="421" applyFont="true" applyBorder="false" applyAlignment="true" applyProtection="true">
      <alignment horizontal="center" vertical="bottom" textRotation="0" wrapText="false" indent="0" shrinkToFit="false"/>
      <protection locked="false" hidden="false"/>
    </xf>
    <xf numFmtId="164" fontId="8" fillId="0" borderId="5" xfId="421" applyFont="true" applyBorder="true" applyAlignment="true" applyProtection="true">
      <alignment horizontal="center" vertical="bottom" textRotation="0" wrapText="false" indent="0" shrinkToFit="false"/>
      <protection locked="fals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2" fillId="0" borderId="6" xfId="0" applyFont="true" applyBorder="true" applyAlignment="true" applyProtection="false">
      <alignment horizontal="center" vertical="bottom" textRotation="0" wrapText="false" indent="0" shrinkToFit="false"/>
      <protection locked="true" hidden="false"/>
    </xf>
    <xf numFmtId="164" fontId="8" fillId="0" borderId="6" xfId="421" applyFont="true" applyBorder="true" applyAlignment="true" applyProtection="true">
      <alignment horizontal="center" vertical="bottom" textRotation="0" wrapText="false" indent="0" shrinkToFit="false"/>
      <protection locked="false" hidden="false"/>
    </xf>
    <xf numFmtId="164" fontId="8" fillId="0" borderId="6" xfId="421" applyFont="true" applyBorder="true" applyAlignment="true" applyProtection="true">
      <alignment horizontal="center" vertical="bottom" textRotation="0" wrapText="false" indent="0" shrinkToFit="false"/>
      <protection locked="fals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12" fillId="0" borderId="8" xfId="0" applyFont="true" applyBorder="true" applyAlignment="true" applyProtection="false">
      <alignment horizontal="center" vertical="bottom" textRotation="0" wrapText="false" indent="0" shrinkToFit="false"/>
      <protection locked="true" hidden="false"/>
    </xf>
    <xf numFmtId="164" fontId="12" fillId="0" borderId="9" xfId="0" applyFont="true" applyBorder="true" applyAlignment="true" applyProtection="false">
      <alignment horizontal="center" vertical="bottom" textRotation="0" wrapText="false" indent="0" shrinkToFit="false"/>
      <protection locked="true" hidden="false"/>
    </xf>
    <xf numFmtId="170" fontId="0" fillId="0" borderId="0" xfId="0" applyFont="true" applyBorder="false" applyAlignment="true" applyProtection="false">
      <alignment horizontal="center" vertical="bottom" textRotation="0" wrapText="false" indent="0" shrinkToFit="false"/>
      <protection locked="true" hidden="false"/>
    </xf>
    <xf numFmtId="172" fontId="12" fillId="0" borderId="8" xfId="0" applyFont="true" applyBorder="true" applyAlignment="true" applyProtection="false">
      <alignment horizontal="center" vertical="bottom" textRotation="0" wrapText="false" indent="0" shrinkToFit="false"/>
      <protection locked="true" hidden="false"/>
    </xf>
    <xf numFmtId="172" fontId="12" fillId="0"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10" borderId="1" xfId="0" applyFont="true" applyBorder="true" applyAlignment="true" applyProtection="false">
      <alignment horizontal="general" vertical="top" textRotation="0" wrapText="false" indent="0" shrinkToFit="false"/>
      <protection locked="true" hidden="false"/>
    </xf>
    <xf numFmtId="164" fontId="0" fillId="1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8" fillId="0" borderId="10" xfId="421" applyFont="true" applyBorder="true" applyAlignment="true" applyProtection="true">
      <alignment horizontal="center" vertical="bottom" textRotation="0" wrapText="false" indent="0" shrinkToFit="false"/>
      <protection locked="fals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8" fillId="0" borderId="11" xfId="421" applyFont="true" applyBorder="true" applyAlignment="true" applyProtection="true">
      <alignment horizontal="center" vertical="bottom" textRotation="0" wrapText="false" indent="0" shrinkToFit="false"/>
      <protection locked="false" hidden="false"/>
    </xf>
    <xf numFmtId="164" fontId="8" fillId="0" borderId="8" xfId="421" applyFont="true" applyBorder="true" applyAlignment="true" applyProtection="true">
      <alignment horizontal="center" vertical="bottom" textRotation="0" wrapText="false" indent="0" shrinkToFit="false"/>
      <protection locked="false" hidden="false"/>
    </xf>
    <xf numFmtId="164" fontId="8" fillId="0" borderId="9" xfId="421" applyFont="true" applyBorder="true" applyAlignment="true" applyProtection="true">
      <alignment horizontal="center" vertical="bottom" textRotation="0" wrapText="false" indent="0" shrinkToFit="false"/>
      <protection locked="false" hidden="false"/>
    </xf>
    <xf numFmtId="173" fontId="0" fillId="0" borderId="0" xfId="19" applyFont="true" applyBorder="true" applyAlignment="true" applyProtection="true">
      <alignment horizontal="center" vertical="bottom" textRotation="0" wrapText="false" indent="0" shrinkToFit="false"/>
      <protection locked="true" hidden="false"/>
    </xf>
    <xf numFmtId="174" fontId="0" fillId="11" borderId="0" xfId="19"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70" fontId="0" fillId="11" borderId="1" xfId="0" applyFont="false" applyBorder="true" applyAlignment="true" applyProtection="false">
      <alignment horizontal="center" vertical="bottom" textRotation="0" wrapText="false" indent="0" shrinkToFit="false"/>
      <protection locked="true" hidden="false"/>
    </xf>
    <xf numFmtId="174" fontId="13" fillId="11" borderId="1" xfId="19" applyFont="true" applyBorder="true" applyAlignment="true" applyProtection="true">
      <alignment horizontal="center" vertical="bottom" textRotation="0" wrapText="false" indent="0" shrinkToFit="false"/>
      <protection locked="true" hidden="false"/>
    </xf>
    <xf numFmtId="164" fontId="12" fillId="11"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12"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center" vertical="bottom" textRotation="0" wrapText="false" indent="0" shrinkToFit="false"/>
      <protection locked="true" hidden="false"/>
    </xf>
    <xf numFmtId="164" fontId="0" fillId="11" borderId="14" xfId="0" applyFont="false" applyBorder="tru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11" borderId="0" xfId="0" applyFont="false" applyBorder="true" applyAlignment="true" applyProtection="false">
      <alignment horizontal="center" vertical="bottom" textRotation="0" wrapText="false" indent="0" shrinkToFit="false"/>
      <protection locked="true" hidden="false"/>
    </xf>
    <xf numFmtId="164" fontId="0" fillId="11" borderId="6" xfId="0" applyFont="false" applyBorder="true" applyAlignment="true" applyProtection="false">
      <alignment horizontal="center" vertical="bottom" textRotation="0" wrapText="false" indent="0" shrinkToFit="false"/>
      <protection locked="true" hidden="false"/>
    </xf>
    <xf numFmtId="164" fontId="0" fillId="0" borderId="10" xfId="0" applyFont="false" applyBorder="true" applyAlignment="true" applyProtection="false">
      <alignment horizontal="center"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4" fontId="0" fillId="11" borderId="8" xfId="0" applyFont="false" applyBorder="true" applyAlignment="true" applyProtection="false">
      <alignment horizontal="center" vertical="bottom" textRotation="0" wrapText="false" indent="0" shrinkToFit="false"/>
      <protection locked="true" hidden="false"/>
    </xf>
    <xf numFmtId="164" fontId="0" fillId="11" borderId="9" xfId="0" applyFont="false" applyBorder="true" applyAlignment="true" applyProtection="false">
      <alignment horizontal="center" vertical="bottom" textRotation="0" wrapText="false" indent="0" shrinkToFit="false"/>
      <protection locked="true" hidden="false"/>
    </xf>
    <xf numFmtId="164" fontId="0" fillId="0" borderId="11" xfId="0" applyFont="fals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0" fillId="9" borderId="12" xfId="0" applyFont="true" applyBorder="true" applyAlignment="true" applyProtection="false">
      <alignment horizontal="center" vertical="bottom" textRotation="0" wrapText="false" indent="0" shrinkToFit="false"/>
      <protection locked="true" hidden="false"/>
    </xf>
    <xf numFmtId="164" fontId="0" fillId="11" borderId="0" xfId="0" applyFont="false" applyBorder="true" applyAlignment="true" applyProtection="false">
      <alignment horizontal="center" vertical="bottom" textRotation="0" wrapText="false" indent="0" shrinkToFit="false"/>
      <protection locked="true" hidden="false"/>
    </xf>
    <xf numFmtId="175" fontId="0" fillId="0" borderId="0" xfId="0" applyFont="false" applyBorder="true" applyAlignment="true" applyProtection="false">
      <alignment horizontal="center" vertical="bottom" textRotation="0" wrapText="false" indent="0" shrinkToFit="false"/>
      <protection locked="true" hidden="false"/>
    </xf>
    <xf numFmtId="164" fontId="0" fillId="12" borderId="0" xfId="0" applyFont="false" applyBorder="true" applyAlignment="true" applyProtection="false">
      <alignment horizontal="center" vertical="bottom" textRotation="0" wrapText="false" indent="0" shrinkToFit="false"/>
      <protection locked="true" hidden="false"/>
    </xf>
    <xf numFmtId="173" fontId="0" fillId="0" borderId="4" xfId="19" applyFont="true" applyBorder="true" applyAlignment="true" applyProtection="true">
      <alignment horizontal="center" vertical="bottom" textRotation="0" wrapText="false" indent="0" shrinkToFit="false"/>
      <protection locked="true" hidden="false"/>
    </xf>
    <xf numFmtId="164" fontId="14" fillId="0" borderId="11" xfId="0" applyFont="true" applyBorder="true" applyAlignment="true" applyProtection="false">
      <alignment horizontal="center" vertical="bottom" textRotation="0" wrapText="false" indent="0" shrinkToFit="false"/>
      <protection locked="true" hidden="false"/>
    </xf>
    <xf numFmtId="164" fontId="0" fillId="11" borderId="8" xfId="0" applyFont="false" applyBorder="true" applyAlignment="true" applyProtection="false">
      <alignment horizontal="center" vertical="bottom" textRotation="0" wrapText="false" indent="0" shrinkToFit="false"/>
      <protection locked="true" hidden="false"/>
    </xf>
    <xf numFmtId="164" fontId="0" fillId="12" borderId="8" xfId="0" applyFont="false" applyBorder="true" applyAlignment="true" applyProtection="false">
      <alignment horizontal="center" vertical="bottom" textRotation="0" wrapText="false" indent="0" shrinkToFit="false"/>
      <protection locked="true" hidden="false"/>
    </xf>
    <xf numFmtId="173" fontId="0" fillId="0" borderId="7" xfId="19" applyFont="true" applyBorder="true" applyAlignment="true" applyProtection="true">
      <alignment horizontal="center" vertical="bottom" textRotation="0" wrapText="false" indent="0" shrinkToFit="false"/>
      <protection locked="true" hidden="false"/>
    </xf>
    <xf numFmtId="164" fontId="14" fillId="0" borderId="10" xfId="0" applyFont="true" applyBorder="true" applyAlignment="true" applyProtection="false">
      <alignment horizontal="center" vertical="bottom" textRotation="0" wrapText="false" indent="0" shrinkToFit="false"/>
      <protection locked="true" hidden="false"/>
    </xf>
    <xf numFmtId="175" fontId="0" fillId="0" borderId="8" xfId="0" applyFont="false" applyBorder="true" applyAlignment="true" applyProtection="false">
      <alignment horizontal="center" vertical="bottom" textRotation="0" wrapText="false" indent="0" shrinkToFit="false"/>
      <protection locked="true" hidden="false"/>
    </xf>
    <xf numFmtId="164" fontId="0" fillId="11" borderId="14" xfId="0" applyFont="false" applyBorder="true" applyAlignment="true" applyProtection="false">
      <alignment horizontal="center" vertical="bottom" textRotation="0" wrapText="false" indent="0" shrinkToFit="false"/>
      <protection locked="true" hidden="false"/>
    </xf>
    <xf numFmtId="175" fontId="0" fillId="0" borderId="14" xfId="0" applyFont="false" applyBorder="true" applyAlignment="true" applyProtection="false">
      <alignment horizontal="center" vertical="bottom" textRotation="0" wrapText="false" indent="0" shrinkToFit="false"/>
      <protection locked="true" hidden="false"/>
    </xf>
    <xf numFmtId="164" fontId="0" fillId="12" borderId="14" xfId="0" applyFont="false" applyBorder="true" applyAlignment="true" applyProtection="false">
      <alignment horizontal="center" vertical="bottom" textRotation="0" wrapText="false" indent="0" shrinkToFit="false"/>
      <protection locked="true" hidden="false"/>
    </xf>
    <xf numFmtId="173" fontId="0" fillId="0" borderId="13"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3" fontId="0" fillId="11" borderId="1" xfId="0" applyFont="false" applyBorder="true" applyAlignment="true" applyProtection="false">
      <alignment horizontal="center" vertical="bottom" textRotation="0" wrapText="false" indent="0" shrinkToFit="false"/>
      <protection locked="true" hidden="false"/>
    </xf>
    <xf numFmtId="176" fontId="0" fillId="11" borderId="1" xfId="0" applyFont="false" applyBorder="true" applyAlignment="true" applyProtection="false">
      <alignment horizontal="center" vertical="bottom" textRotation="0" wrapText="false" indent="0" shrinkToFit="false"/>
      <protection locked="true" hidden="false"/>
    </xf>
    <xf numFmtId="164" fontId="0" fillId="11" borderId="10" xfId="0" applyFont="false" applyBorder="true" applyAlignment="true" applyProtection="false">
      <alignment horizontal="center" vertical="bottom" textRotation="0" wrapText="false" indent="0" shrinkToFit="false"/>
      <protection locked="true" hidden="false"/>
    </xf>
    <xf numFmtId="164" fontId="0" fillId="11" borderId="6" xfId="0" applyFont="false" applyBorder="true" applyAlignment="true" applyProtection="false">
      <alignment horizontal="center" vertical="bottom" textRotation="0" wrapText="false" indent="0" shrinkToFit="false"/>
      <protection locked="true" hidden="false"/>
    </xf>
    <xf numFmtId="164" fontId="14" fillId="12" borderId="0" xfId="0" applyFont="true" applyBorder="true" applyAlignment="true" applyProtection="false">
      <alignment horizontal="center" vertical="bottom" textRotation="0" wrapText="false" indent="0" shrinkToFit="false"/>
      <protection locked="true" hidden="false"/>
    </xf>
    <xf numFmtId="164" fontId="14" fillId="12" borderId="6" xfId="0" applyFont="true" applyBorder="true" applyAlignment="true" applyProtection="false">
      <alignment horizontal="center" vertical="bottom" textRotation="0" wrapText="false" indent="0" shrinkToFit="false"/>
      <protection locked="true" hidden="false"/>
    </xf>
    <xf numFmtId="176" fontId="13"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4" fontId="0" fillId="11" borderId="11" xfId="0" applyFont="true" applyBorder="true" applyAlignment="true" applyProtection="false">
      <alignment horizontal="center" vertical="bottom" textRotation="0" wrapText="false" indent="0" shrinkToFit="false"/>
      <protection locked="true" hidden="false"/>
    </xf>
    <xf numFmtId="164" fontId="0" fillId="11" borderId="9" xfId="0" applyFont="false" applyBorder="true" applyAlignment="true" applyProtection="false">
      <alignment horizontal="center" vertical="bottom" textRotation="0" wrapText="false" indent="0" shrinkToFit="false"/>
      <protection locked="true" hidden="false"/>
    </xf>
    <xf numFmtId="164" fontId="14" fillId="12" borderId="8" xfId="0" applyFont="true" applyBorder="true" applyAlignment="true" applyProtection="false">
      <alignment horizontal="center" vertical="bottom" textRotation="0" wrapText="false" indent="0" shrinkToFit="false"/>
      <protection locked="true" hidden="false"/>
    </xf>
    <xf numFmtId="164" fontId="14" fillId="12" borderId="9" xfId="0" applyFont="true" applyBorder="true" applyAlignment="true" applyProtection="false">
      <alignment horizontal="center" vertical="bottom" textRotation="0" wrapText="false" indent="0" shrinkToFit="false"/>
      <protection locked="true" hidden="false"/>
    </xf>
    <xf numFmtId="164" fontId="0" fillId="11" borderId="12" xfId="0" applyFont="false" applyBorder="true" applyAlignment="true" applyProtection="false">
      <alignment horizontal="center" vertical="bottom" textRotation="0" wrapText="false" indent="0" shrinkToFit="false"/>
      <protection locked="true" hidden="false"/>
    </xf>
    <xf numFmtId="164" fontId="0" fillId="11" borderId="3" xfId="0" applyFont="false" applyBorder="true" applyAlignment="true" applyProtection="false">
      <alignment horizontal="center" vertical="bottom" textRotation="0" wrapText="false" indent="0" shrinkToFit="false"/>
      <protection locked="true" hidden="false"/>
    </xf>
    <xf numFmtId="164" fontId="0" fillId="11" borderId="5" xfId="0" applyFont="fals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11" borderId="15" xfId="0" applyFont="false" applyBorder="true" applyAlignment="true" applyProtection="false">
      <alignment horizontal="center" vertical="bottom" textRotation="0" wrapText="false" indent="0" shrinkToFit="false"/>
      <protection locked="true" hidden="false"/>
    </xf>
    <xf numFmtId="164" fontId="0" fillId="11" borderId="5"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14" fillId="13" borderId="4" xfId="0" applyFont="true" applyBorder="true" applyAlignment="true" applyProtection="false">
      <alignment horizontal="center" vertical="bottom" textRotation="0" wrapText="false" indent="0" shrinkToFit="false"/>
      <protection locked="true" hidden="false"/>
    </xf>
    <xf numFmtId="164" fontId="14" fillId="13" borderId="0" xfId="0" applyFont="true" applyBorder="true" applyAlignment="true" applyProtection="false">
      <alignment horizontal="center" vertical="bottom" textRotation="0" wrapText="false" indent="0" shrinkToFit="false"/>
      <protection locked="true" hidden="false"/>
    </xf>
    <xf numFmtId="164" fontId="14" fillId="13" borderId="6"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4" fillId="13" borderId="7" xfId="0" applyFont="true" applyBorder="true" applyAlignment="true" applyProtection="false">
      <alignment horizontal="center" vertical="bottom" textRotation="0" wrapText="false" indent="0" shrinkToFit="false"/>
      <protection locked="true" hidden="false"/>
    </xf>
    <xf numFmtId="164" fontId="14" fillId="13" borderId="8" xfId="0" applyFont="true" applyBorder="true" applyAlignment="true" applyProtection="false">
      <alignment horizontal="center" vertical="bottom" textRotation="0" wrapText="false" indent="0" shrinkToFit="false"/>
      <protection locked="true" hidden="false"/>
    </xf>
    <xf numFmtId="164" fontId="14" fillId="13" borderId="9" xfId="0" applyFont="true" applyBorder="true" applyAlignment="true" applyProtection="false">
      <alignment horizontal="center" vertical="bottom" textRotation="0" wrapText="false" indent="0" shrinkToFit="false"/>
      <protection locked="true" hidden="false"/>
    </xf>
    <xf numFmtId="164" fontId="8" fillId="12" borderId="0" xfId="421" applyFont="true" applyBorder="true" applyAlignment="true" applyProtection="true">
      <alignment horizontal="center" vertical="bottom" textRotation="0" wrapText="false" indent="0" shrinkToFit="false"/>
      <protection locked="false" hidden="false"/>
    </xf>
    <xf numFmtId="164" fontId="8" fillId="12" borderId="6" xfId="421" applyFont="true" applyBorder="true" applyAlignment="true" applyProtection="true">
      <alignment horizontal="center" vertical="bottom" textRotation="0" wrapText="false" indent="0" shrinkToFit="false"/>
      <protection locked="false" hidden="false"/>
    </xf>
    <xf numFmtId="164" fontId="14" fillId="12" borderId="6" xfId="0" applyFont="true" applyBorder="true" applyAlignment="true" applyProtection="false">
      <alignment horizontal="center" vertical="bottom" textRotation="0" wrapText="false" indent="0" shrinkToFit="false"/>
      <protection locked="true" hidden="false"/>
    </xf>
    <xf numFmtId="164" fontId="14" fillId="12" borderId="9" xfId="0" applyFont="true" applyBorder="true" applyAlignment="true" applyProtection="false">
      <alignment horizontal="center" vertical="bottom" textRotation="0" wrapText="false" indent="0" shrinkToFit="false"/>
      <protection locked="true" hidden="false"/>
    </xf>
    <xf numFmtId="164" fontId="14" fillId="11" borderId="0" xfId="0" applyFont="true" applyBorder="true" applyAlignment="true" applyProtection="false">
      <alignment horizontal="center" vertical="bottom" textRotation="0" wrapText="false" indent="0" shrinkToFit="false"/>
      <protection locked="true" hidden="false"/>
    </xf>
    <xf numFmtId="164" fontId="14" fillId="11" borderId="6" xfId="0" applyFont="true" applyBorder="true" applyAlignment="true" applyProtection="false">
      <alignment horizontal="center" vertical="bottom" textRotation="0" wrapText="false" indent="0" shrinkToFit="false"/>
      <protection locked="true" hidden="false"/>
    </xf>
    <xf numFmtId="164" fontId="14" fillId="11" borderId="8" xfId="0" applyFont="true" applyBorder="true" applyAlignment="true" applyProtection="false">
      <alignment horizontal="center" vertical="bottom" textRotation="0" wrapText="false" indent="0" shrinkToFit="false"/>
      <protection locked="true" hidden="false"/>
    </xf>
    <xf numFmtId="164" fontId="14" fillId="11" borderId="9" xfId="0" applyFont="true" applyBorder="true" applyAlignment="true" applyProtection="false">
      <alignment horizontal="center" vertical="bottom" textRotation="0" wrapText="false" indent="0" shrinkToFit="false"/>
      <protection locked="true" hidden="false"/>
    </xf>
  </cellXfs>
  <cellStyles count="492">
    <cellStyle name="Normal" xfId="0" builtinId="0"/>
    <cellStyle name="Comma" xfId="15" builtinId="3"/>
    <cellStyle name="Comma [0]" xfId="16" builtinId="6"/>
    <cellStyle name="Currency" xfId="17" builtinId="4"/>
    <cellStyle name="Currency [0]" xfId="18" builtinId="7"/>
    <cellStyle name="Percent" xfId="19" builtinId="5"/>
    <cellStyle name="60% - Accent1 2" xfId="20"/>
    <cellStyle name="60% - Accent2 2" xfId="21"/>
    <cellStyle name="60% - Accent3 2" xfId="22"/>
    <cellStyle name="60% - Accent4 2" xfId="23"/>
    <cellStyle name="60% - Accent5 2" xfId="24"/>
    <cellStyle name="60% - Accent6 2" xfId="25"/>
    <cellStyle name="Besuchter Hyperlink" xfId="26"/>
    <cellStyle name="Comma 10" xfId="27"/>
    <cellStyle name="Comma 11" xfId="28"/>
    <cellStyle name="Comma 2" xfId="29"/>
    <cellStyle name="Comma 2 2" xfId="30"/>
    <cellStyle name="Comma 2 3" xfId="31"/>
    <cellStyle name="Comma 3" xfId="32"/>
    <cellStyle name="Comma 3 2" xfId="33"/>
    <cellStyle name="Comma 3 2 2" xfId="34"/>
    <cellStyle name="Comma 4" xfId="35"/>
    <cellStyle name="Comma 45" xfId="36"/>
    <cellStyle name="Comma 45 10" xfId="37"/>
    <cellStyle name="Comma 45 10 2" xfId="38"/>
    <cellStyle name="Comma 45 11" xfId="39"/>
    <cellStyle name="Comma 45 11 2" xfId="40"/>
    <cellStyle name="Comma 45 12" xfId="41"/>
    <cellStyle name="Comma 45 12 2" xfId="42"/>
    <cellStyle name="Comma 45 13" xfId="43"/>
    <cellStyle name="Comma 45 13 2" xfId="44"/>
    <cellStyle name="Comma 45 14" xfId="45"/>
    <cellStyle name="Comma 45 14 2" xfId="46"/>
    <cellStyle name="Comma 45 15" xfId="47"/>
    <cellStyle name="Comma 45 15 2" xfId="48"/>
    <cellStyle name="Comma 45 16" xfId="49"/>
    <cellStyle name="Comma 45 16 2" xfId="50"/>
    <cellStyle name="Comma 45 17" xfId="51"/>
    <cellStyle name="Comma 45 17 2" xfId="52"/>
    <cellStyle name="Comma 45 18" xfId="53"/>
    <cellStyle name="Comma 45 18 2" xfId="54"/>
    <cellStyle name="Comma 45 19" xfId="55"/>
    <cellStyle name="Comma 45 19 2" xfId="56"/>
    <cellStyle name="Comma 45 2" xfId="57"/>
    <cellStyle name="Comma 45 2 2" xfId="58"/>
    <cellStyle name="Comma 45 20" xfId="59"/>
    <cellStyle name="Comma 45 20 2" xfId="60"/>
    <cellStyle name="Comma 45 21" xfId="61"/>
    <cellStyle name="Comma 45 21 2" xfId="62"/>
    <cellStyle name="Comma 45 22" xfId="63"/>
    <cellStyle name="Comma 45 22 2" xfId="64"/>
    <cellStyle name="Comma 45 23" xfId="65"/>
    <cellStyle name="Comma 45 23 2" xfId="66"/>
    <cellStyle name="Comma 45 24" xfId="67"/>
    <cellStyle name="Comma 45 24 2" xfId="68"/>
    <cellStyle name="Comma 45 25" xfId="69"/>
    <cellStyle name="Comma 45 25 2" xfId="70"/>
    <cellStyle name="Comma 45 26" xfId="71"/>
    <cellStyle name="Comma 45 26 2" xfId="72"/>
    <cellStyle name="Comma 45 27" xfId="73"/>
    <cellStyle name="Comma 45 27 2" xfId="74"/>
    <cellStyle name="Comma 45 28" xfId="75"/>
    <cellStyle name="Comma 45 28 2" xfId="76"/>
    <cellStyle name="Comma 45 29" xfId="77"/>
    <cellStyle name="Comma 45 29 2" xfId="78"/>
    <cellStyle name="Comma 45 3" xfId="79"/>
    <cellStyle name="Comma 45 3 2" xfId="80"/>
    <cellStyle name="Comma 45 30" xfId="81"/>
    <cellStyle name="Comma 45 30 2" xfId="82"/>
    <cellStyle name="Comma 45 31" xfId="83"/>
    <cellStyle name="Comma 45 4" xfId="84"/>
    <cellStyle name="Comma 45 4 2" xfId="85"/>
    <cellStyle name="Comma 45 5" xfId="86"/>
    <cellStyle name="Comma 45 5 2" xfId="87"/>
    <cellStyle name="Comma 45 6" xfId="88"/>
    <cellStyle name="Comma 45 6 2" xfId="89"/>
    <cellStyle name="Comma 45 7" xfId="90"/>
    <cellStyle name="Comma 45 7 2" xfId="91"/>
    <cellStyle name="Comma 45 8" xfId="92"/>
    <cellStyle name="Comma 45 8 2" xfId="93"/>
    <cellStyle name="Comma 45 9" xfId="94"/>
    <cellStyle name="Comma 45 9 2" xfId="95"/>
    <cellStyle name="Comma 46" xfId="96"/>
    <cellStyle name="Comma 46 10" xfId="97"/>
    <cellStyle name="Comma 46 10 2" xfId="98"/>
    <cellStyle name="Comma 46 11" xfId="99"/>
    <cellStyle name="Comma 46 11 2" xfId="100"/>
    <cellStyle name="Comma 46 12" xfId="101"/>
    <cellStyle name="Comma 46 12 2" xfId="102"/>
    <cellStyle name="Comma 46 13" xfId="103"/>
    <cellStyle name="Comma 46 13 2" xfId="104"/>
    <cellStyle name="Comma 46 14" xfId="105"/>
    <cellStyle name="Comma 46 14 2" xfId="106"/>
    <cellStyle name="Comma 46 15" xfId="107"/>
    <cellStyle name="Comma 46 15 2" xfId="108"/>
    <cellStyle name="Comma 46 16" xfId="109"/>
    <cellStyle name="Comma 46 16 2" xfId="110"/>
    <cellStyle name="Comma 46 17" xfId="111"/>
    <cellStyle name="Comma 46 17 2" xfId="112"/>
    <cellStyle name="Comma 46 18" xfId="113"/>
    <cellStyle name="Comma 46 18 2" xfId="114"/>
    <cellStyle name="Comma 46 19" xfId="115"/>
    <cellStyle name="Comma 46 19 2" xfId="116"/>
    <cellStyle name="Comma 46 2" xfId="117"/>
    <cellStyle name="Comma 46 2 2" xfId="118"/>
    <cellStyle name="Comma 46 2 2 2" xfId="119"/>
    <cellStyle name="Comma 46 2 3" xfId="120"/>
    <cellStyle name="Comma 46 20" xfId="121"/>
    <cellStyle name="Comma 46 20 2" xfId="122"/>
    <cellStyle name="Comma 46 21" xfId="123"/>
    <cellStyle name="Comma 46 21 2" xfId="124"/>
    <cellStyle name="Comma 46 22" xfId="125"/>
    <cellStyle name="Comma 46 22 2" xfId="126"/>
    <cellStyle name="Comma 46 23" xfId="127"/>
    <cellStyle name="Comma 46 23 2" xfId="128"/>
    <cellStyle name="Comma 46 24" xfId="129"/>
    <cellStyle name="Comma 46 24 2" xfId="130"/>
    <cellStyle name="Comma 46 25" xfId="131"/>
    <cellStyle name="Comma 46 25 2" xfId="132"/>
    <cellStyle name="Comma 46 26" xfId="133"/>
    <cellStyle name="Comma 46 26 2" xfId="134"/>
    <cellStyle name="Comma 46 27" xfId="135"/>
    <cellStyle name="Comma 46 27 2" xfId="136"/>
    <cellStyle name="Comma 46 28" xfId="137"/>
    <cellStyle name="Comma 46 28 2" xfId="138"/>
    <cellStyle name="Comma 46 29" xfId="139"/>
    <cellStyle name="Comma 46 29 2" xfId="140"/>
    <cellStyle name="Comma 46 3" xfId="141"/>
    <cellStyle name="Comma 46 3 2" xfId="142"/>
    <cellStyle name="Comma 46 30" xfId="143"/>
    <cellStyle name="Comma 46 30 2" xfId="144"/>
    <cellStyle name="Comma 46 31" xfId="145"/>
    <cellStyle name="Comma 46 4" xfId="146"/>
    <cellStyle name="Comma 46 4 2" xfId="147"/>
    <cellStyle name="Comma 46 5" xfId="148"/>
    <cellStyle name="Comma 46 5 2" xfId="149"/>
    <cellStyle name="Comma 46 6" xfId="150"/>
    <cellStyle name="Comma 46 6 2" xfId="151"/>
    <cellStyle name="Comma 46 7" xfId="152"/>
    <cellStyle name="Comma 46 7 2" xfId="153"/>
    <cellStyle name="Comma 46 8" xfId="154"/>
    <cellStyle name="Comma 46 8 2" xfId="155"/>
    <cellStyle name="Comma 46 9" xfId="156"/>
    <cellStyle name="Comma 46 9 2" xfId="157"/>
    <cellStyle name="Comma 5" xfId="158"/>
    <cellStyle name="Comma 6" xfId="159"/>
    <cellStyle name="Comma 6 2" xfId="160"/>
    <cellStyle name="Comma 7" xfId="161"/>
    <cellStyle name="Comma 7 2" xfId="162"/>
    <cellStyle name="Comma 8" xfId="163"/>
    <cellStyle name="Comma 8 2" xfId="164"/>
    <cellStyle name="Comma 9" xfId="165"/>
    <cellStyle name="Currency 2" xfId="166"/>
    <cellStyle name="Currency 2 2" xfId="167"/>
    <cellStyle name="Currency 3" xfId="168"/>
    <cellStyle name="Currency 3 2" xfId="169"/>
    <cellStyle name="Euro" xfId="170"/>
    <cellStyle name="Neutral 2" xfId="171"/>
    <cellStyle name="Normal 10" xfId="172"/>
    <cellStyle name="Normal 10 2" xfId="173"/>
    <cellStyle name="Normal 10 3" xfId="174"/>
    <cellStyle name="Normal 11" xfId="175"/>
    <cellStyle name="Normal 11 2" xfId="176"/>
    <cellStyle name="Normal 11 2 2" xfId="177"/>
    <cellStyle name="Normal 11 3" xfId="178"/>
    <cellStyle name="Normal 12" xfId="179"/>
    <cellStyle name="Normal 13" xfId="180"/>
    <cellStyle name="Normal 13 2" xfId="181"/>
    <cellStyle name="Normal 14" xfId="182"/>
    <cellStyle name="Normal 15" xfId="183"/>
    <cellStyle name="Normal 15 2" xfId="184"/>
    <cellStyle name="Normal 16" xfId="185"/>
    <cellStyle name="Normal 17" xfId="186"/>
    <cellStyle name="Normal 18" xfId="187"/>
    <cellStyle name="Normal 19" xfId="188"/>
    <cellStyle name="Normal 2" xfId="189"/>
    <cellStyle name="Normal 2 10" xfId="190"/>
    <cellStyle name="Normal 2 10 2" xfId="191"/>
    <cellStyle name="Normal 2 11" xfId="192"/>
    <cellStyle name="Normal 2 11 2" xfId="193"/>
    <cellStyle name="Normal 2 12" xfId="194"/>
    <cellStyle name="Normal 2 12 2" xfId="195"/>
    <cellStyle name="Normal 2 13" xfId="196"/>
    <cellStyle name="Normal 2 13 2" xfId="197"/>
    <cellStyle name="Normal 2 14" xfId="198"/>
    <cellStyle name="Normal 2 15" xfId="199"/>
    <cellStyle name="Normal 2 16" xfId="200"/>
    <cellStyle name="Normal 2 17" xfId="201"/>
    <cellStyle name="Normal 2 18" xfId="202"/>
    <cellStyle name="Normal 2 19" xfId="203"/>
    <cellStyle name="Normal 2 2" xfId="204"/>
    <cellStyle name="Normal 2 2 2" xfId="205"/>
    <cellStyle name="Normal 2 2 3" xfId="206"/>
    <cellStyle name="Normal 2 2 4" xfId="207"/>
    <cellStyle name="Normal 2 2 5" xfId="208"/>
    <cellStyle name="Normal 2 2 6" xfId="209"/>
    <cellStyle name="Normal 2 20" xfId="210"/>
    <cellStyle name="Normal 2 21" xfId="211"/>
    <cellStyle name="Normal 2 22" xfId="212"/>
    <cellStyle name="Normal 2 23" xfId="213"/>
    <cellStyle name="Normal 2 24" xfId="214"/>
    <cellStyle name="Normal 2 25" xfId="215"/>
    <cellStyle name="Normal 2 26" xfId="216"/>
    <cellStyle name="Normal 2 27" xfId="217"/>
    <cellStyle name="Normal 2 28" xfId="218"/>
    <cellStyle name="Normal 2 29" xfId="219"/>
    <cellStyle name="Normal 2 3" xfId="220"/>
    <cellStyle name="Normal 2 3 2" xfId="221"/>
    <cellStyle name="Normal 2 30" xfId="222"/>
    <cellStyle name="Normal 2 31" xfId="223"/>
    <cellStyle name="Normal 2 32" xfId="224"/>
    <cellStyle name="Normal 2 4" xfId="225"/>
    <cellStyle name="Normal 2 4 2" xfId="226"/>
    <cellStyle name="Normal 2 5" xfId="227"/>
    <cellStyle name="Normal 2 5 2" xfId="228"/>
    <cellStyle name="Normal 2 6" xfId="229"/>
    <cellStyle name="Normal 2 6 2" xfId="230"/>
    <cellStyle name="Normal 2 7" xfId="231"/>
    <cellStyle name="Normal 2 7 2" xfId="232"/>
    <cellStyle name="Normal 2 8" xfId="233"/>
    <cellStyle name="Normal 2 8 2" xfId="234"/>
    <cellStyle name="Normal 2 9" xfId="235"/>
    <cellStyle name="Normal 2 9 2" xfId="236"/>
    <cellStyle name="Normal 20" xfId="237"/>
    <cellStyle name="Normal 3" xfId="238"/>
    <cellStyle name="Normal 3 10" xfId="239"/>
    <cellStyle name="Normal 3 11" xfId="240"/>
    <cellStyle name="Normal 3 11 2" xfId="241"/>
    <cellStyle name="Normal 3 12" xfId="242"/>
    <cellStyle name="Normal 3 12 2" xfId="243"/>
    <cellStyle name="Normal 3 13" xfId="244"/>
    <cellStyle name="Normal 3 14" xfId="245"/>
    <cellStyle name="Normal 3 15" xfId="246"/>
    <cellStyle name="Normal 3 16" xfId="247"/>
    <cellStyle name="Normal 3 17" xfId="248"/>
    <cellStyle name="Normal 3 18" xfId="249"/>
    <cellStyle name="Normal 3 19" xfId="250"/>
    <cellStyle name="Normal 3 2" xfId="251"/>
    <cellStyle name="Normal 3 2 2" xfId="252"/>
    <cellStyle name="Normal 3 20" xfId="253"/>
    <cellStyle name="Normal 3 21" xfId="254"/>
    <cellStyle name="Normal 3 22" xfId="255"/>
    <cellStyle name="Normal 3 23" xfId="256"/>
    <cellStyle name="Normal 3 24" xfId="257"/>
    <cellStyle name="Normal 3 25" xfId="258"/>
    <cellStyle name="Normal 3 26" xfId="259"/>
    <cellStyle name="Normal 3 27" xfId="260"/>
    <cellStyle name="Normal 3 28" xfId="261"/>
    <cellStyle name="Normal 3 29" xfId="262"/>
    <cellStyle name="Normal 3 3" xfId="263"/>
    <cellStyle name="Normal 3 30" xfId="264"/>
    <cellStyle name="Normal 3 4" xfId="265"/>
    <cellStyle name="Normal 3 5" xfId="266"/>
    <cellStyle name="Normal 3 6" xfId="267"/>
    <cellStyle name="Normal 3 7" xfId="268"/>
    <cellStyle name="Normal 3 8" xfId="269"/>
    <cellStyle name="Normal 3 9" xfId="270"/>
    <cellStyle name="Normal 4" xfId="271"/>
    <cellStyle name="Normal 4 10" xfId="272"/>
    <cellStyle name="Normal 4 11" xfId="273"/>
    <cellStyle name="Normal 4 12" xfId="274"/>
    <cellStyle name="Normal 4 13" xfId="275"/>
    <cellStyle name="Normal 4 14" xfId="276"/>
    <cellStyle name="Normal 4 15" xfId="277"/>
    <cellStyle name="Normal 4 16" xfId="278"/>
    <cellStyle name="Normal 4 17" xfId="279"/>
    <cellStyle name="Normal 4 18" xfId="280"/>
    <cellStyle name="Normal 4 19" xfId="281"/>
    <cellStyle name="Normal 4 2" xfId="282"/>
    <cellStyle name="Normal 4 2 2" xfId="283"/>
    <cellStyle name="Normal 4 20" xfId="284"/>
    <cellStyle name="Normal 4 21" xfId="285"/>
    <cellStyle name="Normal 4 22" xfId="286"/>
    <cellStyle name="Normal 4 23" xfId="287"/>
    <cellStyle name="Normal 4 24" xfId="288"/>
    <cellStyle name="Normal 4 25" xfId="289"/>
    <cellStyle name="Normal 4 26" xfId="290"/>
    <cellStyle name="Normal 4 27" xfId="291"/>
    <cellStyle name="Normal 4 28" xfId="292"/>
    <cellStyle name="Normal 4 29" xfId="293"/>
    <cellStyle name="Normal 4 3" xfId="294"/>
    <cellStyle name="Normal 4 30" xfId="295"/>
    <cellStyle name="Normal 4 4" xfId="296"/>
    <cellStyle name="Normal 4 5" xfId="297"/>
    <cellStyle name="Normal 4 6" xfId="298"/>
    <cellStyle name="Normal 4 7" xfId="299"/>
    <cellStyle name="Normal 4 8" xfId="300"/>
    <cellStyle name="Normal 4 9" xfId="301"/>
    <cellStyle name="Normal 40" xfId="302"/>
    <cellStyle name="Normal 40 10" xfId="303"/>
    <cellStyle name="Normal 40 11" xfId="304"/>
    <cellStyle name="Normal 40 12" xfId="305"/>
    <cellStyle name="Normal 40 13" xfId="306"/>
    <cellStyle name="Normal 40 2" xfId="307"/>
    <cellStyle name="Normal 40 3" xfId="308"/>
    <cellStyle name="Normal 40 4" xfId="309"/>
    <cellStyle name="Normal 40 5" xfId="310"/>
    <cellStyle name="Normal 40 6" xfId="311"/>
    <cellStyle name="Normal 40 7" xfId="312"/>
    <cellStyle name="Normal 40 8" xfId="313"/>
    <cellStyle name="Normal 40 9" xfId="314"/>
    <cellStyle name="Normal 48" xfId="315"/>
    <cellStyle name="Normal 5" xfId="316"/>
    <cellStyle name="Normal 5 10" xfId="317"/>
    <cellStyle name="Normal 5 11" xfId="318"/>
    <cellStyle name="Normal 5 12" xfId="319"/>
    <cellStyle name="Normal 5 13" xfId="320"/>
    <cellStyle name="Normal 5 14" xfId="321"/>
    <cellStyle name="Normal 5 15" xfId="322"/>
    <cellStyle name="Normal 5 16" xfId="323"/>
    <cellStyle name="Normal 5 17" xfId="324"/>
    <cellStyle name="Normal 5 18" xfId="325"/>
    <cellStyle name="Normal 5 19" xfId="326"/>
    <cellStyle name="Normal 5 2" xfId="327"/>
    <cellStyle name="Normal 5 20" xfId="328"/>
    <cellStyle name="Normal 5 21" xfId="329"/>
    <cellStyle name="Normal 5 22" xfId="330"/>
    <cellStyle name="Normal 5 23" xfId="331"/>
    <cellStyle name="Normal 5 24" xfId="332"/>
    <cellStyle name="Normal 5 25" xfId="333"/>
    <cellStyle name="Normal 5 26" xfId="334"/>
    <cellStyle name="Normal 5 27" xfId="335"/>
    <cellStyle name="Normal 5 28" xfId="336"/>
    <cellStyle name="Normal 5 29" xfId="337"/>
    <cellStyle name="Normal 5 3" xfId="338"/>
    <cellStyle name="Normal 5 30" xfId="339"/>
    <cellStyle name="Normal 5 31" xfId="340"/>
    <cellStyle name="Normal 5 4" xfId="341"/>
    <cellStyle name="Normal 5 5" xfId="342"/>
    <cellStyle name="Normal 5 6" xfId="343"/>
    <cellStyle name="Normal 5 7" xfId="344"/>
    <cellStyle name="Normal 5 8" xfId="345"/>
    <cellStyle name="Normal 5 9" xfId="346"/>
    <cellStyle name="Normal 6" xfId="347"/>
    <cellStyle name="Normal 6 10" xfId="348"/>
    <cellStyle name="Normal 6 11" xfId="349"/>
    <cellStyle name="Normal 6 12" xfId="350"/>
    <cellStyle name="Normal 6 13" xfId="351"/>
    <cellStyle name="Normal 6 14" xfId="352"/>
    <cellStyle name="Normal 6 15" xfId="353"/>
    <cellStyle name="Normal 6 16" xfId="354"/>
    <cellStyle name="Normal 6 17" xfId="355"/>
    <cellStyle name="Normal 6 18" xfId="356"/>
    <cellStyle name="Normal 6 19" xfId="357"/>
    <cellStyle name="Normal 6 2" xfId="358"/>
    <cellStyle name="Normal 6 2 2" xfId="359"/>
    <cellStyle name="Normal 6 20" xfId="360"/>
    <cellStyle name="Normal 6 21" xfId="361"/>
    <cellStyle name="Normal 6 22" xfId="362"/>
    <cellStyle name="Normal 6 23" xfId="363"/>
    <cellStyle name="Normal 6 24" xfId="364"/>
    <cellStyle name="Normal 6 25" xfId="365"/>
    <cellStyle name="Normal 6 26" xfId="366"/>
    <cellStyle name="Normal 6 27" xfId="367"/>
    <cellStyle name="Normal 6 28" xfId="368"/>
    <cellStyle name="Normal 6 29" xfId="369"/>
    <cellStyle name="Normal 6 3" xfId="370"/>
    <cellStyle name="Normal 6 30" xfId="371"/>
    <cellStyle name="Normal 6 4" xfId="372"/>
    <cellStyle name="Normal 6 4 2" xfId="373"/>
    <cellStyle name="Normal 6 5" xfId="374"/>
    <cellStyle name="Normal 6 6" xfId="375"/>
    <cellStyle name="Normal 6 7" xfId="376"/>
    <cellStyle name="Normal 6 8" xfId="377"/>
    <cellStyle name="Normal 6 9" xfId="378"/>
    <cellStyle name="Normal 7" xfId="379"/>
    <cellStyle name="Normal 7 10" xfId="380"/>
    <cellStyle name="Normal 7 11" xfId="381"/>
    <cellStyle name="Normal 7 12" xfId="382"/>
    <cellStyle name="Normal 7 13" xfId="383"/>
    <cellStyle name="Normal 7 14" xfId="384"/>
    <cellStyle name="Normal 7 15" xfId="385"/>
    <cellStyle name="Normal 7 16" xfId="386"/>
    <cellStyle name="Normal 7 17" xfId="387"/>
    <cellStyle name="Normal 7 18" xfId="388"/>
    <cellStyle name="Normal 7 19" xfId="389"/>
    <cellStyle name="Normal 7 2" xfId="390"/>
    <cellStyle name="Normal 7 20" xfId="391"/>
    <cellStyle name="Normal 7 21" xfId="392"/>
    <cellStyle name="Normal 7 22" xfId="393"/>
    <cellStyle name="Normal 7 23" xfId="394"/>
    <cellStyle name="Normal 7 24" xfId="395"/>
    <cellStyle name="Normal 7 25" xfId="396"/>
    <cellStyle name="Normal 7 26" xfId="397"/>
    <cellStyle name="Normal 7 27" xfId="398"/>
    <cellStyle name="Normal 7 28" xfId="399"/>
    <cellStyle name="Normal 7 29" xfId="400"/>
    <cellStyle name="Normal 7 3" xfId="401"/>
    <cellStyle name="Normal 7 30" xfId="402"/>
    <cellStyle name="Normal 7 4" xfId="403"/>
    <cellStyle name="Normal 7 4 2" xfId="404"/>
    <cellStyle name="Normal 7 5" xfId="405"/>
    <cellStyle name="Normal 7 6" xfId="406"/>
    <cellStyle name="Normal 7 7" xfId="407"/>
    <cellStyle name="Normal 7 8" xfId="408"/>
    <cellStyle name="Normal 7 9" xfId="409"/>
    <cellStyle name="Normal 8" xfId="410"/>
    <cellStyle name="Normal 8 2" xfId="411"/>
    <cellStyle name="Normal 8 3" xfId="412"/>
    <cellStyle name="Normal 8 4" xfId="413"/>
    <cellStyle name="Normal 8 5" xfId="414"/>
    <cellStyle name="Normal 9" xfId="415"/>
    <cellStyle name="Normal 9 2" xfId="416"/>
    <cellStyle name="Normal 9 3" xfId="417"/>
    <cellStyle name="Normal 9 4" xfId="418"/>
    <cellStyle name="Normal 9 5" xfId="419"/>
    <cellStyle name="Normal 9_Paradise moon 90% (3)" xfId="420"/>
    <cellStyle name="Normal_VAR99 - 3 WAYS" xfId="421"/>
    <cellStyle name="Percent 10" xfId="422"/>
    <cellStyle name="Percent 11" xfId="423"/>
    <cellStyle name="Percent 12" xfId="424"/>
    <cellStyle name="Percent 13" xfId="425"/>
    <cellStyle name="Percent 14" xfId="426"/>
    <cellStyle name="Percent 15" xfId="427"/>
    <cellStyle name="Percent 2" xfId="428"/>
    <cellStyle name="Percent 2 2" xfId="429"/>
    <cellStyle name="Percent 2 2 2" xfId="430"/>
    <cellStyle name="Percent 2 3" xfId="431"/>
    <cellStyle name="Percent 2 4" xfId="432"/>
    <cellStyle name="Percent 3" xfId="433"/>
    <cellStyle name="Percent 3 2" xfId="434"/>
    <cellStyle name="Percent 3 3" xfId="435"/>
    <cellStyle name="Percent 4" xfId="436"/>
    <cellStyle name="Percent 45" xfId="437"/>
    <cellStyle name="Percent 45 10" xfId="438"/>
    <cellStyle name="Percent 45 11" xfId="439"/>
    <cellStyle name="Percent 45 12" xfId="440"/>
    <cellStyle name="Percent 45 13" xfId="441"/>
    <cellStyle name="Percent 45 14" xfId="442"/>
    <cellStyle name="Percent 45 15" xfId="443"/>
    <cellStyle name="Percent 45 16" xfId="444"/>
    <cellStyle name="Percent 45 17" xfId="445"/>
    <cellStyle name="Percent 45 18" xfId="446"/>
    <cellStyle name="Percent 45 19" xfId="447"/>
    <cellStyle name="Percent 45 2" xfId="448"/>
    <cellStyle name="Percent 45 20" xfId="449"/>
    <cellStyle name="Percent 45 21" xfId="450"/>
    <cellStyle name="Percent 45 22" xfId="451"/>
    <cellStyle name="Percent 45 23" xfId="452"/>
    <cellStyle name="Percent 45 24" xfId="453"/>
    <cellStyle name="Percent 45 25" xfId="454"/>
    <cellStyle name="Percent 45 26" xfId="455"/>
    <cellStyle name="Percent 45 27" xfId="456"/>
    <cellStyle name="Percent 45 28" xfId="457"/>
    <cellStyle name="Percent 45 29" xfId="458"/>
    <cellStyle name="Percent 45 3" xfId="459"/>
    <cellStyle name="Percent 45 30" xfId="460"/>
    <cellStyle name="Percent 45 4" xfId="461"/>
    <cellStyle name="Percent 45 5" xfId="462"/>
    <cellStyle name="Percent 45 6" xfId="463"/>
    <cellStyle name="Percent 45 7" xfId="464"/>
    <cellStyle name="Percent 45 8" xfId="465"/>
    <cellStyle name="Percent 45 9" xfId="466"/>
    <cellStyle name="Percent 5" xfId="467"/>
    <cellStyle name="Percent 56" xfId="468"/>
    <cellStyle name="Percent 56 10" xfId="469"/>
    <cellStyle name="Percent 56 11" xfId="470"/>
    <cellStyle name="Percent 56 12" xfId="471"/>
    <cellStyle name="Percent 56 13" xfId="472"/>
    <cellStyle name="Percent 56 14" xfId="473"/>
    <cellStyle name="Percent 56 15" xfId="474"/>
    <cellStyle name="Percent 56 16" xfId="475"/>
    <cellStyle name="Percent 56 17" xfId="476"/>
    <cellStyle name="Percent 56 18" xfId="477"/>
    <cellStyle name="Percent 56 19" xfId="478"/>
    <cellStyle name="Percent 56 2" xfId="479"/>
    <cellStyle name="Percent 56 2 2" xfId="480"/>
    <cellStyle name="Percent 56 20" xfId="481"/>
    <cellStyle name="Percent 56 21" xfId="482"/>
    <cellStyle name="Percent 56 22" xfId="483"/>
    <cellStyle name="Percent 56 23" xfId="484"/>
    <cellStyle name="Percent 56 24" xfId="485"/>
    <cellStyle name="Percent 56 25" xfId="486"/>
    <cellStyle name="Percent 56 26" xfId="487"/>
    <cellStyle name="Percent 56 27" xfId="488"/>
    <cellStyle name="Percent 56 28" xfId="489"/>
    <cellStyle name="Percent 56 29" xfId="490"/>
    <cellStyle name="Percent 56 3" xfId="491"/>
    <cellStyle name="Percent 56 30" xfId="492"/>
    <cellStyle name="Percent 56 31" xfId="493"/>
    <cellStyle name="Percent 56 4" xfId="494"/>
    <cellStyle name="Percent 56 5" xfId="495"/>
    <cellStyle name="Percent 56 6" xfId="496"/>
    <cellStyle name="Percent 56 7" xfId="497"/>
    <cellStyle name="Percent 56 8" xfId="498"/>
    <cellStyle name="Percent 56 9" xfId="499"/>
    <cellStyle name="Percent 6" xfId="500"/>
    <cellStyle name="Percent 7" xfId="501"/>
    <cellStyle name="Percent 8" xfId="502"/>
    <cellStyle name="Percent 9" xfId="503"/>
    <cellStyle name="Standard_Feature Info" xfId="504"/>
    <cellStyle name="Title 2" xfId="505"/>
  </cellStyles>
  <dxfs count="38">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
      <font>
        <color rgb="FF9C5700"/>
      </font>
      <fill>
        <patternFill>
          <bgColor rgb="FFFFC000"/>
        </patternFill>
      </fill>
    </dxf>
    <dxf>
      <font>
        <color rgb="FF9C5700"/>
      </font>
      <fill>
        <patternFill>
          <bgColor theme="4" tint="0.399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9C9C9"/>
      <rgbColor rgb="FF808080"/>
      <rgbColor rgb="FF8FAADC"/>
      <rgbColor rgb="FF993366"/>
      <rgbColor rgb="FFF2F2F2"/>
      <rgbColor rgb="FFDEEBF7"/>
      <rgbColor rgb="FF660066"/>
      <rgbColor rgb="FFFF8080"/>
      <rgbColor rgb="FF0066CC"/>
      <rgbColor rgb="FFFBE5D6"/>
      <rgbColor rgb="FF000080"/>
      <rgbColor rgb="FFFF00FF"/>
      <rgbColor rgb="FFFFD966"/>
      <rgbColor rgb="FF00FFFF"/>
      <rgbColor rgb="FF800080"/>
      <rgbColor rgb="FF800000"/>
      <rgbColor rgb="FF008080"/>
      <rgbColor rgb="FF0000FF"/>
      <rgbColor rgb="FF00CCFF"/>
      <rgbColor rgb="FFCCFFFF"/>
      <rgbColor rgb="FFC6EFCE"/>
      <rgbColor rgb="FFFFEB9C"/>
      <rgbColor rgb="FF9DC3E6"/>
      <rgbColor rgb="FFF4B183"/>
      <rgbColor rgb="FFCC99FF"/>
      <rgbColor rgb="FFFFC7CE"/>
      <rgbColor rgb="FF3366FF"/>
      <rgbColor rgb="FF33CCCC"/>
      <rgbColor rgb="FF99CC00"/>
      <rgbColor rgb="FFFFC000"/>
      <rgbColor rgb="FFFF9900"/>
      <rgbColor rgb="FFFF6600"/>
      <rgbColor rgb="FF44546A"/>
      <rgbColor rgb="FFA9D18E"/>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G1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5" activeCellId="0" sqref="I5"/>
    </sheetView>
  </sheetViews>
  <sheetFormatPr defaultColWidth="8.85546875" defaultRowHeight="15" customHeight="false" zeroHeight="false" outlineLevelRow="0" outlineLevelCol="0"/>
  <cols>
    <col collapsed="false" customWidth="true" hidden="false" outlineLevel="0" max="1" min="1" style="1" width="3.71"/>
    <col collapsed="false" customWidth="true" hidden="false" outlineLevel="0" max="8" min="2" style="1" width="8.71"/>
    <col collapsed="false" customWidth="false" hidden="false" outlineLevel="0" max="22" min="9" style="1" width="8.85"/>
    <col collapsed="false" customWidth="true" hidden="false" outlineLevel="0" max="34" min="23" style="1" width="10"/>
    <col collapsed="false" customWidth="false" hidden="false" outlineLevel="0" max="16384" min="35" style="1" width="8.85"/>
  </cols>
  <sheetData>
    <row r="2" customFormat="false" ht="15" hidden="false" customHeight="false" outlineLevel="0" collapsed="false">
      <c r="B2" s="1" t="s">
        <v>0</v>
      </c>
      <c r="C2" s="2" t="n">
        <v>40</v>
      </c>
    </row>
    <row r="4" customFormat="false" ht="15" hidden="false" customHeight="false" outlineLevel="0" collapsed="false">
      <c r="B4" s="3" t="s">
        <v>1</v>
      </c>
      <c r="C4" s="4"/>
      <c r="D4" s="4"/>
      <c r="E4" s="4"/>
      <c r="F4" s="4"/>
      <c r="G4" s="4"/>
      <c r="I4" s="3" t="s">
        <v>2</v>
      </c>
      <c r="P4" s="3" t="s">
        <v>3</v>
      </c>
      <c r="W4" s="3" t="s">
        <v>4</v>
      </c>
      <c r="AC4" s="5" t="s">
        <v>5</v>
      </c>
    </row>
    <row r="5" customFormat="false" ht="15" hidden="false" customHeight="true" outlineLevel="0" collapsed="false">
      <c r="B5" s="6" t="s">
        <v>6</v>
      </c>
      <c r="C5" s="6"/>
      <c r="D5" s="6"/>
      <c r="E5" s="6"/>
      <c r="F5" s="6"/>
      <c r="G5" s="6"/>
      <c r="I5" s="7" t="s">
        <v>7</v>
      </c>
      <c r="J5" s="8" t="s">
        <v>8</v>
      </c>
      <c r="K5" s="8" t="s">
        <v>9</v>
      </c>
      <c r="L5" s="8" t="s">
        <v>10</v>
      </c>
      <c r="M5" s="8" t="s">
        <v>11</v>
      </c>
      <c r="N5" s="9" t="s">
        <v>12</v>
      </c>
      <c r="P5" s="7" t="s">
        <v>7</v>
      </c>
      <c r="Q5" s="8" t="s">
        <v>8</v>
      </c>
      <c r="R5" s="8" t="s">
        <v>9</v>
      </c>
      <c r="S5" s="8" t="s">
        <v>10</v>
      </c>
      <c r="T5" s="8" t="s">
        <v>11</v>
      </c>
      <c r="U5" s="9" t="s">
        <v>12</v>
      </c>
      <c r="W5" s="10" t="s">
        <v>13</v>
      </c>
      <c r="X5" s="11" t="s">
        <v>14</v>
      </c>
      <c r="Y5" s="11" t="s">
        <v>15</v>
      </c>
      <c r="Z5" s="11" t="s">
        <v>16</v>
      </c>
      <c r="AA5" s="12" t="s">
        <v>17</v>
      </c>
      <c r="AC5" s="10" t="s">
        <v>18</v>
      </c>
      <c r="AD5" s="11" t="s">
        <v>19</v>
      </c>
      <c r="AE5" s="12" t="s">
        <v>20</v>
      </c>
    </row>
    <row r="6" customFormat="false" ht="15" hidden="false" customHeight="false" outlineLevel="0" collapsed="false">
      <c r="B6" s="6"/>
      <c r="C6" s="6"/>
      <c r="D6" s="6"/>
      <c r="E6" s="6"/>
      <c r="F6" s="6"/>
      <c r="G6" s="6"/>
      <c r="I6" s="13" t="n">
        <v>1</v>
      </c>
      <c r="J6" s="14" t="n">
        <v>10</v>
      </c>
      <c r="K6" s="14" t="s">
        <v>21</v>
      </c>
      <c r="L6" s="14" t="s">
        <v>22</v>
      </c>
      <c r="M6" s="14" t="n">
        <v>10</v>
      </c>
      <c r="N6" s="15" t="n">
        <v>10</v>
      </c>
      <c r="P6" s="13" t="n">
        <v>1</v>
      </c>
      <c r="Q6" s="16" t="n">
        <v>10</v>
      </c>
      <c r="R6" s="16" t="s">
        <v>21</v>
      </c>
      <c r="S6" s="16" t="s">
        <v>22</v>
      </c>
      <c r="T6" s="16" t="n">
        <v>10</v>
      </c>
      <c r="U6" s="17" t="n">
        <v>10</v>
      </c>
      <c r="W6" s="18" t="s">
        <v>22</v>
      </c>
      <c r="X6" s="19" t="n">
        <v>10</v>
      </c>
      <c r="Y6" s="19" t="n">
        <v>50</v>
      </c>
      <c r="Z6" s="19" t="n">
        <v>100</v>
      </c>
      <c r="AA6" s="20" t="n">
        <v>300</v>
      </c>
      <c r="AC6" s="18" t="s">
        <v>23</v>
      </c>
      <c r="AD6" s="19" t="n">
        <v>20</v>
      </c>
      <c r="AE6" s="20" t="n">
        <v>20</v>
      </c>
    </row>
    <row r="7" customFormat="false" ht="15" hidden="false" customHeight="false" outlineLevel="0" collapsed="false">
      <c r="B7" s="6"/>
      <c r="C7" s="6"/>
      <c r="D7" s="6"/>
      <c r="E7" s="6"/>
      <c r="F7" s="6"/>
      <c r="G7" s="6"/>
      <c r="I7" s="13" t="n">
        <v>2</v>
      </c>
      <c r="J7" s="14" t="s">
        <v>24</v>
      </c>
      <c r="K7" s="14" t="n">
        <v>9</v>
      </c>
      <c r="L7" s="14" t="s">
        <v>25</v>
      </c>
      <c r="M7" s="14" t="s">
        <v>24</v>
      </c>
      <c r="N7" s="21" t="s">
        <v>26</v>
      </c>
      <c r="P7" s="13" t="n">
        <v>2</v>
      </c>
      <c r="Q7" s="16" t="s">
        <v>24</v>
      </c>
      <c r="R7" s="16" t="n">
        <v>9</v>
      </c>
      <c r="S7" s="16" t="s">
        <v>25</v>
      </c>
      <c r="T7" s="16" t="s">
        <v>24</v>
      </c>
      <c r="U7" s="22" t="s">
        <v>26</v>
      </c>
      <c r="W7" s="18" t="s">
        <v>27</v>
      </c>
      <c r="X7" s="19" t="n">
        <v>0</v>
      </c>
      <c r="Y7" s="19" t="n">
        <v>50</v>
      </c>
      <c r="Z7" s="19" t="n">
        <v>100</v>
      </c>
      <c r="AA7" s="20" t="n">
        <v>150</v>
      </c>
      <c r="AC7" s="18" t="s">
        <v>28</v>
      </c>
      <c r="AD7" s="19" t="n">
        <v>15</v>
      </c>
      <c r="AE7" s="20" t="n">
        <v>15</v>
      </c>
    </row>
    <row r="8" customFormat="false" ht="15" hidden="false" customHeight="false" outlineLevel="0" collapsed="false">
      <c r="B8" s="6"/>
      <c r="C8" s="6"/>
      <c r="D8" s="6"/>
      <c r="E8" s="6"/>
      <c r="F8" s="6"/>
      <c r="G8" s="6"/>
      <c r="I8" s="13" t="n">
        <v>3</v>
      </c>
      <c r="J8" s="14" t="n">
        <v>9</v>
      </c>
      <c r="K8" s="14" t="s">
        <v>27</v>
      </c>
      <c r="L8" s="14" t="n">
        <v>10</v>
      </c>
      <c r="M8" s="14" t="s">
        <v>29</v>
      </c>
      <c r="N8" s="21" t="s">
        <v>30</v>
      </c>
      <c r="P8" s="13" t="n">
        <v>3</v>
      </c>
      <c r="Q8" s="16" t="n">
        <v>9</v>
      </c>
      <c r="R8" s="16" t="s">
        <v>27</v>
      </c>
      <c r="S8" s="16" t="n">
        <v>10</v>
      </c>
      <c r="T8" s="16" t="s">
        <v>29</v>
      </c>
      <c r="U8" s="22" t="s">
        <v>30</v>
      </c>
      <c r="W8" s="18" t="s">
        <v>24</v>
      </c>
      <c r="X8" s="19" t="n">
        <v>0</v>
      </c>
      <c r="Y8" s="19" t="n">
        <v>50</v>
      </c>
      <c r="Z8" s="19" t="n">
        <v>100</v>
      </c>
      <c r="AA8" s="20" t="n">
        <v>150</v>
      </c>
      <c r="AC8" s="18" t="s">
        <v>31</v>
      </c>
      <c r="AD8" s="19" t="n">
        <v>8</v>
      </c>
      <c r="AE8" s="20" t="n">
        <v>8</v>
      </c>
    </row>
    <row r="9" customFormat="false" ht="15" hidden="false" customHeight="false" outlineLevel="0" collapsed="false">
      <c r="B9" s="6"/>
      <c r="C9" s="6"/>
      <c r="D9" s="6"/>
      <c r="E9" s="6"/>
      <c r="F9" s="6"/>
      <c r="G9" s="6"/>
      <c r="I9" s="13" t="n">
        <v>4</v>
      </c>
      <c r="J9" s="14" t="s">
        <v>27</v>
      </c>
      <c r="K9" s="14" t="s">
        <v>29</v>
      </c>
      <c r="L9" s="14" t="s">
        <v>30</v>
      </c>
      <c r="M9" s="14" t="s">
        <v>27</v>
      </c>
      <c r="N9" s="21" t="s">
        <v>25</v>
      </c>
      <c r="P9" s="13" t="n">
        <v>4</v>
      </c>
      <c r="Q9" s="16" t="s">
        <v>27</v>
      </c>
      <c r="R9" s="16" t="s">
        <v>29</v>
      </c>
      <c r="S9" s="16" t="s">
        <v>30</v>
      </c>
      <c r="T9" s="16" t="s">
        <v>27</v>
      </c>
      <c r="U9" s="22" t="s">
        <v>25</v>
      </c>
      <c r="W9" s="18" t="s">
        <v>21</v>
      </c>
      <c r="X9" s="19" t="n">
        <v>0</v>
      </c>
      <c r="Y9" s="19" t="n">
        <v>20</v>
      </c>
      <c r="Z9" s="19" t="n">
        <v>80</v>
      </c>
      <c r="AA9" s="20" t="n">
        <v>120</v>
      </c>
      <c r="AC9" s="23" t="s">
        <v>32</v>
      </c>
      <c r="AD9" s="24" t="s">
        <v>33</v>
      </c>
      <c r="AE9" s="25" t="n">
        <v>5</v>
      </c>
    </row>
    <row r="10" customFormat="false" ht="15" hidden="false" customHeight="false" outlineLevel="0" collapsed="false">
      <c r="B10" s="6"/>
      <c r="C10" s="6"/>
      <c r="D10" s="6"/>
      <c r="E10" s="6"/>
      <c r="F10" s="6"/>
      <c r="G10" s="6"/>
      <c r="I10" s="13" t="n">
        <v>5</v>
      </c>
      <c r="J10" s="14" t="s">
        <v>30</v>
      </c>
      <c r="K10" s="14" t="s">
        <v>25</v>
      </c>
      <c r="L10" s="14" t="s">
        <v>26</v>
      </c>
      <c r="M10" s="14" t="s">
        <v>27</v>
      </c>
      <c r="N10" s="21" t="s">
        <v>29</v>
      </c>
      <c r="P10" s="13" t="n">
        <v>5</v>
      </c>
      <c r="Q10" s="16" t="s">
        <v>30</v>
      </c>
      <c r="R10" s="16" t="s">
        <v>25</v>
      </c>
      <c r="S10" s="16" t="s">
        <v>26</v>
      </c>
      <c r="T10" s="16" t="s">
        <v>27</v>
      </c>
      <c r="U10" s="22" t="s">
        <v>29</v>
      </c>
      <c r="W10" s="18" t="s">
        <v>26</v>
      </c>
      <c r="X10" s="19" t="n">
        <v>0</v>
      </c>
      <c r="Y10" s="19" t="n">
        <v>20</v>
      </c>
      <c r="Z10" s="19" t="n">
        <v>80</v>
      </c>
      <c r="AA10" s="20" t="n">
        <v>120</v>
      </c>
    </row>
    <row r="11" customFormat="false" ht="15" hidden="false" customHeight="false" outlineLevel="0" collapsed="false">
      <c r="B11" s="6"/>
      <c r="C11" s="6"/>
      <c r="D11" s="6"/>
      <c r="E11" s="6"/>
      <c r="F11" s="6"/>
      <c r="G11" s="6"/>
      <c r="I11" s="13" t="n">
        <v>6</v>
      </c>
      <c r="J11" s="14" t="n">
        <v>10</v>
      </c>
      <c r="K11" s="14" t="s">
        <v>22</v>
      </c>
      <c r="L11" s="14" t="s">
        <v>29</v>
      </c>
      <c r="M11" s="14" t="s">
        <v>27</v>
      </c>
      <c r="N11" s="21" t="s">
        <v>24</v>
      </c>
      <c r="P11" s="13" t="n">
        <v>6</v>
      </c>
      <c r="Q11" s="16" t="n">
        <v>10</v>
      </c>
      <c r="R11" s="16" t="s">
        <v>22</v>
      </c>
      <c r="S11" s="16" t="s">
        <v>29</v>
      </c>
      <c r="T11" s="16" t="s">
        <v>27</v>
      </c>
      <c r="U11" s="22" t="s">
        <v>24</v>
      </c>
      <c r="W11" s="18" t="s">
        <v>34</v>
      </c>
      <c r="X11" s="19" t="n">
        <v>0</v>
      </c>
      <c r="Y11" s="19" t="n">
        <v>10</v>
      </c>
      <c r="Z11" s="19" t="n">
        <v>50</v>
      </c>
      <c r="AA11" s="20" t="n">
        <v>100</v>
      </c>
    </row>
    <row r="12" customFormat="false" ht="15" hidden="false" customHeight="false" outlineLevel="0" collapsed="false">
      <c r="B12" s="6"/>
      <c r="C12" s="6"/>
      <c r="D12" s="6"/>
      <c r="E12" s="6"/>
      <c r="F12" s="6"/>
      <c r="G12" s="6"/>
      <c r="I12" s="13" t="n">
        <v>7</v>
      </c>
      <c r="J12" s="14" t="s">
        <v>22</v>
      </c>
      <c r="K12" s="14" t="s">
        <v>34</v>
      </c>
      <c r="L12" s="14" t="s">
        <v>35</v>
      </c>
      <c r="M12" s="14" t="n">
        <v>9</v>
      </c>
      <c r="N12" s="21" t="n">
        <v>9</v>
      </c>
      <c r="P12" s="13" t="n">
        <v>7</v>
      </c>
      <c r="Q12" s="16" t="s">
        <v>22</v>
      </c>
      <c r="R12" s="16" t="s">
        <v>34</v>
      </c>
      <c r="S12" s="16" t="s">
        <v>35</v>
      </c>
      <c r="T12" s="16" t="n">
        <v>9</v>
      </c>
      <c r="U12" s="22" t="n">
        <v>9</v>
      </c>
      <c r="W12" s="18" t="s">
        <v>25</v>
      </c>
      <c r="X12" s="19" t="n">
        <v>0</v>
      </c>
      <c r="Y12" s="19" t="n">
        <v>10</v>
      </c>
      <c r="Z12" s="19" t="n">
        <v>50</v>
      </c>
      <c r="AA12" s="20" t="n">
        <v>100</v>
      </c>
    </row>
    <row r="13" customFormat="false" ht="15" hidden="false" customHeight="false" outlineLevel="0" collapsed="false">
      <c r="B13" s="6"/>
      <c r="C13" s="6"/>
      <c r="D13" s="6"/>
      <c r="E13" s="6"/>
      <c r="F13" s="6"/>
      <c r="G13" s="6"/>
      <c r="I13" s="13" t="n">
        <v>8</v>
      </c>
      <c r="J13" s="14" t="s">
        <v>26</v>
      </c>
      <c r="K13" s="14" t="s">
        <v>24</v>
      </c>
      <c r="L13" s="14" t="s">
        <v>30</v>
      </c>
      <c r="M13" s="14" t="s">
        <v>30</v>
      </c>
      <c r="N13" s="21" t="s">
        <v>22</v>
      </c>
      <c r="O13" s="26"/>
      <c r="P13" s="13" t="n">
        <v>8</v>
      </c>
      <c r="Q13" s="16" t="s">
        <v>26</v>
      </c>
      <c r="R13" s="16" t="s">
        <v>24</v>
      </c>
      <c r="S13" s="16" t="s">
        <v>30</v>
      </c>
      <c r="T13" s="16" t="s">
        <v>30</v>
      </c>
      <c r="U13" s="22" t="s">
        <v>22</v>
      </c>
      <c r="W13" s="18" t="s">
        <v>30</v>
      </c>
      <c r="X13" s="19" t="n">
        <v>0</v>
      </c>
      <c r="Y13" s="19" t="n">
        <v>5</v>
      </c>
      <c r="Z13" s="19" t="n">
        <v>20</v>
      </c>
      <c r="AA13" s="20" t="n">
        <v>100</v>
      </c>
    </row>
    <row r="14" customFormat="false" ht="15" hidden="false" customHeight="false" outlineLevel="0" collapsed="false">
      <c r="B14" s="6"/>
      <c r="C14" s="6"/>
      <c r="D14" s="6"/>
      <c r="E14" s="6"/>
      <c r="F14" s="6"/>
      <c r="G14" s="6"/>
      <c r="I14" s="13" t="n">
        <v>9</v>
      </c>
      <c r="J14" s="14" t="s">
        <v>20</v>
      </c>
      <c r="K14" s="14" t="n">
        <v>10</v>
      </c>
      <c r="L14" s="14" t="s">
        <v>26</v>
      </c>
      <c r="M14" s="14" t="s">
        <v>26</v>
      </c>
      <c r="N14" s="21" t="s">
        <v>30</v>
      </c>
      <c r="P14" s="13" t="n">
        <v>9</v>
      </c>
      <c r="Q14" s="16" t="s">
        <v>20</v>
      </c>
      <c r="R14" s="16" t="n">
        <v>10</v>
      </c>
      <c r="S14" s="16" t="s">
        <v>26</v>
      </c>
      <c r="T14" s="16" t="s">
        <v>26</v>
      </c>
      <c r="U14" s="22" t="s">
        <v>30</v>
      </c>
      <c r="W14" s="18" t="s">
        <v>29</v>
      </c>
      <c r="X14" s="19" t="n">
        <v>0</v>
      </c>
      <c r="Y14" s="19" t="n">
        <v>5</v>
      </c>
      <c r="Z14" s="19" t="n">
        <v>20</v>
      </c>
      <c r="AA14" s="20" t="n">
        <v>100</v>
      </c>
    </row>
    <row r="15" customFormat="false" ht="15" hidden="false" customHeight="false" outlineLevel="0" collapsed="false">
      <c r="B15" s="6"/>
      <c r="C15" s="6"/>
      <c r="D15" s="6"/>
      <c r="E15" s="6"/>
      <c r="F15" s="6"/>
      <c r="G15" s="6"/>
      <c r="I15" s="13" t="n">
        <v>10</v>
      </c>
      <c r="J15" s="14" t="s">
        <v>34</v>
      </c>
      <c r="K15" s="14" t="s">
        <v>21</v>
      </c>
      <c r="L15" s="14" t="s">
        <v>25</v>
      </c>
      <c r="M15" s="14" t="n">
        <v>9</v>
      </c>
      <c r="N15" s="21" t="n">
        <v>9</v>
      </c>
      <c r="P15" s="13" t="n">
        <v>10</v>
      </c>
      <c r="Q15" s="16" t="s">
        <v>34</v>
      </c>
      <c r="R15" s="16" t="s">
        <v>21</v>
      </c>
      <c r="S15" s="16" t="s">
        <v>25</v>
      </c>
      <c r="T15" s="16" t="n">
        <v>9</v>
      </c>
      <c r="U15" s="22" t="n">
        <v>9</v>
      </c>
      <c r="W15" s="18" t="n">
        <v>10</v>
      </c>
      <c r="X15" s="19" t="n">
        <v>0</v>
      </c>
      <c r="Y15" s="19" t="n">
        <v>5</v>
      </c>
      <c r="Z15" s="19" t="n">
        <v>10</v>
      </c>
      <c r="AA15" s="20" t="n">
        <v>100</v>
      </c>
    </row>
    <row r="16" customFormat="false" ht="15" hidden="false" customHeight="false" outlineLevel="0" collapsed="false">
      <c r="B16" s="6"/>
      <c r="C16" s="6"/>
      <c r="D16" s="6"/>
      <c r="E16" s="6"/>
      <c r="F16" s="6"/>
      <c r="G16" s="6"/>
      <c r="I16" s="13" t="n">
        <v>11</v>
      </c>
      <c r="J16" s="14" t="s">
        <v>25</v>
      </c>
      <c r="K16" s="14" t="s">
        <v>25</v>
      </c>
      <c r="L16" s="14" t="s">
        <v>20</v>
      </c>
      <c r="M16" s="14" t="s">
        <v>35</v>
      </c>
      <c r="N16" s="21" t="s">
        <v>27</v>
      </c>
      <c r="P16" s="13" t="n">
        <v>11</v>
      </c>
      <c r="Q16" s="16" t="s">
        <v>25</v>
      </c>
      <c r="R16" s="16" t="s">
        <v>25</v>
      </c>
      <c r="S16" s="16" t="s">
        <v>20</v>
      </c>
      <c r="T16" s="16" t="s">
        <v>35</v>
      </c>
      <c r="U16" s="22" t="s">
        <v>27</v>
      </c>
      <c r="W16" s="23" t="n">
        <v>9</v>
      </c>
      <c r="X16" s="24" t="n">
        <v>2</v>
      </c>
      <c r="Y16" s="24" t="n">
        <v>5</v>
      </c>
      <c r="Z16" s="24" t="n">
        <v>10</v>
      </c>
      <c r="AA16" s="25" t="n">
        <v>100</v>
      </c>
    </row>
    <row r="17" customFormat="false" ht="15" hidden="false" customHeight="false" outlineLevel="0" collapsed="false">
      <c r="B17" s="6"/>
      <c r="C17" s="6"/>
      <c r="D17" s="6"/>
      <c r="E17" s="6"/>
      <c r="F17" s="6"/>
      <c r="G17" s="6"/>
      <c r="I17" s="13" t="n">
        <v>12</v>
      </c>
      <c r="J17" s="14" t="s">
        <v>21</v>
      </c>
      <c r="K17" s="14" t="s">
        <v>24</v>
      </c>
      <c r="L17" s="14" t="n">
        <v>10</v>
      </c>
      <c r="M17" s="14" t="s">
        <v>34</v>
      </c>
      <c r="N17" s="21" t="s">
        <v>29</v>
      </c>
      <c r="P17" s="13" t="n">
        <v>12</v>
      </c>
      <c r="Q17" s="16" t="s">
        <v>21</v>
      </c>
      <c r="R17" s="16" t="s">
        <v>24</v>
      </c>
      <c r="S17" s="16" t="n">
        <v>10</v>
      </c>
      <c r="T17" s="16" t="s">
        <v>34</v>
      </c>
      <c r="U17" s="22" t="s">
        <v>29</v>
      </c>
      <c r="W17" s="23" t="s">
        <v>36</v>
      </c>
      <c r="X17" s="24" t="n">
        <v>0</v>
      </c>
      <c r="Y17" s="27" t="n">
        <v>2</v>
      </c>
      <c r="Z17" s="27" t="n">
        <v>10</v>
      </c>
      <c r="AA17" s="28" t="n">
        <v>20</v>
      </c>
    </row>
    <row r="18" customFormat="false" ht="15" hidden="false" customHeight="false" outlineLevel="0" collapsed="false">
      <c r="B18" s="29"/>
      <c r="C18" s="29"/>
      <c r="D18" s="29"/>
      <c r="E18" s="29"/>
      <c r="F18" s="29"/>
      <c r="G18" s="29"/>
      <c r="I18" s="13" t="n">
        <v>13</v>
      </c>
      <c r="J18" s="14" t="n">
        <v>9</v>
      </c>
      <c r="K18" s="14" t="s">
        <v>34</v>
      </c>
      <c r="L18" s="14" t="s">
        <v>30</v>
      </c>
      <c r="M18" s="14" t="s">
        <v>27</v>
      </c>
      <c r="N18" s="21" t="s">
        <v>24</v>
      </c>
      <c r="P18" s="13" t="n">
        <v>13</v>
      </c>
      <c r="Q18" s="16" t="n">
        <v>9</v>
      </c>
      <c r="R18" s="16" t="s">
        <v>34</v>
      </c>
      <c r="S18" s="16" t="s">
        <v>30</v>
      </c>
      <c r="T18" s="16" t="s">
        <v>27</v>
      </c>
      <c r="U18" s="22" t="s">
        <v>24</v>
      </c>
      <c r="W18" s="30" t="s">
        <v>37</v>
      </c>
    </row>
    <row r="19" customFormat="false" ht="15" hidden="false" customHeight="false" outlineLevel="0" collapsed="false">
      <c r="B19" s="31" t="s">
        <v>38</v>
      </c>
      <c r="C19" s="29"/>
      <c r="D19" s="29"/>
      <c r="E19" s="29"/>
      <c r="F19" s="29"/>
      <c r="G19" s="29"/>
      <c r="I19" s="13" t="n">
        <v>14</v>
      </c>
      <c r="J19" s="14" t="s">
        <v>29</v>
      </c>
      <c r="K19" s="14" t="s">
        <v>35</v>
      </c>
      <c r="L19" s="14" t="s">
        <v>24</v>
      </c>
      <c r="M19" s="14" t="s">
        <v>25</v>
      </c>
      <c r="N19" s="21" t="s">
        <v>30</v>
      </c>
      <c r="P19" s="13" t="n">
        <v>14</v>
      </c>
      <c r="Q19" s="16" t="s">
        <v>29</v>
      </c>
      <c r="R19" s="16" t="s">
        <v>35</v>
      </c>
      <c r="S19" s="16" t="s">
        <v>24</v>
      </c>
      <c r="T19" s="16" t="s">
        <v>25</v>
      </c>
      <c r="U19" s="22" t="s">
        <v>30</v>
      </c>
    </row>
    <row r="20" customFormat="false" ht="15" hidden="false" customHeight="true" outlineLevel="0" collapsed="false">
      <c r="B20" s="32" t="s">
        <v>39</v>
      </c>
      <c r="C20" s="32"/>
      <c r="D20" s="32"/>
      <c r="E20" s="32"/>
      <c r="F20" s="32"/>
      <c r="G20" s="32"/>
      <c r="I20" s="13" t="n">
        <v>15</v>
      </c>
      <c r="J20" s="14" t="s">
        <v>34</v>
      </c>
      <c r="K20" s="14" t="s">
        <v>25</v>
      </c>
      <c r="L20" s="14" t="s">
        <v>34</v>
      </c>
      <c r="M20" s="14" t="s">
        <v>21</v>
      </c>
      <c r="N20" s="21" t="s">
        <v>22</v>
      </c>
      <c r="P20" s="13" t="n">
        <v>15</v>
      </c>
      <c r="Q20" s="16" t="s">
        <v>34</v>
      </c>
      <c r="R20" s="16" t="s">
        <v>25</v>
      </c>
      <c r="S20" s="16" t="s">
        <v>34</v>
      </c>
      <c r="T20" s="16" t="s">
        <v>21</v>
      </c>
      <c r="U20" s="22" t="s">
        <v>22</v>
      </c>
    </row>
    <row r="21" customFormat="false" ht="15" hidden="false" customHeight="false" outlineLevel="0" collapsed="false">
      <c r="B21" s="32"/>
      <c r="C21" s="32"/>
      <c r="D21" s="32"/>
      <c r="E21" s="32"/>
      <c r="F21" s="32"/>
      <c r="G21" s="32"/>
      <c r="I21" s="13" t="n">
        <v>16</v>
      </c>
      <c r="J21" s="14" t="s">
        <v>26</v>
      </c>
      <c r="K21" s="14" t="s">
        <v>22</v>
      </c>
      <c r="L21" s="14" t="s">
        <v>21</v>
      </c>
      <c r="M21" s="14" t="s">
        <v>29</v>
      </c>
      <c r="N21" s="21" t="s">
        <v>25</v>
      </c>
      <c r="P21" s="13" t="n">
        <v>16</v>
      </c>
      <c r="Q21" s="16" t="s">
        <v>26</v>
      </c>
      <c r="R21" s="16" t="s">
        <v>22</v>
      </c>
      <c r="S21" s="16" t="s">
        <v>21</v>
      </c>
      <c r="T21" s="16" t="s">
        <v>29</v>
      </c>
      <c r="U21" s="22" t="s">
        <v>25</v>
      </c>
    </row>
    <row r="22" customFormat="false" ht="15" hidden="false" customHeight="false" outlineLevel="0" collapsed="false">
      <c r="B22" s="32"/>
      <c r="C22" s="32"/>
      <c r="D22" s="32"/>
      <c r="E22" s="32"/>
      <c r="F22" s="32"/>
      <c r="G22" s="32"/>
      <c r="I22" s="13" t="n">
        <v>17</v>
      </c>
      <c r="J22" s="14" t="s">
        <v>26</v>
      </c>
      <c r="K22" s="14" t="s">
        <v>30</v>
      </c>
      <c r="L22" s="14" t="s">
        <v>21</v>
      </c>
      <c r="M22" s="14" t="s">
        <v>22</v>
      </c>
      <c r="N22" s="21" t="s">
        <v>30</v>
      </c>
      <c r="P22" s="13" t="n">
        <v>17</v>
      </c>
      <c r="Q22" s="16" t="s">
        <v>26</v>
      </c>
      <c r="R22" s="16" t="s">
        <v>30</v>
      </c>
      <c r="S22" s="16" t="s">
        <v>21</v>
      </c>
      <c r="T22" s="16" t="s">
        <v>22</v>
      </c>
      <c r="U22" s="22" t="s">
        <v>30</v>
      </c>
    </row>
    <row r="23" customFormat="false" ht="15" hidden="false" customHeight="false" outlineLevel="0" collapsed="false">
      <c r="B23" s="32"/>
      <c r="C23" s="32"/>
      <c r="D23" s="32"/>
      <c r="E23" s="32"/>
      <c r="F23" s="32"/>
      <c r="G23" s="32"/>
      <c r="I23" s="13" t="n">
        <v>18</v>
      </c>
      <c r="J23" s="14" t="s">
        <v>26</v>
      </c>
      <c r="K23" s="14" t="n">
        <v>10</v>
      </c>
      <c r="L23" s="14" t="s">
        <v>21</v>
      </c>
      <c r="M23" s="14" t="s">
        <v>22</v>
      </c>
      <c r="N23" s="21" t="s">
        <v>21</v>
      </c>
      <c r="P23" s="13" t="n">
        <v>18</v>
      </c>
      <c r="Q23" s="16" t="s">
        <v>26</v>
      </c>
      <c r="R23" s="16" t="n">
        <v>10</v>
      </c>
      <c r="S23" s="16" t="s">
        <v>21</v>
      </c>
      <c r="T23" s="16" t="s">
        <v>22</v>
      </c>
      <c r="U23" s="22" t="s">
        <v>21</v>
      </c>
    </row>
    <row r="24" customFormat="false" ht="15" hidden="false" customHeight="false" outlineLevel="0" collapsed="false">
      <c r="B24" s="32"/>
      <c r="C24" s="32"/>
      <c r="D24" s="32"/>
      <c r="E24" s="32"/>
      <c r="F24" s="32"/>
      <c r="G24" s="32"/>
      <c r="I24" s="13" t="n">
        <v>19</v>
      </c>
      <c r="J24" s="14" t="s">
        <v>30</v>
      </c>
      <c r="K24" s="14" t="s">
        <v>25</v>
      </c>
      <c r="L24" s="14" t="s">
        <v>29</v>
      </c>
      <c r="M24" s="14" t="s">
        <v>22</v>
      </c>
      <c r="N24" s="21" t="s">
        <v>25</v>
      </c>
      <c r="P24" s="13" t="n">
        <v>19</v>
      </c>
      <c r="Q24" s="16" t="s">
        <v>30</v>
      </c>
      <c r="R24" s="16" t="s">
        <v>25</v>
      </c>
      <c r="S24" s="16" t="s">
        <v>29</v>
      </c>
      <c r="T24" s="16" t="s">
        <v>22</v>
      </c>
      <c r="U24" s="22" t="s">
        <v>25</v>
      </c>
    </row>
    <row r="25" customFormat="false" ht="15" hidden="false" customHeight="false" outlineLevel="0" collapsed="false">
      <c r="B25" s="32"/>
      <c r="C25" s="32"/>
      <c r="D25" s="32"/>
      <c r="E25" s="32"/>
      <c r="F25" s="32"/>
      <c r="G25" s="32"/>
      <c r="I25" s="13" t="n">
        <v>20</v>
      </c>
      <c r="J25" s="14" t="n">
        <v>10</v>
      </c>
      <c r="K25" s="14" t="s">
        <v>21</v>
      </c>
      <c r="L25" s="14" t="s">
        <v>20</v>
      </c>
      <c r="M25" s="14" t="s">
        <v>29</v>
      </c>
      <c r="N25" s="21" t="s">
        <v>22</v>
      </c>
      <c r="P25" s="13" t="n">
        <v>20</v>
      </c>
      <c r="Q25" s="16" t="n">
        <v>10</v>
      </c>
      <c r="R25" s="16" t="s">
        <v>21</v>
      </c>
      <c r="S25" s="16" t="s">
        <v>20</v>
      </c>
      <c r="T25" s="16" t="s">
        <v>29</v>
      </c>
      <c r="U25" s="22" t="s">
        <v>22</v>
      </c>
    </row>
    <row r="26" customFormat="false" ht="15" hidden="false" customHeight="false" outlineLevel="0" collapsed="false">
      <c r="B26" s="32"/>
      <c r="C26" s="32"/>
      <c r="D26" s="32"/>
      <c r="E26" s="32"/>
      <c r="F26" s="32"/>
      <c r="G26" s="32"/>
      <c r="I26" s="13" t="n">
        <v>21</v>
      </c>
      <c r="J26" s="14" t="s">
        <v>26</v>
      </c>
      <c r="K26" s="14" t="s">
        <v>30</v>
      </c>
      <c r="L26" s="14" t="n">
        <v>10</v>
      </c>
      <c r="M26" s="14" t="s">
        <v>27</v>
      </c>
      <c r="N26" s="21" t="n">
        <v>10</v>
      </c>
      <c r="P26" s="13" t="n">
        <v>21</v>
      </c>
      <c r="Q26" s="16" t="s">
        <v>26</v>
      </c>
      <c r="R26" s="16" t="s">
        <v>30</v>
      </c>
      <c r="S26" s="16" t="n">
        <v>10</v>
      </c>
      <c r="T26" s="16" t="s">
        <v>27</v>
      </c>
      <c r="U26" s="22" t="n">
        <v>10</v>
      </c>
    </row>
    <row r="27" customFormat="false" ht="15" hidden="false" customHeight="false" outlineLevel="0" collapsed="false">
      <c r="B27" s="32"/>
      <c r="C27" s="32"/>
      <c r="D27" s="32"/>
      <c r="E27" s="32"/>
      <c r="F27" s="32"/>
      <c r="G27" s="32"/>
      <c r="I27" s="13" t="n">
        <v>22</v>
      </c>
      <c r="J27" s="14" t="s">
        <v>30</v>
      </c>
      <c r="K27" s="14" t="s">
        <v>27</v>
      </c>
      <c r="L27" s="14" t="s">
        <v>22</v>
      </c>
      <c r="M27" s="14" t="s">
        <v>25</v>
      </c>
      <c r="N27" s="21" t="s">
        <v>24</v>
      </c>
      <c r="P27" s="13" t="n">
        <v>22</v>
      </c>
      <c r="Q27" s="16" t="s">
        <v>30</v>
      </c>
      <c r="R27" s="16" t="s">
        <v>35</v>
      </c>
      <c r="S27" s="16" t="s">
        <v>22</v>
      </c>
      <c r="T27" s="16" t="s">
        <v>25</v>
      </c>
      <c r="U27" s="22" t="s">
        <v>24</v>
      </c>
    </row>
    <row r="28" customFormat="false" ht="15" hidden="false" customHeight="false" outlineLevel="0" collapsed="false">
      <c r="B28" s="33"/>
      <c r="C28" s="33"/>
      <c r="D28" s="33"/>
      <c r="E28" s="33"/>
      <c r="F28" s="33"/>
      <c r="G28" s="33"/>
      <c r="I28" s="13" t="n">
        <v>23</v>
      </c>
      <c r="J28" s="14" t="s">
        <v>27</v>
      </c>
      <c r="K28" s="14" t="s">
        <v>34</v>
      </c>
      <c r="L28" s="14" t="s">
        <v>29</v>
      </c>
      <c r="M28" s="14" t="s">
        <v>26</v>
      </c>
      <c r="N28" s="21" t="s">
        <v>30</v>
      </c>
      <c r="P28" s="13" t="n">
        <v>23</v>
      </c>
      <c r="Q28" s="16" t="s">
        <v>27</v>
      </c>
      <c r="R28" s="16" t="s">
        <v>34</v>
      </c>
      <c r="S28" s="16" t="s">
        <v>29</v>
      </c>
      <c r="T28" s="16" t="s">
        <v>26</v>
      </c>
      <c r="U28" s="22" t="s">
        <v>30</v>
      </c>
    </row>
    <row r="29" customFormat="false" ht="15" hidden="false" customHeight="false" outlineLevel="0" collapsed="false">
      <c r="B29" s="3" t="s">
        <v>40</v>
      </c>
      <c r="I29" s="13" t="n">
        <v>24</v>
      </c>
      <c r="J29" s="14" t="s">
        <v>24</v>
      </c>
      <c r="K29" s="14" t="s">
        <v>30</v>
      </c>
      <c r="L29" s="14" t="n">
        <v>10</v>
      </c>
      <c r="M29" s="14" t="n">
        <v>9</v>
      </c>
      <c r="N29" s="21" t="s">
        <v>34</v>
      </c>
      <c r="P29" s="13" t="n">
        <v>24</v>
      </c>
      <c r="Q29" s="16" t="s">
        <v>24</v>
      </c>
      <c r="R29" s="16" t="s">
        <v>30</v>
      </c>
      <c r="S29" s="16" t="n">
        <v>10</v>
      </c>
      <c r="T29" s="16" t="n">
        <v>9</v>
      </c>
      <c r="U29" s="22" t="s">
        <v>34</v>
      </c>
    </row>
    <row r="30" customFormat="false" ht="15" hidden="false" customHeight="false" outlineLevel="0" collapsed="false">
      <c r="B30" s="34"/>
      <c r="C30" s="34"/>
      <c r="D30" s="35"/>
      <c r="E30" s="34"/>
      <c r="F30" s="34"/>
      <c r="G30" s="33"/>
      <c r="I30" s="13" t="n">
        <v>25</v>
      </c>
      <c r="J30" s="14" t="s">
        <v>29</v>
      </c>
      <c r="K30" s="14" t="s">
        <v>21</v>
      </c>
      <c r="L30" s="14" t="s">
        <v>30</v>
      </c>
      <c r="M30" s="14" t="s">
        <v>21</v>
      </c>
      <c r="N30" s="21" t="s">
        <v>22</v>
      </c>
      <c r="P30" s="13" t="n">
        <v>25</v>
      </c>
      <c r="Q30" s="16" t="s">
        <v>29</v>
      </c>
      <c r="R30" s="16" t="s">
        <v>21</v>
      </c>
      <c r="S30" s="16" t="s">
        <v>30</v>
      </c>
      <c r="T30" s="16" t="s">
        <v>21</v>
      </c>
      <c r="U30" s="22" t="s">
        <v>22</v>
      </c>
    </row>
    <row r="31" customFormat="false" ht="15" hidden="false" customHeight="false" outlineLevel="0" collapsed="false">
      <c r="B31" s="34"/>
      <c r="C31" s="35"/>
      <c r="D31" s="35"/>
      <c r="E31" s="34"/>
      <c r="F31" s="34"/>
      <c r="G31" s="33"/>
      <c r="I31" s="13" t="n">
        <v>26</v>
      </c>
      <c r="J31" s="14" t="n">
        <v>10</v>
      </c>
      <c r="K31" s="14" t="s">
        <v>29</v>
      </c>
      <c r="L31" s="14" t="s">
        <v>22</v>
      </c>
      <c r="M31" s="14" t="s">
        <v>27</v>
      </c>
      <c r="N31" s="21" t="s">
        <v>22</v>
      </c>
      <c r="P31" s="13" t="n">
        <v>26</v>
      </c>
      <c r="Q31" s="16" t="n">
        <v>10</v>
      </c>
      <c r="R31" s="16" t="s">
        <v>29</v>
      </c>
      <c r="S31" s="16" t="s">
        <v>22</v>
      </c>
      <c r="T31" s="16" t="s">
        <v>27</v>
      </c>
      <c r="U31" s="22" t="s">
        <v>22</v>
      </c>
    </row>
    <row r="32" customFormat="false" ht="15" hidden="false" customHeight="false" outlineLevel="0" collapsed="false">
      <c r="B32" s="36"/>
      <c r="C32" s="37"/>
      <c r="D32" s="36"/>
      <c r="E32" s="36"/>
      <c r="F32" s="37"/>
      <c r="I32" s="13" t="n">
        <v>27</v>
      </c>
      <c r="J32" s="14" t="s">
        <v>34</v>
      </c>
      <c r="K32" s="14" t="s">
        <v>22</v>
      </c>
      <c r="L32" s="14" t="s">
        <v>25</v>
      </c>
      <c r="M32" s="14" t="s">
        <v>29</v>
      </c>
      <c r="N32" s="21" t="s">
        <v>22</v>
      </c>
      <c r="P32" s="13" t="n">
        <v>27</v>
      </c>
      <c r="Q32" s="16" t="s">
        <v>34</v>
      </c>
      <c r="R32" s="16" t="s">
        <v>22</v>
      </c>
      <c r="S32" s="16" t="s">
        <v>25</v>
      </c>
      <c r="T32" s="16" t="s">
        <v>29</v>
      </c>
      <c r="U32" s="22" t="s">
        <v>22</v>
      </c>
    </row>
    <row r="33" customFormat="false" ht="15" hidden="false" customHeight="false" outlineLevel="0" collapsed="false">
      <c r="B33" s="37"/>
      <c r="C33" s="36"/>
      <c r="D33" s="37"/>
      <c r="E33" s="37"/>
      <c r="F33" s="37"/>
      <c r="I33" s="13" t="n">
        <v>28</v>
      </c>
      <c r="J33" s="14" t="s">
        <v>21</v>
      </c>
      <c r="K33" s="14" t="s">
        <v>25</v>
      </c>
      <c r="L33" s="14" t="s">
        <v>29</v>
      </c>
      <c r="M33" s="14" t="s">
        <v>34</v>
      </c>
      <c r="N33" s="21" t="n">
        <v>10</v>
      </c>
      <c r="P33" s="13" t="n">
        <v>28</v>
      </c>
      <c r="Q33" s="16" t="s">
        <v>21</v>
      </c>
      <c r="R33" s="16" t="s">
        <v>25</v>
      </c>
      <c r="S33" s="16" t="s">
        <v>29</v>
      </c>
      <c r="T33" s="16" t="s">
        <v>34</v>
      </c>
      <c r="U33" s="22" t="n">
        <v>10</v>
      </c>
    </row>
    <row r="34" customFormat="false" ht="15" hidden="false" customHeight="false" outlineLevel="0" collapsed="false">
      <c r="B34" s="1" t="n">
        <v>1</v>
      </c>
      <c r="C34" s="1" t="n">
        <v>2</v>
      </c>
      <c r="D34" s="1" t="n">
        <v>3</v>
      </c>
      <c r="E34" s="1" t="n">
        <v>1</v>
      </c>
      <c r="F34" s="1" t="s">
        <v>33</v>
      </c>
      <c r="I34" s="13" t="n">
        <v>29</v>
      </c>
      <c r="J34" s="14" t="s">
        <v>21</v>
      </c>
      <c r="K34" s="14" t="s">
        <v>27</v>
      </c>
      <c r="L34" s="14" t="s">
        <v>24</v>
      </c>
      <c r="M34" s="14" t="s">
        <v>21</v>
      </c>
      <c r="N34" s="21" t="s">
        <v>24</v>
      </c>
      <c r="P34" s="13" t="n">
        <v>29</v>
      </c>
      <c r="Q34" s="16" t="s">
        <v>21</v>
      </c>
      <c r="R34" s="16" t="s">
        <v>27</v>
      </c>
      <c r="S34" s="16" t="s">
        <v>24</v>
      </c>
      <c r="T34" s="16" t="s">
        <v>21</v>
      </c>
      <c r="U34" s="22" t="s">
        <v>24</v>
      </c>
    </row>
    <row r="35" customFormat="false" ht="15" hidden="false" customHeight="false" outlineLevel="0" collapsed="false">
      <c r="I35" s="13" t="n">
        <v>30</v>
      </c>
      <c r="J35" s="14" t="n">
        <v>9</v>
      </c>
      <c r="K35" s="14" t="s">
        <v>29</v>
      </c>
      <c r="L35" s="14" t="s">
        <v>26</v>
      </c>
      <c r="M35" s="14" t="s">
        <v>30</v>
      </c>
      <c r="N35" s="21" t="s">
        <v>30</v>
      </c>
      <c r="P35" s="13" t="n">
        <v>30</v>
      </c>
      <c r="Q35" s="16" t="n">
        <v>9</v>
      </c>
      <c r="R35" s="16" t="s">
        <v>29</v>
      </c>
      <c r="S35" s="16" t="s">
        <v>26</v>
      </c>
      <c r="T35" s="16" t="s">
        <v>30</v>
      </c>
      <c r="U35" s="22" t="s">
        <v>30</v>
      </c>
    </row>
    <row r="36" customFormat="false" ht="15" hidden="false" customHeight="false" outlineLevel="0" collapsed="false">
      <c r="B36" s="38" t="s">
        <v>41</v>
      </c>
      <c r="I36" s="13" t="n">
        <v>31</v>
      </c>
      <c r="J36" s="14" t="s">
        <v>27</v>
      </c>
      <c r="K36" s="14" t="s">
        <v>26</v>
      </c>
      <c r="L36" s="14" t="s">
        <v>30</v>
      </c>
      <c r="M36" s="14" t="s">
        <v>27</v>
      </c>
      <c r="N36" s="21" t="s">
        <v>25</v>
      </c>
      <c r="P36" s="13" t="n">
        <v>31</v>
      </c>
      <c r="Q36" s="16" t="s">
        <v>27</v>
      </c>
      <c r="R36" s="16" t="s">
        <v>26</v>
      </c>
      <c r="S36" s="16" t="s">
        <v>30</v>
      </c>
      <c r="T36" s="16" t="s">
        <v>27</v>
      </c>
      <c r="U36" s="22" t="s">
        <v>25</v>
      </c>
    </row>
    <row r="37" customFormat="false" ht="15" hidden="false" customHeight="false" outlineLevel="0" collapsed="false">
      <c r="I37" s="13" t="n">
        <v>32</v>
      </c>
      <c r="J37" s="14" t="s">
        <v>34</v>
      </c>
      <c r="K37" s="14" t="s">
        <v>25</v>
      </c>
      <c r="L37" s="14" t="s">
        <v>34</v>
      </c>
      <c r="M37" s="14" t="n">
        <v>10</v>
      </c>
      <c r="N37" s="21" t="s">
        <v>24</v>
      </c>
      <c r="P37" s="13" t="n">
        <v>32</v>
      </c>
      <c r="Q37" s="16" t="s">
        <v>34</v>
      </c>
      <c r="R37" s="16" t="s">
        <v>25</v>
      </c>
      <c r="S37" s="16" t="s">
        <v>34</v>
      </c>
      <c r="T37" s="16" t="n">
        <v>10</v>
      </c>
      <c r="U37" s="22" t="s">
        <v>24</v>
      </c>
    </row>
    <row r="38" customFormat="false" ht="15" hidden="false" customHeight="false" outlineLevel="0" collapsed="false">
      <c r="I38" s="13" t="n">
        <v>33</v>
      </c>
      <c r="J38" s="14" t="s">
        <v>29</v>
      </c>
      <c r="K38" s="14" t="s">
        <v>20</v>
      </c>
      <c r="L38" s="14" t="s">
        <v>27</v>
      </c>
      <c r="M38" s="14" t="s">
        <v>24</v>
      </c>
      <c r="N38" s="21" t="s">
        <v>34</v>
      </c>
      <c r="P38" s="13" t="n">
        <v>33</v>
      </c>
      <c r="Q38" s="16" t="s">
        <v>29</v>
      </c>
      <c r="R38" s="16" t="s">
        <v>22</v>
      </c>
      <c r="S38" s="16" t="s">
        <v>27</v>
      </c>
      <c r="T38" s="16" t="s">
        <v>24</v>
      </c>
      <c r="U38" s="22" t="s">
        <v>34</v>
      </c>
    </row>
    <row r="39" customFormat="false" ht="15" hidden="false" customHeight="false" outlineLevel="0" collapsed="false">
      <c r="I39" s="13" t="n">
        <v>34</v>
      </c>
      <c r="J39" s="14" t="s">
        <v>24</v>
      </c>
      <c r="K39" s="14" t="s">
        <v>29</v>
      </c>
      <c r="L39" s="14" t="s">
        <v>25</v>
      </c>
      <c r="M39" s="14" t="s">
        <v>25</v>
      </c>
      <c r="N39" s="21" t="s">
        <v>21</v>
      </c>
      <c r="P39" s="13" t="n">
        <v>34</v>
      </c>
      <c r="Q39" s="16" t="s">
        <v>24</v>
      </c>
      <c r="R39" s="16" t="s">
        <v>29</v>
      </c>
      <c r="S39" s="16" t="s">
        <v>25</v>
      </c>
      <c r="T39" s="16" t="s">
        <v>25</v>
      </c>
      <c r="U39" s="22" t="s">
        <v>21</v>
      </c>
    </row>
    <row r="40" customFormat="false" ht="15" hidden="false" customHeight="false" outlineLevel="0" collapsed="false">
      <c r="I40" s="13" t="n">
        <v>35</v>
      </c>
      <c r="J40" s="14" t="s">
        <v>29</v>
      </c>
      <c r="K40" s="14" t="s">
        <v>27</v>
      </c>
      <c r="L40" s="14" t="s">
        <v>24</v>
      </c>
      <c r="M40" s="14" t="s">
        <v>26</v>
      </c>
      <c r="N40" s="21" t="s">
        <v>29</v>
      </c>
      <c r="P40" s="13" t="n">
        <v>35</v>
      </c>
      <c r="Q40" s="16" t="s">
        <v>29</v>
      </c>
      <c r="R40" s="16" t="s">
        <v>27</v>
      </c>
      <c r="S40" s="16" t="s">
        <v>24</v>
      </c>
      <c r="T40" s="16" t="s">
        <v>26</v>
      </c>
      <c r="U40" s="22" t="s">
        <v>29</v>
      </c>
    </row>
    <row r="41" customFormat="false" ht="15" hidden="false" customHeight="false" outlineLevel="0" collapsed="false">
      <c r="I41" s="13" t="n">
        <v>36</v>
      </c>
      <c r="J41" s="14" t="s">
        <v>27</v>
      </c>
      <c r="K41" s="14" t="s">
        <v>27</v>
      </c>
      <c r="L41" s="14" t="s">
        <v>24</v>
      </c>
      <c r="M41" s="14" t="s">
        <v>30</v>
      </c>
      <c r="N41" s="21" t="s">
        <v>22</v>
      </c>
      <c r="P41" s="13" t="n">
        <v>36</v>
      </c>
      <c r="Q41" s="16" t="s">
        <v>27</v>
      </c>
      <c r="R41" s="16" t="s">
        <v>27</v>
      </c>
      <c r="S41" s="16" t="s">
        <v>24</v>
      </c>
      <c r="T41" s="16" t="s">
        <v>30</v>
      </c>
      <c r="U41" s="22" t="s">
        <v>22</v>
      </c>
    </row>
    <row r="42" customFormat="false" ht="15" hidden="false" customHeight="false" outlineLevel="0" collapsed="false">
      <c r="I42" s="13" t="n">
        <v>37</v>
      </c>
      <c r="J42" s="14" t="s">
        <v>27</v>
      </c>
      <c r="K42" s="14" t="s">
        <v>27</v>
      </c>
      <c r="L42" s="14" t="s">
        <v>24</v>
      </c>
      <c r="M42" s="14" t="s">
        <v>27</v>
      </c>
      <c r="N42" s="21" t="s">
        <v>25</v>
      </c>
      <c r="P42" s="13" t="n">
        <v>37</v>
      </c>
      <c r="Q42" s="16" t="s">
        <v>27</v>
      </c>
      <c r="R42" s="16" t="s">
        <v>27</v>
      </c>
      <c r="S42" s="16" t="s">
        <v>24</v>
      </c>
      <c r="T42" s="16" t="s">
        <v>27</v>
      </c>
      <c r="U42" s="22" t="s">
        <v>25</v>
      </c>
    </row>
    <row r="43" customFormat="false" ht="15" hidden="false" customHeight="false" outlineLevel="0" collapsed="false">
      <c r="I43" s="13" t="n">
        <v>38</v>
      </c>
      <c r="J43" s="14" t="n">
        <v>9</v>
      </c>
      <c r="K43" s="14" t="s">
        <v>30</v>
      </c>
      <c r="L43" s="14" t="n">
        <v>10</v>
      </c>
      <c r="M43" s="14" t="n">
        <v>9</v>
      </c>
      <c r="N43" s="21" t="s">
        <v>24</v>
      </c>
      <c r="P43" s="13" t="n">
        <v>38</v>
      </c>
      <c r="Q43" s="16" t="n">
        <v>9</v>
      </c>
      <c r="R43" s="16" t="s">
        <v>30</v>
      </c>
      <c r="S43" s="16" t="n">
        <v>10</v>
      </c>
      <c r="T43" s="16" t="n">
        <v>9</v>
      </c>
      <c r="U43" s="22" t="s">
        <v>24</v>
      </c>
      <c r="W43" s="39"/>
      <c r="X43" s="39"/>
      <c r="Y43" s="39"/>
      <c r="Z43" s="39"/>
      <c r="AA43" s="39"/>
      <c r="AB43" s="39"/>
      <c r="AC43" s="39"/>
      <c r="AD43" s="39"/>
      <c r="AE43" s="39"/>
      <c r="AF43" s="39"/>
      <c r="AG43" s="39"/>
    </row>
    <row r="44" customFormat="false" ht="15" hidden="false" customHeight="false" outlineLevel="0" collapsed="false">
      <c r="I44" s="13" t="n">
        <v>39</v>
      </c>
      <c r="J44" s="14" t="s">
        <v>25</v>
      </c>
      <c r="K44" s="14" t="s">
        <v>20</v>
      </c>
      <c r="L44" s="14" t="s">
        <v>22</v>
      </c>
      <c r="M44" s="14" t="s">
        <v>22</v>
      </c>
      <c r="N44" s="21" t="n">
        <v>10</v>
      </c>
      <c r="P44" s="13" t="n">
        <v>39</v>
      </c>
      <c r="Q44" s="16" t="s">
        <v>25</v>
      </c>
      <c r="R44" s="16" t="s">
        <v>20</v>
      </c>
      <c r="S44" s="16" t="s">
        <v>22</v>
      </c>
      <c r="T44" s="16" t="s">
        <v>22</v>
      </c>
      <c r="U44" s="22" t="n">
        <v>10</v>
      </c>
    </row>
    <row r="45" customFormat="false" ht="15" hidden="false" customHeight="false" outlineLevel="0" collapsed="false">
      <c r="I45" s="13" t="n">
        <v>40</v>
      </c>
      <c r="J45" s="14" t="s">
        <v>24</v>
      </c>
      <c r="K45" s="14" t="s">
        <v>34</v>
      </c>
      <c r="L45" s="14" t="s">
        <v>29</v>
      </c>
      <c r="M45" s="14" t="s">
        <v>30</v>
      </c>
      <c r="N45" s="21" t="s">
        <v>25</v>
      </c>
      <c r="P45" s="13" t="n">
        <v>40</v>
      </c>
      <c r="Q45" s="16" t="s">
        <v>24</v>
      </c>
      <c r="R45" s="16" t="s">
        <v>34</v>
      </c>
      <c r="S45" s="16" t="s">
        <v>29</v>
      </c>
      <c r="T45" s="16" t="s">
        <v>30</v>
      </c>
      <c r="U45" s="22" t="s">
        <v>25</v>
      </c>
    </row>
    <row r="46" customFormat="false" ht="15" hidden="false" customHeight="false" outlineLevel="0" collapsed="false">
      <c r="I46" s="13" t="n">
        <v>41</v>
      </c>
      <c r="J46" s="14" t="s">
        <v>24</v>
      </c>
      <c r="K46" s="14" t="s">
        <v>30</v>
      </c>
      <c r="L46" s="14" t="s">
        <v>35</v>
      </c>
      <c r="M46" s="14" t="s">
        <v>21</v>
      </c>
      <c r="N46" s="21" t="s">
        <v>22</v>
      </c>
      <c r="P46" s="13" t="n">
        <v>41</v>
      </c>
      <c r="Q46" s="16" t="s">
        <v>24</v>
      </c>
      <c r="R46" s="16" t="s">
        <v>30</v>
      </c>
      <c r="S46" s="16" t="s">
        <v>35</v>
      </c>
      <c r="T46" s="16" t="s">
        <v>21</v>
      </c>
      <c r="U46" s="22" t="s">
        <v>22</v>
      </c>
      <c r="W46" s="39"/>
    </row>
    <row r="47" customFormat="false" ht="15" hidden="false" customHeight="false" outlineLevel="0" collapsed="false">
      <c r="I47" s="13" t="n">
        <v>42</v>
      </c>
      <c r="J47" s="14" t="n">
        <v>10</v>
      </c>
      <c r="K47" s="14" t="s">
        <v>21</v>
      </c>
      <c r="L47" s="14" t="n">
        <v>10</v>
      </c>
      <c r="M47" s="14" t="s">
        <v>29</v>
      </c>
      <c r="N47" s="21" t="n">
        <v>10</v>
      </c>
      <c r="P47" s="13" t="n">
        <v>42</v>
      </c>
      <c r="Q47" s="16" t="n">
        <v>10</v>
      </c>
      <c r="R47" s="16" t="s">
        <v>21</v>
      </c>
      <c r="S47" s="16" t="n">
        <v>10</v>
      </c>
      <c r="T47" s="16" t="s">
        <v>29</v>
      </c>
      <c r="U47" s="22" t="n">
        <v>10</v>
      </c>
    </row>
    <row r="48" customFormat="false" ht="15" hidden="false" customHeight="false" outlineLevel="0" collapsed="false">
      <c r="I48" s="13" t="n">
        <v>43</v>
      </c>
      <c r="J48" s="14" t="s">
        <v>20</v>
      </c>
      <c r="K48" s="14" t="s">
        <v>29</v>
      </c>
      <c r="L48" s="14" t="s">
        <v>21</v>
      </c>
      <c r="M48" s="14" t="s">
        <v>24</v>
      </c>
      <c r="N48" s="21" t="s">
        <v>24</v>
      </c>
      <c r="P48" s="13" t="n">
        <v>43</v>
      </c>
      <c r="Q48" s="16" t="s">
        <v>20</v>
      </c>
      <c r="R48" s="16" t="s">
        <v>29</v>
      </c>
      <c r="S48" s="16" t="s">
        <v>21</v>
      </c>
      <c r="T48" s="16" t="s">
        <v>24</v>
      </c>
      <c r="U48" s="22" t="s">
        <v>24</v>
      </c>
    </row>
    <row r="49" customFormat="false" ht="15" hidden="false" customHeight="false" outlineLevel="0" collapsed="false">
      <c r="I49" s="13" t="n">
        <v>44</v>
      </c>
      <c r="J49" s="14" t="s">
        <v>34</v>
      </c>
      <c r="K49" s="14" t="s">
        <v>24</v>
      </c>
      <c r="L49" s="14" t="s">
        <v>21</v>
      </c>
      <c r="M49" s="14" t="s">
        <v>24</v>
      </c>
      <c r="N49" s="21" t="s">
        <v>30</v>
      </c>
      <c r="P49" s="13" t="n">
        <v>44</v>
      </c>
      <c r="Q49" s="16" t="s">
        <v>34</v>
      </c>
      <c r="R49" s="16" t="s">
        <v>24</v>
      </c>
      <c r="S49" s="16" t="s">
        <v>21</v>
      </c>
      <c r="T49" s="16" t="s">
        <v>24</v>
      </c>
      <c r="U49" s="22" t="s">
        <v>30</v>
      </c>
    </row>
    <row r="50" customFormat="false" ht="15" hidden="false" customHeight="false" outlineLevel="0" collapsed="false">
      <c r="I50" s="13" t="n">
        <v>45</v>
      </c>
      <c r="J50" s="14" t="s">
        <v>29</v>
      </c>
      <c r="K50" s="14" t="s">
        <v>25</v>
      </c>
      <c r="L50" s="14" t="s">
        <v>21</v>
      </c>
      <c r="M50" s="14" t="s">
        <v>24</v>
      </c>
      <c r="N50" s="21" t="s">
        <v>34</v>
      </c>
      <c r="P50" s="13" t="n">
        <v>45</v>
      </c>
      <c r="Q50" s="16" t="s">
        <v>29</v>
      </c>
      <c r="R50" s="16" t="s">
        <v>25</v>
      </c>
      <c r="S50" s="16" t="s">
        <v>21</v>
      </c>
      <c r="T50" s="16" t="s">
        <v>24</v>
      </c>
      <c r="U50" s="22" t="s">
        <v>34</v>
      </c>
    </row>
    <row r="51" customFormat="false" ht="15" hidden="false" customHeight="false" outlineLevel="0" collapsed="false">
      <c r="I51" s="13" t="n">
        <v>46</v>
      </c>
      <c r="J51" s="14" t="n">
        <v>10</v>
      </c>
      <c r="K51" s="14" t="s">
        <v>27</v>
      </c>
      <c r="L51" s="14" t="s">
        <v>25</v>
      </c>
      <c r="M51" s="14" t="n">
        <v>9</v>
      </c>
      <c r="N51" s="21" t="s">
        <v>21</v>
      </c>
      <c r="P51" s="13" t="n">
        <v>46</v>
      </c>
      <c r="Q51" s="16" t="n">
        <v>10</v>
      </c>
      <c r="R51" s="16" t="s">
        <v>27</v>
      </c>
      <c r="S51" s="16" t="s">
        <v>25</v>
      </c>
      <c r="T51" s="16" t="n">
        <v>9</v>
      </c>
      <c r="U51" s="22" t="s">
        <v>21</v>
      </c>
    </row>
    <row r="52" customFormat="false" ht="15" hidden="false" customHeight="false" outlineLevel="0" collapsed="false">
      <c r="I52" s="13" t="n">
        <v>47</v>
      </c>
      <c r="J52" s="14" t="s">
        <v>27</v>
      </c>
      <c r="K52" s="14" t="s">
        <v>27</v>
      </c>
      <c r="L52" s="14" t="s">
        <v>26</v>
      </c>
      <c r="M52" s="14" t="s">
        <v>25</v>
      </c>
      <c r="N52" s="21" t="s">
        <v>25</v>
      </c>
      <c r="P52" s="13" t="n">
        <v>47</v>
      </c>
      <c r="Q52" s="16" t="s">
        <v>27</v>
      </c>
      <c r="R52" s="16" t="s">
        <v>27</v>
      </c>
      <c r="S52" s="16" t="s">
        <v>26</v>
      </c>
      <c r="T52" s="16" t="s">
        <v>25</v>
      </c>
      <c r="U52" s="22" t="s">
        <v>25</v>
      </c>
    </row>
    <row r="53" customFormat="false" ht="15" hidden="false" customHeight="false" outlineLevel="0" collapsed="false">
      <c r="I53" s="13" t="n">
        <v>48</v>
      </c>
      <c r="J53" s="14" t="n">
        <v>9</v>
      </c>
      <c r="K53" s="14" t="s">
        <v>30</v>
      </c>
      <c r="L53" s="14" t="s">
        <v>29</v>
      </c>
      <c r="M53" s="14" t="s">
        <v>26</v>
      </c>
      <c r="N53" s="21" t="s">
        <v>24</v>
      </c>
      <c r="P53" s="13" t="n">
        <v>48</v>
      </c>
      <c r="Q53" s="16" t="n">
        <v>9</v>
      </c>
      <c r="R53" s="16" t="s">
        <v>30</v>
      </c>
      <c r="S53" s="16" t="s">
        <v>29</v>
      </c>
      <c r="T53" s="16" t="s">
        <v>26</v>
      </c>
      <c r="U53" s="22" t="s">
        <v>24</v>
      </c>
    </row>
    <row r="54" customFormat="false" ht="15" hidden="false" customHeight="false" outlineLevel="0" collapsed="false">
      <c r="I54" s="13" t="n">
        <v>49</v>
      </c>
      <c r="J54" s="14" t="s">
        <v>21</v>
      </c>
      <c r="K54" s="14" t="s">
        <v>26</v>
      </c>
      <c r="L54" s="14" t="s">
        <v>22</v>
      </c>
      <c r="M54" s="14" t="s">
        <v>29</v>
      </c>
      <c r="N54" s="21" t="s">
        <v>24</v>
      </c>
      <c r="P54" s="13" t="n">
        <v>49</v>
      </c>
      <c r="Q54" s="16" t="s">
        <v>21</v>
      </c>
      <c r="R54" s="16" t="s">
        <v>26</v>
      </c>
      <c r="S54" s="16" t="s">
        <v>22</v>
      </c>
      <c r="T54" s="16" t="s">
        <v>29</v>
      </c>
      <c r="U54" s="22" t="s">
        <v>24</v>
      </c>
    </row>
    <row r="55" customFormat="false" ht="15" hidden="false" customHeight="false" outlineLevel="0" collapsed="false">
      <c r="I55" s="13" t="n">
        <v>50</v>
      </c>
      <c r="J55" s="14" t="s">
        <v>29</v>
      </c>
      <c r="K55" s="14" t="s">
        <v>30</v>
      </c>
      <c r="L55" s="14" t="s">
        <v>22</v>
      </c>
      <c r="M55" s="14" t="s">
        <v>34</v>
      </c>
      <c r="N55" s="21" t="s">
        <v>24</v>
      </c>
      <c r="P55" s="13" t="n">
        <v>50</v>
      </c>
      <c r="Q55" s="16" t="s">
        <v>29</v>
      </c>
      <c r="R55" s="16" t="s">
        <v>30</v>
      </c>
      <c r="S55" s="16" t="s">
        <v>22</v>
      </c>
      <c r="T55" s="16" t="s">
        <v>34</v>
      </c>
      <c r="U55" s="22" t="s">
        <v>24</v>
      </c>
    </row>
    <row r="56" customFormat="false" ht="15" hidden="false" customHeight="false" outlineLevel="0" collapsed="false">
      <c r="I56" s="13" t="n">
        <v>51</v>
      </c>
      <c r="J56" s="14" t="s">
        <v>24</v>
      </c>
      <c r="K56" s="14" t="s">
        <v>21</v>
      </c>
      <c r="L56" s="14" t="s">
        <v>30</v>
      </c>
      <c r="M56" s="14" t="s">
        <v>21</v>
      </c>
      <c r="N56" s="21" t="s">
        <v>30</v>
      </c>
      <c r="P56" s="13" t="n">
        <v>51</v>
      </c>
      <c r="Q56" s="16" t="s">
        <v>24</v>
      </c>
      <c r="R56" s="16" t="s">
        <v>21</v>
      </c>
      <c r="S56" s="16" t="s">
        <v>30</v>
      </c>
      <c r="T56" s="16" t="s">
        <v>21</v>
      </c>
      <c r="U56" s="22" t="s">
        <v>30</v>
      </c>
    </row>
    <row r="57" customFormat="false" ht="15" hidden="false" customHeight="false" outlineLevel="0" collapsed="false">
      <c r="I57" s="13" t="n">
        <v>52</v>
      </c>
      <c r="J57" s="14" t="s">
        <v>25</v>
      </c>
      <c r="K57" s="14" t="s">
        <v>21</v>
      </c>
      <c r="L57" s="14" t="s">
        <v>25</v>
      </c>
      <c r="M57" s="14" t="s">
        <v>21</v>
      </c>
      <c r="N57" s="21" t="s">
        <v>25</v>
      </c>
      <c r="P57" s="13" t="n">
        <v>52</v>
      </c>
      <c r="Q57" s="16" t="s">
        <v>25</v>
      </c>
      <c r="R57" s="16" t="s">
        <v>21</v>
      </c>
      <c r="S57" s="16" t="s">
        <v>25</v>
      </c>
      <c r="T57" s="16" t="s">
        <v>21</v>
      </c>
      <c r="U57" s="22" t="s">
        <v>25</v>
      </c>
    </row>
    <row r="58" customFormat="false" ht="15" hidden="false" customHeight="false" outlineLevel="0" collapsed="false">
      <c r="I58" s="13" t="n">
        <v>53</v>
      </c>
      <c r="J58" s="14" t="n">
        <v>9</v>
      </c>
      <c r="K58" s="14" t="s">
        <v>21</v>
      </c>
      <c r="L58" s="14" t="s">
        <v>29</v>
      </c>
      <c r="M58" s="14" t="s">
        <v>21</v>
      </c>
      <c r="N58" s="21" t="s">
        <v>27</v>
      </c>
      <c r="P58" s="13" t="n">
        <v>53</v>
      </c>
      <c r="Q58" s="16" t="n">
        <v>9</v>
      </c>
      <c r="R58" s="16" t="s">
        <v>21</v>
      </c>
      <c r="S58" s="16" t="s">
        <v>29</v>
      </c>
      <c r="T58" s="16" t="s">
        <v>21</v>
      </c>
      <c r="U58" s="22" t="s">
        <v>27</v>
      </c>
    </row>
    <row r="59" customFormat="false" ht="15" hidden="false" customHeight="false" outlineLevel="0" collapsed="false">
      <c r="I59" s="13" t="n">
        <v>54</v>
      </c>
      <c r="J59" s="14" t="s">
        <v>22</v>
      </c>
      <c r="K59" s="14" t="n">
        <v>9</v>
      </c>
      <c r="L59" s="14" t="s">
        <v>27</v>
      </c>
      <c r="M59" s="14" t="n">
        <v>10</v>
      </c>
      <c r="N59" s="21" t="s">
        <v>34</v>
      </c>
      <c r="P59" s="13" t="n">
        <v>54</v>
      </c>
      <c r="Q59" s="16" t="s">
        <v>22</v>
      </c>
      <c r="R59" s="16" t="n">
        <v>9</v>
      </c>
      <c r="S59" s="16" t="s">
        <v>27</v>
      </c>
      <c r="T59" s="16" t="n">
        <v>10</v>
      </c>
      <c r="U59" s="22" t="s">
        <v>34</v>
      </c>
    </row>
    <row r="60" customFormat="false" ht="15" hidden="false" customHeight="false" outlineLevel="0" collapsed="false">
      <c r="I60" s="13" t="n">
        <v>55</v>
      </c>
      <c r="J60" s="14" t="s">
        <v>22</v>
      </c>
      <c r="K60" s="14" t="n">
        <v>10</v>
      </c>
      <c r="L60" s="14" t="s">
        <v>27</v>
      </c>
      <c r="M60" s="14" t="s">
        <v>24</v>
      </c>
      <c r="N60" s="21" t="s">
        <v>26</v>
      </c>
      <c r="P60" s="13" t="n">
        <v>55</v>
      </c>
      <c r="Q60" s="16" t="s">
        <v>22</v>
      </c>
      <c r="R60" s="16" t="n">
        <v>10</v>
      </c>
      <c r="S60" s="16" t="n">
        <v>10</v>
      </c>
      <c r="T60" s="16" t="s">
        <v>24</v>
      </c>
      <c r="U60" s="22" t="s">
        <v>26</v>
      </c>
    </row>
    <row r="61" customFormat="false" ht="15" hidden="false" customHeight="false" outlineLevel="0" collapsed="false">
      <c r="I61" s="13" t="n">
        <v>56</v>
      </c>
      <c r="J61" s="14" t="n">
        <v>10</v>
      </c>
      <c r="K61" s="14" t="s">
        <v>27</v>
      </c>
      <c r="L61" s="14" t="s">
        <v>27</v>
      </c>
      <c r="M61" s="14" t="s">
        <v>25</v>
      </c>
      <c r="N61" s="21" t="s">
        <v>29</v>
      </c>
      <c r="P61" s="13" t="n">
        <v>56</v>
      </c>
      <c r="Q61" s="16" t="n">
        <v>10</v>
      </c>
      <c r="R61" s="16" t="s">
        <v>27</v>
      </c>
      <c r="S61" s="16" t="s">
        <v>35</v>
      </c>
      <c r="T61" s="16" t="s">
        <v>25</v>
      </c>
      <c r="U61" s="22" t="s">
        <v>29</v>
      </c>
    </row>
    <row r="62" customFormat="false" ht="15" hidden="false" customHeight="false" outlineLevel="0" collapsed="false">
      <c r="I62" s="13" t="n">
        <v>57</v>
      </c>
      <c r="J62" s="14" t="s">
        <v>30</v>
      </c>
      <c r="K62" s="14" t="s">
        <v>29</v>
      </c>
      <c r="L62" s="14" t="s">
        <v>30</v>
      </c>
      <c r="M62" s="14" t="s">
        <v>26</v>
      </c>
      <c r="N62" s="21" t="s">
        <v>22</v>
      </c>
      <c r="P62" s="13" t="n">
        <v>57</v>
      </c>
      <c r="Q62" s="16" t="s">
        <v>30</v>
      </c>
      <c r="R62" s="16" t="s">
        <v>29</v>
      </c>
      <c r="S62" s="16" t="s">
        <v>30</v>
      </c>
      <c r="T62" s="16" t="s">
        <v>26</v>
      </c>
      <c r="U62" s="22" t="s">
        <v>22</v>
      </c>
    </row>
    <row r="63" customFormat="false" ht="15" hidden="false" customHeight="false" outlineLevel="0" collapsed="false">
      <c r="I63" s="13" t="n">
        <v>58</v>
      </c>
      <c r="J63" s="14" t="s">
        <v>24</v>
      </c>
      <c r="K63" s="14" t="s">
        <v>25</v>
      </c>
      <c r="L63" s="14" t="s">
        <v>26</v>
      </c>
      <c r="M63" s="14" t="s">
        <v>30</v>
      </c>
      <c r="N63" s="21" t="s">
        <v>25</v>
      </c>
      <c r="P63" s="13" t="n">
        <v>58</v>
      </c>
      <c r="Q63" s="16" t="s">
        <v>24</v>
      </c>
      <c r="R63" s="16" t="s">
        <v>25</v>
      </c>
      <c r="S63" s="16" t="s">
        <v>26</v>
      </c>
      <c r="T63" s="16" t="s">
        <v>30</v>
      </c>
      <c r="U63" s="22" t="s">
        <v>25</v>
      </c>
    </row>
    <row r="64" customFormat="false" ht="15" hidden="false" customHeight="false" outlineLevel="0" collapsed="false">
      <c r="I64" s="13" t="n">
        <v>59</v>
      </c>
      <c r="J64" s="14" t="s">
        <v>34</v>
      </c>
      <c r="K64" s="14" t="s">
        <v>20</v>
      </c>
      <c r="L64" s="14" t="n">
        <v>10</v>
      </c>
      <c r="M64" s="14" t="s">
        <v>27</v>
      </c>
      <c r="N64" s="21" t="s">
        <v>24</v>
      </c>
      <c r="P64" s="13" t="n">
        <v>59</v>
      </c>
      <c r="Q64" s="16" t="s">
        <v>34</v>
      </c>
      <c r="R64" s="16" t="s">
        <v>20</v>
      </c>
      <c r="S64" s="16" t="n">
        <v>10</v>
      </c>
      <c r="T64" s="16" t="s">
        <v>27</v>
      </c>
      <c r="U64" s="22" t="s">
        <v>24</v>
      </c>
    </row>
    <row r="65" customFormat="false" ht="15" hidden="false" customHeight="false" outlineLevel="0" collapsed="false">
      <c r="I65" s="13" t="n">
        <v>60</v>
      </c>
      <c r="J65" s="14" t="n">
        <v>10</v>
      </c>
      <c r="K65" s="14" t="s">
        <v>29</v>
      </c>
      <c r="L65" s="14" t="s">
        <v>21</v>
      </c>
      <c r="M65" s="14" t="n">
        <v>9</v>
      </c>
      <c r="N65" s="21" t="s">
        <v>29</v>
      </c>
      <c r="P65" s="13" t="n">
        <v>60</v>
      </c>
      <c r="Q65" s="16" t="n">
        <v>10</v>
      </c>
      <c r="R65" s="16" t="s">
        <v>29</v>
      </c>
      <c r="S65" s="16" t="s">
        <v>21</v>
      </c>
      <c r="T65" s="16" t="n">
        <v>9</v>
      </c>
      <c r="U65" s="22" t="s">
        <v>29</v>
      </c>
    </row>
    <row r="66" customFormat="false" ht="15" hidden="false" customHeight="false" outlineLevel="0" collapsed="false">
      <c r="I66" s="13" t="n">
        <v>61</v>
      </c>
      <c r="J66" s="14" t="s">
        <v>25</v>
      </c>
      <c r="K66" s="14" t="s">
        <v>30</v>
      </c>
      <c r="L66" s="14" t="n">
        <v>9</v>
      </c>
      <c r="M66" s="14" t="s">
        <v>22</v>
      </c>
      <c r="N66" s="21" t="s">
        <v>27</v>
      </c>
      <c r="P66" s="13" t="n">
        <v>61</v>
      </c>
      <c r="Q66" s="16" t="s">
        <v>25</v>
      </c>
      <c r="R66" s="16" t="s">
        <v>30</v>
      </c>
      <c r="S66" s="16" t="n">
        <v>9</v>
      </c>
      <c r="T66" s="16" t="s">
        <v>22</v>
      </c>
      <c r="U66" s="22" t="s">
        <v>27</v>
      </c>
    </row>
    <row r="67" customFormat="false" ht="15" hidden="false" customHeight="false" outlineLevel="0" collapsed="false">
      <c r="I67" s="13" t="n">
        <v>62</v>
      </c>
      <c r="J67" s="14" t="s">
        <v>27</v>
      </c>
      <c r="K67" s="14" t="n">
        <v>10</v>
      </c>
      <c r="L67" s="14" t="s">
        <v>27</v>
      </c>
      <c r="M67" s="14" t="s">
        <v>22</v>
      </c>
      <c r="N67" s="21" t="s">
        <v>27</v>
      </c>
      <c r="P67" s="13" t="n">
        <v>62</v>
      </c>
      <c r="Q67" s="16" t="s">
        <v>27</v>
      </c>
      <c r="R67" s="16" t="n">
        <v>10</v>
      </c>
      <c r="S67" s="16" t="s">
        <v>27</v>
      </c>
      <c r="T67" s="16" t="s">
        <v>22</v>
      </c>
      <c r="U67" s="22" t="s">
        <v>27</v>
      </c>
    </row>
    <row r="68" customFormat="false" ht="15" hidden="false" customHeight="false" outlineLevel="0" collapsed="false">
      <c r="I68" s="13" t="n">
        <v>63</v>
      </c>
      <c r="J68" s="14" t="s">
        <v>29</v>
      </c>
      <c r="K68" s="14" t="s">
        <v>24</v>
      </c>
      <c r="L68" s="14" t="s">
        <v>25</v>
      </c>
      <c r="M68" s="14" t="s">
        <v>30</v>
      </c>
      <c r="N68" s="21" t="s">
        <v>27</v>
      </c>
      <c r="P68" s="13" t="n">
        <v>63</v>
      </c>
      <c r="Q68" s="16" t="s">
        <v>29</v>
      </c>
      <c r="R68" s="16" t="s">
        <v>24</v>
      </c>
      <c r="S68" s="16" t="s">
        <v>25</v>
      </c>
      <c r="T68" s="16" t="s">
        <v>30</v>
      </c>
      <c r="U68" s="22" t="s">
        <v>27</v>
      </c>
    </row>
    <row r="69" customFormat="false" ht="15" hidden="false" customHeight="false" outlineLevel="0" collapsed="false">
      <c r="I69" s="13" t="n">
        <v>64</v>
      </c>
      <c r="J69" s="14" t="s">
        <v>22</v>
      </c>
      <c r="K69" s="14" t="s">
        <v>34</v>
      </c>
      <c r="L69" s="14" t="s">
        <v>22</v>
      </c>
      <c r="M69" s="14" t="s">
        <v>20</v>
      </c>
      <c r="N69" s="21" t="n">
        <v>10</v>
      </c>
      <c r="P69" s="13" t="n">
        <v>64</v>
      </c>
      <c r="Q69" s="16" t="s">
        <v>22</v>
      </c>
      <c r="R69" s="16" t="s">
        <v>34</v>
      </c>
      <c r="S69" s="16" t="s">
        <v>22</v>
      </c>
      <c r="T69" s="16" t="s">
        <v>20</v>
      </c>
      <c r="U69" s="22" t="n">
        <v>10</v>
      </c>
    </row>
    <row r="70" customFormat="false" ht="15" hidden="false" customHeight="false" outlineLevel="0" collapsed="false">
      <c r="I70" s="13" t="n">
        <v>65</v>
      </c>
      <c r="J70" s="14" t="s">
        <v>30</v>
      </c>
      <c r="K70" s="14" t="s">
        <v>21</v>
      </c>
      <c r="L70" s="14" t="s">
        <v>30</v>
      </c>
      <c r="M70" s="14" t="n">
        <v>10</v>
      </c>
      <c r="N70" s="21" t="s">
        <v>21</v>
      </c>
      <c r="P70" s="13" t="n">
        <v>65</v>
      </c>
      <c r="Q70" s="16" t="s">
        <v>30</v>
      </c>
      <c r="R70" s="16" t="s">
        <v>21</v>
      </c>
      <c r="S70" s="16" t="s">
        <v>30</v>
      </c>
      <c r="T70" s="16" t="n">
        <v>10</v>
      </c>
      <c r="U70" s="22" t="s">
        <v>21</v>
      </c>
    </row>
    <row r="71" customFormat="false" ht="15" hidden="false" customHeight="false" outlineLevel="0" collapsed="false">
      <c r="I71" s="13" t="n">
        <v>66</v>
      </c>
      <c r="J71" s="14" t="s">
        <v>24</v>
      </c>
      <c r="K71" s="14" t="s">
        <v>25</v>
      </c>
      <c r="L71" s="14" t="s">
        <v>20</v>
      </c>
      <c r="M71" s="14" t="s">
        <v>22</v>
      </c>
      <c r="N71" s="21" t="s">
        <v>29</v>
      </c>
      <c r="P71" s="13" t="n">
        <v>66</v>
      </c>
      <c r="Q71" s="16" t="s">
        <v>24</v>
      </c>
      <c r="R71" s="16" t="s">
        <v>25</v>
      </c>
      <c r="S71" s="16" t="s">
        <v>20</v>
      </c>
      <c r="T71" s="16" t="s">
        <v>22</v>
      </c>
      <c r="U71" s="22" t="s">
        <v>29</v>
      </c>
    </row>
    <row r="72" customFormat="false" ht="15" hidden="false" customHeight="false" outlineLevel="0" collapsed="false">
      <c r="I72" s="13" t="n">
        <v>67</v>
      </c>
      <c r="J72" s="14" t="n">
        <v>10</v>
      </c>
      <c r="K72" s="14" t="s">
        <v>27</v>
      </c>
      <c r="L72" s="14" t="n">
        <v>10</v>
      </c>
      <c r="M72" s="14" t="s">
        <v>30</v>
      </c>
      <c r="N72" s="21" t="s">
        <v>22</v>
      </c>
      <c r="P72" s="13" t="n">
        <v>67</v>
      </c>
      <c r="Q72" s="16" t="n">
        <v>10</v>
      </c>
      <c r="R72" s="16" t="s">
        <v>27</v>
      </c>
      <c r="S72" s="16" t="n">
        <v>10</v>
      </c>
      <c r="T72" s="16" t="s">
        <v>30</v>
      </c>
      <c r="U72" s="22" t="s">
        <v>22</v>
      </c>
    </row>
    <row r="73" customFormat="false" ht="15" hidden="false" customHeight="false" outlineLevel="0" collapsed="false">
      <c r="I73" s="13" t="n">
        <v>68</v>
      </c>
      <c r="J73" s="14" t="s">
        <v>21</v>
      </c>
      <c r="K73" s="14" t="s">
        <v>29</v>
      </c>
      <c r="L73" s="14" t="n">
        <v>9</v>
      </c>
      <c r="M73" s="14" t="s">
        <v>26</v>
      </c>
      <c r="N73" s="21" t="s">
        <v>22</v>
      </c>
      <c r="P73" s="13" t="n">
        <v>68</v>
      </c>
      <c r="Q73" s="16" t="s">
        <v>21</v>
      </c>
      <c r="R73" s="16" t="s">
        <v>29</v>
      </c>
      <c r="S73" s="16" t="n">
        <v>9</v>
      </c>
      <c r="T73" s="16" t="s">
        <v>26</v>
      </c>
      <c r="U73" s="22" t="s">
        <v>22</v>
      </c>
    </row>
    <row r="74" customFormat="false" ht="15" hidden="false" customHeight="false" outlineLevel="0" collapsed="false">
      <c r="I74" s="13" t="n">
        <v>69</v>
      </c>
      <c r="J74" s="14" t="s">
        <v>34</v>
      </c>
      <c r="K74" s="14" t="s">
        <v>26</v>
      </c>
      <c r="L74" s="14" t="s">
        <v>27</v>
      </c>
      <c r="M74" s="14" t="s">
        <v>26</v>
      </c>
      <c r="N74" s="21" t="s">
        <v>22</v>
      </c>
      <c r="P74" s="13" t="n">
        <v>69</v>
      </c>
      <c r="Q74" s="16" t="s">
        <v>34</v>
      </c>
      <c r="R74" s="16" t="s">
        <v>26</v>
      </c>
      <c r="S74" s="16" t="s">
        <v>27</v>
      </c>
      <c r="T74" s="16" t="s">
        <v>26</v>
      </c>
      <c r="U74" s="22" t="s">
        <v>22</v>
      </c>
    </row>
    <row r="75" customFormat="false" ht="15" hidden="false" customHeight="false" outlineLevel="0" collapsed="false">
      <c r="I75" s="13" t="n">
        <v>70</v>
      </c>
      <c r="J75" s="14" t="s">
        <v>20</v>
      </c>
      <c r="K75" s="14" t="n">
        <v>9</v>
      </c>
      <c r="L75" s="14" t="s">
        <v>22</v>
      </c>
      <c r="M75" s="14" t="n">
        <v>10</v>
      </c>
      <c r="N75" s="21" t="s">
        <v>25</v>
      </c>
      <c r="P75" s="13" t="n">
        <v>70</v>
      </c>
      <c r="Q75" s="16" t="s">
        <v>20</v>
      </c>
      <c r="R75" s="16" t="n">
        <v>9</v>
      </c>
      <c r="S75" s="16" t="s">
        <v>22</v>
      </c>
      <c r="T75" s="16" t="n">
        <v>10</v>
      </c>
      <c r="U75" s="22" t="s">
        <v>25</v>
      </c>
    </row>
    <row r="76" customFormat="false" ht="15" hidden="false" customHeight="false" outlineLevel="0" collapsed="false">
      <c r="I76" s="13" t="n">
        <v>71</v>
      </c>
      <c r="J76" s="14" t="s">
        <v>30</v>
      </c>
      <c r="K76" s="14" t="s">
        <v>26</v>
      </c>
      <c r="L76" s="14" t="s">
        <v>29</v>
      </c>
      <c r="M76" s="14" t="s">
        <v>34</v>
      </c>
      <c r="N76" s="21" t="n">
        <v>10</v>
      </c>
      <c r="P76" s="13" t="n">
        <v>71</v>
      </c>
      <c r="Q76" s="16" t="s">
        <v>30</v>
      </c>
      <c r="R76" s="16" t="s">
        <v>26</v>
      </c>
      <c r="S76" s="16" t="s">
        <v>29</v>
      </c>
      <c r="T76" s="16" t="s">
        <v>34</v>
      </c>
      <c r="U76" s="22" t="n">
        <v>10</v>
      </c>
    </row>
    <row r="77" customFormat="false" ht="15" hidden="false" customHeight="false" outlineLevel="0" collapsed="false">
      <c r="I77" s="13" t="n">
        <v>72</v>
      </c>
      <c r="J77" s="14" t="n">
        <v>10</v>
      </c>
      <c r="K77" s="14" t="s">
        <v>26</v>
      </c>
      <c r="L77" s="14" t="s">
        <v>26</v>
      </c>
      <c r="M77" s="14" t="s">
        <v>21</v>
      </c>
      <c r="N77" s="21" t="s">
        <v>20</v>
      </c>
      <c r="P77" s="13" t="n">
        <v>72</v>
      </c>
      <c r="Q77" s="16" t="n">
        <v>10</v>
      </c>
      <c r="R77" s="16" t="s">
        <v>26</v>
      </c>
      <c r="S77" s="16" t="s">
        <v>26</v>
      </c>
      <c r="T77" s="16" t="s">
        <v>21</v>
      </c>
      <c r="U77" s="22" t="s">
        <v>20</v>
      </c>
    </row>
    <row r="78" customFormat="false" ht="15" hidden="false" customHeight="false" outlineLevel="0" collapsed="false">
      <c r="I78" s="13" t="n">
        <v>73</v>
      </c>
      <c r="J78" s="14" t="s">
        <v>26</v>
      </c>
      <c r="K78" s="14" t="s">
        <v>34</v>
      </c>
      <c r="L78" s="14" t="n">
        <v>9</v>
      </c>
      <c r="M78" s="14" t="n">
        <v>9</v>
      </c>
      <c r="N78" s="21" t="s">
        <v>34</v>
      </c>
      <c r="P78" s="13" t="n">
        <v>73</v>
      </c>
      <c r="Q78" s="16" t="s">
        <v>26</v>
      </c>
      <c r="R78" s="16" t="s">
        <v>34</v>
      </c>
      <c r="S78" s="16" t="n">
        <v>9</v>
      </c>
      <c r="T78" s="16" t="n">
        <v>9</v>
      </c>
      <c r="U78" s="22" t="s">
        <v>34</v>
      </c>
    </row>
    <row r="79" customFormat="false" ht="15" hidden="false" customHeight="false" outlineLevel="0" collapsed="false">
      <c r="I79" s="13" t="n">
        <v>74</v>
      </c>
      <c r="J79" s="14" t="s">
        <v>30</v>
      </c>
      <c r="K79" s="14" t="s">
        <v>25</v>
      </c>
      <c r="L79" s="14" t="s">
        <v>24</v>
      </c>
      <c r="M79" s="14" t="s">
        <v>26</v>
      </c>
      <c r="N79" s="21" t="s">
        <v>27</v>
      </c>
      <c r="P79" s="13" t="n">
        <v>74</v>
      </c>
      <c r="Q79" s="16" t="s">
        <v>30</v>
      </c>
      <c r="R79" s="16" t="s">
        <v>25</v>
      </c>
      <c r="S79" s="16" t="s">
        <v>24</v>
      </c>
      <c r="T79" s="16" t="s">
        <v>26</v>
      </c>
      <c r="U79" s="22" t="s">
        <v>27</v>
      </c>
    </row>
    <row r="80" customFormat="false" ht="15" hidden="false" customHeight="false" outlineLevel="0" collapsed="false">
      <c r="I80" s="13" t="n">
        <v>75</v>
      </c>
      <c r="J80" s="14" t="s">
        <v>27</v>
      </c>
      <c r="K80" s="14" t="s">
        <v>24</v>
      </c>
      <c r="L80" s="14" t="s">
        <v>34</v>
      </c>
      <c r="M80" s="14" t="s">
        <v>30</v>
      </c>
      <c r="N80" s="21" t="s">
        <v>29</v>
      </c>
      <c r="P80" s="13" t="n">
        <v>75</v>
      </c>
      <c r="Q80" s="16" t="s">
        <v>27</v>
      </c>
      <c r="R80" s="16" t="s">
        <v>24</v>
      </c>
      <c r="S80" s="16" t="s">
        <v>34</v>
      </c>
      <c r="T80" s="16" t="s">
        <v>30</v>
      </c>
      <c r="U80" s="22" t="s">
        <v>29</v>
      </c>
    </row>
    <row r="81" customFormat="false" ht="15" hidden="false" customHeight="false" outlineLevel="0" collapsed="false">
      <c r="I81" s="13" t="n">
        <v>76</v>
      </c>
      <c r="J81" s="14" t="s">
        <v>25</v>
      </c>
      <c r="K81" s="14" t="s">
        <v>25</v>
      </c>
      <c r="L81" s="14" t="s">
        <v>21</v>
      </c>
      <c r="M81" s="14" t="s">
        <v>21</v>
      </c>
      <c r="N81" s="21" t="s">
        <v>24</v>
      </c>
      <c r="P81" s="13" t="n">
        <v>76</v>
      </c>
      <c r="Q81" s="16" t="s">
        <v>25</v>
      </c>
      <c r="R81" s="16" t="s">
        <v>25</v>
      </c>
      <c r="S81" s="16" t="s">
        <v>21</v>
      </c>
      <c r="T81" s="16" t="s">
        <v>21</v>
      </c>
      <c r="U81" s="22" t="s">
        <v>24</v>
      </c>
    </row>
    <row r="82" customFormat="false" ht="15" hidden="false" customHeight="false" outlineLevel="0" collapsed="false">
      <c r="I82" s="13" t="n">
        <v>77</v>
      </c>
      <c r="J82" s="14" t="s">
        <v>22</v>
      </c>
      <c r="K82" s="14" t="s">
        <v>27</v>
      </c>
      <c r="L82" s="14" t="s">
        <v>30</v>
      </c>
      <c r="M82" s="14" t="s">
        <v>26</v>
      </c>
      <c r="N82" s="21" t="n">
        <v>9</v>
      </c>
      <c r="P82" s="13" t="n">
        <v>77</v>
      </c>
      <c r="Q82" s="16" t="s">
        <v>22</v>
      </c>
      <c r="R82" s="16" t="s">
        <v>27</v>
      </c>
      <c r="S82" s="16" t="s">
        <v>30</v>
      </c>
      <c r="T82" s="16" t="s">
        <v>26</v>
      </c>
      <c r="U82" s="22" t="n">
        <v>9</v>
      </c>
    </row>
    <row r="83" customFormat="false" ht="15" hidden="false" customHeight="false" outlineLevel="0" collapsed="false">
      <c r="I83" s="13" t="n">
        <v>78</v>
      </c>
      <c r="J83" s="14" t="n">
        <v>10</v>
      </c>
      <c r="K83" s="14" t="s">
        <v>29</v>
      </c>
      <c r="L83" s="14" t="s">
        <v>26</v>
      </c>
      <c r="M83" s="14" t="s">
        <v>25</v>
      </c>
      <c r="N83" s="21" t="s">
        <v>22</v>
      </c>
      <c r="P83" s="13" t="n">
        <v>78</v>
      </c>
      <c r="Q83" s="16" t="n">
        <v>10</v>
      </c>
      <c r="R83" s="16" t="s">
        <v>29</v>
      </c>
      <c r="S83" s="16" t="s">
        <v>26</v>
      </c>
      <c r="T83" s="16" t="s">
        <v>25</v>
      </c>
      <c r="U83" s="22" t="s">
        <v>22</v>
      </c>
    </row>
    <row r="84" customFormat="false" ht="15" hidden="false" customHeight="false" outlineLevel="0" collapsed="false">
      <c r="I84" s="13" t="n">
        <v>79</v>
      </c>
      <c r="J84" s="14" t="s">
        <v>21</v>
      </c>
      <c r="K84" s="14" t="s">
        <v>26</v>
      </c>
      <c r="L84" s="14" t="n">
        <v>10</v>
      </c>
      <c r="M84" s="14" t="s">
        <v>30</v>
      </c>
      <c r="N84" s="21" t="s">
        <v>30</v>
      </c>
      <c r="P84" s="13" t="n">
        <v>79</v>
      </c>
      <c r="Q84" s="16" t="s">
        <v>21</v>
      </c>
      <c r="R84" s="16" t="s">
        <v>26</v>
      </c>
      <c r="S84" s="16" t="n">
        <v>10</v>
      </c>
      <c r="T84" s="16" t="s">
        <v>30</v>
      </c>
      <c r="U84" s="22" t="s">
        <v>30</v>
      </c>
    </row>
    <row r="85" customFormat="false" ht="15" hidden="false" customHeight="false" outlineLevel="0" collapsed="false">
      <c r="I85" s="13" t="n">
        <v>80</v>
      </c>
      <c r="J85" s="14" t="s">
        <v>34</v>
      </c>
      <c r="K85" s="14" t="n">
        <v>9</v>
      </c>
      <c r="L85" s="14" t="s">
        <v>21</v>
      </c>
      <c r="M85" s="14" t="s">
        <v>24</v>
      </c>
      <c r="N85" s="21" t="n">
        <v>9</v>
      </c>
      <c r="P85" s="13" t="n">
        <v>80</v>
      </c>
      <c r="Q85" s="16" t="s">
        <v>34</v>
      </c>
      <c r="R85" s="16" t="s">
        <v>35</v>
      </c>
      <c r="S85" s="16" t="s">
        <v>21</v>
      </c>
      <c r="T85" s="16" t="s">
        <v>24</v>
      </c>
      <c r="U85" s="22" t="n">
        <v>9</v>
      </c>
    </row>
    <row r="86" customFormat="false" ht="15" hidden="false" customHeight="false" outlineLevel="0" collapsed="false">
      <c r="I86" s="13" t="n">
        <v>81</v>
      </c>
      <c r="J86" s="14" t="s">
        <v>30</v>
      </c>
      <c r="K86" s="14" t="n">
        <v>10</v>
      </c>
      <c r="L86" s="14" t="s">
        <v>30</v>
      </c>
      <c r="M86" s="14" t="n">
        <v>10</v>
      </c>
      <c r="N86" s="21" t="s">
        <v>26</v>
      </c>
      <c r="P86" s="13" t="n">
        <v>81</v>
      </c>
      <c r="Q86" s="16" t="s">
        <v>30</v>
      </c>
      <c r="R86" s="16" t="n">
        <v>10</v>
      </c>
      <c r="S86" s="16" t="s">
        <v>30</v>
      </c>
      <c r="T86" s="16" t="n">
        <v>10</v>
      </c>
      <c r="U86" s="22" t="s">
        <v>26</v>
      </c>
    </row>
    <row r="87" customFormat="false" ht="15" hidden="false" customHeight="false" outlineLevel="0" collapsed="false">
      <c r="I87" s="13" t="n">
        <v>82</v>
      </c>
      <c r="J87" s="14" t="s">
        <v>20</v>
      </c>
      <c r="K87" s="14" t="s">
        <v>27</v>
      </c>
      <c r="L87" s="14" t="s">
        <v>24</v>
      </c>
      <c r="M87" s="14" t="s">
        <v>35</v>
      </c>
      <c r="N87" s="21" t="s">
        <v>26</v>
      </c>
      <c r="P87" s="13" t="n">
        <v>82</v>
      </c>
      <c r="Q87" s="16" t="s">
        <v>22</v>
      </c>
      <c r="R87" s="16" t="s">
        <v>27</v>
      </c>
      <c r="S87" s="16" t="s">
        <v>24</v>
      </c>
      <c r="T87" s="16" t="s">
        <v>35</v>
      </c>
      <c r="U87" s="22" t="s">
        <v>26</v>
      </c>
    </row>
    <row r="88" customFormat="false" ht="15" hidden="false" customHeight="false" outlineLevel="0" collapsed="false">
      <c r="I88" s="13" t="n">
        <v>83</v>
      </c>
      <c r="J88" s="14" t="n">
        <v>10</v>
      </c>
      <c r="K88" s="14" t="s">
        <v>29</v>
      </c>
      <c r="L88" s="14" t="n">
        <v>10</v>
      </c>
      <c r="M88" s="14" t="s">
        <v>34</v>
      </c>
      <c r="N88" s="21" t="s">
        <v>26</v>
      </c>
      <c r="P88" s="13" t="n">
        <v>83</v>
      </c>
      <c r="Q88" s="16" t="s">
        <v>22</v>
      </c>
      <c r="R88" s="16" t="s">
        <v>29</v>
      </c>
      <c r="S88" s="16" t="n">
        <v>10</v>
      </c>
      <c r="T88" s="16" t="s">
        <v>34</v>
      </c>
      <c r="U88" s="22" t="s">
        <v>26</v>
      </c>
    </row>
    <row r="89" customFormat="false" ht="15" hidden="false" customHeight="false" outlineLevel="0" collapsed="false">
      <c r="I89" s="13" t="n">
        <v>84</v>
      </c>
      <c r="J89" s="14" t="s">
        <v>24</v>
      </c>
      <c r="K89" s="14" t="s">
        <v>22</v>
      </c>
      <c r="L89" s="14" t="s">
        <v>26</v>
      </c>
      <c r="M89" s="14" t="s">
        <v>21</v>
      </c>
      <c r="N89" s="21" t="s">
        <v>30</v>
      </c>
      <c r="P89" s="13" t="n">
        <v>84</v>
      </c>
      <c r="Q89" s="16" t="s">
        <v>24</v>
      </c>
      <c r="R89" s="16" t="s">
        <v>22</v>
      </c>
      <c r="S89" s="16" t="s">
        <v>26</v>
      </c>
      <c r="T89" s="16" t="s">
        <v>21</v>
      </c>
      <c r="U89" s="22" t="s">
        <v>30</v>
      </c>
    </row>
    <row r="90" customFormat="false" ht="15" hidden="false" customHeight="false" outlineLevel="0" collapsed="false">
      <c r="I90" s="13" t="n">
        <v>85</v>
      </c>
      <c r="J90" s="14" t="s">
        <v>29</v>
      </c>
      <c r="K90" s="14" t="s">
        <v>34</v>
      </c>
      <c r="L90" s="14" t="s">
        <v>25</v>
      </c>
      <c r="M90" s="14" t="n">
        <v>9</v>
      </c>
      <c r="N90" s="21" t="s">
        <v>22</v>
      </c>
      <c r="P90" s="13" t="n">
        <v>85</v>
      </c>
      <c r="Q90" s="16" t="s">
        <v>29</v>
      </c>
      <c r="R90" s="16" t="s">
        <v>34</v>
      </c>
      <c r="S90" s="16" t="s">
        <v>25</v>
      </c>
      <c r="T90" s="16" t="n">
        <v>9</v>
      </c>
      <c r="U90" s="22" t="s">
        <v>22</v>
      </c>
    </row>
    <row r="91" customFormat="false" ht="15" hidden="false" customHeight="false" outlineLevel="0" collapsed="false">
      <c r="I91" s="13" t="n">
        <v>86</v>
      </c>
      <c r="J91" s="14" t="n">
        <v>10</v>
      </c>
      <c r="K91" s="14" t="s">
        <v>30</v>
      </c>
      <c r="L91" s="14" t="s">
        <v>34</v>
      </c>
      <c r="M91" s="14" t="s">
        <v>22</v>
      </c>
      <c r="N91" s="21" t="s">
        <v>25</v>
      </c>
      <c r="P91" s="13" t="n">
        <v>86</v>
      </c>
      <c r="Q91" s="16" t="n">
        <v>10</v>
      </c>
      <c r="R91" s="16" t="s">
        <v>30</v>
      </c>
      <c r="S91" s="16" t="s">
        <v>34</v>
      </c>
      <c r="T91" s="16" t="s">
        <v>22</v>
      </c>
      <c r="U91" s="22" t="s">
        <v>25</v>
      </c>
    </row>
    <row r="92" customFormat="false" ht="15" hidden="false" customHeight="false" outlineLevel="0" collapsed="false">
      <c r="I92" s="13" t="n">
        <v>87</v>
      </c>
      <c r="J92" s="14" t="s">
        <v>27</v>
      </c>
      <c r="K92" s="14" t="s">
        <v>26</v>
      </c>
      <c r="L92" s="14" t="s">
        <v>29</v>
      </c>
      <c r="M92" s="14"/>
      <c r="N92" s="21" t="s">
        <v>30</v>
      </c>
      <c r="P92" s="13" t="n">
        <v>87</v>
      </c>
      <c r="Q92" s="16" t="s">
        <v>27</v>
      </c>
      <c r="R92" s="16" t="s">
        <v>26</v>
      </c>
      <c r="S92" s="16" t="s">
        <v>29</v>
      </c>
      <c r="T92" s="16"/>
      <c r="U92" s="22" t="s">
        <v>30</v>
      </c>
    </row>
    <row r="93" customFormat="false" ht="15" hidden="false" customHeight="false" outlineLevel="0" collapsed="false">
      <c r="I93" s="13" t="n">
        <v>88</v>
      </c>
      <c r="J93" s="14" t="n">
        <v>9</v>
      </c>
      <c r="K93" s="14" t="s">
        <v>25</v>
      </c>
      <c r="L93" s="14" t="s">
        <v>22</v>
      </c>
      <c r="M93" s="14"/>
      <c r="N93" s="21" t="s">
        <v>21</v>
      </c>
      <c r="P93" s="13" t="n">
        <v>88</v>
      </c>
      <c r="Q93" s="16" t="n">
        <v>9</v>
      </c>
      <c r="R93" s="16" t="s">
        <v>25</v>
      </c>
      <c r="S93" s="16" t="s">
        <v>22</v>
      </c>
      <c r="T93" s="16"/>
      <c r="U93" s="22" t="s">
        <v>21</v>
      </c>
    </row>
    <row r="94" customFormat="false" ht="15" hidden="false" customHeight="false" outlineLevel="0" collapsed="false">
      <c r="I94" s="13" t="n">
        <v>89</v>
      </c>
      <c r="J94" s="14" t="s">
        <v>24</v>
      </c>
      <c r="K94" s="14" t="s">
        <v>26</v>
      </c>
      <c r="L94" s="14" t="s">
        <v>30</v>
      </c>
      <c r="M94" s="14"/>
      <c r="N94" s="21" t="s">
        <v>25</v>
      </c>
      <c r="P94" s="13" t="n">
        <v>89</v>
      </c>
      <c r="Q94" s="16" t="s">
        <v>24</v>
      </c>
      <c r="R94" s="16" t="s">
        <v>26</v>
      </c>
      <c r="S94" s="16" t="s">
        <v>30</v>
      </c>
      <c r="T94" s="16"/>
      <c r="U94" s="22" t="s">
        <v>25</v>
      </c>
    </row>
    <row r="95" customFormat="false" ht="15" hidden="false" customHeight="false" outlineLevel="0" collapsed="false">
      <c r="I95" s="13" t="n">
        <v>90</v>
      </c>
      <c r="J95" s="14" t="s">
        <v>30</v>
      </c>
      <c r="K95" s="14" t="s">
        <v>29</v>
      </c>
      <c r="L95" s="14" t="s">
        <v>24</v>
      </c>
      <c r="M95" s="14"/>
      <c r="N95" s="21" t="s">
        <v>22</v>
      </c>
      <c r="P95" s="13" t="n">
        <v>90</v>
      </c>
      <c r="Q95" s="16" t="s">
        <v>30</v>
      </c>
      <c r="R95" s="16" t="s">
        <v>29</v>
      </c>
      <c r="S95" s="16" t="s">
        <v>24</v>
      </c>
      <c r="T95" s="16"/>
      <c r="U95" s="22" t="s">
        <v>22</v>
      </c>
    </row>
    <row r="96" customFormat="false" ht="15" hidden="false" customHeight="false" outlineLevel="0" collapsed="false">
      <c r="I96" s="13" t="n">
        <v>91</v>
      </c>
      <c r="J96" s="14" t="s">
        <v>22</v>
      </c>
      <c r="K96" s="14" t="n">
        <v>9</v>
      </c>
      <c r="L96" s="14" t="s">
        <v>34</v>
      </c>
      <c r="M96" s="14"/>
      <c r="N96" s="21" t="n">
        <v>10</v>
      </c>
      <c r="P96" s="13" t="n">
        <v>91</v>
      </c>
      <c r="Q96" s="16" t="s">
        <v>22</v>
      </c>
      <c r="R96" s="16" t="n">
        <v>9</v>
      </c>
      <c r="S96" s="16" t="s">
        <v>34</v>
      </c>
      <c r="T96" s="16"/>
      <c r="U96" s="22" t="n">
        <v>10</v>
      </c>
    </row>
    <row r="97" customFormat="false" ht="15" hidden="false" customHeight="false" outlineLevel="0" collapsed="false">
      <c r="I97" s="13" t="n">
        <v>92</v>
      </c>
      <c r="J97" s="14" t="n">
        <v>10</v>
      </c>
      <c r="K97" s="14" t="n">
        <v>10</v>
      </c>
      <c r="L97" s="14" t="s">
        <v>26</v>
      </c>
      <c r="M97" s="14"/>
      <c r="N97" s="21" t="s">
        <v>24</v>
      </c>
      <c r="P97" s="13" t="n">
        <v>92</v>
      </c>
      <c r="Q97" s="16" t="n">
        <v>10</v>
      </c>
      <c r="R97" s="16" t="n">
        <v>10</v>
      </c>
      <c r="S97" s="16" t="s">
        <v>26</v>
      </c>
      <c r="T97" s="16"/>
      <c r="U97" s="22" t="s">
        <v>24</v>
      </c>
    </row>
    <row r="98" customFormat="false" ht="15" hidden="false" customHeight="false" outlineLevel="0" collapsed="false">
      <c r="I98" s="13" t="n">
        <v>93</v>
      </c>
      <c r="J98" s="14" t="s">
        <v>24</v>
      </c>
      <c r="K98" s="14" t="s">
        <v>27</v>
      </c>
      <c r="L98" s="14" t="s">
        <v>30</v>
      </c>
      <c r="M98" s="14"/>
      <c r="N98" s="21" t="s">
        <v>30</v>
      </c>
      <c r="P98" s="13" t="n">
        <v>93</v>
      </c>
      <c r="Q98" s="16" t="s">
        <v>24</v>
      </c>
      <c r="R98" s="16" t="s">
        <v>27</v>
      </c>
      <c r="S98" s="16" t="s">
        <v>30</v>
      </c>
      <c r="T98" s="16"/>
      <c r="U98" s="22" t="s">
        <v>30</v>
      </c>
    </row>
    <row r="99" customFormat="false" ht="15" hidden="false" customHeight="false" outlineLevel="0" collapsed="false">
      <c r="I99" s="13" t="n">
        <v>94</v>
      </c>
      <c r="J99" s="14" t="n">
        <v>9</v>
      </c>
      <c r="K99" s="14" t="s">
        <v>29</v>
      </c>
      <c r="L99" s="14" t="s">
        <v>24</v>
      </c>
      <c r="M99" s="14"/>
      <c r="N99" s="21" t="s">
        <v>34</v>
      </c>
      <c r="P99" s="13" t="n">
        <v>94</v>
      </c>
      <c r="Q99" s="16" t="n">
        <v>9</v>
      </c>
      <c r="R99" s="16" t="s">
        <v>29</v>
      </c>
      <c r="S99" s="16" t="s">
        <v>24</v>
      </c>
      <c r="T99" s="16"/>
      <c r="U99" s="22" t="s">
        <v>34</v>
      </c>
    </row>
    <row r="100" customFormat="false" ht="15" hidden="false" customHeight="false" outlineLevel="0" collapsed="false">
      <c r="I100" s="13" t="n">
        <v>95</v>
      </c>
      <c r="J100" s="14" t="s">
        <v>27</v>
      </c>
      <c r="K100" s="14" t="s">
        <v>25</v>
      </c>
      <c r="L100" s="14" t="n">
        <v>10</v>
      </c>
      <c r="M100" s="14"/>
      <c r="N100" s="21" t="s">
        <v>21</v>
      </c>
      <c r="P100" s="13" t="n">
        <v>95</v>
      </c>
      <c r="Q100" s="16" t="s">
        <v>27</v>
      </c>
      <c r="R100" s="16" t="s">
        <v>25</v>
      </c>
      <c r="S100" s="16" t="n">
        <v>10</v>
      </c>
      <c r="T100" s="16"/>
      <c r="U100" s="22" t="s">
        <v>21</v>
      </c>
    </row>
    <row r="101" customFormat="false" ht="15" hidden="false" customHeight="false" outlineLevel="0" collapsed="false">
      <c r="I101" s="13" t="n">
        <v>96</v>
      </c>
      <c r="J101" s="14" t="s">
        <v>25</v>
      </c>
      <c r="K101" s="14" t="s">
        <v>20</v>
      </c>
      <c r="L101" s="14" t="s">
        <v>21</v>
      </c>
      <c r="M101" s="14"/>
      <c r="N101" s="21" t="s">
        <v>25</v>
      </c>
      <c r="P101" s="13" t="n">
        <v>96</v>
      </c>
      <c r="Q101" s="16" t="s">
        <v>25</v>
      </c>
      <c r="R101" s="16" t="s">
        <v>20</v>
      </c>
      <c r="S101" s="16" t="s">
        <v>21</v>
      </c>
      <c r="T101" s="16"/>
      <c r="U101" s="22" t="s">
        <v>25</v>
      </c>
    </row>
    <row r="102" customFormat="false" ht="15" hidden="false" customHeight="false" outlineLevel="0" collapsed="false">
      <c r="I102" s="13" t="n">
        <v>97</v>
      </c>
      <c r="J102" s="14" t="s">
        <v>24</v>
      </c>
      <c r="K102" s="14" t="s">
        <v>29</v>
      </c>
      <c r="L102" s="14" t="s">
        <v>30</v>
      </c>
      <c r="M102" s="14"/>
      <c r="N102" s="21" t="s">
        <v>22</v>
      </c>
      <c r="P102" s="13" t="n">
        <v>97</v>
      </c>
      <c r="Q102" s="16" t="s">
        <v>24</v>
      </c>
      <c r="R102" s="16" t="s">
        <v>29</v>
      </c>
      <c r="S102" s="16" t="s">
        <v>30</v>
      </c>
      <c r="T102" s="16"/>
      <c r="U102" s="22" t="s">
        <v>22</v>
      </c>
    </row>
    <row r="103" customFormat="false" ht="15" hidden="false" customHeight="false" outlineLevel="0" collapsed="false">
      <c r="I103" s="13" t="n">
        <v>98</v>
      </c>
      <c r="J103" s="14" t="s">
        <v>30</v>
      </c>
      <c r="K103" s="14" t="s">
        <v>30</v>
      </c>
      <c r="L103" s="14" t="s">
        <v>25</v>
      </c>
      <c r="M103" s="14"/>
      <c r="N103" s="21" t="n">
        <v>10</v>
      </c>
      <c r="P103" s="13" t="n">
        <v>98</v>
      </c>
      <c r="Q103" s="16" t="s">
        <v>30</v>
      </c>
      <c r="R103" s="16" t="s">
        <v>30</v>
      </c>
      <c r="S103" s="16" t="s">
        <v>25</v>
      </c>
      <c r="T103" s="16"/>
      <c r="U103" s="22" t="n">
        <v>10</v>
      </c>
    </row>
    <row r="104" customFormat="false" ht="15" hidden="false" customHeight="false" outlineLevel="0" collapsed="false">
      <c r="I104" s="13" t="n">
        <v>99</v>
      </c>
      <c r="J104" s="14" t="n">
        <v>10</v>
      </c>
      <c r="K104" s="14" t="n">
        <v>10</v>
      </c>
      <c r="L104" s="14" t="s">
        <v>20</v>
      </c>
      <c r="M104" s="14"/>
      <c r="N104" s="21" t="s">
        <v>24</v>
      </c>
      <c r="P104" s="13" t="n">
        <v>99</v>
      </c>
      <c r="Q104" s="16" t="n">
        <v>10</v>
      </c>
      <c r="R104" s="16" t="n">
        <v>10</v>
      </c>
      <c r="S104" s="16" t="s">
        <v>22</v>
      </c>
      <c r="T104" s="16"/>
      <c r="U104" s="22" t="s">
        <v>24</v>
      </c>
    </row>
    <row r="105" customFormat="false" ht="15" hidden="false" customHeight="false" outlineLevel="0" collapsed="false">
      <c r="I105" s="13" t="n">
        <v>100</v>
      </c>
      <c r="J105" s="14" t="s">
        <v>24</v>
      </c>
      <c r="K105" s="14" t="s">
        <v>24</v>
      </c>
      <c r="L105" s="14" t="s">
        <v>29</v>
      </c>
      <c r="M105" s="14"/>
      <c r="N105" s="21" t="s">
        <v>30</v>
      </c>
      <c r="P105" s="13" t="n">
        <v>100</v>
      </c>
      <c r="Q105" s="16" t="s">
        <v>24</v>
      </c>
      <c r="R105" s="16" t="s">
        <v>24</v>
      </c>
      <c r="S105" s="16" t="s">
        <v>22</v>
      </c>
      <c r="T105" s="16"/>
      <c r="U105" s="22" t="s">
        <v>30</v>
      </c>
    </row>
    <row r="106" customFormat="false" ht="15" hidden="false" customHeight="false" outlineLevel="0" collapsed="false">
      <c r="I106" s="13" t="n">
        <v>101</v>
      </c>
      <c r="J106" s="14" t="n">
        <v>9</v>
      </c>
      <c r="K106" s="14" t="s">
        <v>34</v>
      </c>
      <c r="L106" s="14" t="s">
        <v>22</v>
      </c>
      <c r="M106" s="14"/>
      <c r="N106" s="21" t="s">
        <v>25</v>
      </c>
      <c r="P106" s="13" t="n">
        <v>101</v>
      </c>
      <c r="Q106" s="16" t="n">
        <v>9</v>
      </c>
      <c r="R106" s="16" t="s">
        <v>34</v>
      </c>
      <c r="S106" s="16" t="s">
        <v>22</v>
      </c>
      <c r="T106" s="16"/>
      <c r="U106" s="22" t="s">
        <v>25</v>
      </c>
    </row>
    <row r="107" customFormat="false" ht="15" hidden="false" customHeight="false" outlineLevel="0" collapsed="false">
      <c r="I107" s="13" t="n">
        <v>102</v>
      </c>
      <c r="J107" s="14" t="s">
        <v>27</v>
      </c>
      <c r="K107" s="14" t="s">
        <v>21</v>
      </c>
      <c r="L107" s="14" t="s">
        <v>30</v>
      </c>
      <c r="M107" s="14"/>
      <c r="N107" s="21" t="s">
        <v>27</v>
      </c>
      <c r="P107" s="13" t="n">
        <v>102</v>
      </c>
      <c r="Q107" s="16" t="s">
        <v>27</v>
      </c>
      <c r="R107" s="16" t="s">
        <v>21</v>
      </c>
      <c r="S107" s="16" t="s">
        <v>30</v>
      </c>
      <c r="T107" s="16"/>
      <c r="U107" s="22" t="s">
        <v>27</v>
      </c>
    </row>
    <row r="108" customFormat="false" ht="15" hidden="false" customHeight="false" outlineLevel="0" collapsed="false">
      <c r="I108" s="13" t="n">
        <v>103</v>
      </c>
      <c r="J108" s="14" t="s">
        <v>25</v>
      </c>
      <c r="K108" s="14"/>
      <c r="L108" s="14" t="s">
        <v>24</v>
      </c>
      <c r="M108" s="14"/>
      <c r="N108" s="21" t="s">
        <v>34</v>
      </c>
      <c r="P108" s="13" t="n">
        <v>103</v>
      </c>
      <c r="Q108" s="16" t="s">
        <v>25</v>
      </c>
      <c r="R108" s="16"/>
      <c r="S108" s="16" t="s">
        <v>24</v>
      </c>
      <c r="T108" s="16"/>
      <c r="U108" s="22" t="s">
        <v>34</v>
      </c>
    </row>
    <row r="109" customFormat="false" ht="15" hidden="false" customHeight="false" outlineLevel="0" collapsed="false">
      <c r="I109" s="13" t="n">
        <v>104</v>
      </c>
      <c r="J109" s="14" t="s">
        <v>24</v>
      </c>
      <c r="K109" s="14"/>
      <c r="L109" s="14" t="s">
        <v>34</v>
      </c>
      <c r="M109" s="14"/>
      <c r="N109" s="21" t="s">
        <v>21</v>
      </c>
      <c r="P109" s="13" t="n">
        <v>104</v>
      </c>
      <c r="Q109" s="16" t="s">
        <v>24</v>
      </c>
      <c r="R109" s="16"/>
      <c r="S109" s="16" t="s">
        <v>34</v>
      </c>
      <c r="T109" s="16"/>
      <c r="U109" s="22" t="s">
        <v>21</v>
      </c>
    </row>
    <row r="110" customFormat="false" ht="15" hidden="false" customHeight="false" outlineLevel="0" collapsed="false">
      <c r="I110" s="13" t="n">
        <v>105</v>
      </c>
      <c r="J110" s="14" t="s">
        <v>30</v>
      </c>
      <c r="K110" s="14"/>
      <c r="L110" s="14" t="s">
        <v>26</v>
      </c>
      <c r="M110" s="14"/>
      <c r="N110" s="21" t="s">
        <v>29</v>
      </c>
      <c r="P110" s="13" t="n">
        <v>105</v>
      </c>
      <c r="Q110" s="16" t="s">
        <v>30</v>
      </c>
      <c r="R110" s="16"/>
      <c r="S110" s="16" t="s">
        <v>26</v>
      </c>
      <c r="T110" s="16"/>
      <c r="U110" s="22" t="s">
        <v>29</v>
      </c>
    </row>
    <row r="111" customFormat="false" ht="15" hidden="false" customHeight="false" outlineLevel="0" collapsed="false">
      <c r="I111" s="13" t="n">
        <v>106</v>
      </c>
      <c r="J111" s="14" t="n">
        <v>10</v>
      </c>
      <c r="K111" s="14"/>
      <c r="L111" s="14" t="s">
        <v>30</v>
      </c>
      <c r="M111" s="14"/>
      <c r="N111" s="21" t="s">
        <v>22</v>
      </c>
      <c r="P111" s="13" t="n">
        <v>106</v>
      </c>
      <c r="Q111" s="16" t="n">
        <v>10</v>
      </c>
      <c r="R111" s="16"/>
      <c r="S111" s="16" t="s">
        <v>30</v>
      </c>
      <c r="T111" s="16"/>
      <c r="U111" s="22" t="s">
        <v>22</v>
      </c>
    </row>
    <row r="112" customFormat="false" ht="15" hidden="false" customHeight="false" outlineLevel="0" collapsed="false">
      <c r="I112" s="13" t="n">
        <v>107</v>
      </c>
      <c r="J112" s="14" t="s">
        <v>27</v>
      </c>
      <c r="K112" s="14"/>
      <c r="L112" s="14" t="s">
        <v>24</v>
      </c>
      <c r="M112" s="14"/>
      <c r="N112" s="21" t="s">
        <v>25</v>
      </c>
      <c r="P112" s="13" t="n">
        <v>107</v>
      </c>
      <c r="Q112" s="16" t="s">
        <v>27</v>
      </c>
      <c r="R112" s="16"/>
      <c r="S112" s="16" t="s">
        <v>24</v>
      </c>
      <c r="T112" s="16"/>
      <c r="U112" s="22" t="s">
        <v>25</v>
      </c>
    </row>
    <row r="113" customFormat="false" ht="15" hidden="false" customHeight="false" outlineLevel="0" collapsed="false">
      <c r="I113" s="13" t="n">
        <v>108</v>
      </c>
      <c r="J113" s="14"/>
      <c r="K113" s="14"/>
      <c r="L113" s="14" t="n">
        <v>10</v>
      </c>
      <c r="M113" s="14"/>
      <c r="N113" s="21" t="s">
        <v>24</v>
      </c>
      <c r="P113" s="13" t="n">
        <v>108</v>
      </c>
      <c r="Q113" s="16"/>
      <c r="R113" s="16"/>
      <c r="S113" s="16" t="n">
        <v>10</v>
      </c>
      <c r="T113" s="16"/>
      <c r="U113" s="22" t="s">
        <v>24</v>
      </c>
    </row>
    <row r="114" customFormat="false" ht="15" hidden="false" customHeight="false" outlineLevel="0" collapsed="false">
      <c r="I114" s="13" t="n">
        <v>109</v>
      </c>
      <c r="J114" s="14"/>
      <c r="K114" s="14"/>
      <c r="L114" s="14" t="s">
        <v>21</v>
      </c>
      <c r="M114" s="14"/>
      <c r="N114" s="21" t="n">
        <v>10</v>
      </c>
      <c r="P114" s="13" t="n">
        <v>109</v>
      </c>
      <c r="Q114" s="16"/>
      <c r="R114" s="16"/>
      <c r="S114" s="16" t="s">
        <v>21</v>
      </c>
      <c r="T114" s="16"/>
      <c r="U114" s="22" t="n">
        <v>10</v>
      </c>
    </row>
    <row r="115" customFormat="false" ht="15" hidden="false" customHeight="false" outlineLevel="0" collapsed="false">
      <c r="I115" s="13" t="n">
        <v>110</v>
      </c>
      <c r="J115" s="14"/>
      <c r="K115" s="14"/>
      <c r="L115" s="14" t="s">
        <v>30</v>
      </c>
      <c r="M115" s="14"/>
      <c r="N115" s="21" t="s">
        <v>27</v>
      </c>
      <c r="P115" s="13" t="n">
        <v>110</v>
      </c>
      <c r="Q115" s="16"/>
      <c r="R115" s="16"/>
      <c r="S115" s="16" t="s">
        <v>30</v>
      </c>
      <c r="T115" s="16"/>
      <c r="U115" s="22" t="s">
        <v>27</v>
      </c>
    </row>
    <row r="116" customFormat="false" ht="15" hidden="false" customHeight="false" outlineLevel="0" collapsed="false">
      <c r="I116" s="13" t="n">
        <v>111</v>
      </c>
      <c r="J116" s="14"/>
      <c r="K116" s="14"/>
      <c r="L116" s="14"/>
      <c r="M116" s="14"/>
      <c r="N116" s="21" t="s">
        <v>30</v>
      </c>
      <c r="P116" s="13" t="n">
        <v>111</v>
      </c>
      <c r="Q116" s="16"/>
      <c r="R116" s="16"/>
      <c r="S116" s="16"/>
      <c r="T116" s="16"/>
      <c r="U116" s="22" t="s">
        <v>30</v>
      </c>
    </row>
    <row r="117" customFormat="false" ht="15" hidden="false" customHeight="false" outlineLevel="0" collapsed="false">
      <c r="I117" s="13" t="n">
        <v>112</v>
      </c>
      <c r="J117" s="14"/>
      <c r="K117" s="14"/>
      <c r="L117" s="14"/>
      <c r="M117" s="14"/>
      <c r="N117" s="21" t="s">
        <v>21</v>
      </c>
      <c r="P117" s="13" t="n">
        <v>112</v>
      </c>
      <c r="Q117" s="16"/>
      <c r="R117" s="16"/>
      <c r="S117" s="16"/>
      <c r="T117" s="16"/>
      <c r="U117" s="22" t="s">
        <v>21</v>
      </c>
    </row>
    <row r="118" customFormat="false" ht="15" hidden="false" customHeight="false" outlineLevel="0" collapsed="false">
      <c r="I118" s="13" t="n">
        <v>113</v>
      </c>
      <c r="J118" s="14"/>
      <c r="K118" s="14"/>
      <c r="L118" s="14"/>
      <c r="M118" s="14"/>
      <c r="N118" s="21" t="s">
        <v>29</v>
      </c>
      <c r="P118" s="13" t="n">
        <v>113</v>
      </c>
      <c r="Q118" s="16"/>
      <c r="R118" s="16"/>
      <c r="S118" s="16"/>
      <c r="T118" s="16"/>
      <c r="U118" s="22" t="s">
        <v>29</v>
      </c>
    </row>
    <row r="119" customFormat="false" ht="15" hidden="false" customHeight="false" outlineLevel="0" collapsed="false">
      <c r="I119" s="13" t="n">
        <v>114</v>
      </c>
      <c r="J119" s="14"/>
      <c r="K119" s="14"/>
      <c r="L119" s="14"/>
      <c r="M119" s="14"/>
      <c r="N119" s="21"/>
      <c r="P119" s="13" t="n">
        <v>114</v>
      </c>
      <c r="Q119" s="16"/>
      <c r="R119" s="16"/>
      <c r="S119" s="16"/>
      <c r="T119" s="16"/>
      <c r="U119" s="22"/>
    </row>
    <row r="120" customFormat="false" ht="15" hidden="false" customHeight="false" outlineLevel="0" collapsed="false">
      <c r="I120" s="13" t="n">
        <v>115</v>
      </c>
      <c r="J120" s="14"/>
      <c r="K120" s="14"/>
      <c r="L120" s="14"/>
      <c r="M120" s="14"/>
      <c r="N120" s="21"/>
      <c r="P120" s="13" t="n">
        <v>115</v>
      </c>
      <c r="Q120" s="16"/>
      <c r="R120" s="16"/>
      <c r="S120" s="16"/>
      <c r="T120" s="16"/>
      <c r="U120" s="22"/>
    </row>
    <row r="121" customFormat="false" ht="15" hidden="false" customHeight="false" outlineLevel="0" collapsed="false">
      <c r="I121" s="13" t="n">
        <v>116</v>
      </c>
      <c r="J121" s="14"/>
      <c r="K121" s="14"/>
      <c r="L121" s="14"/>
      <c r="M121" s="14"/>
      <c r="N121" s="21"/>
      <c r="P121" s="13" t="n">
        <v>116</v>
      </c>
      <c r="Q121" s="16"/>
      <c r="R121" s="16"/>
      <c r="S121" s="16"/>
      <c r="T121" s="16"/>
      <c r="U121" s="22"/>
    </row>
    <row r="122" customFormat="false" ht="15" hidden="false" customHeight="false" outlineLevel="0" collapsed="false">
      <c r="I122" s="13" t="n">
        <v>117</v>
      </c>
      <c r="J122" s="14"/>
      <c r="K122" s="14"/>
      <c r="L122" s="14"/>
      <c r="M122" s="14"/>
      <c r="N122" s="21"/>
      <c r="P122" s="13" t="n">
        <v>117</v>
      </c>
      <c r="Q122" s="16"/>
      <c r="R122" s="16"/>
      <c r="S122" s="16"/>
      <c r="T122" s="16"/>
      <c r="U122" s="22"/>
    </row>
    <row r="123" customFormat="false" ht="15" hidden="false" customHeight="false" outlineLevel="0" collapsed="false">
      <c r="I123" s="13" t="n">
        <v>118</v>
      </c>
      <c r="J123" s="14"/>
      <c r="K123" s="14"/>
      <c r="L123" s="14"/>
      <c r="M123" s="14"/>
      <c r="N123" s="21"/>
      <c r="P123" s="13" t="n">
        <v>118</v>
      </c>
      <c r="Q123" s="16"/>
      <c r="R123" s="16"/>
      <c r="S123" s="16"/>
      <c r="T123" s="16"/>
      <c r="U123" s="22"/>
    </row>
    <row r="124" customFormat="false" ht="15" hidden="false" customHeight="false" outlineLevel="0" collapsed="false">
      <c r="I124" s="13" t="n">
        <v>119</v>
      </c>
      <c r="J124" s="14"/>
      <c r="K124" s="14"/>
      <c r="L124" s="14"/>
      <c r="M124" s="14"/>
      <c r="N124" s="21"/>
      <c r="P124" s="13" t="n">
        <v>119</v>
      </c>
      <c r="Q124" s="14"/>
      <c r="R124" s="14"/>
      <c r="S124" s="14"/>
      <c r="T124" s="14"/>
      <c r="U124" s="21"/>
    </row>
    <row r="125" customFormat="false" ht="15" hidden="false" customHeight="false" outlineLevel="0" collapsed="false">
      <c r="I125" s="13" t="n">
        <v>120</v>
      </c>
      <c r="J125" s="14"/>
      <c r="K125" s="14"/>
      <c r="L125" s="14"/>
      <c r="M125" s="14"/>
      <c r="N125" s="21"/>
      <c r="P125" s="13" t="n">
        <v>120</v>
      </c>
      <c r="Q125" s="14"/>
      <c r="R125" s="14"/>
      <c r="S125" s="14"/>
      <c r="T125" s="14"/>
      <c r="U125" s="21"/>
    </row>
    <row r="126" customFormat="false" ht="15" hidden="false" customHeight="false" outlineLevel="0" collapsed="false">
      <c r="I126" s="13" t="n">
        <v>121</v>
      </c>
      <c r="J126" s="14"/>
      <c r="K126" s="14"/>
      <c r="L126" s="14"/>
      <c r="M126" s="14"/>
      <c r="N126" s="21"/>
      <c r="P126" s="13" t="n">
        <v>121</v>
      </c>
      <c r="Q126" s="14"/>
      <c r="R126" s="14"/>
      <c r="S126" s="14"/>
      <c r="T126" s="14"/>
      <c r="U126" s="21"/>
    </row>
    <row r="127" customFormat="false" ht="15" hidden="false" customHeight="false" outlineLevel="0" collapsed="false">
      <c r="I127" s="13" t="n">
        <v>122</v>
      </c>
      <c r="J127" s="14"/>
      <c r="K127" s="14"/>
      <c r="L127" s="14"/>
      <c r="M127" s="14"/>
      <c r="N127" s="21"/>
      <c r="P127" s="13" t="n">
        <v>122</v>
      </c>
      <c r="Q127" s="14"/>
      <c r="R127" s="14"/>
      <c r="S127" s="14"/>
      <c r="T127" s="14"/>
      <c r="U127" s="21"/>
    </row>
    <row r="128" customFormat="false" ht="15" hidden="false" customHeight="false" outlineLevel="0" collapsed="false">
      <c r="I128" s="13" t="n">
        <v>123</v>
      </c>
      <c r="J128" s="14"/>
      <c r="K128" s="14"/>
      <c r="L128" s="14"/>
      <c r="M128" s="14"/>
      <c r="N128" s="21"/>
      <c r="P128" s="13" t="n">
        <v>123</v>
      </c>
      <c r="Q128" s="14"/>
      <c r="R128" s="14"/>
      <c r="S128" s="14"/>
      <c r="T128" s="14"/>
      <c r="U128" s="21"/>
    </row>
    <row r="129" customFormat="false" ht="15" hidden="false" customHeight="false" outlineLevel="0" collapsed="false">
      <c r="I129" s="13" t="n">
        <v>124</v>
      </c>
      <c r="J129" s="14"/>
      <c r="K129" s="14"/>
      <c r="L129" s="14"/>
      <c r="M129" s="14"/>
      <c r="N129" s="21"/>
      <c r="P129" s="13" t="n">
        <v>124</v>
      </c>
      <c r="Q129" s="14"/>
      <c r="R129" s="14"/>
      <c r="S129" s="14"/>
      <c r="T129" s="14"/>
      <c r="U129" s="21"/>
    </row>
    <row r="130" customFormat="false" ht="15" hidden="false" customHeight="false" outlineLevel="0" collapsed="false">
      <c r="I130" s="13" t="n">
        <v>125</v>
      </c>
      <c r="J130" s="14"/>
      <c r="K130" s="14"/>
      <c r="L130" s="14"/>
      <c r="M130" s="14"/>
      <c r="N130" s="21"/>
      <c r="P130" s="13" t="n">
        <v>125</v>
      </c>
      <c r="Q130" s="14"/>
      <c r="R130" s="14"/>
      <c r="S130" s="14"/>
      <c r="T130" s="14"/>
      <c r="U130" s="21"/>
    </row>
    <row r="131" customFormat="false" ht="15" hidden="false" customHeight="false" outlineLevel="0" collapsed="false">
      <c r="I131" s="13" t="n">
        <v>126</v>
      </c>
      <c r="J131" s="14"/>
      <c r="K131" s="14"/>
      <c r="L131" s="14"/>
      <c r="M131" s="14"/>
      <c r="N131" s="21"/>
      <c r="P131" s="13" t="n">
        <v>126</v>
      </c>
      <c r="Q131" s="14"/>
      <c r="R131" s="14"/>
      <c r="S131" s="14"/>
      <c r="T131" s="14"/>
      <c r="U131" s="21"/>
    </row>
    <row r="132" customFormat="false" ht="15" hidden="false" customHeight="false" outlineLevel="0" collapsed="false">
      <c r="I132" s="13" t="n">
        <v>127</v>
      </c>
      <c r="J132" s="14"/>
      <c r="K132" s="14"/>
      <c r="L132" s="14"/>
      <c r="M132" s="14"/>
      <c r="N132" s="21"/>
      <c r="P132" s="13" t="n">
        <v>127</v>
      </c>
      <c r="Q132" s="14"/>
      <c r="R132" s="14"/>
      <c r="S132" s="14"/>
      <c r="T132" s="14"/>
      <c r="U132" s="21"/>
    </row>
    <row r="133" customFormat="false" ht="15" hidden="false" customHeight="false" outlineLevel="0" collapsed="false">
      <c r="I133" s="13" t="n">
        <v>128</v>
      </c>
      <c r="J133" s="14"/>
      <c r="K133" s="14"/>
      <c r="L133" s="14"/>
      <c r="M133" s="14"/>
      <c r="N133" s="21"/>
      <c r="P133" s="13" t="n">
        <v>128</v>
      </c>
      <c r="Q133" s="14"/>
      <c r="R133" s="14"/>
      <c r="S133" s="14"/>
      <c r="T133" s="14"/>
      <c r="U133" s="21"/>
    </row>
    <row r="134" customFormat="false" ht="15" hidden="false" customHeight="false" outlineLevel="0" collapsed="false">
      <c r="I134" s="13" t="n">
        <v>129</v>
      </c>
      <c r="J134" s="14"/>
      <c r="K134" s="14"/>
      <c r="L134" s="14"/>
      <c r="M134" s="14"/>
      <c r="N134" s="21"/>
      <c r="P134" s="13" t="n">
        <v>129</v>
      </c>
      <c r="Q134" s="14"/>
      <c r="R134" s="14"/>
      <c r="S134" s="14"/>
      <c r="T134" s="14"/>
      <c r="U134" s="21"/>
    </row>
    <row r="135" customFormat="false" ht="15" hidden="false" customHeight="false" outlineLevel="0" collapsed="false">
      <c r="I135" s="13" t="n">
        <v>130</v>
      </c>
      <c r="J135" s="14"/>
      <c r="K135" s="14"/>
      <c r="L135" s="14"/>
      <c r="M135" s="14"/>
      <c r="N135" s="21"/>
      <c r="P135" s="13" t="n">
        <v>130</v>
      </c>
      <c r="Q135" s="14"/>
      <c r="R135" s="14"/>
      <c r="S135" s="14"/>
      <c r="T135" s="14"/>
      <c r="U135" s="21"/>
    </row>
    <row r="136" customFormat="false" ht="15" hidden="false" customHeight="false" outlineLevel="0" collapsed="false">
      <c r="I136" s="13" t="n">
        <v>131</v>
      </c>
      <c r="J136" s="14"/>
      <c r="K136" s="14"/>
      <c r="L136" s="14"/>
      <c r="M136" s="14"/>
      <c r="N136" s="21"/>
      <c r="P136" s="13" t="n">
        <v>131</v>
      </c>
      <c r="Q136" s="14"/>
      <c r="R136" s="14"/>
      <c r="S136" s="14"/>
      <c r="T136" s="14"/>
      <c r="U136" s="21"/>
    </row>
    <row r="137" customFormat="false" ht="15" hidden="false" customHeight="false" outlineLevel="0" collapsed="false">
      <c r="I137" s="13" t="n">
        <v>132</v>
      </c>
      <c r="J137" s="14"/>
      <c r="K137" s="14"/>
      <c r="L137" s="14"/>
      <c r="M137" s="14"/>
      <c r="N137" s="21"/>
      <c r="P137" s="13" t="n">
        <v>132</v>
      </c>
      <c r="Q137" s="14"/>
      <c r="R137" s="14"/>
      <c r="S137" s="14"/>
      <c r="T137" s="14"/>
      <c r="U137" s="21"/>
    </row>
    <row r="138" customFormat="false" ht="15" hidden="false" customHeight="false" outlineLevel="0" collapsed="false">
      <c r="I138" s="13" t="n">
        <v>133</v>
      </c>
      <c r="J138" s="14"/>
      <c r="K138" s="14"/>
      <c r="L138" s="14"/>
      <c r="M138" s="14"/>
      <c r="N138" s="21"/>
      <c r="P138" s="13" t="n">
        <v>133</v>
      </c>
      <c r="Q138" s="14"/>
      <c r="R138" s="14"/>
      <c r="S138" s="14"/>
      <c r="T138" s="14"/>
      <c r="U138" s="21"/>
    </row>
    <row r="139" customFormat="false" ht="15" hidden="false" customHeight="false" outlineLevel="0" collapsed="false">
      <c r="I139" s="13" t="n">
        <v>134</v>
      </c>
      <c r="J139" s="14"/>
      <c r="K139" s="14"/>
      <c r="L139" s="14"/>
      <c r="M139" s="14"/>
      <c r="N139" s="21"/>
      <c r="P139" s="13" t="n">
        <v>134</v>
      </c>
      <c r="Q139" s="14"/>
      <c r="R139" s="14"/>
      <c r="S139" s="14"/>
      <c r="T139" s="14"/>
      <c r="U139" s="21"/>
    </row>
    <row r="140" customFormat="false" ht="15" hidden="false" customHeight="false" outlineLevel="0" collapsed="false">
      <c r="I140" s="13" t="n">
        <v>135</v>
      </c>
      <c r="J140" s="14"/>
      <c r="K140" s="14"/>
      <c r="L140" s="14"/>
      <c r="M140" s="14"/>
      <c r="N140" s="21"/>
      <c r="P140" s="13" t="n">
        <v>135</v>
      </c>
      <c r="Q140" s="14"/>
      <c r="R140" s="14"/>
      <c r="S140" s="14"/>
      <c r="T140" s="14"/>
      <c r="U140" s="21"/>
    </row>
    <row r="141" customFormat="false" ht="15" hidden="false" customHeight="false" outlineLevel="0" collapsed="false">
      <c r="I141" s="13" t="n">
        <v>136</v>
      </c>
      <c r="J141" s="14"/>
      <c r="K141" s="14"/>
      <c r="L141" s="14"/>
      <c r="M141" s="14"/>
      <c r="N141" s="21"/>
      <c r="P141" s="13" t="n">
        <v>136</v>
      </c>
      <c r="Q141" s="14"/>
      <c r="R141" s="14"/>
      <c r="S141" s="14"/>
      <c r="T141" s="14"/>
      <c r="U141" s="21"/>
    </row>
    <row r="142" customFormat="false" ht="15" hidden="false" customHeight="false" outlineLevel="0" collapsed="false">
      <c r="I142" s="13" t="n">
        <v>137</v>
      </c>
      <c r="J142" s="14"/>
      <c r="K142" s="14"/>
      <c r="L142" s="14"/>
      <c r="M142" s="14"/>
      <c r="N142" s="21"/>
      <c r="P142" s="13" t="n">
        <v>137</v>
      </c>
      <c r="Q142" s="14"/>
      <c r="R142" s="14"/>
      <c r="S142" s="14"/>
      <c r="T142" s="14"/>
      <c r="U142" s="21"/>
    </row>
    <row r="143" customFormat="false" ht="15" hidden="false" customHeight="false" outlineLevel="0" collapsed="false">
      <c r="I143" s="13" t="n">
        <v>138</v>
      </c>
      <c r="J143" s="14"/>
      <c r="K143" s="14"/>
      <c r="L143" s="14"/>
      <c r="M143" s="14"/>
      <c r="N143" s="21"/>
      <c r="P143" s="13" t="n">
        <v>138</v>
      </c>
      <c r="Q143" s="14"/>
      <c r="R143" s="14"/>
      <c r="S143" s="14"/>
      <c r="T143" s="14"/>
      <c r="U143" s="21"/>
    </row>
    <row r="144" customFormat="false" ht="15" hidden="false" customHeight="false" outlineLevel="0" collapsed="false">
      <c r="I144" s="13" t="n">
        <v>139</v>
      </c>
      <c r="J144" s="14"/>
      <c r="K144" s="14"/>
      <c r="L144" s="14"/>
      <c r="M144" s="14"/>
      <c r="N144" s="21"/>
      <c r="P144" s="13" t="n">
        <v>139</v>
      </c>
      <c r="Q144" s="14"/>
      <c r="R144" s="14"/>
      <c r="S144" s="14"/>
      <c r="T144" s="14"/>
      <c r="U144" s="21"/>
    </row>
    <row r="145" customFormat="false" ht="15" hidden="false" customHeight="false" outlineLevel="0" collapsed="false">
      <c r="I145" s="13" t="n">
        <v>140</v>
      </c>
      <c r="J145" s="14"/>
      <c r="K145" s="14"/>
      <c r="L145" s="14"/>
      <c r="M145" s="14"/>
      <c r="N145" s="21"/>
      <c r="P145" s="13" t="n">
        <v>140</v>
      </c>
      <c r="Q145" s="14"/>
      <c r="R145" s="14"/>
      <c r="S145" s="14"/>
      <c r="T145" s="14"/>
      <c r="U145" s="21"/>
    </row>
    <row r="146" customFormat="false" ht="15" hidden="false" customHeight="false" outlineLevel="0" collapsed="false">
      <c r="I146" s="13" t="n">
        <v>141</v>
      </c>
      <c r="J146" s="14"/>
      <c r="K146" s="14"/>
      <c r="L146" s="14"/>
      <c r="M146" s="14"/>
      <c r="N146" s="21"/>
      <c r="P146" s="13" t="n">
        <v>141</v>
      </c>
      <c r="Q146" s="14"/>
      <c r="R146" s="14"/>
      <c r="S146" s="14"/>
      <c r="T146" s="14"/>
      <c r="U146" s="21"/>
    </row>
    <row r="147" customFormat="false" ht="15" hidden="false" customHeight="false" outlineLevel="0" collapsed="false">
      <c r="I147" s="13" t="n">
        <v>142</v>
      </c>
      <c r="J147" s="14"/>
      <c r="K147" s="14"/>
      <c r="L147" s="14"/>
      <c r="M147" s="14"/>
      <c r="N147" s="21"/>
      <c r="P147" s="13" t="n">
        <v>142</v>
      </c>
      <c r="Q147" s="14"/>
      <c r="R147" s="14"/>
      <c r="S147" s="14"/>
      <c r="T147" s="14"/>
      <c r="U147" s="21"/>
    </row>
    <row r="148" customFormat="false" ht="15" hidden="false" customHeight="false" outlineLevel="0" collapsed="false">
      <c r="I148" s="13" t="n">
        <v>143</v>
      </c>
      <c r="J148" s="14"/>
      <c r="K148" s="14"/>
      <c r="L148" s="14"/>
      <c r="M148" s="14"/>
      <c r="N148" s="21"/>
      <c r="P148" s="13" t="n">
        <v>143</v>
      </c>
      <c r="Q148" s="14"/>
      <c r="R148" s="14"/>
      <c r="S148" s="14"/>
      <c r="T148" s="14"/>
      <c r="U148" s="21"/>
    </row>
    <row r="149" customFormat="false" ht="15" hidden="false" customHeight="false" outlineLevel="0" collapsed="false">
      <c r="I149" s="13" t="n">
        <v>144</v>
      </c>
      <c r="J149" s="14"/>
      <c r="K149" s="14"/>
      <c r="L149" s="14"/>
      <c r="M149" s="14"/>
      <c r="N149" s="21"/>
      <c r="P149" s="13" t="n">
        <v>144</v>
      </c>
      <c r="Q149" s="14"/>
      <c r="R149" s="14"/>
      <c r="S149" s="14"/>
      <c r="T149" s="14"/>
      <c r="U149" s="21"/>
    </row>
    <row r="150" customFormat="false" ht="15" hidden="false" customHeight="false" outlineLevel="0" collapsed="false">
      <c r="I150" s="13" t="n">
        <v>145</v>
      </c>
      <c r="J150" s="14"/>
      <c r="K150" s="14"/>
      <c r="L150" s="14"/>
      <c r="M150" s="14"/>
      <c r="N150" s="21"/>
      <c r="P150" s="13" t="n">
        <v>145</v>
      </c>
      <c r="Q150" s="14"/>
      <c r="R150" s="14"/>
      <c r="S150" s="14"/>
      <c r="T150" s="14"/>
      <c r="U150" s="21"/>
    </row>
    <row r="151" customFormat="false" ht="15" hidden="false" customHeight="false" outlineLevel="0" collapsed="false">
      <c r="I151" s="13" t="n">
        <v>146</v>
      </c>
      <c r="J151" s="14"/>
      <c r="K151" s="14"/>
      <c r="L151" s="14"/>
      <c r="M151" s="14"/>
      <c r="N151" s="21"/>
      <c r="P151" s="13" t="n">
        <v>146</v>
      </c>
      <c r="Q151" s="14"/>
      <c r="R151" s="14"/>
      <c r="S151" s="14"/>
      <c r="T151" s="14"/>
      <c r="U151" s="21"/>
    </row>
    <row r="152" customFormat="false" ht="15" hidden="false" customHeight="false" outlineLevel="0" collapsed="false">
      <c r="I152" s="13" t="n">
        <v>147</v>
      </c>
      <c r="J152" s="40"/>
      <c r="K152" s="14"/>
      <c r="L152" s="14"/>
      <c r="M152" s="14"/>
      <c r="N152" s="21"/>
      <c r="P152" s="13" t="n">
        <v>147</v>
      </c>
      <c r="Q152" s="40"/>
      <c r="R152" s="14"/>
      <c r="S152" s="14"/>
      <c r="T152" s="14"/>
      <c r="U152" s="21"/>
    </row>
    <row r="153" customFormat="false" ht="15" hidden="false" customHeight="false" outlineLevel="0" collapsed="false">
      <c r="I153" s="13" t="n">
        <v>148</v>
      </c>
      <c r="J153" s="40"/>
      <c r="K153" s="14"/>
      <c r="L153" s="14"/>
      <c r="M153" s="14"/>
      <c r="N153" s="21"/>
      <c r="P153" s="13" t="n">
        <v>148</v>
      </c>
      <c r="Q153" s="40"/>
      <c r="R153" s="14"/>
      <c r="S153" s="14"/>
      <c r="T153" s="14"/>
      <c r="U153" s="21"/>
    </row>
    <row r="154" customFormat="false" ht="15" hidden="false" customHeight="false" outlineLevel="0" collapsed="false">
      <c r="I154" s="13" t="n">
        <v>149</v>
      </c>
      <c r="J154" s="40"/>
      <c r="K154" s="14"/>
      <c r="L154" s="14"/>
      <c r="M154" s="14"/>
      <c r="N154" s="21"/>
      <c r="P154" s="13" t="n">
        <v>149</v>
      </c>
      <c r="Q154" s="40"/>
      <c r="R154" s="14"/>
      <c r="S154" s="14"/>
      <c r="T154" s="14"/>
      <c r="U154" s="21"/>
    </row>
    <row r="155" customFormat="false" ht="15" hidden="false" customHeight="false" outlineLevel="0" collapsed="false">
      <c r="I155" s="41" t="n">
        <v>150</v>
      </c>
      <c r="J155" s="42"/>
      <c r="K155" s="43"/>
      <c r="L155" s="43"/>
      <c r="M155" s="43"/>
      <c r="N155" s="44"/>
      <c r="P155" s="41" t="n">
        <v>150</v>
      </c>
      <c r="Q155" s="42"/>
      <c r="R155" s="43"/>
      <c r="S155" s="43"/>
      <c r="T155" s="43"/>
      <c r="U155" s="44"/>
    </row>
  </sheetData>
  <mergeCells count="2">
    <mergeCell ref="B5:G17"/>
    <mergeCell ref="B20:G27"/>
  </mergeCells>
  <conditionalFormatting sqref="Q6:U123">
    <cfRule type="containsText" priority="2" operator="containsText" aboveAverage="0" equalAverage="0" bottom="0" percent="0" rank="0" text="WILD" dxfId="0">
      <formula>NOT(ISERROR(SEARCH("WILD",Q6)))</formula>
    </cfRule>
    <cfRule type="containsText" priority="3" operator="containsText" aboveAverage="0" equalAverage="0" bottom="0" percent="0" rank="0" text="FG" dxfId="1">
      <formula>NOT(ISERROR(SEARCH("FG",Q6)))</formula>
    </cfRule>
    <cfRule type="containsText" priority="4" operator="containsText" aboveAverage="0" equalAverage="0" bottom="0" percent="0" rank="0" text="SYM" dxfId="2">
      <formula>NOT(ISERROR(SEARCH("SYM",Q6)))</formula>
    </cfRule>
  </conditionalFormatting>
  <conditionalFormatting sqref="Q124:U135">
    <cfRule type="containsText" priority="5" operator="containsText" aboveAverage="0" equalAverage="0" bottom="0" percent="0" rank="0" text="WILD" dxfId="3">
      <formula>NOT(ISERROR(SEARCH("WILD",Q124)))</formula>
    </cfRule>
    <cfRule type="containsText" priority="6" operator="containsText" aboveAverage="0" equalAverage="0" bottom="0" percent="0" rank="0" text="FG" dxfId="4">
      <formula>NOT(ISERROR(SEARCH("FG",Q124)))</formula>
    </cfRule>
    <cfRule type="containsText" priority="7" operator="containsText" aboveAverage="0" equalAverage="0" bottom="0" percent="0" rank="0" text="SYM" dxfId="5">
      <formula>NOT(ISERROR(SEARCH("SYM",Q124)))</formula>
    </cfRule>
  </conditionalFormatting>
  <conditionalFormatting sqref="Q136:U155">
    <cfRule type="containsText" priority="8" operator="containsText" aboveAverage="0" equalAverage="0" bottom="0" percent="0" rank="0" text="WILD" dxfId="6">
      <formula>NOT(ISERROR(SEARCH("WILD",Q136)))</formula>
    </cfRule>
    <cfRule type="containsText" priority="9" operator="containsText" aboveAverage="0" equalAverage="0" bottom="0" percent="0" rank="0" text="FG" dxfId="7">
      <formula>NOT(ISERROR(SEARCH("FG",Q136)))</formula>
    </cfRule>
    <cfRule type="containsText" priority="10" operator="containsText" aboveAverage="0" equalAverage="0" bottom="0" percent="0" rank="0" text="SYM" dxfId="8">
      <formula>NOT(ISERROR(SEARCH("SYM",Q136)))</formula>
    </cfRule>
  </conditionalFormatting>
  <conditionalFormatting sqref="J6:N155">
    <cfRule type="containsText" priority="11" operator="containsText" aboveAverage="0" equalAverage="0" bottom="0" percent="0" rank="0" text="WILD" dxfId="9">
      <formula>NOT(ISERROR(SEARCH("WILD",J6)))</formula>
    </cfRule>
    <cfRule type="containsText" priority="12" operator="containsText" aboveAverage="0" equalAverage="0" bottom="0" percent="0" rank="0" text="FG" dxfId="10">
      <formula>NOT(ISERROR(SEARCH("FG",J6)))</formula>
    </cfRule>
    <cfRule type="containsText" priority="13" operator="containsText" aboveAverage="0" equalAverage="0" bottom="0" percent="0" rank="0" text="SYM" dxfId="11">
      <formula>NOT(ISERROR(SEARCH("SYM",J6)))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85546875" defaultRowHeight="15" customHeight="false" zeroHeight="false" outlineLevelRow="0" outlineLevelCol="0"/>
  <cols>
    <col collapsed="false" customWidth="true" hidden="false" outlineLevel="0" max="1" min="1" style="4" width="4"/>
    <col collapsed="false" customWidth="true" hidden="false" outlineLevel="0" max="7" min="2" style="4" width="12.43"/>
    <col collapsed="false" customWidth="true" hidden="false" outlineLevel="0" max="14" min="8" style="4" width="12.14"/>
    <col collapsed="false" customWidth="true" hidden="false" outlineLevel="0" max="20" min="15" style="4" width="12.43"/>
    <col collapsed="false" customWidth="true" hidden="false" outlineLevel="0" max="21" min="21" style="4" width="12.14"/>
    <col collapsed="false" customWidth="true" hidden="false" outlineLevel="0" max="26" min="22" style="4" width="12.43"/>
    <col collapsed="false" customWidth="false" hidden="false" outlineLevel="0" max="28" min="27" style="4" width="8.85"/>
    <col collapsed="false" customWidth="true" hidden="false" outlineLevel="0" max="30" min="29" style="4" width="11.71"/>
    <col collapsed="false" customWidth="false" hidden="false" outlineLevel="0" max="16384" min="31" style="4" width="8.85"/>
  </cols>
  <sheetData>
    <row r="2" customFormat="false" ht="15" hidden="false" customHeight="false" outlineLevel="0" collapsed="false">
      <c r="B2" s="45" t="s">
        <v>19</v>
      </c>
      <c r="C2" s="46" t="n">
        <f aca="false">SUM(F38:F72,R38:R63)</f>
        <v>0.785362034707349</v>
      </c>
      <c r="F2" s="4" t="s">
        <v>0</v>
      </c>
      <c r="G2" s="47" t="n">
        <f aca="false">'Game Info'!C2</f>
        <v>40</v>
      </c>
    </row>
    <row r="3" customFormat="false" ht="15" hidden="false" customHeight="false" outlineLevel="0" collapsed="false">
      <c r="B3" s="4" t="s">
        <v>20</v>
      </c>
      <c r="C3" s="46" t="n">
        <f aca="false">FG!C4/G3</f>
        <v>0.107111546871047</v>
      </c>
      <c r="F3" s="48" t="s">
        <v>42</v>
      </c>
      <c r="G3" s="49" t="n">
        <f aca="false">1/SUM(P38:P53)</f>
        <v>116.457698083085</v>
      </c>
    </row>
    <row r="4" customFormat="false" ht="15" hidden="false" customHeight="false" outlineLevel="0" collapsed="false">
      <c r="B4" s="4" t="s">
        <v>43</v>
      </c>
      <c r="C4" s="50" t="n">
        <f aca="false">C2+C3</f>
        <v>0.892473581578396</v>
      </c>
    </row>
    <row r="6" customFormat="false" ht="15" hidden="false" customHeight="false" outlineLevel="0" collapsed="false">
      <c r="B6" s="4" t="s">
        <v>44</v>
      </c>
      <c r="C6" s="51" t="n">
        <v>4</v>
      </c>
      <c r="D6" s="51" t="n">
        <v>4</v>
      </c>
      <c r="E6" s="51" t="n">
        <v>4</v>
      </c>
      <c r="F6" s="51" t="n">
        <v>4</v>
      </c>
      <c r="G6" s="51" t="n">
        <v>4</v>
      </c>
    </row>
    <row r="7" customFormat="false" ht="15" hidden="false" customHeight="false" outlineLevel="0" collapsed="false">
      <c r="B7" s="10" t="s">
        <v>13</v>
      </c>
      <c r="C7" s="11" t="s">
        <v>8</v>
      </c>
      <c r="D7" s="11" t="s">
        <v>9</v>
      </c>
      <c r="E7" s="11" t="s">
        <v>10</v>
      </c>
      <c r="F7" s="11" t="s">
        <v>11</v>
      </c>
      <c r="G7" s="12" t="s">
        <v>12</v>
      </c>
    </row>
    <row r="8" customFormat="false" ht="15" hidden="false" customHeight="false" outlineLevel="0" collapsed="false">
      <c r="B8" s="18" t="s">
        <v>45</v>
      </c>
      <c r="C8" s="52" t="n">
        <f aca="false">'BG Reels'!B3</f>
        <v>0</v>
      </c>
      <c r="D8" s="52" t="n">
        <f aca="false">'BG Reels'!C3</f>
        <v>1</v>
      </c>
      <c r="E8" s="52" t="n">
        <f aca="false">'BG Reels'!D3</f>
        <v>2</v>
      </c>
      <c r="F8" s="52" t="n">
        <f aca="false">'BG Reels'!E3</f>
        <v>2</v>
      </c>
      <c r="G8" s="53" t="n">
        <f aca="false">'BG Reels'!F3</f>
        <v>0</v>
      </c>
    </row>
    <row r="9" customFormat="false" ht="15" hidden="false" customHeight="false" outlineLevel="0" collapsed="false">
      <c r="B9" s="18" t="s">
        <v>22</v>
      </c>
      <c r="C9" s="52" t="n">
        <f aca="false">'BG Reels'!B4</f>
        <v>6</v>
      </c>
      <c r="D9" s="52" t="n">
        <f aca="false">'BG Reels'!C4</f>
        <v>4</v>
      </c>
      <c r="E9" s="52" t="n">
        <f aca="false">'BG Reels'!D4</f>
        <v>10</v>
      </c>
      <c r="F9" s="52" t="n">
        <f aca="false">'BG Reels'!E4</f>
        <v>8</v>
      </c>
      <c r="G9" s="53" t="n">
        <f aca="false">'BG Reels'!F4</f>
        <v>17</v>
      </c>
    </row>
    <row r="10" customFormat="false" ht="15" hidden="false" customHeight="false" outlineLevel="0" collapsed="false">
      <c r="B10" s="18" t="s">
        <v>27</v>
      </c>
      <c r="C10" s="52" t="n">
        <f aca="false">'BG Reels'!B5</f>
        <v>12</v>
      </c>
      <c r="D10" s="52" t="n">
        <f aca="false">'BG Reels'!C5</f>
        <v>13</v>
      </c>
      <c r="E10" s="52" t="n">
        <f aca="false">'BG Reels'!D5</f>
        <v>6</v>
      </c>
      <c r="F10" s="52" t="n">
        <f aca="false">'BG Reels'!E5</f>
        <v>9</v>
      </c>
      <c r="G10" s="53" t="n">
        <f aca="false">'BG Reels'!F5</f>
        <v>8</v>
      </c>
    </row>
    <row r="11" customFormat="false" ht="15" hidden="false" customHeight="false" outlineLevel="0" collapsed="false">
      <c r="B11" s="18" t="s">
        <v>24</v>
      </c>
      <c r="C11" s="52" t="n">
        <f aca="false">'BG Reels'!B6</f>
        <v>14</v>
      </c>
      <c r="D11" s="52" t="n">
        <f aca="false">'BG Reels'!C6</f>
        <v>6</v>
      </c>
      <c r="E11" s="52" t="n">
        <f aca="false">'BG Reels'!D6</f>
        <v>11</v>
      </c>
      <c r="F11" s="52" t="n">
        <f aca="false">'BG Reels'!E6</f>
        <v>7</v>
      </c>
      <c r="G11" s="53" t="n">
        <f aca="false">'BG Reels'!F6</f>
        <v>15</v>
      </c>
    </row>
    <row r="12" customFormat="false" ht="15" hidden="false" customHeight="false" outlineLevel="0" collapsed="false">
      <c r="B12" s="18" t="s">
        <v>21</v>
      </c>
      <c r="C12" s="52" t="n">
        <f aca="false">'BG Reels'!B7</f>
        <v>6</v>
      </c>
      <c r="D12" s="52" t="n">
        <f aca="false">'BG Reels'!C7</f>
        <v>10</v>
      </c>
      <c r="E12" s="52" t="n">
        <f aca="false">'BG Reels'!D7</f>
        <v>11</v>
      </c>
      <c r="F12" s="52" t="n">
        <f aca="false">'BG Reels'!E7</f>
        <v>10</v>
      </c>
      <c r="G12" s="53" t="n">
        <f aca="false">'BG Reels'!F7</f>
        <v>8</v>
      </c>
    </row>
    <row r="13" customFormat="false" ht="15" hidden="false" customHeight="false" outlineLevel="0" collapsed="false">
      <c r="B13" s="18" t="s">
        <v>26</v>
      </c>
      <c r="C13" s="52" t="n">
        <f aca="false">'BG Reels'!B8</f>
        <v>6</v>
      </c>
      <c r="D13" s="52" t="n">
        <f aca="false">'BG Reels'!C8</f>
        <v>8</v>
      </c>
      <c r="E13" s="52" t="n">
        <f aca="false">'BG Reels'!D8</f>
        <v>10</v>
      </c>
      <c r="F13" s="52" t="n">
        <f aca="false">'BG Reels'!E8</f>
        <v>9</v>
      </c>
      <c r="G13" s="53" t="n">
        <f aca="false">'BG Reels'!F8</f>
        <v>5</v>
      </c>
    </row>
    <row r="14" customFormat="false" ht="15" hidden="false" customHeight="false" outlineLevel="0" collapsed="false">
      <c r="B14" s="18" t="s">
        <v>34</v>
      </c>
      <c r="C14" s="52" t="n">
        <f aca="false">'BG Reels'!B9</f>
        <v>8</v>
      </c>
      <c r="D14" s="52" t="n">
        <f aca="false">'BG Reels'!C9</f>
        <v>8</v>
      </c>
      <c r="E14" s="52" t="n">
        <f aca="false">'BG Reels'!D9</f>
        <v>6</v>
      </c>
      <c r="F14" s="52" t="n">
        <f aca="false">'BG Reels'!E9</f>
        <v>5</v>
      </c>
      <c r="G14" s="53" t="n">
        <f aca="false">'BG Reels'!F9</f>
        <v>7</v>
      </c>
    </row>
    <row r="15" customFormat="false" ht="15" hidden="false" customHeight="false" outlineLevel="0" collapsed="false">
      <c r="B15" s="18" t="s">
        <v>25</v>
      </c>
      <c r="C15" s="52" t="n">
        <f aca="false">'BG Reels'!B10</f>
        <v>7</v>
      </c>
      <c r="D15" s="52" t="n">
        <f aca="false">'BG Reels'!C10</f>
        <v>13</v>
      </c>
      <c r="E15" s="52" t="n">
        <f aca="false">'BG Reels'!D10</f>
        <v>9</v>
      </c>
      <c r="F15" s="52" t="n">
        <f aca="false">'BG Reels'!E10</f>
        <v>6</v>
      </c>
      <c r="G15" s="53" t="n">
        <f aca="false">'BG Reels'!F10</f>
        <v>15</v>
      </c>
    </row>
    <row r="16" customFormat="false" ht="15" hidden="false" customHeight="false" outlineLevel="0" collapsed="false">
      <c r="B16" s="18" t="s">
        <v>30</v>
      </c>
      <c r="C16" s="52" t="n">
        <f aca="false">'BG Reels'!B11</f>
        <v>11</v>
      </c>
      <c r="D16" s="52" t="n">
        <f aca="false">'BG Reels'!C11</f>
        <v>10</v>
      </c>
      <c r="E16" s="52" t="n">
        <f aca="false">'BG Reels'!D11</f>
        <v>16</v>
      </c>
      <c r="F16" s="52" t="n">
        <f aca="false">'BG Reels'!E11</f>
        <v>9</v>
      </c>
      <c r="G16" s="53" t="n">
        <f aca="false">'BG Reels'!F11</f>
        <v>14</v>
      </c>
    </row>
    <row r="17" customFormat="false" ht="15" hidden="false" customHeight="false" outlineLevel="0" collapsed="false">
      <c r="B17" s="18" t="s">
        <v>29</v>
      </c>
      <c r="C17" s="52" t="n">
        <f aca="false">'BG Reels'!B12</f>
        <v>8</v>
      </c>
      <c r="D17" s="52" t="n">
        <f aca="false">'BG Reels'!C12</f>
        <v>13</v>
      </c>
      <c r="E17" s="52" t="n">
        <f aca="false">'BG Reels'!D12</f>
        <v>10</v>
      </c>
      <c r="F17" s="52" t="n">
        <f aca="false">'BG Reels'!E12</f>
        <v>6</v>
      </c>
      <c r="G17" s="53" t="n">
        <f aca="false">'BG Reels'!F12</f>
        <v>9</v>
      </c>
    </row>
    <row r="18" customFormat="false" ht="15" hidden="false" customHeight="false" outlineLevel="0" collapsed="false">
      <c r="B18" s="18" t="n">
        <v>10</v>
      </c>
      <c r="C18" s="52" t="n">
        <f aca="false">'BG Reels'!B13</f>
        <v>16</v>
      </c>
      <c r="D18" s="52" t="n">
        <f aca="false">'BG Reels'!C13</f>
        <v>7</v>
      </c>
      <c r="E18" s="52" t="n">
        <f aca="false">'BG Reels'!D13</f>
        <v>12</v>
      </c>
      <c r="F18" s="52" t="n">
        <f aca="false">'BG Reels'!E13</f>
        <v>6</v>
      </c>
      <c r="G18" s="53" t="n">
        <f aca="false">'BG Reels'!F13</f>
        <v>10</v>
      </c>
    </row>
    <row r="19" customFormat="false" ht="15" hidden="false" customHeight="false" outlineLevel="0" collapsed="false">
      <c r="B19" s="18" t="n">
        <v>9</v>
      </c>
      <c r="C19" s="52" t="n">
        <f aca="false">'BG Reels'!B14</f>
        <v>9</v>
      </c>
      <c r="D19" s="52" t="n">
        <f aca="false">'BG Reels'!C14</f>
        <v>5</v>
      </c>
      <c r="E19" s="52" t="n">
        <f aca="false">'BG Reels'!D14</f>
        <v>3</v>
      </c>
      <c r="F19" s="52" t="n">
        <f aca="false">'BG Reels'!E14</f>
        <v>8</v>
      </c>
      <c r="G19" s="53" t="n">
        <f aca="false">'BG Reels'!F14</f>
        <v>4</v>
      </c>
    </row>
    <row r="20" customFormat="false" ht="15" hidden="false" customHeight="false" outlineLevel="0" collapsed="false">
      <c r="B20" s="18" t="s">
        <v>20</v>
      </c>
      <c r="C20" s="52" t="n">
        <f aca="false">'BG Reels'!B15</f>
        <v>4</v>
      </c>
      <c r="D20" s="52" t="n">
        <f aca="false">'BG Reels'!C15</f>
        <v>4</v>
      </c>
      <c r="E20" s="52" t="n">
        <f aca="false">'BG Reels'!D15</f>
        <v>4</v>
      </c>
      <c r="F20" s="52" t="n">
        <f aca="false">'BG Reels'!E15</f>
        <v>1</v>
      </c>
      <c r="G20" s="53" t="n">
        <f aca="false">'BG Reels'!F15</f>
        <v>1</v>
      </c>
    </row>
    <row r="21" customFormat="false" ht="15" hidden="false" customHeight="false" outlineLevel="0" collapsed="false">
      <c r="B21" s="37" t="s">
        <v>46</v>
      </c>
      <c r="C21" s="54" t="n">
        <f aca="false">SUM(C8:C20)</f>
        <v>107</v>
      </c>
      <c r="D21" s="54" t="n">
        <f aca="false">SUM(D8:D20)</f>
        <v>102</v>
      </c>
      <c r="E21" s="54" t="n">
        <f aca="false">SUM(E8:E20)</f>
        <v>110</v>
      </c>
      <c r="F21" s="54" t="n">
        <f aca="false">SUM(F8:F20)</f>
        <v>86</v>
      </c>
      <c r="G21" s="55" t="n">
        <f aca="false">SUM(G8:G20)</f>
        <v>113</v>
      </c>
    </row>
    <row r="22" customFormat="false" ht="15" hidden="false" customHeight="false" outlineLevel="0" collapsed="false">
      <c r="F22" s="56" t="s">
        <v>47</v>
      </c>
      <c r="G22" s="55" t="n">
        <f aca="false">PRODUCT(C21:G21)</f>
        <v>11666847720</v>
      </c>
    </row>
    <row r="23" customFormat="false" ht="15" hidden="false" customHeight="false" outlineLevel="0" collapsed="false">
      <c r="I23" s="57" t="s">
        <v>48</v>
      </c>
    </row>
    <row r="24" customFormat="false" ht="15" hidden="false" customHeight="false" outlineLevel="0" collapsed="false">
      <c r="B24" s="58" t="str">
        <f aca="false">B9</f>
        <v>SYM1</v>
      </c>
      <c r="C24" s="59" t="n">
        <f aca="false">C$6*(C$8+C9)</f>
        <v>24</v>
      </c>
      <c r="D24" s="59" t="n">
        <f aca="false">D$6*(D$8+D9)</f>
        <v>20</v>
      </c>
      <c r="E24" s="59" t="n">
        <f aca="false">E$6*(E$8+E9)</f>
        <v>48</v>
      </c>
      <c r="F24" s="59" t="n">
        <f aca="false">F$6*(F$8+F9)</f>
        <v>40</v>
      </c>
      <c r="G24" s="59" t="n">
        <f aca="false">G$6*(G$8+G9)</f>
        <v>68</v>
      </c>
      <c r="I24" s="60" t="n">
        <f aca="false">'BG Reels'!I4</f>
        <v>21</v>
      </c>
      <c r="J24" s="61" t="n">
        <f aca="false">'BG Reels'!J4</f>
        <v>18</v>
      </c>
      <c r="K24" s="61" t="n">
        <f aca="false">'BG Reels'!K4</f>
        <v>43</v>
      </c>
      <c r="L24" s="61" t="n">
        <f aca="false">'BG Reels'!L4</f>
        <v>31</v>
      </c>
      <c r="M24" s="62" t="n">
        <f aca="false">'BG Reels'!M4</f>
        <v>56</v>
      </c>
    </row>
    <row r="25" customFormat="false" ht="15" hidden="false" customHeight="false" outlineLevel="0" collapsed="false">
      <c r="B25" s="18" t="str">
        <f aca="false">B10</f>
        <v>SYM2</v>
      </c>
      <c r="C25" s="63" t="n">
        <f aca="false">C$6*(C$8+C10)</f>
        <v>48</v>
      </c>
      <c r="D25" s="63" t="n">
        <f aca="false">D$6*(D$8+D10)</f>
        <v>56</v>
      </c>
      <c r="E25" s="63" t="n">
        <f aca="false">E$6*(E$8+E10)</f>
        <v>32</v>
      </c>
      <c r="F25" s="63" t="n">
        <f aca="false">F$6*(F$8+F10)</f>
        <v>44</v>
      </c>
      <c r="G25" s="64" t="n">
        <f aca="false">G$6*(G$8+G10)</f>
        <v>32</v>
      </c>
      <c r="I25" s="65" t="n">
        <f aca="false">'BG Reels'!I5</f>
        <v>45</v>
      </c>
      <c r="J25" s="52" t="n">
        <f aca="false">'BG Reels'!J5</f>
        <v>47</v>
      </c>
      <c r="K25" s="52" t="n">
        <f aca="false">'BG Reels'!K5</f>
        <v>26</v>
      </c>
      <c r="L25" s="52" t="n">
        <f aca="false">'BG Reels'!L5</f>
        <v>36</v>
      </c>
      <c r="M25" s="53" t="n">
        <f aca="false">'BG Reels'!M5</f>
        <v>26</v>
      </c>
    </row>
    <row r="26" customFormat="false" ht="15" hidden="false" customHeight="false" outlineLevel="0" collapsed="false">
      <c r="B26" s="18" t="str">
        <f aca="false">B11</f>
        <v>SYM3</v>
      </c>
      <c r="C26" s="63" t="n">
        <f aca="false">C$6*(C$8+C11)</f>
        <v>56</v>
      </c>
      <c r="D26" s="63" t="n">
        <f aca="false">D$6*(D$8+D11)</f>
        <v>28</v>
      </c>
      <c r="E26" s="63" t="n">
        <f aca="false">E$6*(E$8+E11)</f>
        <v>52</v>
      </c>
      <c r="F26" s="63" t="n">
        <f aca="false">F$6*(F$8+F11)</f>
        <v>36</v>
      </c>
      <c r="G26" s="64" t="n">
        <f aca="false">G$6*(G$8+G11)</f>
        <v>60</v>
      </c>
      <c r="I26" s="65" t="n">
        <f aca="false">'BG Reels'!I6</f>
        <v>52</v>
      </c>
      <c r="J26" s="52" t="n">
        <f aca="false">'BG Reels'!J6</f>
        <v>26</v>
      </c>
      <c r="K26" s="52" t="n">
        <f aca="false">'BG Reels'!K6</f>
        <v>46</v>
      </c>
      <c r="L26" s="52" t="n">
        <f aca="false">'BG Reels'!L6</f>
        <v>28</v>
      </c>
      <c r="M26" s="53" t="n">
        <f aca="false">'BG Reels'!M6</f>
        <v>53</v>
      </c>
    </row>
    <row r="27" customFormat="false" ht="15" hidden="false" customHeight="false" outlineLevel="0" collapsed="false">
      <c r="B27" s="18" t="str">
        <f aca="false">B12</f>
        <v>SYM4</v>
      </c>
      <c r="C27" s="63" t="n">
        <f aca="false">C$6*(C$8+C12)</f>
        <v>24</v>
      </c>
      <c r="D27" s="63" t="n">
        <f aca="false">D$6*(D$8+D12)</f>
        <v>44</v>
      </c>
      <c r="E27" s="63" t="n">
        <f aca="false">E$6*(E$8+E12)</f>
        <v>52</v>
      </c>
      <c r="F27" s="63" t="n">
        <f aca="false">F$6*(F$8+F12)</f>
        <v>48</v>
      </c>
      <c r="G27" s="64" t="n">
        <f aca="false">G$6*(G$8+G12)</f>
        <v>32</v>
      </c>
      <c r="I27" s="65" t="n">
        <f aca="false">'BG Reels'!I7</f>
        <v>21</v>
      </c>
      <c r="J27" s="52" t="n">
        <f aca="false">'BG Reels'!J7</f>
        <v>35</v>
      </c>
      <c r="K27" s="52" t="n">
        <f aca="false">'BG Reels'!K7</f>
        <v>38</v>
      </c>
      <c r="L27" s="52" t="n">
        <f aca="false">'BG Reels'!L7</f>
        <v>40</v>
      </c>
      <c r="M27" s="53" t="n">
        <f aca="false">'BG Reels'!M7</f>
        <v>32</v>
      </c>
    </row>
    <row r="28" customFormat="false" ht="15" hidden="false" customHeight="false" outlineLevel="0" collapsed="false">
      <c r="B28" s="18" t="str">
        <f aca="false">B13</f>
        <v>SYM5</v>
      </c>
      <c r="C28" s="63" t="n">
        <f aca="false">C$6*(C$8+C13)</f>
        <v>24</v>
      </c>
      <c r="D28" s="63" t="n">
        <f aca="false">D$6*(D$8+D13)</f>
        <v>36</v>
      </c>
      <c r="E28" s="63" t="n">
        <f aca="false">E$6*(E$8+E13)</f>
        <v>48</v>
      </c>
      <c r="F28" s="63" t="n">
        <f aca="false">F$6*(F$8+F13)</f>
        <v>44</v>
      </c>
      <c r="G28" s="64" t="n">
        <f aca="false">G$6*(G$8+G13)</f>
        <v>20</v>
      </c>
      <c r="I28" s="65" t="n">
        <f aca="false">'BG Reels'!I8</f>
        <v>17</v>
      </c>
      <c r="J28" s="52" t="n">
        <f aca="false">'BG Reels'!J8</f>
        <v>29</v>
      </c>
      <c r="K28" s="52" t="n">
        <f aca="false">'BG Reels'!K8</f>
        <v>44</v>
      </c>
      <c r="L28" s="52" t="n">
        <f aca="false">'BG Reels'!L8</f>
        <v>38</v>
      </c>
      <c r="M28" s="53" t="n">
        <f aca="false">'BG Reels'!M8</f>
        <v>14</v>
      </c>
    </row>
    <row r="29" customFormat="false" ht="15" hidden="false" customHeight="false" outlineLevel="0" collapsed="false">
      <c r="B29" s="18" t="str">
        <f aca="false">B14</f>
        <v>A</v>
      </c>
      <c r="C29" s="63" t="n">
        <f aca="false">C$6*(C$8+C14)</f>
        <v>32</v>
      </c>
      <c r="D29" s="63" t="n">
        <f aca="false">D$6*(D$8+D14)</f>
        <v>36</v>
      </c>
      <c r="E29" s="63" t="n">
        <f aca="false">E$6*(E$8+E14)</f>
        <v>32</v>
      </c>
      <c r="F29" s="63" t="n">
        <f aca="false">F$6*(F$8+F14)</f>
        <v>28</v>
      </c>
      <c r="G29" s="64" t="n">
        <f aca="false">G$6*(G$8+G14)</f>
        <v>28</v>
      </c>
      <c r="I29" s="65" t="n">
        <f aca="false">'BG Reels'!I9</f>
        <v>32</v>
      </c>
      <c r="J29" s="52" t="n">
        <f aca="false">'BG Reels'!J9</f>
        <v>33</v>
      </c>
      <c r="K29" s="52" t="n">
        <f aca="false">'BG Reels'!K9</f>
        <v>32</v>
      </c>
      <c r="L29" s="52" t="n">
        <f aca="false">'BG Reels'!L9</f>
        <v>22</v>
      </c>
      <c r="M29" s="53" t="n">
        <f aca="false">'BG Reels'!M9</f>
        <v>28</v>
      </c>
    </row>
    <row r="30" customFormat="false" ht="15" hidden="false" customHeight="false" outlineLevel="0" collapsed="false">
      <c r="B30" s="18" t="str">
        <f aca="false">B15</f>
        <v>K</v>
      </c>
      <c r="C30" s="63" t="n">
        <f aca="false">C$6*(C$8+C15)</f>
        <v>28</v>
      </c>
      <c r="D30" s="63" t="n">
        <f aca="false">D$6*(D$8+D15)</f>
        <v>56</v>
      </c>
      <c r="E30" s="63" t="n">
        <f aca="false">E$6*(E$8+E15)</f>
        <v>44</v>
      </c>
      <c r="F30" s="63" t="n">
        <f aca="false">F$6*(F$8+F15)</f>
        <v>32</v>
      </c>
      <c r="G30" s="64" t="n">
        <f aca="false">G$6*(G$8+G15)</f>
        <v>60</v>
      </c>
      <c r="I30" s="65" t="n">
        <f aca="false">'BG Reels'!I10</f>
        <v>28</v>
      </c>
      <c r="J30" s="52" t="n">
        <f aca="false">'BG Reels'!J10</f>
        <v>50</v>
      </c>
      <c r="K30" s="52" t="n">
        <f aca="false">'BG Reels'!K10</f>
        <v>43</v>
      </c>
      <c r="L30" s="52" t="n">
        <f aca="false">'BG Reels'!L10</f>
        <v>31</v>
      </c>
      <c r="M30" s="53" t="n">
        <f aca="false">'BG Reels'!M10</f>
        <v>57</v>
      </c>
    </row>
    <row r="31" customFormat="false" ht="15" hidden="false" customHeight="false" outlineLevel="0" collapsed="false">
      <c r="B31" s="18" t="str">
        <f aca="false">B16</f>
        <v>Q</v>
      </c>
      <c r="C31" s="63" t="n">
        <f aca="false">C$6*(C$8+C16)</f>
        <v>44</v>
      </c>
      <c r="D31" s="63" t="n">
        <f aca="false">D$6*(D$8+D16)</f>
        <v>44</v>
      </c>
      <c r="E31" s="63" t="n">
        <f aca="false">E$6*(E$8+E16)</f>
        <v>72</v>
      </c>
      <c r="F31" s="63" t="n">
        <f aca="false">F$6*(F$8+F16)</f>
        <v>44</v>
      </c>
      <c r="G31" s="64" t="n">
        <f aca="false">G$6*(G$8+G16)</f>
        <v>56</v>
      </c>
      <c r="I31" s="65" t="n">
        <f aca="false">'BG Reels'!I11</f>
        <v>42</v>
      </c>
      <c r="J31" s="52" t="n">
        <f aca="false">'BG Reels'!J11</f>
        <v>39</v>
      </c>
      <c r="K31" s="52" t="n">
        <f aca="false">'BG Reels'!K11</f>
        <v>68</v>
      </c>
      <c r="L31" s="52" t="n">
        <f aca="false">'BG Reels'!L11</f>
        <v>42</v>
      </c>
      <c r="M31" s="53" t="n">
        <f aca="false">'BG Reels'!M11</f>
        <v>54</v>
      </c>
    </row>
    <row r="32" customFormat="false" ht="15" hidden="false" customHeight="false" outlineLevel="0" collapsed="false">
      <c r="B32" s="18" t="str">
        <f aca="false">B17</f>
        <v>J</v>
      </c>
      <c r="C32" s="63" t="n">
        <f aca="false">C$6*(C$8+C17)</f>
        <v>32</v>
      </c>
      <c r="D32" s="63" t="n">
        <f aca="false">D$6*(D$8+D17)</f>
        <v>56</v>
      </c>
      <c r="E32" s="63" t="n">
        <f aca="false">E$6*(E$8+E17)</f>
        <v>48</v>
      </c>
      <c r="F32" s="63" t="n">
        <f aca="false">F$6*(F$8+F17)</f>
        <v>32</v>
      </c>
      <c r="G32" s="64" t="n">
        <f aca="false">G$6*(G$8+G17)</f>
        <v>36</v>
      </c>
      <c r="I32" s="65" t="n">
        <f aca="false">'BG Reels'!I12</f>
        <v>30</v>
      </c>
      <c r="J32" s="52" t="n">
        <f aca="false">'BG Reels'!J12</f>
        <v>54</v>
      </c>
      <c r="K32" s="52" t="n">
        <f aca="false">'BG Reels'!K12</f>
        <v>42</v>
      </c>
      <c r="L32" s="52" t="n">
        <f aca="false">'BG Reels'!L12</f>
        <v>32</v>
      </c>
      <c r="M32" s="53" t="n">
        <f aca="false">'BG Reels'!M12</f>
        <v>36</v>
      </c>
    </row>
    <row r="33" customFormat="false" ht="15" hidden="false" customHeight="false" outlineLevel="0" collapsed="false">
      <c r="B33" s="18" t="n">
        <f aca="false">B18</f>
        <v>10</v>
      </c>
      <c r="C33" s="63" t="n">
        <f aca="false">C$6*(C$8+C18)</f>
        <v>64</v>
      </c>
      <c r="D33" s="63" t="n">
        <f aca="false">D$6*(D$8+D18)</f>
        <v>32</v>
      </c>
      <c r="E33" s="63" t="n">
        <f aca="false">E$6*(E$8+E18)</f>
        <v>56</v>
      </c>
      <c r="F33" s="63" t="n">
        <f aca="false">F$6*(F$8+F18)</f>
        <v>32</v>
      </c>
      <c r="G33" s="64" t="n">
        <f aca="false">G$6*(G$8+G18)</f>
        <v>40</v>
      </c>
      <c r="I33" s="65" t="n">
        <f aca="false">'BG Reels'!I13</f>
        <v>61</v>
      </c>
      <c r="J33" s="52" t="n">
        <f aca="false">'BG Reels'!J13</f>
        <v>32</v>
      </c>
      <c r="K33" s="52" t="n">
        <f aca="false">'BG Reels'!K13</f>
        <v>51</v>
      </c>
      <c r="L33" s="52" t="n">
        <f aca="false">'BG Reels'!L13</f>
        <v>29</v>
      </c>
      <c r="M33" s="53" t="n">
        <f aca="false">'BG Reels'!M13</f>
        <v>39</v>
      </c>
    </row>
    <row r="34" customFormat="false" ht="15" hidden="false" customHeight="false" outlineLevel="0" collapsed="false">
      <c r="B34" s="66" t="n">
        <f aca="false">B19</f>
        <v>9</v>
      </c>
      <c r="C34" s="67" t="n">
        <f aca="false">C$6*(C$8+C19)</f>
        <v>36</v>
      </c>
      <c r="D34" s="67" t="n">
        <f aca="false">D$6*(D$8+D19)</f>
        <v>24</v>
      </c>
      <c r="E34" s="67" t="n">
        <f aca="false">E$6*(E$8+E19)</f>
        <v>20</v>
      </c>
      <c r="F34" s="67" t="n">
        <f aca="false">F$6*(F$8+F19)</f>
        <v>40</v>
      </c>
      <c r="G34" s="68" t="n">
        <f aca="false">G$6*(G$8+G19)</f>
        <v>16</v>
      </c>
      <c r="I34" s="69" t="n">
        <f aca="false">'BG Reels'!I14</f>
        <v>36</v>
      </c>
      <c r="J34" s="70" t="n">
        <f aca="false">'BG Reels'!J14</f>
        <v>24</v>
      </c>
      <c r="K34" s="70" t="n">
        <f aca="false">'BG Reels'!K14</f>
        <v>20</v>
      </c>
      <c r="L34" s="70" t="n">
        <f aca="false">'BG Reels'!L14</f>
        <v>35</v>
      </c>
      <c r="M34" s="71" t="n">
        <f aca="false">'BG Reels'!M14</f>
        <v>14</v>
      </c>
    </row>
    <row r="35" customFormat="false" ht="15" hidden="false" customHeight="false" outlineLevel="0" collapsed="false">
      <c r="B35" s="66" t="str">
        <f aca="false">B20</f>
        <v>FG</v>
      </c>
      <c r="C35" s="67" t="n">
        <f aca="false">C$6*C20</f>
        <v>16</v>
      </c>
      <c r="D35" s="67" t="n">
        <f aca="false">D$6*D20</f>
        <v>16</v>
      </c>
      <c r="E35" s="67" t="n">
        <f aca="false">E$6*E20</f>
        <v>16</v>
      </c>
      <c r="F35" s="67" t="n">
        <f aca="false">F$6*F20</f>
        <v>4</v>
      </c>
      <c r="G35" s="68" t="n">
        <f aca="false">G$6*G20</f>
        <v>4</v>
      </c>
      <c r="I35" s="52"/>
      <c r="J35" s="52"/>
      <c r="K35" s="52"/>
      <c r="L35" s="52"/>
      <c r="M35" s="52"/>
    </row>
    <row r="36" customFormat="false" ht="15" hidden="false" customHeight="false" outlineLevel="0" collapsed="false">
      <c r="I36" s="52"/>
      <c r="J36" s="52"/>
      <c r="K36" s="52"/>
      <c r="L36" s="52"/>
      <c r="M36" s="52"/>
    </row>
    <row r="37" customFormat="false" ht="15" hidden="false" customHeight="false" outlineLevel="0" collapsed="false">
      <c r="B37" s="72" t="s">
        <v>49</v>
      </c>
      <c r="C37" s="11" t="s">
        <v>50</v>
      </c>
      <c r="D37" s="11" t="s">
        <v>51</v>
      </c>
      <c r="E37" s="11" t="s">
        <v>52</v>
      </c>
      <c r="F37" s="10" t="s">
        <v>53</v>
      </c>
      <c r="I37" s="72" t="s">
        <v>49</v>
      </c>
      <c r="J37" s="72" t="s">
        <v>8</v>
      </c>
      <c r="K37" s="11" t="s">
        <v>9</v>
      </c>
      <c r="L37" s="11" t="s">
        <v>10</v>
      </c>
      <c r="M37" s="11" t="s">
        <v>11</v>
      </c>
      <c r="N37" s="12" t="s">
        <v>12</v>
      </c>
      <c r="O37" s="11" t="s">
        <v>50</v>
      </c>
      <c r="P37" s="11" t="s">
        <v>51</v>
      </c>
      <c r="Q37" s="11" t="s">
        <v>52</v>
      </c>
      <c r="R37" s="10" t="s">
        <v>53</v>
      </c>
    </row>
    <row r="38" customFormat="false" ht="15" hidden="false" customHeight="false" outlineLevel="0" collapsed="false">
      <c r="B38" s="65" t="str">
        <f aca="false">B9 &amp; " x5"</f>
        <v>SYM1 x5</v>
      </c>
      <c r="C38" s="73" t="n">
        <f aca="false">C24*D24*E24*F24*G24</f>
        <v>62668800</v>
      </c>
      <c r="D38" s="74" t="n">
        <f aca="false">C38/$G$22</f>
        <v>0.00537152806859469</v>
      </c>
      <c r="E38" s="75" t="n">
        <f aca="false">'Game Info'!AA6</f>
        <v>300</v>
      </c>
      <c r="F38" s="76" t="n">
        <f aca="false">D38*E38/$G$2</f>
        <v>0.0402864605144602</v>
      </c>
      <c r="I38" s="77" t="s">
        <v>23</v>
      </c>
      <c r="J38" s="69" t="s">
        <v>54</v>
      </c>
      <c r="K38" s="70" t="s">
        <v>54</v>
      </c>
      <c r="L38" s="70" t="s">
        <v>54</v>
      </c>
      <c r="M38" s="70" t="s">
        <v>54</v>
      </c>
      <c r="N38" s="71" t="s">
        <v>54</v>
      </c>
      <c r="O38" s="78" t="n">
        <f aca="false">IF(J38="X",$C$35,$C$21-$C$35)*IF(K38="X",$D$35,$D$21-$D$35)*IF(L38="X",$E$35,$E$21-$E$35)*IF(M38="X",$F$35,$F$21-$F$35)*IF(N38="X",$G$35,$G$21-$G$35)</f>
        <v>65536</v>
      </c>
      <c r="P38" s="70" t="n">
        <f aca="false">O38/$G$22</f>
        <v>5.61728425473955E-006</v>
      </c>
      <c r="Q38" s="79" t="n">
        <f aca="false">'Game Info'!AA17</f>
        <v>20</v>
      </c>
      <c r="R38" s="80" t="n">
        <f aca="false">P38*Q38</f>
        <v>0.000112345685094791</v>
      </c>
    </row>
    <row r="39" customFormat="false" ht="15" hidden="false" customHeight="false" outlineLevel="0" collapsed="false">
      <c r="B39" s="65" t="str">
        <f aca="false">B10 &amp; " x5"</f>
        <v>SYM2 x5</v>
      </c>
      <c r="C39" s="73" t="n">
        <f aca="false">C25*D25*E25*F25*G25</f>
        <v>121110528</v>
      </c>
      <c r="D39" s="74" t="n">
        <f aca="false">C39/$G$22</f>
        <v>0.0103807413027587</v>
      </c>
      <c r="E39" s="75" t="n">
        <f aca="false">'Game Info'!AA7</f>
        <v>150</v>
      </c>
      <c r="F39" s="76" t="n">
        <f aca="false">D39*E39/$G$2</f>
        <v>0.0389277798853451</v>
      </c>
      <c r="I39" s="81" t="s">
        <v>28</v>
      </c>
      <c r="J39" s="65" t="s">
        <v>54</v>
      </c>
      <c r="K39" s="52" t="s">
        <v>54</v>
      </c>
      <c r="L39" s="52" t="s">
        <v>54</v>
      </c>
      <c r="M39" s="52" t="s">
        <v>54</v>
      </c>
      <c r="N39" s="53" t="s">
        <v>33</v>
      </c>
      <c r="O39" s="73" t="n">
        <f aca="false">IF(J39="X",$C$35,$C$21-$C$35)*IF(K39="X",$D$35,$D$21-$D$35)*IF(L39="X",$E$35,$E$21-$E$35)*IF(M39="X",$F$35,$F$21-$F$35)*IF(N39="X",$G$35,$G$21-$G$35)</f>
        <v>1785856</v>
      </c>
      <c r="P39" s="52" t="n">
        <f aca="false">O39/$G$22</f>
        <v>0.000153070995941653</v>
      </c>
      <c r="Q39" s="75" t="n">
        <f aca="false">'Game Info'!Z17</f>
        <v>10</v>
      </c>
      <c r="R39" s="76" t="n">
        <f aca="false">P39*Q39</f>
        <v>0.00153070995941653</v>
      </c>
    </row>
    <row r="40" customFormat="false" ht="15" hidden="false" customHeight="false" outlineLevel="0" collapsed="false">
      <c r="B40" s="65" t="str">
        <f aca="false">B11 &amp; " x5"</f>
        <v>SYM3 x5</v>
      </c>
      <c r="C40" s="73" t="n">
        <f aca="false">C26*D26*E26*F26*G26</f>
        <v>176117760</v>
      </c>
      <c r="D40" s="74" t="n">
        <f aca="false">C40/$G$22</f>
        <v>0.0150955737339477</v>
      </c>
      <c r="E40" s="75" t="n">
        <f aca="false">'Game Info'!AA8</f>
        <v>150</v>
      </c>
      <c r="F40" s="76" t="n">
        <f aca="false">D40*E40/$G$2</f>
        <v>0.056608401502304</v>
      </c>
      <c r="I40" s="81" t="s">
        <v>28</v>
      </c>
      <c r="J40" s="65" t="s">
        <v>54</v>
      </c>
      <c r="K40" s="52" t="s">
        <v>54</v>
      </c>
      <c r="L40" s="52" t="s">
        <v>54</v>
      </c>
      <c r="M40" s="52" t="s">
        <v>33</v>
      </c>
      <c r="N40" s="53" t="s">
        <v>54</v>
      </c>
      <c r="O40" s="73" t="n">
        <f aca="false">IF(J40="X",$C$35,$C$21-$C$35)*IF(K40="X",$D$35,$D$21-$D$35)*IF(L40="X",$E$35,$E$21-$E$35)*IF(M40="X",$F$35,$F$21-$F$35)*IF(N40="X",$G$35,$G$21-$G$35)</f>
        <v>1343488</v>
      </c>
      <c r="P40" s="52" t="n">
        <f aca="false">O40/$G$22</f>
        <v>0.000115154327222161</v>
      </c>
      <c r="Q40" s="75" t="n">
        <f aca="false">Q39</f>
        <v>10</v>
      </c>
      <c r="R40" s="76" t="n">
        <f aca="false">P40*Q40</f>
        <v>0.00115154327222161</v>
      </c>
    </row>
    <row r="41" customFormat="false" ht="15" hidden="false" customHeight="false" outlineLevel="0" collapsed="false">
      <c r="B41" s="65" t="str">
        <f aca="false">B12 &amp; " x5"</f>
        <v>SYM4 x5</v>
      </c>
      <c r="C41" s="73" t="n">
        <f aca="false">C27*D27*E27*F27*G27</f>
        <v>84344832</v>
      </c>
      <c r="D41" s="74" t="n">
        <f aca="false">C41/$G$22</f>
        <v>0.0072294448358498</v>
      </c>
      <c r="E41" s="75" t="n">
        <f aca="false">'Game Info'!AA9</f>
        <v>120</v>
      </c>
      <c r="F41" s="76" t="n">
        <f aca="false">D41*E41/$G$2</f>
        <v>0.0216883345075494</v>
      </c>
      <c r="I41" s="81" t="s">
        <v>28</v>
      </c>
      <c r="J41" s="65" t="s">
        <v>54</v>
      </c>
      <c r="K41" s="52" t="s">
        <v>54</v>
      </c>
      <c r="L41" s="52" t="s">
        <v>33</v>
      </c>
      <c r="M41" s="52" t="s">
        <v>54</v>
      </c>
      <c r="N41" s="53" t="s">
        <v>54</v>
      </c>
      <c r="O41" s="73" t="n">
        <f aca="false">IF(J41="X",$C$35,$C$21-$C$35)*IF(K41="X",$D$35,$D$21-$D$35)*IF(L41="X",$E$35,$E$21-$E$35)*IF(M41="X",$F$35,$F$21-$F$35)*IF(N41="X",$G$35,$G$21-$G$35)</f>
        <v>385024</v>
      </c>
      <c r="P41" s="52" t="n">
        <f aca="false">O41/$G$22</f>
        <v>3.30015449965949E-005</v>
      </c>
      <c r="Q41" s="75" t="n">
        <f aca="false">Q40</f>
        <v>10</v>
      </c>
      <c r="R41" s="76" t="n">
        <f aca="false">P41*Q41</f>
        <v>0.000330015449965948</v>
      </c>
    </row>
    <row r="42" customFormat="false" ht="15" hidden="false" customHeight="false" outlineLevel="0" collapsed="false">
      <c r="B42" s="65" t="str">
        <f aca="false">B13 &amp; " x5"</f>
        <v>SYM5 x5</v>
      </c>
      <c r="C42" s="73" t="n">
        <f aca="false">C28*D28*E28*F28*G28</f>
        <v>36495360</v>
      </c>
      <c r="D42" s="74" t="n">
        <f aca="false">C42/$G$22</f>
        <v>0.00312812516935809</v>
      </c>
      <c r="E42" s="75" t="n">
        <f aca="false">'Game Info'!AA10</f>
        <v>120</v>
      </c>
      <c r="F42" s="76" t="n">
        <f aca="false">D42*E42/$G$2</f>
        <v>0.00938437550807426</v>
      </c>
      <c r="I42" s="81" t="s">
        <v>28</v>
      </c>
      <c r="J42" s="65" t="s">
        <v>54</v>
      </c>
      <c r="K42" s="52" t="s">
        <v>33</v>
      </c>
      <c r="L42" s="52" t="s">
        <v>54</v>
      </c>
      <c r="M42" s="52" t="s">
        <v>54</v>
      </c>
      <c r="N42" s="53" t="s">
        <v>54</v>
      </c>
      <c r="O42" s="73" t="n">
        <f aca="false">IF(J42="X",$C$35,$C$21-$C$35)*IF(K42="X",$D$35,$D$21-$D$35)*IF(L42="X",$E$35,$E$21-$E$35)*IF(M42="X",$F$35,$F$21-$F$35)*IF(N42="X",$G$35,$G$21-$G$35)</f>
        <v>352256</v>
      </c>
      <c r="P42" s="52" t="n">
        <f aca="false">O42/$G$22</f>
        <v>3.01929028692251E-005</v>
      </c>
      <c r="Q42" s="75" t="n">
        <f aca="false">Q41</f>
        <v>10</v>
      </c>
      <c r="R42" s="76" t="n">
        <f aca="false">P42*Q42</f>
        <v>0.000301929028692251</v>
      </c>
    </row>
    <row r="43" customFormat="false" ht="15" hidden="false" customHeight="false" outlineLevel="0" collapsed="false">
      <c r="B43" s="65" t="str">
        <f aca="false">B14 &amp; " x5"</f>
        <v>A x5</v>
      </c>
      <c r="C43" s="73" t="n">
        <f aca="false">C29*D29*E29*F29*G29</f>
        <v>28901376</v>
      </c>
      <c r="D43" s="74" t="n">
        <f aca="false">C43/$G$22</f>
        <v>0.00247722235634014</v>
      </c>
      <c r="E43" s="75" t="n">
        <f aca="false">'Game Info'!AA11</f>
        <v>100</v>
      </c>
      <c r="F43" s="76" t="n">
        <f aca="false">D43*E43/$G$2</f>
        <v>0.00619305589085035</v>
      </c>
      <c r="I43" s="77" t="s">
        <v>28</v>
      </c>
      <c r="J43" s="69" t="s">
        <v>33</v>
      </c>
      <c r="K43" s="70" t="s">
        <v>54</v>
      </c>
      <c r="L43" s="70" t="s">
        <v>54</v>
      </c>
      <c r="M43" s="70" t="s">
        <v>54</v>
      </c>
      <c r="N43" s="71" t="s">
        <v>54</v>
      </c>
      <c r="O43" s="78" t="n">
        <f aca="false">IF(J43="X",$C$35,$C$21-$C$35)*IF(K43="X",$D$35,$D$21-$D$35)*IF(L43="X",$E$35,$E$21-$E$35)*IF(M43="X",$F$35,$F$21-$F$35)*IF(N43="X",$G$35,$G$21-$G$35)</f>
        <v>372736</v>
      </c>
      <c r="P43" s="70" t="n">
        <f aca="false">O43/$G$22</f>
        <v>3.19483041988312E-005</v>
      </c>
      <c r="Q43" s="79" t="n">
        <f aca="false">Q42</f>
        <v>10</v>
      </c>
      <c r="R43" s="80" t="n">
        <f aca="false">P43*Q43</f>
        <v>0.000319483041988312</v>
      </c>
    </row>
    <row r="44" customFormat="false" ht="15" hidden="false" customHeight="false" outlineLevel="0" collapsed="false">
      <c r="B44" s="65" t="str">
        <f aca="false">B15 &amp; " x5"</f>
        <v>K x5</v>
      </c>
      <c r="C44" s="73" t="n">
        <f aca="false">C30*D30*E30*F30*G30</f>
        <v>132464640</v>
      </c>
      <c r="D44" s="74" t="n">
        <f aca="false">C44/$G$22</f>
        <v>0.0113539357998923</v>
      </c>
      <c r="E44" s="75" t="n">
        <f aca="false">'Game Info'!AA12</f>
        <v>100</v>
      </c>
      <c r="F44" s="76" t="n">
        <f aca="false">D44*E44/$G$2</f>
        <v>0.0283848394997308</v>
      </c>
      <c r="I44" s="81" t="s">
        <v>31</v>
      </c>
      <c r="J44" s="65" t="s">
        <v>54</v>
      </c>
      <c r="K44" s="52" t="s">
        <v>54</v>
      </c>
      <c r="L44" s="52" t="s">
        <v>54</v>
      </c>
      <c r="M44" s="52" t="s">
        <v>33</v>
      </c>
      <c r="N44" s="53" t="s">
        <v>33</v>
      </c>
      <c r="O44" s="73" t="n">
        <f aca="false">IF(J44="X",$C$35,$C$21-$C$35)*IF(K44="X",$D$35,$D$21-$D$35)*IF(L44="X",$E$35,$E$21-$E$35)*IF(M44="X",$F$35,$F$21-$F$35)*IF(N44="X",$G$35,$G$21-$G$35)</f>
        <v>36610048</v>
      </c>
      <c r="P44" s="52" t="n">
        <f aca="false">O44/$G$22</f>
        <v>0.00313795541680388</v>
      </c>
      <c r="Q44" s="75" t="n">
        <f aca="false">'Game Info'!Y17</f>
        <v>2</v>
      </c>
      <c r="R44" s="76" t="n">
        <f aca="false">P44*Q44</f>
        <v>0.00627591083360776</v>
      </c>
    </row>
    <row r="45" customFormat="false" ht="15" hidden="false" customHeight="false" outlineLevel="0" collapsed="false">
      <c r="B45" s="65" t="str">
        <f aca="false">B16 &amp; " x5"</f>
        <v>Q x5</v>
      </c>
      <c r="C45" s="73" t="n">
        <f aca="false">C31*D31*E31*F31*G31</f>
        <v>343461888</v>
      </c>
      <c r="D45" s="74" t="n">
        <f aca="false">C45/$G$22</f>
        <v>0.0294391335382922</v>
      </c>
      <c r="E45" s="75" t="n">
        <f aca="false">'Game Info'!AA13</f>
        <v>100</v>
      </c>
      <c r="F45" s="76" t="n">
        <f aca="false">D45*E45/$G$2</f>
        <v>0.0735978338457305</v>
      </c>
      <c r="I45" s="81" t="s">
        <v>31</v>
      </c>
      <c r="J45" s="65" t="s">
        <v>54</v>
      </c>
      <c r="K45" s="52" t="s">
        <v>54</v>
      </c>
      <c r="L45" s="52" t="s">
        <v>33</v>
      </c>
      <c r="M45" s="52" t="s">
        <v>54</v>
      </c>
      <c r="N45" s="53" t="s">
        <v>33</v>
      </c>
      <c r="O45" s="73" t="n">
        <f aca="false">IF(J45="X",$C$35,$C$21-$C$35)*IF(K45="X",$D$35,$D$21-$D$35)*IF(L45="X",$E$35,$E$21-$E$35)*IF(M45="X",$F$35,$F$21-$F$35)*IF(N45="X",$G$35,$G$21-$G$35)</f>
        <v>10491904</v>
      </c>
      <c r="P45" s="52" t="n">
        <f aca="false">O45/$G$22</f>
        <v>0.00089929210115721</v>
      </c>
      <c r="Q45" s="75" t="n">
        <f aca="false">Q44</f>
        <v>2</v>
      </c>
      <c r="R45" s="76" t="n">
        <f aca="false">P45*Q45</f>
        <v>0.00179858420231442</v>
      </c>
    </row>
    <row r="46" customFormat="false" ht="15" hidden="false" customHeight="false" outlineLevel="0" collapsed="false">
      <c r="B46" s="65" t="str">
        <f aca="false">B17 &amp; " x5"</f>
        <v>J x5</v>
      </c>
      <c r="C46" s="73" t="n">
        <f aca="false">C32*D32*E32*F32*G32</f>
        <v>99090432</v>
      </c>
      <c r="D46" s="74" t="n">
        <f aca="false">C46/$G$22</f>
        <v>0.0084933337931662</v>
      </c>
      <c r="E46" s="75" t="n">
        <f aca="false">'Game Info'!AA14</f>
        <v>100</v>
      </c>
      <c r="F46" s="76" t="n">
        <f aca="false">D46*E46/$G$2</f>
        <v>0.0212333344829155</v>
      </c>
      <c r="I46" s="81" t="s">
        <v>31</v>
      </c>
      <c r="J46" s="65" t="s">
        <v>54</v>
      </c>
      <c r="K46" s="52" t="s">
        <v>33</v>
      </c>
      <c r="L46" s="52" t="s">
        <v>54</v>
      </c>
      <c r="M46" s="52" t="s">
        <v>54</v>
      </c>
      <c r="N46" s="53" t="s">
        <v>33</v>
      </c>
      <c r="O46" s="73" t="n">
        <f aca="false">IF(J46="X",$C$35,$C$21-$C$35)*IF(K46="X",$D$35,$D$21-$D$35)*IF(L46="X",$E$35,$E$21-$E$35)*IF(M46="X",$F$35,$F$21-$F$35)*IF(N46="X",$G$35,$G$21-$G$35)</f>
        <v>9598976</v>
      </c>
      <c r="P46" s="52" t="n">
        <f aca="false">O46/$G$22</f>
        <v>0.000822756603186383</v>
      </c>
      <c r="Q46" s="75" t="n">
        <f aca="false">Q45</f>
        <v>2</v>
      </c>
      <c r="R46" s="76" t="n">
        <f aca="false">P46*Q46</f>
        <v>0.00164551320637277</v>
      </c>
    </row>
    <row r="47" customFormat="false" ht="15" hidden="false" customHeight="false" outlineLevel="0" collapsed="false">
      <c r="B47" s="65" t="str">
        <f aca="false">B18 &amp; " x5"</f>
        <v>10 x5</v>
      </c>
      <c r="C47" s="73" t="n">
        <f aca="false">C33*D33*E33*F33*G33</f>
        <v>146800640</v>
      </c>
      <c r="D47" s="74" t="n">
        <f aca="false">C47/$G$22</f>
        <v>0.0125827167306166</v>
      </c>
      <c r="E47" s="75" t="n">
        <f aca="false">'Game Info'!AA15</f>
        <v>100</v>
      </c>
      <c r="F47" s="76" t="n">
        <f aca="false">D47*E47/$G$2</f>
        <v>0.0314567918265415</v>
      </c>
      <c r="I47" s="81" t="s">
        <v>31</v>
      </c>
      <c r="J47" s="65" t="s">
        <v>33</v>
      </c>
      <c r="K47" s="52" t="s">
        <v>54</v>
      </c>
      <c r="L47" s="52" t="s">
        <v>54</v>
      </c>
      <c r="M47" s="52" t="s">
        <v>54</v>
      </c>
      <c r="N47" s="53" t="s">
        <v>33</v>
      </c>
      <c r="O47" s="73" t="n">
        <f aca="false">IF(J47="X",$C$35,$C$21-$C$35)*IF(K47="X",$D$35,$D$21-$D$35)*IF(L47="X",$E$35,$E$21-$E$35)*IF(M47="X",$F$35,$F$21-$F$35)*IF(N47="X",$G$35,$G$21-$G$35)</f>
        <v>10157056</v>
      </c>
      <c r="P47" s="52" t="n">
        <f aca="false">O47/$G$22</f>
        <v>0.00087059128941815</v>
      </c>
      <c r="Q47" s="75" t="n">
        <f aca="false">Q46</f>
        <v>2</v>
      </c>
      <c r="R47" s="76" t="n">
        <f aca="false">P47*Q47</f>
        <v>0.0017411825788363</v>
      </c>
    </row>
    <row r="48" customFormat="false" ht="15" hidden="false" customHeight="false" outlineLevel="0" collapsed="false">
      <c r="B48" s="69" t="str">
        <f aca="false">B19 &amp; " x5"</f>
        <v>9 x5</v>
      </c>
      <c r="C48" s="78" t="n">
        <f aca="false">C34*D34*E34*F34*G34</f>
        <v>11059200</v>
      </c>
      <c r="D48" s="82" t="n">
        <f aca="false">C48/$G$22</f>
        <v>0.000947916717987299</v>
      </c>
      <c r="E48" s="79" t="n">
        <f aca="false">'Game Info'!AA16</f>
        <v>100</v>
      </c>
      <c r="F48" s="80" t="n">
        <f aca="false">D48*E48/$G$2</f>
        <v>0.00236979179496825</v>
      </c>
      <c r="I48" s="81" t="s">
        <v>31</v>
      </c>
      <c r="J48" s="65" t="s">
        <v>54</v>
      </c>
      <c r="K48" s="52" t="s">
        <v>54</v>
      </c>
      <c r="L48" s="52" t="s">
        <v>33</v>
      </c>
      <c r="M48" s="52" t="s">
        <v>33</v>
      </c>
      <c r="N48" s="53" t="s">
        <v>54</v>
      </c>
      <c r="O48" s="73" t="n">
        <f aca="false">IF(J48="X",$C$35,$C$21-$C$35)*IF(K48="X",$D$35,$D$21-$D$35)*IF(L48="X",$E$35,$E$21-$E$35)*IF(M48="X",$F$35,$F$21-$F$35)*IF(N48="X",$G$35,$G$21-$G$35)</f>
        <v>7892992</v>
      </c>
      <c r="P48" s="52" t="n">
        <f aca="false">O48/$G$22</f>
        <v>0.000676531672430194</v>
      </c>
      <c r="Q48" s="75" t="n">
        <f aca="false">Q47</f>
        <v>2</v>
      </c>
      <c r="R48" s="76" t="n">
        <f aca="false">P48*Q48</f>
        <v>0.00135306334486039</v>
      </c>
    </row>
    <row r="49" customFormat="false" ht="15" hidden="false" customHeight="false" outlineLevel="0" collapsed="false">
      <c r="B49" s="65" t="str">
        <f aca="false">B9 &amp; " x4"</f>
        <v>SYM1 x4</v>
      </c>
      <c r="C49" s="73" t="n">
        <f aca="false">C24*D24*E24*F24*($G$21-M24)</f>
        <v>52531200</v>
      </c>
      <c r="D49" s="74" t="n">
        <f aca="false">C49/$G$22</f>
        <v>0.00450260441043967</v>
      </c>
      <c r="E49" s="75" t="n">
        <f aca="false">'Game Info'!Z6</f>
        <v>100</v>
      </c>
      <c r="F49" s="76" t="n">
        <f aca="false">D49*E49/$G$2</f>
        <v>0.0112565110260992</v>
      </c>
      <c r="I49" s="81" t="s">
        <v>31</v>
      </c>
      <c r="J49" s="65" t="s">
        <v>54</v>
      </c>
      <c r="K49" s="52" t="s">
        <v>33</v>
      </c>
      <c r="L49" s="52" t="s">
        <v>54</v>
      </c>
      <c r="M49" s="52" t="s">
        <v>33</v>
      </c>
      <c r="N49" s="53" t="s">
        <v>54</v>
      </c>
      <c r="O49" s="73" t="n">
        <f aca="false">IF(J49="X",$C$35,$C$21-$C$35)*IF(K49="X",$D$35,$D$21-$D$35)*IF(L49="X",$E$35,$E$21-$E$35)*IF(M49="X",$F$35,$F$21-$F$35)*IF(N49="X",$G$35,$G$21-$G$35)</f>
        <v>7221248</v>
      </c>
      <c r="P49" s="52" t="n">
        <f aca="false">O49/$G$22</f>
        <v>0.000618954508819114</v>
      </c>
      <c r="Q49" s="75" t="n">
        <f aca="false">Q48</f>
        <v>2</v>
      </c>
      <c r="R49" s="76" t="n">
        <f aca="false">P49*Q49</f>
        <v>0.00123790901763823</v>
      </c>
    </row>
    <row r="50" customFormat="false" ht="15" hidden="false" customHeight="false" outlineLevel="0" collapsed="false">
      <c r="B50" s="65" t="str">
        <f aca="false">B10 &amp; " x4"</f>
        <v>SYM2 x4</v>
      </c>
      <c r="C50" s="73" t="n">
        <f aca="false">C25*D25*E25*F25*($G$21-M25)</f>
        <v>329269248</v>
      </c>
      <c r="D50" s="74" t="n">
        <f aca="false">C50/$G$22</f>
        <v>0.0282226404168752</v>
      </c>
      <c r="E50" s="75" t="n">
        <f aca="false">'Game Info'!Z7</f>
        <v>100</v>
      </c>
      <c r="F50" s="76" t="n">
        <f aca="false">D50*E50/$G$2</f>
        <v>0.0705566010421879</v>
      </c>
      <c r="I50" s="81" t="s">
        <v>31</v>
      </c>
      <c r="J50" s="65" t="s">
        <v>33</v>
      </c>
      <c r="K50" s="52" t="s">
        <v>54</v>
      </c>
      <c r="L50" s="52" t="s">
        <v>54</v>
      </c>
      <c r="M50" s="52" t="s">
        <v>33</v>
      </c>
      <c r="N50" s="53" t="s">
        <v>54</v>
      </c>
      <c r="O50" s="73" t="n">
        <f aca="false">IF(J50="X",$C$35,$C$21-$C$35)*IF(K50="X",$D$35,$D$21-$D$35)*IF(L50="X",$E$35,$E$21-$E$35)*IF(M50="X",$F$35,$F$21-$F$35)*IF(N50="X",$G$35,$G$21-$G$35)</f>
        <v>7641088</v>
      </c>
      <c r="P50" s="52" t="n">
        <f aca="false">O50/$G$22</f>
        <v>0.000654940236076039</v>
      </c>
      <c r="Q50" s="75" t="n">
        <f aca="false">Q49</f>
        <v>2</v>
      </c>
      <c r="R50" s="76" t="n">
        <f aca="false">P50*Q50</f>
        <v>0.00130988047215208</v>
      </c>
    </row>
    <row r="51" customFormat="false" ht="15" hidden="false" customHeight="false" outlineLevel="0" collapsed="false">
      <c r="B51" s="65" t="str">
        <f aca="false">B11 &amp; " x4"</f>
        <v>SYM3 x4</v>
      </c>
      <c r="C51" s="73" t="n">
        <f aca="false">C26*D26*E26*F26*($G$21-M26)</f>
        <v>176117760</v>
      </c>
      <c r="D51" s="74" t="n">
        <f aca="false">C51/$G$22</f>
        <v>0.0150955737339477</v>
      </c>
      <c r="E51" s="75" t="n">
        <f aca="false">'Game Info'!Z8</f>
        <v>100</v>
      </c>
      <c r="F51" s="76" t="n">
        <f aca="false">D51*E51/$G$2</f>
        <v>0.0377389343348693</v>
      </c>
      <c r="I51" s="81" t="s">
        <v>31</v>
      </c>
      <c r="J51" s="65" t="s">
        <v>54</v>
      </c>
      <c r="K51" s="52" t="s">
        <v>33</v>
      </c>
      <c r="L51" s="52" t="s">
        <v>33</v>
      </c>
      <c r="M51" s="52" t="s">
        <v>54</v>
      </c>
      <c r="N51" s="53" t="s">
        <v>54</v>
      </c>
      <c r="O51" s="73" t="n">
        <f aca="false">IF(J51="X",$C$35,$C$21-$C$35)*IF(K51="X",$D$35,$D$21-$D$35)*IF(L51="X",$E$35,$E$21-$E$35)*IF(M51="X",$F$35,$F$21-$F$35)*IF(N51="X",$G$35,$G$21-$G$35)</f>
        <v>2069504</v>
      </c>
      <c r="P51" s="52" t="n">
        <f aca="false">O51/$G$22</f>
        <v>0.000177383304356697</v>
      </c>
      <c r="Q51" s="75" t="n">
        <f aca="false">Q50</f>
        <v>2</v>
      </c>
      <c r="R51" s="76" t="n">
        <f aca="false">P51*Q51</f>
        <v>0.000354766608713395</v>
      </c>
    </row>
    <row r="52" customFormat="false" ht="15" hidden="false" customHeight="false" outlineLevel="0" collapsed="false">
      <c r="B52" s="65" t="str">
        <f aca="false">B12 &amp; " x4"</f>
        <v>SYM4 x4</v>
      </c>
      <c r="C52" s="73" t="n">
        <f aca="false">C27*D27*E27*F27*($G$21-M27)</f>
        <v>213497856</v>
      </c>
      <c r="D52" s="74" t="n">
        <f aca="false">C52/$G$22</f>
        <v>0.0182995322407448</v>
      </c>
      <c r="E52" s="75" t="n">
        <f aca="false">'Game Info'!Z9</f>
        <v>80</v>
      </c>
      <c r="F52" s="76" t="n">
        <f aca="false">D52*E52/$G$2</f>
        <v>0.0365990644814896</v>
      </c>
      <c r="I52" s="81" t="s">
        <v>31</v>
      </c>
      <c r="J52" s="65" t="s">
        <v>33</v>
      </c>
      <c r="K52" s="52" t="s">
        <v>54</v>
      </c>
      <c r="L52" s="52" t="s">
        <v>33</v>
      </c>
      <c r="M52" s="52" t="s">
        <v>54</v>
      </c>
      <c r="N52" s="53" t="s">
        <v>54</v>
      </c>
      <c r="O52" s="73" t="n">
        <f aca="false">IF(J52="X",$C$35,$C$21-$C$35)*IF(K52="X",$D$35,$D$21-$D$35)*IF(L52="X",$E$35,$E$21-$E$35)*IF(M52="X",$F$35,$F$21-$F$35)*IF(N52="X",$G$35,$G$21-$G$35)</f>
        <v>2189824</v>
      </c>
      <c r="P52" s="52" t="n">
        <f aca="false">O52/$G$22</f>
        <v>0.000187696287168133</v>
      </c>
      <c r="Q52" s="75" t="n">
        <f aca="false">Q51</f>
        <v>2</v>
      </c>
      <c r="R52" s="76" t="n">
        <f aca="false">P52*Q52</f>
        <v>0.000375392574336266</v>
      </c>
    </row>
    <row r="53" customFormat="false" ht="15" hidden="false" customHeight="false" outlineLevel="0" collapsed="false">
      <c r="B53" s="65" t="str">
        <f aca="false">B13 &amp; " x4"</f>
        <v>SYM5 x4</v>
      </c>
      <c r="C53" s="73" t="n">
        <f aca="false">C28*D28*E28*F28*($G$21-M28)</f>
        <v>180652032</v>
      </c>
      <c r="D53" s="74" t="n">
        <f aca="false">C53/$G$22</f>
        <v>0.0154842195883225</v>
      </c>
      <c r="E53" s="75" t="n">
        <f aca="false">'Game Info'!Z10</f>
        <v>80</v>
      </c>
      <c r="F53" s="76" t="n">
        <f aca="false">D53*E53/$G$2</f>
        <v>0.0309684391766451</v>
      </c>
      <c r="I53" s="77" t="s">
        <v>31</v>
      </c>
      <c r="J53" s="69" t="s">
        <v>33</v>
      </c>
      <c r="K53" s="70" t="s">
        <v>33</v>
      </c>
      <c r="L53" s="70" t="s">
        <v>54</v>
      </c>
      <c r="M53" s="70" t="s">
        <v>54</v>
      </c>
      <c r="N53" s="71" t="s">
        <v>54</v>
      </c>
      <c r="O53" s="78" t="n">
        <f aca="false">IF(J53="X",$C$35,$C$21-$C$35)*IF(K53="X",$D$35,$D$21-$D$35)*IF(L53="X",$E$35,$E$21-$E$35)*IF(M53="X",$F$35,$F$21-$F$35)*IF(N53="X",$G$35,$G$21-$G$35)</f>
        <v>2003456</v>
      </c>
      <c r="P53" s="70" t="n">
        <f aca="false">O53/$G$22</f>
        <v>0.000171722135068718</v>
      </c>
      <c r="Q53" s="79" t="n">
        <f aca="false">Q52</f>
        <v>2</v>
      </c>
      <c r="R53" s="80" t="n">
        <f aca="false">P53*Q53</f>
        <v>0.000343444270137435</v>
      </c>
    </row>
    <row r="54" customFormat="false" ht="15" hidden="false" customHeight="false" outlineLevel="0" collapsed="false">
      <c r="B54" s="65" t="str">
        <f aca="false">B14 &amp; " x4"</f>
        <v>A x4</v>
      </c>
      <c r="C54" s="73" t="n">
        <f aca="false">C29*D29*E29*F29*($G$21-M29)</f>
        <v>87736320</v>
      </c>
      <c r="D54" s="74" t="n">
        <f aca="false">C54/$G$22</f>
        <v>0.00752013929603257</v>
      </c>
      <c r="E54" s="75" t="n">
        <f aca="false">'Game Info'!Z11</f>
        <v>50</v>
      </c>
      <c r="F54" s="76" t="n">
        <f aca="false">D54*E54/$G$2</f>
        <v>0.00940017412004071</v>
      </c>
      <c r="I54" s="81" t="s">
        <v>32</v>
      </c>
      <c r="J54" s="65" t="s">
        <v>33</v>
      </c>
      <c r="K54" s="52" t="s">
        <v>33</v>
      </c>
      <c r="L54" s="52" t="s">
        <v>33</v>
      </c>
      <c r="M54" s="52" t="s">
        <v>54</v>
      </c>
      <c r="N54" s="53" t="s">
        <v>54</v>
      </c>
      <c r="O54" s="73" t="n">
        <f aca="false">IF(J54="X",$C$35,$C$21-$C$35)*IF(K54="X",$D$35,$D$21-$D$35)*IF(L54="X",$E$35,$E$21-$E$35)*IF(M54="X",$F$35,$F$21-$F$35)*IF(N54="X",$G$35,$G$21-$G$35)</f>
        <v>11770304</v>
      </c>
      <c r="P54" s="52" t="n">
        <f aca="false">O54/$G$22</f>
        <v>0.00100886754352872</v>
      </c>
      <c r="Q54" s="75" t="n">
        <v>0</v>
      </c>
      <c r="R54" s="76" t="n">
        <f aca="false">P54*Q54</f>
        <v>0</v>
      </c>
    </row>
    <row r="55" customFormat="false" ht="15" hidden="false" customHeight="false" outlineLevel="0" collapsed="false">
      <c r="B55" s="65" t="str">
        <f aca="false">B15 &amp; " x4"</f>
        <v>K x4</v>
      </c>
      <c r="C55" s="73" t="n">
        <f aca="false">C30*D30*E30*F30*($G$21-M30)</f>
        <v>123633664</v>
      </c>
      <c r="D55" s="74" t="n">
        <f aca="false">C55/$G$22</f>
        <v>0.0105970067465662</v>
      </c>
      <c r="E55" s="75" t="n">
        <f aca="false">'Game Info'!Z12</f>
        <v>50</v>
      </c>
      <c r="F55" s="76" t="n">
        <f aca="false">D55*E55/$G$2</f>
        <v>0.0132462584332077</v>
      </c>
      <c r="I55" s="81" t="s">
        <v>32</v>
      </c>
      <c r="J55" s="65" t="s">
        <v>33</v>
      </c>
      <c r="K55" s="52" t="s">
        <v>33</v>
      </c>
      <c r="L55" s="52" t="s">
        <v>54</v>
      </c>
      <c r="M55" s="52" t="s">
        <v>33</v>
      </c>
      <c r="N55" s="53" t="s">
        <v>54</v>
      </c>
      <c r="O55" s="73" t="n">
        <f aca="false">IF(J55="X",$C$35,$C$21-$C$35)*IF(K55="X",$D$35,$D$21-$D$35)*IF(L55="X",$E$35,$E$21-$E$35)*IF(M55="X",$F$35,$F$21-$F$35)*IF(N55="X",$G$35,$G$21-$G$35)</f>
        <v>41070848</v>
      </c>
      <c r="P55" s="52" t="n">
        <f aca="false">O55/$G$22</f>
        <v>0.00352030376890871</v>
      </c>
      <c r="Q55" s="75" t="n">
        <f aca="false">Q54</f>
        <v>0</v>
      </c>
      <c r="R55" s="76" t="n">
        <f aca="false">P55*Q55</f>
        <v>0</v>
      </c>
    </row>
    <row r="56" customFormat="false" ht="15" hidden="false" customHeight="false" outlineLevel="0" collapsed="false">
      <c r="B56" s="65" t="str">
        <f aca="false">B16 &amp; " x4"</f>
        <v>Q x4</v>
      </c>
      <c r="C56" s="73" t="n">
        <f aca="false">C31*D31*E31*F31*($G$21-M31)</f>
        <v>361861632</v>
      </c>
      <c r="D56" s="74" t="n">
        <f aca="false">C56/$G$22</f>
        <v>0.0310162299778436</v>
      </c>
      <c r="E56" s="75" t="n">
        <f aca="false">'Game Info'!Z13</f>
        <v>20</v>
      </c>
      <c r="F56" s="76" t="n">
        <f aca="false">D56*E56/$G$2</f>
        <v>0.0155081149889218</v>
      </c>
      <c r="I56" s="81" t="s">
        <v>32</v>
      </c>
      <c r="J56" s="65" t="s">
        <v>33</v>
      </c>
      <c r="K56" s="52" t="s">
        <v>33</v>
      </c>
      <c r="L56" s="52" t="s">
        <v>54</v>
      </c>
      <c r="M56" s="52" t="s">
        <v>54</v>
      </c>
      <c r="N56" s="53" t="s">
        <v>33</v>
      </c>
      <c r="O56" s="73" t="n">
        <f aca="false">IF(J56="X",$C$35,$C$21-$C$35)*IF(K56="X",$D$35,$D$21-$D$35)*IF(L56="X",$E$35,$E$21-$E$35)*IF(M56="X",$F$35,$F$21-$F$35)*IF(N56="X",$G$35,$G$21-$G$35)</f>
        <v>54594176</v>
      </c>
      <c r="P56" s="52" t="n">
        <f aca="false">O56/$G$22</f>
        <v>0.00467942818062255</v>
      </c>
      <c r="Q56" s="75" t="n">
        <f aca="false">Q55</f>
        <v>0</v>
      </c>
      <c r="R56" s="76" t="n">
        <f aca="false">P56*Q56</f>
        <v>0</v>
      </c>
    </row>
    <row r="57" customFormat="false" ht="15" hidden="false" customHeight="false" outlineLevel="0" collapsed="false">
      <c r="B57" s="65" t="str">
        <f aca="false">B17 &amp; " x4"</f>
        <v>J x4</v>
      </c>
      <c r="C57" s="73" t="n">
        <f aca="false">C32*D32*E32*F32*($G$21-M32)</f>
        <v>211943424</v>
      </c>
      <c r="D57" s="74" t="n">
        <f aca="false">C57/$G$22</f>
        <v>0.0181662972798277</v>
      </c>
      <c r="E57" s="75" t="n">
        <f aca="false">'Game Info'!Z14</f>
        <v>20</v>
      </c>
      <c r="F57" s="76" t="n">
        <f aca="false">D57*E57/$G$2</f>
        <v>0.00908314863991385</v>
      </c>
      <c r="I57" s="81" t="s">
        <v>32</v>
      </c>
      <c r="J57" s="65" t="s">
        <v>33</v>
      </c>
      <c r="K57" s="52" t="s">
        <v>54</v>
      </c>
      <c r="L57" s="52" t="s">
        <v>33</v>
      </c>
      <c r="M57" s="52" t="s">
        <v>33</v>
      </c>
      <c r="N57" s="53" t="s">
        <v>54</v>
      </c>
      <c r="O57" s="73" t="n">
        <f aca="false">IF(J57="X",$C$35,$C$21-$C$35)*IF(K57="X",$D$35,$D$21-$D$35)*IF(L57="X",$E$35,$E$21-$E$35)*IF(M57="X",$F$35,$F$21-$F$35)*IF(N57="X",$G$35,$G$21-$G$35)</f>
        <v>44891392</v>
      </c>
      <c r="P57" s="52" t="n">
        <f aca="false">O57/$G$22</f>
        <v>0.00384777388694673</v>
      </c>
      <c r="Q57" s="75" t="n">
        <f aca="false">Q56</f>
        <v>0</v>
      </c>
      <c r="R57" s="76" t="n">
        <f aca="false">P57*Q57</f>
        <v>0</v>
      </c>
    </row>
    <row r="58" customFormat="false" ht="15" hidden="false" customHeight="false" outlineLevel="0" collapsed="false">
      <c r="B58" s="65" t="str">
        <f aca="false">B18 &amp; " x4"</f>
        <v>10 x4</v>
      </c>
      <c r="C58" s="73" t="n">
        <f aca="false">C33*D33*E33*F33*($G$21-M33)</f>
        <v>271581184</v>
      </c>
      <c r="D58" s="74" t="n">
        <f aca="false">C58/$G$22</f>
        <v>0.0232780259516407</v>
      </c>
      <c r="E58" s="75" t="n">
        <f aca="false">'Game Info'!Z15</f>
        <v>10</v>
      </c>
      <c r="F58" s="76" t="n">
        <f aca="false">D58*E58/$G$2</f>
        <v>0.00581950648791017</v>
      </c>
      <c r="I58" s="81" t="s">
        <v>32</v>
      </c>
      <c r="J58" s="65" t="s">
        <v>33</v>
      </c>
      <c r="K58" s="52" t="s">
        <v>54</v>
      </c>
      <c r="L58" s="52" t="s">
        <v>33</v>
      </c>
      <c r="M58" s="52" t="s">
        <v>54</v>
      </c>
      <c r="N58" s="53" t="s">
        <v>33</v>
      </c>
      <c r="O58" s="73" t="n">
        <f aca="false">IF(J58="X",$C$35,$C$21-$C$35)*IF(K58="X",$D$35,$D$21-$D$35)*IF(L58="X",$E$35,$E$21-$E$35)*IF(M58="X",$F$35,$F$21-$F$35)*IF(N58="X",$G$35,$G$21-$G$35)</f>
        <v>59672704</v>
      </c>
      <c r="P58" s="52" t="n">
        <f aca="false">O58/$G$22</f>
        <v>0.00511472382533163</v>
      </c>
      <c r="Q58" s="75" t="n">
        <f aca="false">Q57</f>
        <v>0</v>
      </c>
      <c r="R58" s="76" t="n">
        <f aca="false">P58*Q58</f>
        <v>0</v>
      </c>
    </row>
    <row r="59" customFormat="false" ht="15" hidden="false" customHeight="false" outlineLevel="0" collapsed="false">
      <c r="B59" s="69" t="str">
        <f aca="false">B19 &amp; " x4"</f>
        <v>9 x4</v>
      </c>
      <c r="C59" s="78" t="n">
        <f aca="false">C34*D34*E34*F34*($G$21-M34)</f>
        <v>68428800</v>
      </c>
      <c r="D59" s="82" t="n">
        <f aca="false">C59/$G$22</f>
        <v>0.00586523469254641</v>
      </c>
      <c r="E59" s="79" t="n">
        <f aca="false">'Game Info'!Z16</f>
        <v>10</v>
      </c>
      <c r="F59" s="80" t="n">
        <f aca="false">D59*E59/$G$2</f>
        <v>0.0014663086731366</v>
      </c>
      <c r="I59" s="81" t="s">
        <v>32</v>
      </c>
      <c r="J59" s="65" t="s">
        <v>33</v>
      </c>
      <c r="K59" s="52" t="s">
        <v>54</v>
      </c>
      <c r="L59" s="52" t="s">
        <v>54</v>
      </c>
      <c r="M59" s="52" t="s">
        <v>33</v>
      </c>
      <c r="N59" s="53" t="s">
        <v>33</v>
      </c>
      <c r="O59" s="73" t="n">
        <f aca="false">IF(J59="X",$C$35,$C$21-$C$35)*IF(K59="X",$D$35,$D$21-$D$35)*IF(L59="X",$E$35,$E$21-$E$35)*IF(M59="X",$F$35,$F$21-$F$35)*IF(N59="X",$G$35,$G$21-$G$35)</f>
        <v>208219648</v>
      </c>
      <c r="P59" s="52" t="n">
        <f aca="false">O59/$G$22</f>
        <v>0.0178471214330721</v>
      </c>
      <c r="Q59" s="75" t="n">
        <f aca="false">Q58</f>
        <v>0</v>
      </c>
      <c r="R59" s="76" t="n">
        <f aca="false">P59*Q59</f>
        <v>0</v>
      </c>
    </row>
    <row r="60" customFormat="false" ht="15" hidden="false" customHeight="false" outlineLevel="0" collapsed="false">
      <c r="B60" s="60" t="str">
        <f aca="false">B9 &amp; " x3"</f>
        <v>SYM1 x3</v>
      </c>
      <c r="C60" s="83" t="n">
        <f aca="false">C24*D24*E24*($F$21-L24)*$G$21</f>
        <v>143193600</v>
      </c>
      <c r="D60" s="84" t="n">
        <f aca="false">C60/$G$22</f>
        <v>0.0122735466714397</v>
      </c>
      <c r="E60" s="85" t="n">
        <f aca="false">'Game Info'!Y6</f>
        <v>50</v>
      </c>
      <c r="F60" s="86" t="n">
        <f aca="false">D60*E60/$G$2</f>
        <v>0.0153419333392996</v>
      </c>
      <c r="I60" s="81" t="s">
        <v>32</v>
      </c>
      <c r="J60" s="65" t="s">
        <v>54</v>
      </c>
      <c r="K60" s="52" t="s">
        <v>33</v>
      </c>
      <c r="L60" s="52" t="s">
        <v>33</v>
      </c>
      <c r="M60" s="52" t="s">
        <v>33</v>
      </c>
      <c r="N60" s="53" t="s">
        <v>54</v>
      </c>
      <c r="O60" s="73" t="n">
        <f aca="false">IF(J60="X",$C$35,$C$21-$C$35)*IF(K60="X",$D$35,$D$21-$D$35)*IF(L60="X",$E$35,$E$21-$E$35)*IF(M60="X",$F$35,$F$21-$F$35)*IF(N60="X",$G$35,$G$21-$G$35)</f>
        <v>42424832</v>
      </c>
      <c r="P60" s="52" t="n">
        <f aca="false">O60/$G$22</f>
        <v>0.00363635773931229</v>
      </c>
      <c r="Q60" s="75" t="n">
        <f aca="false">Q59</f>
        <v>0</v>
      </c>
      <c r="R60" s="76" t="n">
        <f aca="false">P60*Q60</f>
        <v>0</v>
      </c>
    </row>
    <row r="61" customFormat="false" ht="15" hidden="false" customHeight="false" outlineLevel="0" collapsed="false">
      <c r="B61" s="65" t="str">
        <f aca="false">B10 &amp; " x3"</f>
        <v>SYM2 x3</v>
      </c>
      <c r="C61" s="73" t="n">
        <f aca="false">C25*D25*E25*($F$21-L25)*$G$21</f>
        <v>485990400</v>
      </c>
      <c r="D61" s="74" t="n">
        <f aca="false">C61/$G$22</f>
        <v>0.041655673551553</v>
      </c>
      <c r="E61" s="75" t="n">
        <f aca="false">'Game Info'!Y7</f>
        <v>50</v>
      </c>
      <c r="F61" s="76" t="n">
        <f aca="false">D61*E61/$G$2</f>
        <v>0.0520695919394412</v>
      </c>
      <c r="I61" s="81" t="s">
        <v>32</v>
      </c>
      <c r="J61" s="65" t="s">
        <v>54</v>
      </c>
      <c r="K61" s="52" t="s">
        <v>33</v>
      </c>
      <c r="L61" s="52" t="s">
        <v>33</v>
      </c>
      <c r="M61" s="52" t="s">
        <v>54</v>
      </c>
      <c r="N61" s="53" t="s">
        <v>33</v>
      </c>
      <c r="O61" s="73" t="n">
        <f aca="false">IF(J61="X",$C$35,$C$21-$C$35)*IF(K61="X",$D$35,$D$21-$D$35)*IF(L61="X",$E$35,$E$21-$E$35)*IF(M61="X",$F$35,$F$21-$F$35)*IF(N61="X",$G$35,$G$21-$G$35)</f>
        <v>56393984</v>
      </c>
      <c r="P61" s="52" t="n">
        <f aca="false">O61/$G$22</f>
        <v>0.00483369504372</v>
      </c>
      <c r="Q61" s="75" t="n">
        <f aca="false">Q60</f>
        <v>0</v>
      </c>
      <c r="R61" s="76" t="n">
        <f aca="false">P61*Q61</f>
        <v>0</v>
      </c>
    </row>
    <row r="62" customFormat="false" ht="15" hidden="false" customHeight="false" outlineLevel="0" collapsed="false">
      <c r="B62" s="65" t="str">
        <f aca="false">B11 &amp; " x3"</f>
        <v>SYM3 x3</v>
      </c>
      <c r="C62" s="73" t="n">
        <f aca="false">C26*D26*E26*($F$21-L26)*$G$21</f>
        <v>534386944</v>
      </c>
      <c r="D62" s="74" t="n">
        <f aca="false">C62/$G$22</f>
        <v>0.0458038843760618</v>
      </c>
      <c r="E62" s="75" t="n">
        <f aca="false">'Game Info'!Y8</f>
        <v>50</v>
      </c>
      <c r="F62" s="76" t="n">
        <f aca="false">D62*E62/$G$2</f>
        <v>0.0572548554700772</v>
      </c>
      <c r="I62" s="81" t="s">
        <v>32</v>
      </c>
      <c r="J62" s="65" t="s">
        <v>54</v>
      </c>
      <c r="K62" s="52" t="s">
        <v>33</v>
      </c>
      <c r="L62" s="52" t="s">
        <v>54</v>
      </c>
      <c r="M62" s="52" t="s">
        <v>33</v>
      </c>
      <c r="N62" s="53" t="s">
        <v>33</v>
      </c>
      <c r="O62" s="73" t="n">
        <f aca="false">IF(J62="X",$C$35,$C$21-$C$35)*IF(K62="X",$D$35,$D$21-$D$35)*IF(L62="X",$E$35,$E$21-$E$35)*IF(M62="X",$F$35,$F$21-$F$35)*IF(N62="X",$G$35,$G$21-$G$35)</f>
        <v>196779008</v>
      </c>
      <c r="P62" s="52" t="n">
        <f aca="false">O62/$G$22</f>
        <v>0.0168665103653209</v>
      </c>
      <c r="Q62" s="75" t="n">
        <f aca="false">Q61</f>
        <v>0</v>
      </c>
      <c r="R62" s="76" t="n">
        <f aca="false">P62*Q62</f>
        <v>0</v>
      </c>
    </row>
    <row r="63" customFormat="false" ht="15" hidden="false" customHeight="false" outlineLevel="0" collapsed="false">
      <c r="B63" s="65" t="str">
        <f aca="false">B12 &amp; " x3"</f>
        <v>SYM4 x3</v>
      </c>
      <c r="C63" s="73" t="n">
        <f aca="false">C27*D27*E27*($F$21-L27)*$G$21</f>
        <v>285432576</v>
      </c>
      <c r="D63" s="74" t="n">
        <f aca="false">C63/$G$22</f>
        <v>0.0244652696984032</v>
      </c>
      <c r="E63" s="75" t="n">
        <f aca="false">'Game Info'!Y9</f>
        <v>20</v>
      </c>
      <c r="F63" s="76" t="n">
        <f aca="false">D63*E63/$G$2</f>
        <v>0.0122326348492016</v>
      </c>
      <c r="I63" s="77" t="s">
        <v>32</v>
      </c>
      <c r="J63" s="69" t="s">
        <v>54</v>
      </c>
      <c r="K63" s="70" t="s">
        <v>54</v>
      </c>
      <c r="L63" s="70" t="s">
        <v>33</v>
      </c>
      <c r="M63" s="70" t="s">
        <v>33</v>
      </c>
      <c r="N63" s="71" t="s">
        <v>33</v>
      </c>
      <c r="O63" s="78" t="n">
        <f aca="false">IF(J63="X",$C$35,$C$21-$C$35)*IF(K63="X",$D$35,$D$21-$D$35)*IF(L63="X",$E$35,$E$21-$E$35)*IF(M63="X",$F$35,$F$21-$F$35)*IF(N63="X",$G$35,$G$21-$G$35)</f>
        <v>215084032</v>
      </c>
      <c r="P63" s="70" t="n">
        <f aca="false">O63/$G$22</f>
        <v>0.0184354880737228</v>
      </c>
      <c r="Q63" s="79" t="n">
        <f aca="false">Q62</f>
        <v>0</v>
      </c>
      <c r="R63" s="80" t="n">
        <f aca="false">P63*Q63</f>
        <v>0</v>
      </c>
    </row>
    <row r="64" customFormat="false" ht="15" hidden="false" customHeight="false" outlineLevel="0" collapsed="false">
      <c r="B64" s="65" t="str">
        <f aca="false">B13 &amp; " x3"</f>
        <v>SYM5 x3</v>
      </c>
      <c r="C64" s="73" t="n">
        <f aca="false">C28*D28*E28*($F$21-L28)*$G$21</f>
        <v>224944128</v>
      </c>
      <c r="D64" s="74" t="n">
        <f aca="false">C64/$G$22</f>
        <v>0.0192806260438617</v>
      </c>
      <c r="E64" s="75" t="n">
        <f aca="false">'Game Info'!Y10</f>
        <v>20</v>
      </c>
      <c r="F64" s="76" t="n">
        <f aca="false">D64*E64/$G$2</f>
        <v>0.00964031302193083</v>
      </c>
      <c r="I64" s="87"/>
      <c r="L64" s="45"/>
      <c r="M64" s="88"/>
    </row>
    <row r="65" customFormat="false" ht="15" hidden="false" customHeight="false" outlineLevel="0" collapsed="false">
      <c r="B65" s="65" t="str">
        <f aca="false">B14 &amp; " x3"</f>
        <v>A x3</v>
      </c>
      <c r="C65" s="73" t="n">
        <f aca="false">C29*D29*E29*($F$21-L29)*$G$21</f>
        <v>266600448</v>
      </c>
      <c r="D65" s="74" t="n">
        <f aca="false">C65/$G$22</f>
        <v>0.0228511123482805</v>
      </c>
      <c r="E65" s="75" t="n">
        <f aca="false">'Game Info'!Y11</f>
        <v>10</v>
      </c>
      <c r="F65" s="76" t="n">
        <f aca="false">D65*E65/$G$2</f>
        <v>0.00571277808707012</v>
      </c>
      <c r="I65" s="87"/>
      <c r="L65" s="45"/>
      <c r="M65" s="88"/>
    </row>
    <row r="66" customFormat="false" ht="15" hidden="false" customHeight="false" outlineLevel="0" collapsed="false">
      <c r="B66" s="65" t="str">
        <f aca="false">B15 &amp; " x3"</f>
        <v>K x3</v>
      </c>
      <c r="C66" s="73" t="n">
        <f aca="false">C30*D30*E30*($F$21-L30)*$G$21</f>
        <v>428785280</v>
      </c>
      <c r="D66" s="74" t="n">
        <f aca="false">C66/$G$22</f>
        <v>0.0367524536439223</v>
      </c>
      <c r="E66" s="75" t="n">
        <f aca="false">'Game Info'!Y12</f>
        <v>10</v>
      </c>
      <c r="F66" s="76" t="n">
        <f aca="false">D66*E66/$G$2</f>
        <v>0.00918811341098056</v>
      </c>
      <c r="I66" s="87"/>
      <c r="L66" s="45"/>
      <c r="M66" s="88"/>
    </row>
    <row r="67" customFormat="false" ht="15" hidden="false" customHeight="false" outlineLevel="0" collapsed="false">
      <c r="B67" s="65" t="str">
        <f aca="false">B16 &amp; " x3"</f>
        <v>Q x3</v>
      </c>
      <c r="C67" s="73" t="n">
        <f aca="false">C31*D31*E31*($F$21-L31)*$G$21</f>
        <v>693057024</v>
      </c>
      <c r="D67" s="74" t="n">
        <f aca="false">C67/$G$22</f>
        <v>0.0594039658897682</v>
      </c>
      <c r="E67" s="75" t="n">
        <f aca="false">'Game Info'!Y13</f>
        <v>5</v>
      </c>
      <c r="F67" s="76" t="n">
        <f aca="false">D67*E67/$G$2</f>
        <v>0.00742549573622103</v>
      </c>
      <c r="I67" s="87"/>
      <c r="L67" s="45"/>
      <c r="M67" s="88"/>
    </row>
    <row r="68" customFormat="false" ht="15" hidden="false" customHeight="false" outlineLevel="0" collapsed="false">
      <c r="B68" s="65" t="str">
        <f aca="false">B17 &amp; " x3"</f>
        <v>J x3</v>
      </c>
      <c r="C68" s="73" t="n">
        <f aca="false">C32*D32*E32*($F$21-L32)*$G$21</f>
        <v>524869632</v>
      </c>
      <c r="D68" s="74" t="n">
        <f aca="false">C68/$G$22</f>
        <v>0.0449881274356772</v>
      </c>
      <c r="E68" s="75" t="n">
        <f aca="false">'Game Info'!Y14</f>
        <v>5</v>
      </c>
      <c r="F68" s="76" t="n">
        <f aca="false">D68*E68/$G$2</f>
        <v>0.00562351592945965</v>
      </c>
      <c r="I68" s="87"/>
      <c r="L68" s="45"/>
      <c r="M68" s="88"/>
    </row>
    <row r="69" customFormat="false" ht="15" hidden="false" customHeight="false" outlineLevel="0" collapsed="false">
      <c r="B69" s="65" t="str">
        <f aca="false">B18 &amp; " x3"</f>
        <v>10 x3</v>
      </c>
      <c r="C69" s="73" t="n">
        <f aca="false">C33*D33*E33*($F$21-L33)*$G$21</f>
        <v>738705408</v>
      </c>
      <c r="D69" s="74" t="n">
        <f aca="false">C69/$G$22</f>
        <v>0.0633166237983605</v>
      </c>
      <c r="E69" s="75" t="n">
        <f aca="false">'Game Info'!Y15</f>
        <v>5</v>
      </c>
      <c r="F69" s="76" t="n">
        <f aca="false">D69*E69/$G$2</f>
        <v>0.00791457797479506</v>
      </c>
      <c r="I69" s="87"/>
      <c r="L69" s="45"/>
      <c r="M69" s="88"/>
    </row>
    <row r="70" customFormat="false" ht="15" hidden="false" customHeight="false" outlineLevel="0" collapsed="false">
      <c r="B70" s="69" t="str">
        <f aca="false">B19 &amp; " x3"</f>
        <v>9 x3</v>
      </c>
      <c r="C70" s="78" t="n">
        <f aca="false">C34*D34*E34*($F$21-L34)*$G$21</f>
        <v>99584640</v>
      </c>
      <c r="D70" s="82" t="n">
        <f aca="false">C70/$G$22</f>
        <v>0.00853569382150126</v>
      </c>
      <c r="E70" s="79" t="n">
        <f aca="false">'Game Info'!Y16</f>
        <v>5</v>
      </c>
      <c r="F70" s="80" t="n">
        <f aca="false">D70*E70/$G$2</f>
        <v>0.00106696172768766</v>
      </c>
      <c r="I70" s="87"/>
      <c r="L70" s="45"/>
      <c r="M70" s="88"/>
    </row>
    <row r="71" customFormat="false" ht="15" hidden="false" customHeight="false" outlineLevel="0" collapsed="false">
      <c r="B71" s="60" t="str">
        <f aca="false">B9 &amp; " x2"</f>
        <v>SYM1 x2</v>
      </c>
      <c r="C71" s="73" t="n">
        <f aca="false">PRODUCT(C24:D24,$E$21-K24,$F$21:$G$21)</f>
        <v>312530880</v>
      </c>
      <c r="D71" s="74" t="n">
        <f aca="false">C71/$G$22</f>
        <v>0.0267879454245589</v>
      </c>
      <c r="E71" s="75" t="n">
        <f aca="false">'Game Info'!X6</f>
        <v>10</v>
      </c>
      <c r="F71" s="76" t="n">
        <f aca="false">D71*E71/$G$2</f>
        <v>0.00669698635613974</v>
      </c>
      <c r="I71" s="87"/>
      <c r="L71" s="45"/>
      <c r="M71" s="88"/>
    </row>
    <row r="72" customFormat="false" ht="15" hidden="false" customHeight="false" outlineLevel="0" collapsed="false">
      <c r="B72" s="69" t="str">
        <f aca="false">B19 &amp; " x2"</f>
        <v>9 x2</v>
      </c>
      <c r="C72" s="78" t="n">
        <f aca="false">PRODUCT(C34:D34,$E$21-K34,$F$21:$G$21)</f>
        <v>755671680</v>
      </c>
      <c r="D72" s="82" t="n">
        <f aca="false">C72/$G$22</f>
        <v>0.0647708531160978</v>
      </c>
      <c r="E72" s="79" t="n">
        <f aca="false">'Game Info'!X16</f>
        <v>2</v>
      </c>
      <c r="F72" s="80" t="n">
        <f aca="false">D72*E72/$G$2</f>
        <v>0.00323854265580489</v>
      </c>
      <c r="I72" s="87"/>
      <c r="L72" s="45"/>
      <c r="M72" s="8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72"/>
  <sheetViews>
    <sheetView showFormulas="false" showGridLines="true" showRowColHeaders="true" showZeros="true" rightToLeft="false" tabSelected="false" showOutlineSymbols="true" defaultGridColor="true" view="normal" topLeftCell="E1" colorId="64" zoomScale="115" zoomScaleNormal="115" zoomScalePageLayoutView="100" workbookViewId="0">
      <selection pane="topLeft" activeCell="G4" activeCellId="0" sqref="G4"/>
    </sheetView>
  </sheetViews>
  <sheetFormatPr defaultColWidth="8.85546875" defaultRowHeight="15" customHeight="false" zeroHeight="false" outlineLevelRow="0" outlineLevelCol="0"/>
  <cols>
    <col collapsed="false" customWidth="true" hidden="false" outlineLevel="0" max="1" min="1" style="4" width="4"/>
    <col collapsed="false" customWidth="true" hidden="false" outlineLevel="0" max="7" min="2" style="4" width="12.43"/>
    <col collapsed="false" customWidth="true" hidden="false" outlineLevel="0" max="14" min="8" style="4" width="12.14"/>
    <col collapsed="false" customWidth="true" hidden="false" outlineLevel="0" max="20" min="15" style="4" width="12.43"/>
    <col collapsed="false" customWidth="true" hidden="false" outlineLevel="0" max="21" min="21" style="4" width="12.14"/>
    <col collapsed="false" customWidth="true" hidden="false" outlineLevel="0" max="26" min="22" style="4" width="12.43"/>
    <col collapsed="false" customWidth="false" hidden="false" outlineLevel="0" max="28" min="27" style="4" width="8.85"/>
    <col collapsed="false" customWidth="true" hidden="false" outlineLevel="0" max="30" min="29" style="4" width="11.71"/>
    <col collapsed="false" customWidth="false" hidden="false" outlineLevel="0" max="16384" min="31" style="4" width="8.85"/>
  </cols>
  <sheetData>
    <row r="2" customFormat="false" ht="15" hidden="false" customHeight="false" outlineLevel="0" collapsed="false">
      <c r="B2" s="45" t="s">
        <v>55</v>
      </c>
      <c r="C2" s="89" t="n">
        <f aca="false">SUM(F38:F72,R38:R63)</f>
        <v>1.04443083784417</v>
      </c>
      <c r="G2" s="4" t="s">
        <v>56</v>
      </c>
      <c r="I2" s="72" t="s">
        <v>19</v>
      </c>
      <c r="J2" s="12" t="s">
        <v>20</v>
      </c>
      <c r="K2" s="11" t="s">
        <v>57</v>
      </c>
      <c r="L2" s="12" t="s">
        <v>5</v>
      </c>
    </row>
    <row r="3" customFormat="false" ht="15" hidden="false" customHeight="false" outlineLevel="0" collapsed="false">
      <c r="B3" s="4" t="s">
        <v>56</v>
      </c>
      <c r="C3" s="90" t="n">
        <f aca="false">G3/(1-J7*G4)</f>
        <v>11.9433127927056</v>
      </c>
      <c r="F3" s="4" t="s">
        <v>19</v>
      </c>
      <c r="G3" s="90" t="n">
        <f aca="false">SUMPRODUCT(I3:I5,K3:K5)/SUM(I3:I5)</f>
        <v>8.30406917911134</v>
      </c>
      <c r="I3" s="91" t="n">
        <f aca="false">BG!P38</f>
        <v>5.61728425473955E-006</v>
      </c>
      <c r="J3" s="92" t="n">
        <f aca="false">P38</f>
        <v>2.36979179496825E-006</v>
      </c>
      <c r="K3" s="93" t="n">
        <f aca="false">'Game Info'!AD6</f>
        <v>20</v>
      </c>
      <c r="L3" s="94" t="n">
        <f aca="false">'Game Info'!AE6</f>
        <v>20</v>
      </c>
    </row>
    <row r="4" customFormat="false" ht="15" hidden="false" customHeight="false" outlineLevel="0" collapsed="false">
      <c r="B4" s="4" t="s">
        <v>58</v>
      </c>
      <c r="C4" s="95" t="n">
        <f aca="false">C3*C2</f>
        <v>12.4739641867206</v>
      </c>
      <c r="F4" s="4" t="s">
        <v>20</v>
      </c>
      <c r="G4" s="90" t="n">
        <f aca="false">SUMPRODUCT(J3:J6,L3:L6)/SUM(J3:J6)</f>
        <v>5.25925340479878</v>
      </c>
      <c r="I4" s="91" t="n">
        <f aca="false">SUM(BG!P39:P43)</f>
        <v>0.000363368075228465</v>
      </c>
      <c r="J4" s="92" t="n">
        <f aca="false">SUM(P39:P43)</f>
        <v>0.000169045148041068</v>
      </c>
      <c r="K4" s="93" t="n">
        <f aca="false">'Game Info'!AD7</f>
        <v>15</v>
      </c>
      <c r="L4" s="94" t="n">
        <f aca="false">'Game Info'!AE7</f>
        <v>15</v>
      </c>
    </row>
    <row r="5" customFormat="false" ht="15" hidden="false" customHeight="false" outlineLevel="0" collapsed="false">
      <c r="I5" s="91" t="n">
        <f aca="false">SUM(BG!P44:P53)</f>
        <v>0.00821782355448452</v>
      </c>
      <c r="J5" s="92" t="n">
        <f aca="false">SUM(P44:P53)</f>
        <v>0.00443152711347809</v>
      </c>
      <c r="K5" s="93" t="n">
        <f aca="false">'Game Info'!AD8</f>
        <v>8</v>
      </c>
      <c r="L5" s="94" t="n">
        <f aca="false">'Game Info'!AE8</f>
        <v>8</v>
      </c>
    </row>
    <row r="6" customFormat="false" ht="15" hidden="false" customHeight="false" outlineLevel="0" collapsed="false">
      <c r="C6" s="96" t="n">
        <v>4</v>
      </c>
      <c r="D6" s="96" t="n">
        <v>4</v>
      </c>
      <c r="E6" s="96" t="n">
        <v>4</v>
      </c>
      <c r="F6" s="96" t="n">
        <v>4</v>
      </c>
      <c r="G6" s="96" t="n">
        <v>4</v>
      </c>
      <c r="I6" s="97" t="s">
        <v>33</v>
      </c>
      <c r="J6" s="98" t="n">
        <f aca="false">SUM(P54:P63)</f>
        <v>0.0533348879606359</v>
      </c>
      <c r="K6" s="99" t="str">
        <f aca="false">'Game Info'!AD9</f>
        <v>--</v>
      </c>
      <c r="L6" s="100" t="n">
        <f aca="false">'Game Info'!AE9</f>
        <v>5</v>
      </c>
    </row>
    <row r="7" customFormat="false" ht="15" hidden="false" customHeight="false" outlineLevel="0" collapsed="false">
      <c r="B7" s="10" t="s">
        <v>13</v>
      </c>
      <c r="C7" s="11" t="s">
        <v>8</v>
      </c>
      <c r="D7" s="11" t="s">
        <v>9</v>
      </c>
      <c r="E7" s="11" t="s">
        <v>10</v>
      </c>
      <c r="F7" s="11" t="s">
        <v>11</v>
      </c>
      <c r="G7" s="12" t="s">
        <v>12</v>
      </c>
      <c r="I7" s="101" t="n">
        <f aca="false">SUM(I3:I6)</f>
        <v>0.00858680891396772</v>
      </c>
      <c r="J7" s="102" t="n">
        <f aca="false">SUM(J3:J6)</f>
        <v>0.05793783001395</v>
      </c>
    </row>
    <row r="8" customFormat="false" ht="15" hidden="false" customHeight="false" outlineLevel="0" collapsed="false">
      <c r="B8" s="18" t="s">
        <v>45</v>
      </c>
      <c r="C8" s="52" t="n">
        <f aca="false">'FG Reels'!B3</f>
        <v>0</v>
      </c>
      <c r="D8" s="52" t="n">
        <f aca="false">'FG Reels'!C3</f>
        <v>3</v>
      </c>
      <c r="E8" s="52" t="n">
        <f aca="false">'FG Reels'!D3</f>
        <v>3</v>
      </c>
      <c r="F8" s="52" t="n">
        <f aca="false">'FG Reels'!E3</f>
        <v>2</v>
      </c>
      <c r="G8" s="53" t="n">
        <f aca="false">'FG Reels'!F3</f>
        <v>0</v>
      </c>
    </row>
    <row r="9" customFormat="false" ht="15" hidden="false" customHeight="false" outlineLevel="0" collapsed="false">
      <c r="B9" s="18" t="s">
        <v>22</v>
      </c>
      <c r="C9" s="52" t="n">
        <f aca="false">'FG Reels'!B4</f>
        <v>8</v>
      </c>
      <c r="D9" s="52" t="n">
        <f aca="false">'FG Reels'!C4</f>
        <v>5</v>
      </c>
      <c r="E9" s="52" t="n">
        <f aca="false">'FG Reels'!D4</f>
        <v>12</v>
      </c>
      <c r="F9" s="52" t="n">
        <f aca="false">'FG Reels'!E4</f>
        <v>8</v>
      </c>
      <c r="G9" s="53" t="n">
        <f aca="false">'FG Reels'!F4</f>
        <v>17</v>
      </c>
    </row>
    <row r="10" customFormat="false" ht="15" hidden="false" customHeight="false" outlineLevel="0" collapsed="false">
      <c r="B10" s="18" t="s">
        <v>27</v>
      </c>
      <c r="C10" s="52" t="n">
        <f aca="false">'FG Reels'!B5</f>
        <v>12</v>
      </c>
      <c r="D10" s="52" t="n">
        <f aca="false">'FG Reels'!C5</f>
        <v>12</v>
      </c>
      <c r="E10" s="52" t="n">
        <f aca="false">'FG Reels'!D5</f>
        <v>4</v>
      </c>
      <c r="F10" s="52" t="n">
        <f aca="false">'FG Reels'!E5</f>
        <v>9</v>
      </c>
      <c r="G10" s="53" t="n">
        <f aca="false">'FG Reels'!F5</f>
        <v>8</v>
      </c>
    </row>
    <row r="11" customFormat="false" ht="15" hidden="false" customHeight="false" outlineLevel="0" collapsed="false">
      <c r="B11" s="18" t="s">
        <v>24</v>
      </c>
      <c r="C11" s="52" t="n">
        <f aca="false">'FG Reels'!B6</f>
        <v>14</v>
      </c>
      <c r="D11" s="52" t="n">
        <f aca="false">'FG Reels'!C6</f>
        <v>6</v>
      </c>
      <c r="E11" s="52" t="n">
        <f aca="false">'FG Reels'!D6</f>
        <v>11</v>
      </c>
      <c r="F11" s="52" t="n">
        <f aca="false">'FG Reels'!E6</f>
        <v>7</v>
      </c>
      <c r="G11" s="53" t="n">
        <f aca="false">'FG Reels'!F6</f>
        <v>15</v>
      </c>
    </row>
    <row r="12" customFormat="false" ht="15" hidden="false" customHeight="false" outlineLevel="0" collapsed="false">
      <c r="B12" s="18" t="s">
        <v>21</v>
      </c>
      <c r="C12" s="52" t="n">
        <f aca="false">'FG Reels'!B7</f>
        <v>6</v>
      </c>
      <c r="D12" s="52" t="n">
        <f aca="false">'FG Reels'!C7</f>
        <v>10</v>
      </c>
      <c r="E12" s="52" t="n">
        <f aca="false">'FG Reels'!D7</f>
        <v>11</v>
      </c>
      <c r="F12" s="52" t="n">
        <f aca="false">'FG Reels'!E7</f>
        <v>10</v>
      </c>
      <c r="G12" s="53" t="n">
        <f aca="false">'FG Reels'!F7</f>
        <v>8</v>
      </c>
    </row>
    <row r="13" customFormat="false" ht="15" hidden="false" customHeight="false" outlineLevel="0" collapsed="false">
      <c r="B13" s="18" t="s">
        <v>26</v>
      </c>
      <c r="C13" s="52" t="n">
        <f aca="false">'FG Reels'!B8</f>
        <v>6</v>
      </c>
      <c r="D13" s="52" t="n">
        <f aca="false">'FG Reels'!C8</f>
        <v>8</v>
      </c>
      <c r="E13" s="52" t="n">
        <f aca="false">'FG Reels'!D8</f>
        <v>10</v>
      </c>
      <c r="F13" s="52" t="n">
        <f aca="false">'FG Reels'!E8</f>
        <v>9</v>
      </c>
      <c r="G13" s="53" t="n">
        <f aca="false">'FG Reels'!F8</f>
        <v>5</v>
      </c>
    </row>
    <row r="14" customFormat="false" ht="15" hidden="false" customHeight="false" outlineLevel="0" collapsed="false">
      <c r="B14" s="18" t="s">
        <v>34</v>
      </c>
      <c r="C14" s="52" t="n">
        <f aca="false">'FG Reels'!B9</f>
        <v>8</v>
      </c>
      <c r="D14" s="52" t="n">
        <f aca="false">'FG Reels'!C9</f>
        <v>8</v>
      </c>
      <c r="E14" s="52" t="n">
        <f aca="false">'FG Reels'!D9</f>
        <v>6</v>
      </c>
      <c r="F14" s="52" t="n">
        <f aca="false">'FG Reels'!E9</f>
        <v>5</v>
      </c>
      <c r="G14" s="53" t="n">
        <f aca="false">'FG Reels'!F9</f>
        <v>7</v>
      </c>
    </row>
    <row r="15" customFormat="false" ht="15" hidden="false" customHeight="false" outlineLevel="0" collapsed="false">
      <c r="B15" s="18" t="s">
        <v>25</v>
      </c>
      <c r="C15" s="52" t="n">
        <f aca="false">'FG Reels'!B10</f>
        <v>7</v>
      </c>
      <c r="D15" s="52" t="n">
        <f aca="false">'FG Reels'!C10</f>
        <v>13</v>
      </c>
      <c r="E15" s="52" t="n">
        <f aca="false">'FG Reels'!D10</f>
        <v>9</v>
      </c>
      <c r="F15" s="52" t="n">
        <f aca="false">'FG Reels'!E10</f>
        <v>6</v>
      </c>
      <c r="G15" s="53" t="n">
        <f aca="false">'FG Reels'!F10</f>
        <v>15</v>
      </c>
    </row>
    <row r="16" customFormat="false" ht="15" hidden="false" customHeight="false" outlineLevel="0" collapsed="false">
      <c r="B16" s="18" t="s">
        <v>30</v>
      </c>
      <c r="C16" s="52" t="n">
        <f aca="false">'FG Reels'!B11</f>
        <v>11</v>
      </c>
      <c r="D16" s="52" t="n">
        <f aca="false">'FG Reels'!C11</f>
        <v>10</v>
      </c>
      <c r="E16" s="52" t="n">
        <f aca="false">'FG Reels'!D11</f>
        <v>16</v>
      </c>
      <c r="F16" s="52" t="n">
        <f aca="false">'FG Reels'!E11</f>
        <v>9</v>
      </c>
      <c r="G16" s="53" t="n">
        <f aca="false">'FG Reels'!F11</f>
        <v>14</v>
      </c>
    </row>
    <row r="17" customFormat="false" ht="15" hidden="false" customHeight="false" outlineLevel="0" collapsed="false">
      <c r="B17" s="18" t="s">
        <v>29</v>
      </c>
      <c r="C17" s="52" t="n">
        <f aca="false">'FG Reels'!B12</f>
        <v>8</v>
      </c>
      <c r="D17" s="52" t="n">
        <f aca="false">'FG Reels'!C12</f>
        <v>13</v>
      </c>
      <c r="E17" s="52" t="n">
        <f aca="false">'FG Reels'!D12</f>
        <v>9</v>
      </c>
      <c r="F17" s="52" t="n">
        <f aca="false">'FG Reels'!E12</f>
        <v>6</v>
      </c>
      <c r="G17" s="53" t="n">
        <f aca="false">'FG Reels'!F12</f>
        <v>9</v>
      </c>
    </row>
    <row r="18" customFormat="false" ht="15" hidden="false" customHeight="false" outlineLevel="0" collapsed="false">
      <c r="B18" s="18" t="n">
        <v>10</v>
      </c>
      <c r="C18" s="52" t="n">
        <f aca="false">'FG Reels'!B13</f>
        <v>15</v>
      </c>
      <c r="D18" s="52" t="n">
        <f aca="false">'FG Reels'!C13</f>
        <v>7</v>
      </c>
      <c r="E18" s="52" t="n">
        <f aca="false">'FG Reels'!D13</f>
        <v>13</v>
      </c>
      <c r="F18" s="52" t="n">
        <f aca="false">'FG Reels'!E13</f>
        <v>6</v>
      </c>
      <c r="G18" s="53" t="n">
        <f aca="false">'FG Reels'!F13</f>
        <v>10</v>
      </c>
    </row>
    <row r="19" customFormat="false" ht="15" hidden="false" customHeight="false" outlineLevel="0" collapsed="false">
      <c r="B19" s="18" t="n">
        <v>9</v>
      </c>
      <c r="C19" s="52" t="n">
        <f aca="false">'FG Reels'!B14</f>
        <v>9</v>
      </c>
      <c r="D19" s="52" t="n">
        <f aca="false">'FG Reels'!C14</f>
        <v>4</v>
      </c>
      <c r="E19" s="52" t="n">
        <f aca="false">'FG Reels'!D14</f>
        <v>3</v>
      </c>
      <c r="F19" s="52" t="n">
        <f aca="false">'FG Reels'!E14</f>
        <v>8</v>
      </c>
      <c r="G19" s="53" t="n">
        <f aca="false">'FG Reels'!F14</f>
        <v>4</v>
      </c>
    </row>
    <row r="20" customFormat="false" ht="15" hidden="false" customHeight="false" outlineLevel="0" collapsed="false">
      <c r="B20" s="18" t="s">
        <v>20</v>
      </c>
      <c r="C20" s="52" t="n">
        <f aca="false">'FG Reels'!B15</f>
        <v>3</v>
      </c>
      <c r="D20" s="52" t="n">
        <f aca="false">'FG Reels'!C15</f>
        <v>3</v>
      </c>
      <c r="E20" s="52" t="n">
        <f aca="false">'FG Reels'!D15</f>
        <v>3</v>
      </c>
      <c r="F20" s="52" t="n">
        <f aca="false">'FG Reels'!E15</f>
        <v>1</v>
      </c>
      <c r="G20" s="53" t="n">
        <f aca="false">'FG Reels'!F15</f>
        <v>1</v>
      </c>
    </row>
    <row r="21" customFormat="false" ht="15" hidden="false" customHeight="false" outlineLevel="0" collapsed="false">
      <c r="B21" s="37" t="s">
        <v>46</v>
      </c>
      <c r="C21" s="54" t="n">
        <f aca="false">SUM(C8:C20)</f>
        <v>107</v>
      </c>
      <c r="D21" s="54" t="n">
        <f aca="false">SUM(D8:D20)</f>
        <v>102</v>
      </c>
      <c r="E21" s="54" t="n">
        <f aca="false">SUM(E8:E20)</f>
        <v>110</v>
      </c>
      <c r="F21" s="54" t="n">
        <f aca="false">SUM(F8:F20)</f>
        <v>86</v>
      </c>
      <c r="G21" s="55" t="n">
        <f aca="false">SUM(G8:G20)</f>
        <v>113</v>
      </c>
    </row>
    <row r="22" customFormat="false" ht="15" hidden="false" customHeight="false" outlineLevel="0" collapsed="false">
      <c r="F22" s="56" t="s">
        <v>47</v>
      </c>
      <c r="G22" s="55" t="n">
        <f aca="false">PRODUCT(C21:G21)</f>
        <v>11666847720</v>
      </c>
    </row>
    <row r="23" customFormat="false" ht="15" hidden="false" customHeight="false" outlineLevel="0" collapsed="false">
      <c r="I23" s="57" t="s">
        <v>48</v>
      </c>
    </row>
    <row r="24" customFormat="false" ht="15" hidden="false" customHeight="false" outlineLevel="0" collapsed="false">
      <c r="B24" s="58" t="str">
        <f aca="false">B9</f>
        <v>SYM1</v>
      </c>
      <c r="C24" s="59" t="n">
        <f aca="false">C$6*(C$8+C9)</f>
        <v>32</v>
      </c>
      <c r="D24" s="59" t="n">
        <f aca="false">D$6*(D$8+D9)</f>
        <v>32</v>
      </c>
      <c r="E24" s="59" t="n">
        <f aca="false">E$6*(E$8+E9)</f>
        <v>60</v>
      </c>
      <c r="F24" s="59" t="n">
        <f aca="false">F$6*(F$8+F9)</f>
        <v>40</v>
      </c>
      <c r="G24" s="103" t="n">
        <f aca="false">G$6*(G$8+G9)</f>
        <v>68</v>
      </c>
      <c r="I24" s="60" t="n">
        <f aca="false">'FG Reels'!I4</f>
        <v>26</v>
      </c>
      <c r="J24" s="61" t="n">
        <f aca="false">'FG Reels'!J4</f>
        <v>30</v>
      </c>
      <c r="K24" s="61" t="n">
        <f aca="false">'FG Reels'!K4</f>
        <v>49</v>
      </c>
      <c r="L24" s="61" t="n">
        <f aca="false">'FG Reels'!L4</f>
        <v>31</v>
      </c>
      <c r="M24" s="62" t="n">
        <f aca="false">'FG Reels'!M4</f>
        <v>56</v>
      </c>
    </row>
    <row r="25" customFormat="false" ht="15" hidden="false" customHeight="false" outlineLevel="0" collapsed="false">
      <c r="B25" s="18" t="str">
        <f aca="false">B10</f>
        <v>SYM2</v>
      </c>
      <c r="C25" s="63" t="n">
        <f aca="false">C$6*(C$8+C10)</f>
        <v>48</v>
      </c>
      <c r="D25" s="63" t="n">
        <f aca="false">D$6*(D$8+D10)</f>
        <v>60</v>
      </c>
      <c r="E25" s="63" t="n">
        <f aca="false">E$6*(E$8+E10)</f>
        <v>28</v>
      </c>
      <c r="F25" s="63" t="n">
        <f aca="false">F$6*(F$8+F10)</f>
        <v>44</v>
      </c>
      <c r="G25" s="64" t="n">
        <f aca="false">G$6*(G$8+G10)</f>
        <v>32</v>
      </c>
      <c r="I25" s="65" t="n">
        <f aca="false">'FG Reels'!I5</f>
        <v>45</v>
      </c>
      <c r="J25" s="52" t="n">
        <f aca="false">'FG Reels'!J5</f>
        <v>48</v>
      </c>
      <c r="K25" s="52" t="n">
        <f aca="false">'FG Reels'!K5</f>
        <v>26</v>
      </c>
      <c r="L25" s="52" t="n">
        <f aca="false">'FG Reels'!L5</f>
        <v>36</v>
      </c>
      <c r="M25" s="53" t="n">
        <f aca="false">'FG Reels'!M5</f>
        <v>26</v>
      </c>
    </row>
    <row r="26" customFormat="false" ht="15" hidden="false" customHeight="false" outlineLevel="0" collapsed="false">
      <c r="B26" s="18" t="str">
        <f aca="false">B11</f>
        <v>SYM3</v>
      </c>
      <c r="C26" s="63" t="n">
        <f aca="false">C$6*(C$8+C11)</f>
        <v>56</v>
      </c>
      <c r="D26" s="63" t="n">
        <f aca="false">D$6*(D$8+D11)</f>
        <v>36</v>
      </c>
      <c r="E26" s="63" t="n">
        <f aca="false">E$6*(E$8+E11)</f>
        <v>56</v>
      </c>
      <c r="F26" s="63" t="n">
        <f aca="false">F$6*(F$8+F11)</f>
        <v>36</v>
      </c>
      <c r="G26" s="64" t="n">
        <f aca="false">G$6*(G$8+G11)</f>
        <v>60</v>
      </c>
      <c r="I26" s="65" t="n">
        <f aca="false">'FG Reels'!I6</f>
        <v>52</v>
      </c>
      <c r="J26" s="52" t="n">
        <f aca="false">'FG Reels'!J6</f>
        <v>34</v>
      </c>
      <c r="K26" s="52" t="n">
        <f aca="false">'FG Reels'!K6</f>
        <v>50</v>
      </c>
      <c r="L26" s="52" t="n">
        <f aca="false">'FG Reels'!L6</f>
        <v>28</v>
      </c>
      <c r="M26" s="53" t="n">
        <f aca="false">'FG Reels'!M6</f>
        <v>53</v>
      </c>
    </row>
    <row r="27" customFormat="false" ht="15" hidden="false" customHeight="false" outlineLevel="0" collapsed="false">
      <c r="B27" s="18" t="str">
        <f aca="false">B12</f>
        <v>SYM4</v>
      </c>
      <c r="C27" s="63" t="n">
        <f aca="false">C$6*(C$8+C12)</f>
        <v>24</v>
      </c>
      <c r="D27" s="63" t="n">
        <f aca="false">D$6*(D$8+D12)</f>
        <v>52</v>
      </c>
      <c r="E27" s="63" t="n">
        <f aca="false">E$6*(E$8+E12)</f>
        <v>56</v>
      </c>
      <c r="F27" s="63" t="n">
        <f aca="false">F$6*(F$8+F12)</f>
        <v>48</v>
      </c>
      <c r="G27" s="64" t="n">
        <f aca="false">G$6*(G$8+G12)</f>
        <v>32</v>
      </c>
      <c r="I27" s="65" t="n">
        <f aca="false">'FG Reels'!I7</f>
        <v>21</v>
      </c>
      <c r="J27" s="52" t="n">
        <f aca="false">'FG Reels'!J7</f>
        <v>40</v>
      </c>
      <c r="K27" s="52" t="n">
        <f aca="false">'FG Reels'!K7</f>
        <v>42</v>
      </c>
      <c r="L27" s="52" t="n">
        <f aca="false">'FG Reels'!L7</f>
        <v>40</v>
      </c>
      <c r="M27" s="53" t="n">
        <f aca="false">'FG Reels'!M7</f>
        <v>32</v>
      </c>
    </row>
    <row r="28" customFormat="false" ht="15" hidden="false" customHeight="false" outlineLevel="0" collapsed="false">
      <c r="B28" s="18" t="str">
        <f aca="false">B13</f>
        <v>SYM5</v>
      </c>
      <c r="C28" s="63" t="n">
        <f aca="false">C$6*(C$8+C13)</f>
        <v>24</v>
      </c>
      <c r="D28" s="63" t="n">
        <f aca="false">D$6*(D$8+D13)</f>
        <v>44</v>
      </c>
      <c r="E28" s="63" t="n">
        <f aca="false">E$6*(E$8+E13)</f>
        <v>52</v>
      </c>
      <c r="F28" s="63" t="n">
        <f aca="false">F$6*(F$8+F13)</f>
        <v>44</v>
      </c>
      <c r="G28" s="64" t="n">
        <f aca="false">G$6*(G$8+G13)</f>
        <v>20</v>
      </c>
      <c r="I28" s="65" t="n">
        <f aca="false">'FG Reels'!I8</f>
        <v>17</v>
      </c>
      <c r="J28" s="52" t="n">
        <f aca="false">'FG Reels'!J8</f>
        <v>34</v>
      </c>
      <c r="K28" s="52" t="n">
        <f aca="false">'FG Reels'!K8</f>
        <v>46</v>
      </c>
      <c r="L28" s="52" t="n">
        <f aca="false">'FG Reels'!L8</f>
        <v>38</v>
      </c>
      <c r="M28" s="53" t="n">
        <f aca="false">'FG Reels'!M8</f>
        <v>14</v>
      </c>
    </row>
    <row r="29" customFormat="false" ht="15" hidden="false" customHeight="false" outlineLevel="0" collapsed="false">
      <c r="B29" s="18" t="str">
        <f aca="false">B14</f>
        <v>A</v>
      </c>
      <c r="C29" s="63" t="n">
        <f aca="false">C$6*(C$8+C14)</f>
        <v>32</v>
      </c>
      <c r="D29" s="63" t="n">
        <f aca="false">D$6*(D$8+D14)</f>
        <v>44</v>
      </c>
      <c r="E29" s="63" t="n">
        <f aca="false">E$6*(E$8+E14)</f>
        <v>36</v>
      </c>
      <c r="F29" s="63" t="n">
        <f aca="false">F$6*(F$8+F14)</f>
        <v>28</v>
      </c>
      <c r="G29" s="64" t="n">
        <f aca="false">G$6*(G$8+G14)</f>
        <v>28</v>
      </c>
      <c r="I29" s="65" t="n">
        <f aca="false">'FG Reels'!I9</f>
        <v>32</v>
      </c>
      <c r="J29" s="52" t="n">
        <f aca="false">'FG Reels'!J9</f>
        <v>38</v>
      </c>
      <c r="K29" s="52" t="n">
        <f aca="false">'FG Reels'!K9</f>
        <v>36</v>
      </c>
      <c r="L29" s="52" t="n">
        <f aca="false">'FG Reels'!L9</f>
        <v>22</v>
      </c>
      <c r="M29" s="53" t="n">
        <f aca="false">'FG Reels'!M9</f>
        <v>28</v>
      </c>
    </row>
    <row r="30" customFormat="false" ht="15" hidden="false" customHeight="false" outlineLevel="0" collapsed="false">
      <c r="B30" s="18" t="str">
        <f aca="false">B15</f>
        <v>K</v>
      </c>
      <c r="C30" s="63" t="n">
        <f aca="false">C$6*(C$8+C15)</f>
        <v>28</v>
      </c>
      <c r="D30" s="63" t="n">
        <f aca="false">D$6*(D$8+D15)</f>
        <v>64</v>
      </c>
      <c r="E30" s="63" t="n">
        <f aca="false">E$6*(E$8+E15)</f>
        <v>48</v>
      </c>
      <c r="F30" s="63" t="n">
        <f aca="false">F$6*(F$8+F15)</f>
        <v>32</v>
      </c>
      <c r="G30" s="64" t="n">
        <f aca="false">G$6*(G$8+G15)</f>
        <v>60</v>
      </c>
      <c r="I30" s="65" t="n">
        <f aca="false">'FG Reels'!I10</f>
        <v>28</v>
      </c>
      <c r="J30" s="52" t="n">
        <f aca="false">'FG Reels'!J10</f>
        <v>57</v>
      </c>
      <c r="K30" s="52" t="n">
        <f aca="false">'FG Reels'!K10</f>
        <v>47</v>
      </c>
      <c r="L30" s="52" t="n">
        <f aca="false">'FG Reels'!L10</f>
        <v>31</v>
      </c>
      <c r="M30" s="53" t="n">
        <f aca="false">'FG Reels'!M10</f>
        <v>57</v>
      </c>
    </row>
    <row r="31" customFormat="false" ht="15" hidden="false" customHeight="false" outlineLevel="0" collapsed="false">
      <c r="B31" s="18" t="str">
        <f aca="false">B16</f>
        <v>Q</v>
      </c>
      <c r="C31" s="63" t="n">
        <f aca="false">C$6*(C$8+C16)</f>
        <v>44</v>
      </c>
      <c r="D31" s="63" t="n">
        <f aca="false">D$6*(D$8+D16)</f>
        <v>52</v>
      </c>
      <c r="E31" s="63" t="n">
        <f aca="false">E$6*(E$8+E16)</f>
        <v>76</v>
      </c>
      <c r="F31" s="63" t="n">
        <f aca="false">F$6*(F$8+F16)</f>
        <v>44</v>
      </c>
      <c r="G31" s="64" t="n">
        <f aca="false">G$6*(G$8+G16)</f>
        <v>56</v>
      </c>
      <c r="I31" s="65" t="n">
        <f aca="false">'FG Reels'!I11</f>
        <v>42</v>
      </c>
      <c r="J31" s="52" t="n">
        <f aca="false">'FG Reels'!J11</f>
        <v>43</v>
      </c>
      <c r="K31" s="52" t="n">
        <f aca="false">'FG Reels'!K11</f>
        <v>69</v>
      </c>
      <c r="L31" s="52" t="n">
        <f aca="false">'FG Reels'!L11</f>
        <v>42</v>
      </c>
      <c r="M31" s="53" t="n">
        <f aca="false">'FG Reels'!M11</f>
        <v>54</v>
      </c>
    </row>
    <row r="32" customFormat="false" ht="15" hidden="false" customHeight="false" outlineLevel="0" collapsed="false">
      <c r="B32" s="18" t="str">
        <f aca="false">B17</f>
        <v>J</v>
      </c>
      <c r="C32" s="63" t="n">
        <f aca="false">C$6*(C$8+C17)</f>
        <v>32</v>
      </c>
      <c r="D32" s="63" t="n">
        <f aca="false">D$6*(D$8+D17)</f>
        <v>64</v>
      </c>
      <c r="E32" s="63" t="n">
        <f aca="false">E$6*(E$8+E17)</f>
        <v>48</v>
      </c>
      <c r="F32" s="63" t="n">
        <f aca="false">F$6*(F$8+F17)</f>
        <v>32</v>
      </c>
      <c r="G32" s="64" t="n">
        <f aca="false">G$6*(G$8+G17)</f>
        <v>36</v>
      </c>
      <c r="I32" s="65" t="n">
        <f aca="false">'FG Reels'!I12</f>
        <v>30</v>
      </c>
      <c r="J32" s="52" t="n">
        <f aca="false">'FG Reels'!J12</f>
        <v>59</v>
      </c>
      <c r="K32" s="52" t="n">
        <f aca="false">'FG Reels'!K12</f>
        <v>41</v>
      </c>
      <c r="L32" s="52" t="n">
        <f aca="false">'FG Reels'!L12</f>
        <v>32</v>
      </c>
      <c r="M32" s="53" t="n">
        <f aca="false">'FG Reels'!M12</f>
        <v>36</v>
      </c>
    </row>
    <row r="33" customFormat="false" ht="15" hidden="false" customHeight="false" outlineLevel="0" collapsed="false">
      <c r="B33" s="18" t="n">
        <f aca="false">B18</f>
        <v>10</v>
      </c>
      <c r="C33" s="63" t="n">
        <f aca="false">C$6*(C$8+C18)</f>
        <v>60</v>
      </c>
      <c r="D33" s="63" t="n">
        <f aca="false">D$6*(D$8+D18)</f>
        <v>40</v>
      </c>
      <c r="E33" s="63" t="n">
        <f aca="false">E$6*(E$8+E18)</f>
        <v>64</v>
      </c>
      <c r="F33" s="63" t="n">
        <f aca="false">F$6*(F$8+F18)</f>
        <v>32</v>
      </c>
      <c r="G33" s="64" t="n">
        <f aca="false">G$6*(G$8+G18)</f>
        <v>40</v>
      </c>
      <c r="I33" s="65" t="n">
        <f aca="false">'FG Reels'!I13</f>
        <v>58</v>
      </c>
      <c r="J33" s="52" t="n">
        <f aca="false">'FG Reels'!J13</f>
        <v>37</v>
      </c>
      <c r="K33" s="52" t="n">
        <f aca="false">'FG Reels'!K13</f>
        <v>55</v>
      </c>
      <c r="L33" s="52" t="n">
        <f aca="false">'FG Reels'!L13</f>
        <v>29</v>
      </c>
      <c r="M33" s="53" t="n">
        <f aca="false">'FG Reels'!M13</f>
        <v>39</v>
      </c>
    </row>
    <row r="34" customFormat="false" ht="15" hidden="false" customHeight="false" outlineLevel="0" collapsed="false">
      <c r="B34" s="66" t="n">
        <f aca="false">B19</f>
        <v>9</v>
      </c>
      <c r="C34" s="67" t="n">
        <f aca="false">C$6*(C$8+C19)</f>
        <v>36</v>
      </c>
      <c r="D34" s="67" t="n">
        <f aca="false">D$6*(D$8+D19)</f>
        <v>28</v>
      </c>
      <c r="E34" s="67" t="n">
        <f aca="false">E$6*(E$8+E19)</f>
        <v>24</v>
      </c>
      <c r="F34" s="67" t="n">
        <f aca="false">F$6*(F$8+F19)</f>
        <v>40</v>
      </c>
      <c r="G34" s="68" t="n">
        <f aca="false">G$6*(G$8+G19)</f>
        <v>16</v>
      </c>
      <c r="I34" s="69" t="n">
        <f aca="false">'FG Reels'!I14</f>
        <v>36</v>
      </c>
      <c r="J34" s="70" t="n">
        <f aca="false">'FG Reels'!J14</f>
        <v>28</v>
      </c>
      <c r="K34" s="70" t="n">
        <f aca="false">'FG Reels'!K14</f>
        <v>24</v>
      </c>
      <c r="L34" s="70" t="n">
        <f aca="false">'FG Reels'!L14</f>
        <v>35</v>
      </c>
      <c r="M34" s="71" t="n">
        <f aca="false">'FG Reels'!M14</f>
        <v>14</v>
      </c>
    </row>
    <row r="35" customFormat="false" ht="15" hidden="false" customHeight="false" outlineLevel="0" collapsed="false">
      <c r="B35" s="66" t="str">
        <f aca="false">B20</f>
        <v>FG</v>
      </c>
      <c r="C35" s="67" t="n">
        <f aca="false">C$6*C20</f>
        <v>12</v>
      </c>
      <c r="D35" s="67" t="n">
        <f aca="false">D$6*D20</f>
        <v>12</v>
      </c>
      <c r="E35" s="67" t="n">
        <f aca="false">E$6*E20</f>
        <v>12</v>
      </c>
      <c r="F35" s="67" t="n">
        <f aca="false">F$6*F20</f>
        <v>4</v>
      </c>
      <c r="G35" s="68" t="n">
        <f aca="false">G$6*G20</f>
        <v>4</v>
      </c>
      <c r="I35" s="52"/>
      <c r="J35" s="52"/>
      <c r="K35" s="52"/>
      <c r="L35" s="52"/>
      <c r="M35" s="52"/>
    </row>
    <row r="36" customFormat="false" ht="15" hidden="false" customHeight="false" outlineLevel="0" collapsed="false">
      <c r="I36" s="52"/>
      <c r="J36" s="52"/>
      <c r="K36" s="52"/>
      <c r="L36" s="52"/>
      <c r="M36" s="52"/>
    </row>
    <row r="37" customFormat="false" ht="15" hidden="false" customHeight="false" outlineLevel="0" collapsed="false">
      <c r="B37" s="72" t="s">
        <v>49</v>
      </c>
      <c r="C37" s="11" t="s">
        <v>50</v>
      </c>
      <c r="D37" s="11" t="s">
        <v>51</v>
      </c>
      <c r="E37" s="11" t="s">
        <v>52</v>
      </c>
      <c r="F37" s="10" t="s">
        <v>53</v>
      </c>
      <c r="I37" s="72" t="s">
        <v>49</v>
      </c>
      <c r="J37" s="72" t="s">
        <v>8</v>
      </c>
      <c r="K37" s="11" t="s">
        <v>9</v>
      </c>
      <c r="L37" s="11" t="s">
        <v>10</v>
      </c>
      <c r="M37" s="11" t="s">
        <v>11</v>
      </c>
      <c r="N37" s="12" t="s">
        <v>12</v>
      </c>
      <c r="O37" s="11" t="s">
        <v>50</v>
      </c>
      <c r="P37" s="11" t="s">
        <v>51</v>
      </c>
      <c r="Q37" s="11" t="s">
        <v>52</v>
      </c>
      <c r="R37" s="10" t="s">
        <v>53</v>
      </c>
    </row>
    <row r="38" customFormat="false" ht="15" hidden="false" customHeight="false" outlineLevel="0" collapsed="false">
      <c r="B38" s="65" t="str">
        <f aca="false">B9 &amp; " x5"</f>
        <v>SYM1 x5</v>
      </c>
      <c r="C38" s="73" t="n">
        <f aca="false">C24*D24*E24*F24*G24</f>
        <v>167116800</v>
      </c>
      <c r="D38" s="74" t="n">
        <f aca="false">C38/$G$22</f>
        <v>0.0143240748495858</v>
      </c>
      <c r="E38" s="75" t="n">
        <f aca="false">'Game Info'!AA6</f>
        <v>300</v>
      </c>
      <c r="F38" s="76" t="n">
        <f aca="false">D38*E38/BG!$G$2</f>
        <v>0.107430561371894</v>
      </c>
      <c r="I38" s="77" t="s">
        <v>23</v>
      </c>
      <c r="J38" s="69" t="s">
        <v>54</v>
      </c>
      <c r="K38" s="70" t="s">
        <v>54</v>
      </c>
      <c r="L38" s="70" t="s">
        <v>54</v>
      </c>
      <c r="M38" s="70" t="s">
        <v>54</v>
      </c>
      <c r="N38" s="71" t="s">
        <v>54</v>
      </c>
      <c r="O38" s="78" t="n">
        <f aca="false">IF(J38="X",$C$35,$C$21-$C$35)*IF(K38="X",$D$35,$D$21-$D$35)*IF(L38="X",$E$35,$E$21-$E$35)*IF(M38="X",$F$35,$F$21-$F$35)*IF(N38="X",$G$35,$G$21-$G$35)</f>
        <v>27648</v>
      </c>
      <c r="P38" s="70" t="n">
        <f aca="false">O38/$G$22</f>
        <v>2.36979179496825E-006</v>
      </c>
      <c r="Q38" s="79" t="n">
        <f aca="false">'Game Info'!AA17</f>
        <v>20</v>
      </c>
      <c r="R38" s="80" t="n">
        <f aca="false">P38*Q38</f>
        <v>4.73958358993649E-005</v>
      </c>
    </row>
    <row r="39" customFormat="false" ht="15" hidden="false" customHeight="false" outlineLevel="0" collapsed="false">
      <c r="B39" s="65" t="str">
        <f aca="false">B10 &amp; " x5"</f>
        <v>SYM2 x5</v>
      </c>
      <c r="C39" s="73" t="n">
        <f aca="false">C25*D25*E25*F25*G25</f>
        <v>113541120</v>
      </c>
      <c r="D39" s="74" t="n">
        <f aca="false">C39/$G$22</f>
        <v>0.00973194497133627</v>
      </c>
      <c r="E39" s="75" t="n">
        <f aca="false">'Game Info'!AA7</f>
        <v>150</v>
      </c>
      <c r="F39" s="76" t="n">
        <f aca="false">D39*E39/BG!$G$2</f>
        <v>0.036494793642511</v>
      </c>
      <c r="I39" s="81" t="s">
        <v>28</v>
      </c>
      <c r="J39" s="65" t="s">
        <v>54</v>
      </c>
      <c r="K39" s="52" t="s">
        <v>54</v>
      </c>
      <c r="L39" s="52" t="s">
        <v>54</v>
      </c>
      <c r="M39" s="52" t="s">
        <v>54</v>
      </c>
      <c r="N39" s="53" t="s">
        <v>33</v>
      </c>
      <c r="O39" s="73" t="n">
        <f aca="false">IF(J39="X",$C$35,$C$21-$C$35)*IF(K39="X",$D$35,$D$21-$D$35)*IF(L39="X",$E$35,$E$21-$E$35)*IF(M39="X",$F$35,$F$21-$F$35)*IF(N39="X",$G$35,$G$21-$G$35)</f>
        <v>753408</v>
      </c>
      <c r="P39" s="52" t="n">
        <f aca="false">O39/$G$22</f>
        <v>6.45768264128847E-005</v>
      </c>
      <c r="Q39" s="75" t="n">
        <f aca="false">'Game Info'!Z17</f>
        <v>10</v>
      </c>
      <c r="R39" s="76" t="n">
        <f aca="false">P39*Q39</f>
        <v>0.000645768264128847</v>
      </c>
    </row>
    <row r="40" customFormat="false" ht="15" hidden="false" customHeight="false" outlineLevel="0" collapsed="false">
      <c r="B40" s="65" t="str">
        <f aca="false">B11 &amp; " x5"</f>
        <v>SYM3 x5</v>
      </c>
      <c r="C40" s="73" t="n">
        <f aca="false">C26*D26*E26*F26*G26</f>
        <v>243855360</v>
      </c>
      <c r="D40" s="74" t="n">
        <f aca="false">C40/$G$22</f>
        <v>0.0209015636316199</v>
      </c>
      <c r="E40" s="75" t="n">
        <f aca="false">'Game Info'!AA8</f>
        <v>150</v>
      </c>
      <c r="F40" s="76" t="n">
        <f aca="false">D40*E40/BG!$G$2</f>
        <v>0.0783808636185748</v>
      </c>
      <c r="I40" s="81" t="s">
        <v>28</v>
      </c>
      <c r="J40" s="65" t="s">
        <v>54</v>
      </c>
      <c r="K40" s="52" t="s">
        <v>54</v>
      </c>
      <c r="L40" s="52" t="s">
        <v>54</v>
      </c>
      <c r="M40" s="52" t="s">
        <v>33</v>
      </c>
      <c r="N40" s="53" t="s">
        <v>54</v>
      </c>
      <c r="O40" s="73" t="n">
        <f aca="false">IF(J40="X",$C$35,$C$21-$C$35)*IF(K40="X",$D$35,$D$21-$D$35)*IF(L40="X",$E$35,$E$21-$E$35)*IF(M40="X",$F$35,$F$21-$F$35)*IF(N40="X",$G$35,$G$21-$G$35)</f>
        <v>566784</v>
      </c>
      <c r="P40" s="52" t="n">
        <f aca="false">O40/$G$22</f>
        <v>4.85807317968491E-005</v>
      </c>
      <c r="Q40" s="75" t="n">
        <f aca="false">Q39</f>
        <v>10</v>
      </c>
      <c r="R40" s="76" t="n">
        <f aca="false">P40*Q40</f>
        <v>0.000485807317968491</v>
      </c>
    </row>
    <row r="41" customFormat="false" ht="15" hidden="false" customHeight="false" outlineLevel="0" collapsed="false">
      <c r="B41" s="65" t="str">
        <f aca="false">B12 &amp; " x5"</f>
        <v>SYM4 x5</v>
      </c>
      <c r="C41" s="73" t="n">
        <f aca="false">C27*D27*E27*F27*G27</f>
        <v>107347968</v>
      </c>
      <c r="D41" s="74" t="n">
        <f aca="false">C41/$G$22</f>
        <v>0.00920111160926338</v>
      </c>
      <c r="E41" s="75" t="n">
        <f aca="false">'Game Info'!AA9</f>
        <v>120</v>
      </c>
      <c r="F41" s="76" t="n">
        <f aca="false">D41*E41/BG!$G$2</f>
        <v>0.0276033348277901</v>
      </c>
      <c r="I41" s="81" t="s">
        <v>28</v>
      </c>
      <c r="J41" s="65" t="s">
        <v>54</v>
      </c>
      <c r="K41" s="52" t="s">
        <v>54</v>
      </c>
      <c r="L41" s="52" t="s">
        <v>33</v>
      </c>
      <c r="M41" s="52" t="s">
        <v>54</v>
      </c>
      <c r="N41" s="53" t="s">
        <v>54</v>
      </c>
      <c r="O41" s="73" t="n">
        <f aca="false">IF(J41="X",$C$35,$C$21-$C$35)*IF(K41="X",$D$35,$D$21-$D$35)*IF(L41="X",$E$35,$E$21-$E$35)*IF(M41="X",$F$35,$F$21-$F$35)*IF(N41="X",$G$35,$G$21-$G$35)</f>
        <v>225792</v>
      </c>
      <c r="P41" s="52" t="n">
        <f aca="false">O41/$G$22</f>
        <v>1.93532996589074E-005</v>
      </c>
      <c r="Q41" s="75" t="n">
        <f aca="false">Q40</f>
        <v>10</v>
      </c>
      <c r="R41" s="76" t="n">
        <f aca="false">P41*Q41</f>
        <v>0.000193532996589074</v>
      </c>
    </row>
    <row r="42" customFormat="false" ht="15" hidden="false" customHeight="false" outlineLevel="0" collapsed="false">
      <c r="B42" s="65" t="str">
        <f aca="false">B13 &amp; " x5"</f>
        <v>SYM5 x5</v>
      </c>
      <c r="C42" s="73" t="n">
        <f aca="false">C28*D28*E28*F28*G28</f>
        <v>48322560</v>
      </c>
      <c r="D42" s="74" t="n">
        <f aca="false">C42/$G$22</f>
        <v>0.00414186943720561</v>
      </c>
      <c r="E42" s="75" t="n">
        <f aca="false">'Game Info'!AA10</f>
        <v>120</v>
      </c>
      <c r="F42" s="76" t="n">
        <f aca="false">D42*E42/BG!$G$2</f>
        <v>0.0124256083116168</v>
      </c>
      <c r="I42" s="81" t="s">
        <v>28</v>
      </c>
      <c r="J42" s="65" t="s">
        <v>54</v>
      </c>
      <c r="K42" s="52" t="s">
        <v>33</v>
      </c>
      <c r="L42" s="52" t="s">
        <v>54</v>
      </c>
      <c r="M42" s="52" t="s">
        <v>54</v>
      </c>
      <c r="N42" s="53" t="s">
        <v>54</v>
      </c>
      <c r="O42" s="73" t="n">
        <f aca="false">IF(J42="X",$C$35,$C$21-$C$35)*IF(K42="X",$D$35,$D$21-$D$35)*IF(L42="X",$E$35,$E$21-$E$35)*IF(M42="X",$F$35,$F$21-$F$35)*IF(N42="X",$G$35,$G$21-$G$35)</f>
        <v>207360</v>
      </c>
      <c r="P42" s="52" t="n">
        <f aca="false">O42/$G$22</f>
        <v>1.77734384622619E-005</v>
      </c>
      <c r="Q42" s="75" t="n">
        <f aca="false">Q41</f>
        <v>10</v>
      </c>
      <c r="R42" s="76" t="n">
        <f aca="false">P42*Q42</f>
        <v>0.000177734384622619</v>
      </c>
    </row>
    <row r="43" customFormat="false" ht="15" hidden="false" customHeight="false" outlineLevel="0" collapsed="false">
      <c r="B43" s="65" t="str">
        <f aca="false">B14 &amp; " x5"</f>
        <v>A x5</v>
      </c>
      <c r="C43" s="73" t="n">
        <f aca="false">C29*D29*E29*F29*G29</f>
        <v>39739392</v>
      </c>
      <c r="D43" s="74" t="n">
        <f aca="false">C43/$G$22</f>
        <v>0.00340618073996769</v>
      </c>
      <c r="E43" s="75" t="n">
        <f aca="false">'Game Info'!AA11</f>
        <v>100</v>
      </c>
      <c r="F43" s="76" t="n">
        <f aca="false">D43*E43/BG!$G$2</f>
        <v>0.00851545184991924</v>
      </c>
      <c r="I43" s="77" t="s">
        <v>28</v>
      </c>
      <c r="J43" s="69" t="s">
        <v>33</v>
      </c>
      <c r="K43" s="70" t="s">
        <v>54</v>
      </c>
      <c r="L43" s="70" t="s">
        <v>54</v>
      </c>
      <c r="M43" s="70" t="s">
        <v>54</v>
      </c>
      <c r="N43" s="71" t="s">
        <v>54</v>
      </c>
      <c r="O43" s="78" t="n">
        <f aca="false">IF(J43="X",$C$35,$C$21-$C$35)*IF(K43="X",$D$35,$D$21-$D$35)*IF(L43="X",$E$35,$E$21-$E$35)*IF(M43="X",$F$35,$F$21-$F$35)*IF(N43="X",$G$35,$G$21-$G$35)</f>
        <v>218880</v>
      </c>
      <c r="P43" s="70" t="n">
        <f aca="false">O43/$G$22</f>
        <v>1.87608517101653E-005</v>
      </c>
      <c r="Q43" s="79" t="n">
        <f aca="false">Q42</f>
        <v>10</v>
      </c>
      <c r="R43" s="80" t="n">
        <f aca="false">P43*Q43</f>
        <v>0.000187608517101653</v>
      </c>
    </row>
    <row r="44" customFormat="false" ht="15" hidden="false" customHeight="false" outlineLevel="0" collapsed="false">
      <c r="B44" s="65" t="str">
        <f aca="false">B15 &amp; " x5"</f>
        <v>K x5</v>
      </c>
      <c r="C44" s="73" t="n">
        <f aca="false">C30*D30*E30*F30*G30</f>
        <v>165150720</v>
      </c>
      <c r="D44" s="74" t="n">
        <f aca="false">C44/$G$22</f>
        <v>0.0141555563219437</v>
      </c>
      <c r="E44" s="75" t="n">
        <f aca="false">'Game Info'!AA12</f>
        <v>100</v>
      </c>
      <c r="F44" s="76" t="n">
        <f aca="false">D44*E44/BG!$G$2</f>
        <v>0.0353888908048592</v>
      </c>
      <c r="I44" s="81" t="s">
        <v>31</v>
      </c>
      <c r="J44" s="65" t="s">
        <v>54</v>
      </c>
      <c r="K44" s="52" t="s">
        <v>54</v>
      </c>
      <c r="L44" s="52" t="s">
        <v>54</v>
      </c>
      <c r="M44" s="52" t="s">
        <v>33</v>
      </c>
      <c r="N44" s="53" t="s">
        <v>33</v>
      </c>
      <c r="O44" s="73" t="n">
        <f aca="false">IF(J44="X",$C$35,$C$21-$C$35)*IF(K44="X",$D$35,$D$21-$D$35)*IF(L44="X",$E$35,$E$21-$E$35)*IF(M44="X",$F$35,$F$21-$F$35)*IF(N44="X",$G$35,$G$21-$G$35)</f>
        <v>15444864</v>
      </c>
      <c r="P44" s="52" t="n">
        <f aca="false">O44/$G$22</f>
        <v>0.00132382494146414</v>
      </c>
      <c r="Q44" s="75" t="n">
        <f aca="false">'Game Info'!Y17</f>
        <v>2</v>
      </c>
      <c r="R44" s="76" t="n">
        <f aca="false">P44*Q44</f>
        <v>0.00264764988292827</v>
      </c>
    </row>
    <row r="45" customFormat="false" ht="15" hidden="false" customHeight="false" outlineLevel="0" collapsed="false">
      <c r="B45" s="65" t="str">
        <f aca="false">B16 &amp; " x5"</f>
        <v>Q x5</v>
      </c>
      <c r="C45" s="73" t="n">
        <f aca="false">C31*D31*E31*F31*G31</f>
        <v>428460032</v>
      </c>
      <c r="D45" s="74" t="n">
        <f aca="false">C45/$G$22</f>
        <v>0.0367245756765564</v>
      </c>
      <c r="E45" s="75" t="n">
        <f aca="false">'Game Info'!AA13</f>
        <v>100</v>
      </c>
      <c r="F45" s="76" t="n">
        <f aca="false">D45*E45/BG!$G$2</f>
        <v>0.0918114391913911</v>
      </c>
      <c r="I45" s="81" t="s">
        <v>31</v>
      </c>
      <c r="J45" s="65" t="s">
        <v>54</v>
      </c>
      <c r="K45" s="52" t="s">
        <v>54</v>
      </c>
      <c r="L45" s="52" t="s">
        <v>33</v>
      </c>
      <c r="M45" s="52" t="s">
        <v>54</v>
      </c>
      <c r="N45" s="53" t="s">
        <v>33</v>
      </c>
      <c r="O45" s="73" t="n">
        <f aca="false">IF(J45="X",$C$35,$C$21-$C$35)*IF(K45="X",$D$35,$D$21-$D$35)*IF(L45="X",$E$35,$E$21-$E$35)*IF(M45="X",$F$35,$F$21-$F$35)*IF(N45="X",$G$35,$G$21-$G$35)</f>
        <v>6152832</v>
      </c>
      <c r="P45" s="52" t="n">
        <f aca="false">O45/$G$22</f>
        <v>0.000527377415705225</v>
      </c>
      <c r="Q45" s="75" t="n">
        <f aca="false">Q44</f>
        <v>2</v>
      </c>
      <c r="R45" s="76" t="n">
        <f aca="false">P45*Q45</f>
        <v>0.00105475483141045</v>
      </c>
    </row>
    <row r="46" customFormat="false" ht="15" hidden="false" customHeight="false" outlineLevel="0" collapsed="false">
      <c r="B46" s="65" t="str">
        <f aca="false">B17 &amp; " x5"</f>
        <v>J x5</v>
      </c>
      <c r="C46" s="73" t="n">
        <f aca="false">C32*D32*E32*F32*G32</f>
        <v>113246208</v>
      </c>
      <c r="D46" s="74" t="n">
        <f aca="false">C46/$G$22</f>
        <v>0.00970666719218994</v>
      </c>
      <c r="E46" s="75" t="n">
        <f aca="false">'Game Info'!AA14</f>
        <v>100</v>
      </c>
      <c r="F46" s="76" t="n">
        <f aca="false">D46*E46/BG!$G$2</f>
        <v>0.0242666679804749</v>
      </c>
      <c r="I46" s="81" t="s">
        <v>31</v>
      </c>
      <c r="J46" s="65" t="s">
        <v>54</v>
      </c>
      <c r="K46" s="52" t="s">
        <v>33</v>
      </c>
      <c r="L46" s="52" t="s">
        <v>54</v>
      </c>
      <c r="M46" s="52" t="s">
        <v>54</v>
      </c>
      <c r="N46" s="53" t="s">
        <v>33</v>
      </c>
      <c r="O46" s="73" t="n">
        <f aca="false">IF(J46="X",$C$35,$C$21-$C$35)*IF(K46="X",$D$35,$D$21-$D$35)*IF(L46="X",$E$35,$E$21-$E$35)*IF(M46="X",$F$35,$F$21-$F$35)*IF(N46="X",$G$35,$G$21-$G$35)</f>
        <v>5650560</v>
      </c>
      <c r="P46" s="52" t="n">
        <f aca="false">O46/$G$22</f>
        <v>0.000484326198096636</v>
      </c>
      <c r="Q46" s="75" t="n">
        <f aca="false">Q45</f>
        <v>2</v>
      </c>
      <c r="R46" s="76" t="n">
        <f aca="false">P46*Q46</f>
        <v>0.000968652396193271</v>
      </c>
    </row>
    <row r="47" customFormat="false" ht="15" hidden="false" customHeight="false" outlineLevel="0" collapsed="false">
      <c r="B47" s="65" t="str">
        <f aca="false">B18 &amp; " x5"</f>
        <v>10 x5</v>
      </c>
      <c r="C47" s="73" t="n">
        <f aca="false">C33*D33*E33*F33*G33</f>
        <v>196608000</v>
      </c>
      <c r="D47" s="74" t="n">
        <f aca="false">C47/$G$22</f>
        <v>0.0168518527642186</v>
      </c>
      <c r="E47" s="75" t="n">
        <f aca="false">'Game Info'!AA15</f>
        <v>100</v>
      </c>
      <c r="F47" s="76" t="n">
        <f aca="false">D47*E47/BG!$G$2</f>
        <v>0.0421296319105466</v>
      </c>
      <c r="I47" s="81" t="s">
        <v>31</v>
      </c>
      <c r="J47" s="65" t="s">
        <v>33</v>
      </c>
      <c r="K47" s="52" t="s">
        <v>54</v>
      </c>
      <c r="L47" s="52" t="s">
        <v>54</v>
      </c>
      <c r="M47" s="52" t="s">
        <v>54</v>
      </c>
      <c r="N47" s="53" t="s">
        <v>33</v>
      </c>
      <c r="O47" s="73" t="n">
        <f aca="false">IF(J47="X",$C$35,$C$21-$C$35)*IF(K47="X",$D$35,$D$21-$D$35)*IF(L47="X",$E$35,$E$21-$E$35)*IF(M47="X",$F$35,$F$21-$F$35)*IF(N47="X",$G$35,$G$21-$G$35)</f>
        <v>5964480</v>
      </c>
      <c r="P47" s="52" t="n">
        <f aca="false">O47/$G$22</f>
        <v>0.000511233209102004</v>
      </c>
      <c r="Q47" s="75" t="n">
        <f aca="false">Q46</f>
        <v>2</v>
      </c>
      <c r="R47" s="76" t="n">
        <f aca="false">P47*Q47</f>
        <v>0.00102246641820401</v>
      </c>
    </row>
    <row r="48" customFormat="false" ht="15" hidden="false" customHeight="false" outlineLevel="0" collapsed="false">
      <c r="B48" s="69" t="str">
        <f aca="false">B19 &amp; " x5"</f>
        <v>9 x5</v>
      </c>
      <c r="C48" s="78" t="n">
        <f aca="false">C34*D34*E34*F34*G34</f>
        <v>15482880</v>
      </c>
      <c r="D48" s="82" t="n">
        <f aca="false">C48/$G$22</f>
        <v>0.00132708340518222</v>
      </c>
      <c r="E48" s="79" t="n">
        <f aca="false">'Game Info'!AA16</f>
        <v>100</v>
      </c>
      <c r="F48" s="80" t="n">
        <f aca="false">D48*E48/BG!$G$2</f>
        <v>0.00331770851295555</v>
      </c>
      <c r="I48" s="81" t="s">
        <v>31</v>
      </c>
      <c r="J48" s="65" t="s">
        <v>54</v>
      </c>
      <c r="K48" s="52" t="s">
        <v>54</v>
      </c>
      <c r="L48" s="52" t="s">
        <v>33</v>
      </c>
      <c r="M48" s="52" t="s">
        <v>33</v>
      </c>
      <c r="N48" s="53" t="s">
        <v>54</v>
      </c>
      <c r="O48" s="73" t="n">
        <f aca="false">IF(J48="X",$C$35,$C$21-$C$35)*IF(K48="X",$D$35,$D$21-$D$35)*IF(L48="X",$E$35,$E$21-$E$35)*IF(M48="X",$F$35,$F$21-$F$35)*IF(N48="X",$G$35,$G$21-$G$35)</f>
        <v>4628736</v>
      </c>
      <c r="P48" s="52" t="n">
        <f aca="false">O48/$G$22</f>
        <v>0.000396742643007601</v>
      </c>
      <c r="Q48" s="75" t="n">
        <f aca="false">Q47</f>
        <v>2</v>
      </c>
      <c r="R48" s="76" t="n">
        <f aca="false">P48*Q48</f>
        <v>0.000793485286015201</v>
      </c>
    </row>
    <row r="49" customFormat="false" ht="15" hidden="false" customHeight="false" outlineLevel="0" collapsed="false">
      <c r="B49" s="65" t="str">
        <f aca="false">B9 &amp; " x4"</f>
        <v>SYM1 x4</v>
      </c>
      <c r="C49" s="73" t="n">
        <f aca="false">C24*D24*E24*F24*($G$21-M24)</f>
        <v>140083200</v>
      </c>
      <c r="D49" s="74" t="n">
        <f aca="false">C49/$G$22</f>
        <v>0.0120069450945058</v>
      </c>
      <c r="E49" s="75" t="n">
        <f aca="false">'Game Info'!Z6</f>
        <v>100</v>
      </c>
      <c r="F49" s="76" t="n">
        <f aca="false">D49*E49/BG!$G$2</f>
        <v>0.0300173627362645</v>
      </c>
      <c r="I49" s="81" t="s">
        <v>31</v>
      </c>
      <c r="J49" s="65" t="s">
        <v>54</v>
      </c>
      <c r="K49" s="52" t="s">
        <v>33</v>
      </c>
      <c r="L49" s="52" t="s">
        <v>54</v>
      </c>
      <c r="M49" s="52" t="s">
        <v>33</v>
      </c>
      <c r="N49" s="53" t="s">
        <v>54</v>
      </c>
      <c r="O49" s="73" t="n">
        <f aca="false">IF(J49="X",$C$35,$C$21-$C$35)*IF(K49="X",$D$35,$D$21-$D$35)*IF(L49="X",$E$35,$E$21-$E$35)*IF(M49="X",$F$35,$F$21-$F$35)*IF(N49="X",$G$35,$G$21-$G$35)</f>
        <v>4250880</v>
      </c>
      <c r="P49" s="52" t="n">
        <f aca="false">O49/$G$22</f>
        <v>0.000364355488476368</v>
      </c>
      <c r="Q49" s="75" t="n">
        <f aca="false">Q48</f>
        <v>2</v>
      </c>
      <c r="R49" s="76" t="n">
        <f aca="false">P49*Q49</f>
        <v>0.000728710976952736</v>
      </c>
    </row>
    <row r="50" customFormat="false" ht="15" hidden="false" customHeight="false" outlineLevel="0" collapsed="false">
      <c r="B50" s="65" t="str">
        <f aca="false">B10 &amp; " x4"</f>
        <v>SYM2 x4</v>
      </c>
      <c r="C50" s="73" t="n">
        <f aca="false">C25*D25*E25*F25*($G$21-M25)</f>
        <v>308689920</v>
      </c>
      <c r="D50" s="74" t="n">
        <f aca="false">C50/$G$22</f>
        <v>0.0264587253908205</v>
      </c>
      <c r="E50" s="75" t="n">
        <f aca="false">'Game Info'!Z7</f>
        <v>100</v>
      </c>
      <c r="F50" s="76" t="n">
        <f aca="false">D50*E50/BG!$G$2</f>
        <v>0.0661468134770512</v>
      </c>
      <c r="I50" s="81" t="s">
        <v>31</v>
      </c>
      <c r="J50" s="65" t="s">
        <v>33</v>
      </c>
      <c r="K50" s="52" t="s">
        <v>54</v>
      </c>
      <c r="L50" s="52" t="s">
        <v>54</v>
      </c>
      <c r="M50" s="52" t="s">
        <v>33</v>
      </c>
      <c r="N50" s="53" t="s">
        <v>54</v>
      </c>
      <c r="O50" s="73" t="n">
        <f aca="false">IF(J50="X",$C$35,$C$21-$C$35)*IF(K50="X",$D$35,$D$21-$D$35)*IF(L50="X",$E$35,$E$21-$E$35)*IF(M50="X",$F$35,$F$21-$F$35)*IF(N50="X",$G$35,$G$21-$G$35)</f>
        <v>4487040</v>
      </c>
      <c r="P50" s="52" t="n">
        <f aca="false">O50/$G$22</f>
        <v>0.000384597460058388</v>
      </c>
      <c r="Q50" s="75" t="n">
        <f aca="false">Q49</f>
        <v>2</v>
      </c>
      <c r="R50" s="76" t="n">
        <f aca="false">P50*Q50</f>
        <v>0.000769194920116777</v>
      </c>
    </row>
    <row r="51" customFormat="false" ht="15" hidden="false" customHeight="false" outlineLevel="0" collapsed="false">
      <c r="B51" s="65" t="str">
        <f aca="false">B11 &amp; " x4"</f>
        <v>SYM3 x4</v>
      </c>
      <c r="C51" s="73" t="n">
        <f aca="false">C26*D26*E26*F26*($G$21-M26)</f>
        <v>243855360</v>
      </c>
      <c r="D51" s="74" t="n">
        <f aca="false">C51/$G$22</f>
        <v>0.0209015636316199</v>
      </c>
      <c r="E51" s="75" t="n">
        <f aca="false">'Game Info'!Z8</f>
        <v>100</v>
      </c>
      <c r="F51" s="76" t="n">
        <f aca="false">D51*E51/BG!$G$2</f>
        <v>0.0522539090790498</v>
      </c>
      <c r="I51" s="81" t="s">
        <v>31</v>
      </c>
      <c r="J51" s="65" t="s">
        <v>54</v>
      </c>
      <c r="K51" s="52" t="s">
        <v>33</v>
      </c>
      <c r="L51" s="52" t="s">
        <v>33</v>
      </c>
      <c r="M51" s="52" t="s">
        <v>54</v>
      </c>
      <c r="N51" s="53" t="s">
        <v>54</v>
      </c>
      <c r="O51" s="73" t="n">
        <f aca="false">IF(J51="X",$C$35,$C$21-$C$35)*IF(K51="X",$D$35,$D$21-$D$35)*IF(L51="X",$E$35,$E$21-$E$35)*IF(M51="X",$F$35,$F$21-$F$35)*IF(N51="X",$G$35,$G$21-$G$35)</f>
        <v>1693440</v>
      </c>
      <c r="P51" s="52" t="n">
        <f aca="false">O51/$G$22</f>
        <v>0.000145149747441805</v>
      </c>
      <c r="Q51" s="75" t="n">
        <f aca="false">Q50</f>
        <v>2</v>
      </c>
      <c r="R51" s="76" t="n">
        <f aca="false">P51*Q51</f>
        <v>0.00029029949488361</v>
      </c>
    </row>
    <row r="52" customFormat="false" ht="15" hidden="false" customHeight="false" outlineLevel="0" collapsed="false">
      <c r="B52" s="65" t="str">
        <f aca="false">B12 &amp; " x4"</f>
        <v>SYM4 x4</v>
      </c>
      <c r="C52" s="73" t="n">
        <f aca="false">C27*D27*E27*F27*($G$21-M27)</f>
        <v>271724544</v>
      </c>
      <c r="D52" s="74" t="n">
        <f aca="false">C52/$G$22</f>
        <v>0.0232903137609479</v>
      </c>
      <c r="E52" s="75" t="n">
        <f aca="false">'Game Info'!Z9</f>
        <v>80</v>
      </c>
      <c r="F52" s="76" t="n">
        <f aca="false">D52*E52/BG!$G$2</f>
        <v>0.0465806275218959</v>
      </c>
      <c r="I52" s="81" t="s">
        <v>31</v>
      </c>
      <c r="J52" s="65" t="s">
        <v>33</v>
      </c>
      <c r="K52" s="52" t="s">
        <v>54</v>
      </c>
      <c r="L52" s="52" t="s">
        <v>33</v>
      </c>
      <c r="M52" s="52" t="s">
        <v>54</v>
      </c>
      <c r="N52" s="53" t="s">
        <v>54</v>
      </c>
      <c r="O52" s="73" t="n">
        <f aca="false">IF(J52="X",$C$35,$C$21-$C$35)*IF(K52="X",$D$35,$D$21-$D$35)*IF(L52="X",$E$35,$E$21-$E$35)*IF(M52="X",$F$35,$F$21-$F$35)*IF(N52="X",$G$35,$G$21-$G$35)</f>
        <v>1787520</v>
      </c>
      <c r="P52" s="52" t="n">
        <f aca="false">O52/$G$22</f>
        <v>0.000153213622299683</v>
      </c>
      <c r="Q52" s="75" t="n">
        <f aca="false">Q51</f>
        <v>2</v>
      </c>
      <c r="R52" s="76" t="n">
        <f aca="false">P52*Q52</f>
        <v>0.000306427244599366</v>
      </c>
    </row>
    <row r="53" customFormat="false" ht="15" hidden="false" customHeight="false" outlineLevel="0" collapsed="false">
      <c r="B53" s="65" t="str">
        <f aca="false">B13 &amp; " x4"</f>
        <v>SYM5 x4</v>
      </c>
      <c r="C53" s="73" t="n">
        <f aca="false">C28*D28*E28*F28*($G$21-M28)</f>
        <v>239196672</v>
      </c>
      <c r="D53" s="74" t="n">
        <f aca="false">C53/$G$22</f>
        <v>0.0205022537141678</v>
      </c>
      <c r="E53" s="75" t="n">
        <f aca="false">'Game Info'!Z10</f>
        <v>80</v>
      </c>
      <c r="F53" s="76" t="n">
        <f aca="false">D53*E53/BG!$G$2</f>
        <v>0.0410045074283356</v>
      </c>
      <c r="I53" s="77" t="s">
        <v>31</v>
      </c>
      <c r="J53" s="69" t="s">
        <v>33</v>
      </c>
      <c r="K53" s="70" t="s">
        <v>33</v>
      </c>
      <c r="L53" s="70" t="s">
        <v>54</v>
      </c>
      <c r="M53" s="70" t="s">
        <v>54</v>
      </c>
      <c r="N53" s="71" t="s">
        <v>54</v>
      </c>
      <c r="O53" s="78" t="n">
        <f aca="false">IF(J53="X",$C$35,$C$21-$C$35)*IF(K53="X",$D$35,$D$21-$D$35)*IF(L53="X",$E$35,$E$21-$E$35)*IF(M53="X",$F$35,$F$21-$F$35)*IF(N53="X",$G$35,$G$21-$G$35)</f>
        <v>1641600</v>
      </c>
      <c r="P53" s="70" t="n">
        <f aca="false">O53/$G$22</f>
        <v>0.00014070638782624</v>
      </c>
      <c r="Q53" s="79" t="n">
        <f aca="false">Q52</f>
        <v>2</v>
      </c>
      <c r="R53" s="80" t="n">
        <f aca="false">P53*Q53</f>
        <v>0.000281412775652479</v>
      </c>
    </row>
    <row r="54" customFormat="false" ht="15" hidden="false" customHeight="false" outlineLevel="0" collapsed="false">
      <c r="B54" s="65" t="str">
        <f aca="false">B14 &amp; " x4"</f>
        <v>A x4</v>
      </c>
      <c r="C54" s="73" t="n">
        <f aca="false">C29*D29*E29*F29*($G$21-M29)</f>
        <v>120637440</v>
      </c>
      <c r="D54" s="74" t="n">
        <f aca="false">C54/$G$22</f>
        <v>0.0103401915320448</v>
      </c>
      <c r="E54" s="75" t="n">
        <f aca="false">'Game Info'!Z11</f>
        <v>50</v>
      </c>
      <c r="F54" s="76" t="n">
        <f aca="false">D54*E54/BG!$G$2</f>
        <v>0.012925239415056</v>
      </c>
      <c r="I54" s="81" t="s">
        <v>32</v>
      </c>
      <c r="J54" s="65" t="s">
        <v>33</v>
      </c>
      <c r="K54" s="52" t="s">
        <v>33</v>
      </c>
      <c r="L54" s="52" t="s">
        <v>33</v>
      </c>
      <c r="M54" s="52" t="s">
        <v>54</v>
      </c>
      <c r="N54" s="53" t="s">
        <v>54</v>
      </c>
      <c r="O54" s="73" t="n">
        <f aca="false">IF(J54="X",$C$35,$C$21-$C$35)*IF(K54="X",$D$35,$D$21-$D$35)*IF(L54="X",$E$35,$E$21-$E$35)*IF(M54="X",$F$35,$F$21-$F$35)*IF(N54="X",$G$35,$G$21-$G$35)</f>
        <v>13406400</v>
      </c>
      <c r="P54" s="52" t="n">
        <f aca="false">O54/$G$22</f>
        <v>0.00114910216724762</v>
      </c>
      <c r="Q54" s="75" t="n">
        <v>0</v>
      </c>
      <c r="R54" s="76" t="n">
        <f aca="false">P54*Q54</f>
        <v>0</v>
      </c>
    </row>
    <row r="55" customFormat="false" ht="15" hidden="false" customHeight="false" outlineLevel="0" collapsed="false">
      <c r="B55" s="65" t="str">
        <f aca="false">B15 &amp; " x4"</f>
        <v>K x4</v>
      </c>
      <c r="C55" s="73" t="n">
        <f aca="false">C30*D30*E30*F30*($G$21-M30)</f>
        <v>154140672</v>
      </c>
      <c r="D55" s="74" t="n">
        <f aca="false">C55/$G$22</f>
        <v>0.0132118525671474</v>
      </c>
      <c r="E55" s="75" t="n">
        <f aca="false">'Game Info'!Z12</f>
        <v>50</v>
      </c>
      <c r="F55" s="76" t="n">
        <f aca="false">D55*E55/BG!$G$2</f>
        <v>0.0165148157089343</v>
      </c>
      <c r="I55" s="81" t="s">
        <v>32</v>
      </c>
      <c r="J55" s="65" t="s">
        <v>33</v>
      </c>
      <c r="K55" s="52" t="s">
        <v>33</v>
      </c>
      <c r="L55" s="52" t="s">
        <v>54</v>
      </c>
      <c r="M55" s="52" t="s">
        <v>33</v>
      </c>
      <c r="N55" s="53" t="s">
        <v>54</v>
      </c>
      <c r="O55" s="73" t="n">
        <f aca="false">IF(J55="X",$C$35,$C$21-$C$35)*IF(K55="X",$D$35,$D$21-$D$35)*IF(L55="X",$E$35,$E$21-$E$35)*IF(M55="X",$F$35,$F$21-$F$35)*IF(N55="X",$G$35,$G$21-$G$35)</f>
        <v>33652800</v>
      </c>
      <c r="P55" s="52" t="n">
        <f aca="false">O55/$G$22</f>
        <v>0.00288448095043791</v>
      </c>
      <c r="Q55" s="75" t="n">
        <f aca="false">Q54</f>
        <v>0</v>
      </c>
      <c r="R55" s="76" t="n">
        <f aca="false">P55*Q55</f>
        <v>0</v>
      </c>
    </row>
    <row r="56" customFormat="false" ht="15" hidden="false" customHeight="false" outlineLevel="0" collapsed="false">
      <c r="B56" s="65" t="str">
        <f aca="false">B16 &amp; " x4"</f>
        <v>Q x4</v>
      </c>
      <c r="C56" s="73" t="n">
        <f aca="false">C31*D31*E31*F31*($G$21-M31)</f>
        <v>451413248</v>
      </c>
      <c r="D56" s="74" t="n">
        <f aca="false">C56/$G$22</f>
        <v>0.0386919636592291</v>
      </c>
      <c r="E56" s="75" t="n">
        <f aca="false">'Game Info'!Z13</f>
        <v>20</v>
      </c>
      <c r="F56" s="76" t="n">
        <f aca="false">D56*E56/BG!$G$2</f>
        <v>0.0193459818296146</v>
      </c>
      <c r="I56" s="81" t="s">
        <v>32</v>
      </c>
      <c r="J56" s="65" t="s">
        <v>33</v>
      </c>
      <c r="K56" s="52" t="s">
        <v>33</v>
      </c>
      <c r="L56" s="52" t="s">
        <v>54</v>
      </c>
      <c r="M56" s="52" t="s">
        <v>54</v>
      </c>
      <c r="N56" s="53" t="s">
        <v>33</v>
      </c>
      <c r="O56" s="73" t="n">
        <f aca="false">IF(J56="X",$C$35,$C$21-$C$35)*IF(K56="X",$D$35,$D$21-$D$35)*IF(L56="X",$E$35,$E$21-$E$35)*IF(M56="X",$F$35,$F$21-$F$35)*IF(N56="X",$G$35,$G$21-$G$35)</f>
        <v>44733600</v>
      </c>
      <c r="P56" s="52" t="n">
        <f aca="false">O56/$G$22</f>
        <v>0.00383424906826503</v>
      </c>
      <c r="Q56" s="75" t="n">
        <f aca="false">Q55</f>
        <v>0</v>
      </c>
      <c r="R56" s="76" t="n">
        <f aca="false">P56*Q56</f>
        <v>0</v>
      </c>
    </row>
    <row r="57" customFormat="false" ht="15" hidden="false" customHeight="false" outlineLevel="0" collapsed="false">
      <c r="B57" s="65" t="str">
        <f aca="false">B17 &amp; " x4"</f>
        <v>J x4</v>
      </c>
      <c r="C57" s="73" t="n">
        <f aca="false">C32*D32*E32*F32*($G$21-M32)</f>
        <v>242221056</v>
      </c>
      <c r="D57" s="74" t="n">
        <f aca="false">C57/$G$22</f>
        <v>0.0207614826055174</v>
      </c>
      <c r="E57" s="75" t="n">
        <f aca="false">'Game Info'!Z14</f>
        <v>20</v>
      </c>
      <c r="F57" s="76" t="n">
        <f aca="false">D57*E57/BG!$G$2</f>
        <v>0.0103807413027587</v>
      </c>
      <c r="I57" s="81" t="s">
        <v>32</v>
      </c>
      <c r="J57" s="65" t="s">
        <v>33</v>
      </c>
      <c r="K57" s="52" t="s">
        <v>54</v>
      </c>
      <c r="L57" s="52" t="s">
        <v>33</v>
      </c>
      <c r="M57" s="52" t="s">
        <v>33</v>
      </c>
      <c r="N57" s="53" t="s">
        <v>54</v>
      </c>
      <c r="O57" s="73" t="n">
        <f aca="false">IF(J57="X",$C$35,$C$21-$C$35)*IF(K57="X",$D$35,$D$21-$D$35)*IF(L57="X",$E$35,$E$21-$E$35)*IF(M57="X",$F$35,$F$21-$F$35)*IF(N57="X",$G$35,$G$21-$G$35)</f>
        <v>36644160</v>
      </c>
      <c r="P57" s="52" t="n">
        <f aca="false">O57/$G$22</f>
        <v>0.00314087925714351</v>
      </c>
      <c r="Q57" s="75" t="n">
        <f aca="false">Q56</f>
        <v>0</v>
      </c>
      <c r="R57" s="76" t="n">
        <f aca="false">P57*Q57</f>
        <v>0</v>
      </c>
    </row>
    <row r="58" customFormat="false" ht="15" hidden="false" customHeight="false" outlineLevel="0" collapsed="false">
      <c r="B58" s="65" t="str">
        <f aca="false">B18 &amp; " x4"</f>
        <v>10 x4</v>
      </c>
      <c r="C58" s="73" t="n">
        <f aca="false">C33*D33*E33*F33*($G$21-M33)</f>
        <v>363724800</v>
      </c>
      <c r="D58" s="74" t="n">
        <f aca="false">C58/$G$22</f>
        <v>0.0311759276138045</v>
      </c>
      <c r="E58" s="75" t="n">
        <f aca="false">'Game Info'!Z15</f>
        <v>10</v>
      </c>
      <c r="F58" s="76" t="n">
        <f aca="false">D58*E58/BG!$G$2</f>
        <v>0.00779398190345112</v>
      </c>
      <c r="I58" s="81" t="s">
        <v>32</v>
      </c>
      <c r="J58" s="65" t="s">
        <v>33</v>
      </c>
      <c r="K58" s="52" t="s">
        <v>54</v>
      </c>
      <c r="L58" s="52" t="s">
        <v>33</v>
      </c>
      <c r="M58" s="52" t="s">
        <v>54</v>
      </c>
      <c r="N58" s="53" t="s">
        <v>33</v>
      </c>
      <c r="O58" s="73" t="n">
        <f aca="false">IF(J58="X",$C$35,$C$21-$C$35)*IF(K58="X",$D$35,$D$21-$D$35)*IF(L58="X",$E$35,$E$21-$E$35)*IF(M58="X",$F$35,$F$21-$F$35)*IF(N58="X",$G$35,$G$21-$G$35)</f>
        <v>48709920</v>
      </c>
      <c r="P58" s="52" t="n">
        <f aca="false">O58/$G$22</f>
        <v>0.00417507120766637</v>
      </c>
      <c r="Q58" s="75" t="n">
        <f aca="false">Q57</f>
        <v>0</v>
      </c>
      <c r="R58" s="76" t="n">
        <f aca="false">P58*Q58</f>
        <v>0</v>
      </c>
    </row>
    <row r="59" customFormat="false" ht="15" hidden="false" customHeight="false" outlineLevel="0" collapsed="false">
      <c r="B59" s="69" t="str">
        <f aca="false">B19 &amp; " x4"</f>
        <v>9 x4</v>
      </c>
      <c r="C59" s="78" t="n">
        <f aca="false">C34*D34*E34*F34*($G$21-M34)</f>
        <v>95800320</v>
      </c>
      <c r="D59" s="82" t="n">
        <f aca="false">C59/$G$22</f>
        <v>0.00821132856956498</v>
      </c>
      <c r="E59" s="79" t="n">
        <f aca="false">'Game Info'!Z16</f>
        <v>10</v>
      </c>
      <c r="F59" s="80" t="n">
        <f aca="false">D59*E59/BG!$G$2</f>
        <v>0.00205283214239124</v>
      </c>
      <c r="I59" s="81" t="s">
        <v>32</v>
      </c>
      <c r="J59" s="65" t="s">
        <v>33</v>
      </c>
      <c r="K59" s="52" t="s">
        <v>54</v>
      </c>
      <c r="L59" s="52" t="s">
        <v>54</v>
      </c>
      <c r="M59" s="52" t="s">
        <v>33</v>
      </c>
      <c r="N59" s="53" t="s">
        <v>33</v>
      </c>
      <c r="O59" s="73" t="n">
        <f aca="false">IF(J59="X",$C$35,$C$21-$C$35)*IF(K59="X",$D$35,$D$21-$D$35)*IF(L59="X",$E$35,$E$21-$E$35)*IF(M59="X",$F$35,$F$21-$F$35)*IF(N59="X",$G$35,$G$21-$G$35)</f>
        <v>122271840</v>
      </c>
      <c r="P59" s="52" t="n">
        <f aca="false">O59/$G$22</f>
        <v>0.0104802807865911</v>
      </c>
      <c r="Q59" s="75" t="n">
        <f aca="false">Q58</f>
        <v>0</v>
      </c>
      <c r="R59" s="76" t="n">
        <f aca="false">P59*Q59</f>
        <v>0</v>
      </c>
    </row>
    <row r="60" customFormat="false" ht="15" hidden="false" customHeight="false" outlineLevel="0" collapsed="false">
      <c r="B60" s="60" t="str">
        <f aca="false">B9 &amp; " x3"</f>
        <v>SYM1 x3</v>
      </c>
      <c r="C60" s="83" t="n">
        <f aca="false">C24*D24*E24*($F$21-L24)*$G$21</f>
        <v>381849600</v>
      </c>
      <c r="D60" s="84" t="n">
        <f aca="false">C60/$G$22</f>
        <v>0.0327294577905059</v>
      </c>
      <c r="E60" s="85" t="n">
        <f aca="false">'Game Info'!Y6</f>
        <v>50</v>
      </c>
      <c r="F60" s="86" t="n">
        <f aca="false">D60*E60/BG!$G$2</f>
        <v>0.0409118222381324</v>
      </c>
      <c r="I60" s="81" t="s">
        <v>32</v>
      </c>
      <c r="J60" s="65" t="s">
        <v>54</v>
      </c>
      <c r="K60" s="52" t="s">
        <v>33</v>
      </c>
      <c r="L60" s="52" t="s">
        <v>33</v>
      </c>
      <c r="M60" s="52" t="s">
        <v>33</v>
      </c>
      <c r="N60" s="53" t="s">
        <v>54</v>
      </c>
      <c r="O60" s="73" t="n">
        <f aca="false">IF(J60="X",$C$35,$C$21-$C$35)*IF(K60="X",$D$35,$D$21-$D$35)*IF(L60="X",$E$35,$E$21-$E$35)*IF(M60="X",$F$35,$F$21-$F$35)*IF(N60="X",$G$35,$G$21-$G$35)</f>
        <v>34715520</v>
      </c>
      <c r="P60" s="52" t="n">
        <f aca="false">O60/$G$22</f>
        <v>0.00297556982255701</v>
      </c>
      <c r="Q60" s="75" t="n">
        <f aca="false">Q59</f>
        <v>0</v>
      </c>
      <c r="R60" s="76" t="n">
        <f aca="false">P60*Q60</f>
        <v>0</v>
      </c>
    </row>
    <row r="61" customFormat="false" ht="15" hidden="false" customHeight="false" outlineLevel="0" collapsed="false">
      <c r="B61" s="65" t="str">
        <f aca="false">B10 &amp; " x3"</f>
        <v>SYM2 x3</v>
      </c>
      <c r="C61" s="73" t="n">
        <f aca="false">C25*D25*E25*($F$21-L25)*$G$21</f>
        <v>455616000</v>
      </c>
      <c r="D61" s="74" t="n">
        <f aca="false">C61/$G$22</f>
        <v>0.0390521939545809</v>
      </c>
      <c r="E61" s="75" t="n">
        <f aca="false">'Game Info'!Y7</f>
        <v>50</v>
      </c>
      <c r="F61" s="76" t="n">
        <f aca="false">D61*E61/BG!$G$2</f>
        <v>0.0488152424432261</v>
      </c>
      <c r="I61" s="81" t="s">
        <v>32</v>
      </c>
      <c r="J61" s="65" t="s">
        <v>54</v>
      </c>
      <c r="K61" s="52" t="s">
        <v>33</v>
      </c>
      <c r="L61" s="52" t="s">
        <v>33</v>
      </c>
      <c r="M61" s="52" t="s">
        <v>54</v>
      </c>
      <c r="N61" s="53" t="s">
        <v>33</v>
      </c>
      <c r="O61" s="73" t="n">
        <f aca="false">IF(J61="X",$C$35,$C$21-$C$35)*IF(K61="X",$D$35,$D$21-$D$35)*IF(L61="X",$E$35,$E$21-$E$35)*IF(M61="X",$F$35,$F$21-$F$35)*IF(N61="X",$G$35,$G$21-$G$35)</f>
        <v>46146240</v>
      </c>
      <c r="P61" s="52" t="n">
        <f aca="false">O61/$G$22</f>
        <v>0.00395533061778919</v>
      </c>
      <c r="Q61" s="75" t="n">
        <f aca="false">Q60</f>
        <v>0</v>
      </c>
      <c r="R61" s="76" t="n">
        <f aca="false">P61*Q61</f>
        <v>0</v>
      </c>
    </row>
    <row r="62" customFormat="false" ht="15" hidden="false" customHeight="false" outlineLevel="0" collapsed="false">
      <c r="B62" s="65" t="str">
        <f aca="false">B11 &amp; " x3"</f>
        <v>SYM3 x3</v>
      </c>
      <c r="C62" s="73" t="n">
        <f aca="false">C26*D26*E26*($F$21-L26)*$G$21</f>
        <v>739920384</v>
      </c>
      <c r="D62" s="74" t="n">
        <f aca="false">C62/$G$22</f>
        <v>0.0634207629822394</v>
      </c>
      <c r="E62" s="75" t="n">
        <f aca="false">'Game Info'!Y8</f>
        <v>50</v>
      </c>
      <c r="F62" s="76" t="n">
        <f aca="false">D62*E62/BG!$G$2</f>
        <v>0.0792759537277993</v>
      </c>
      <c r="I62" s="81" t="s">
        <v>32</v>
      </c>
      <c r="J62" s="65" t="s">
        <v>54</v>
      </c>
      <c r="K62" s="52" t="s">
        <v>33</v>
      </c>
      <c r="L62" s="52" t="s">
        <v>54</v>
      </c>
      <c r="M62" s="52" t="s">
        <v>33</v>
      </c>
      <c r="N62" s="53" t="s">
        <v>33</v>
      </c>
      <c r="O62" s="73" t="n">
        <f aca="false">IF(J62="X",$C$35,$C$21-$C$35)*IF(K62="X",$D$35,$D$21-$D$35)*IF(L62="X",$E$35,$E$21-$E$35)*IF(M62="X",$F$35,$F$21-$F$35)*IF(N62="X",$G$35,$G$21-$G$35)</f>
        <v>115836480</v>
      </c>
      <c r="P62" s="52" t="n">
        <f aca="false">O62/$G$22</f>
        <v>0.00992868706098103</v>
      </c>
      <c r="Q62" s="75" t="n">
        <f aca="false">Q61</f>
        <v>0</v>
      </c>
      <c r="R62" s="76" t="n">
        <f aca="false">P62*Q62</f>
        <v>0</v>
      </c>
    </row>
    <row r="63" customFormat="false" ht="15" hidden="false" customHeight="false" outlineLevel="0" collapsed="false">
      <c r="B63" s="65" t="str">
        <f aca="false">B12 &amp; " x3"</f>
        <v>SYM4 x3</v>
      </c>
      <c r="C63" s="73" t="n">
        <f aca="false">C27*D27*E27*($F$21-L27)*$G$21</f>
        <v>363277824</v>
      </c>
      <c r="D63" s="74" t="n">
        <f aca="false">C63/$G$22</f>
        <v>0.0311376159797858</v>
      </c>
      <c r="E63" s="75" t="n">
        <f aca="false">'Game Info'!Y9</f>
        <v>20</v>
      </c>
      <c r="F63" s="76" t="n">
        <f aca="false">D63*E63/BG!$G$2</f>
        <v>0.0155688079898929</v>
      </c>
      <c r="I63" s="77" t="s">
        <v>32</v>
      </c>
      <c r="J63" s="69" t="s">
        <v>54</v>
      </c>
      <c r="K63" s="70" t="s">
        <v>54</v>
      </c>
      <c r="L63" s="70" t="s">
        <v>33</v>
      </c>
      <c r="M63" s="70" t="s">
        <v>33</v>
      </c>
      <c r="N63" s="71" t="s">
        <v>33</v>
      </c>
      <c r="O63" s="78" t="n">
        <f aca="false">IF(J63="X",$C$35,$C$21-$C$35)*IF(K63="X",$D$35,$D$21-$D$35)*IF(L63="X",$E$35,$E$21-$E$35)*IF(M63="X",$F$35,$F$21-$F$35)*IF(N63="X",$G$35,$G$21-$G$35)</f>
        <v>126133056</v>
      </c>
      <c r="P63" s="70" t="n">
        <f aca="false">O63/$G$22</f>
        <v>0.0108112370219571</v>
      </c>
      <c r="Q63" s="79" t="n">
        <f aca="false">Q62</f>
        <v>0</v>
      </c>
      <c r="R63" s="80" t="n">
        <f aca="false">P63*Q63</f>
        <v>0</v>
      </c>
    </row>
    <row r="64" customFormat="false" ht="15" hidden="false" customHeight="false" outlineLevel="0" collapsed="false">
      <c r="B64" s="65" t="str">
        <f aca="false">B13 &amp; " x3"</f>
        <v>SYM5 x3</v>
      </c>
      <c r="C64" s="73" t="n">
        <f aca="false">C28*D28*E28*($F$21-L28)*$G$21</f>
        <v>297842688</v>
      </c>
      <c r="D64" s="74" t="n">
        <f aca="false">C64/$G$22</f>
        <v>0.0255289770765946</v>
      </c>
      <c r="E64" s="75" t="n">
        <f aca="false">'Game Info'!Y10</f>
        <v>20</v>
      </c>
      <c r="F64" s="76" t="n">
        <f aca="false">D64*E64/BG!$G$2</f>
        <v>0.0127644885382973</v>
      </c>
      <c r="I64" s="87"/>
      <c r="L64" s="45"/>
      <c r="M64" s="88"/>
    </row>
    <row r="65" customFormat="false" ht="15" hidden="false" customHeight="false" outlineLevel="0" collapsed="false">
      <c r="B65" s="65" t="str">
        <f aca="false">B14 &amp; " x3"</f>
        <v>A x3</v>
      </c>
      <c r="C65" s="73" t="n">
        <f aca="false">C29*D29*E29*($F$21-L29)*$G$21</f>
        <v>366575616</v>
      </c>
      <c r="D65" s="74" t="n">
        <f aca="false">C65/$G$22</f>
        <v>0.0314202794788857</v>
      </c>
      <c r="E65" s="75" t="n">
        <f aca="false">'Game Info'!Y11</f>
        <v>10</v>
      </c>
      <c r="F65" s="76" t="n">
        <f aca="false">D65*E65/BG!$G$2</f>
        <v>0.00785506986972142</v>
      </c>
      <c r="I65" s="87"/>
      <c r="L65" s="45"/>
      <c r="M65" s="88"/>
    </row>
    <row r="66" customFormat="false" ht="15" hidden="false" customHeight="false" outlineLevel="0" collapsed="false">
      <c r="B66" s="65" t="str">
        <f aca="false">B15 &amp; " x3"</f>
        <v>K x3</v>
      </c>
      <c r="C66" s="73" t="n">
        <f aca="false">C30*D30*E30*($F$21-L30)*$G$21</f>
        <v>534589440</v>
      </c>
      <c r="D66" s="74" t="n">
        <f aca="false">C66/$G$22</f>
        <v>0.0458212409067083</v>
      </c>
      <c r="E66" s="75" t="n">
        <f aca="false">'Game Info'!Y12</f>
        <v>10</v>
      </c>
      <c r="F66" s="76" t="n">
        <f aca="false">D66*E66/BG!$G$2</f>
        <v>0.0114553102266771</v>
      </c>
      <c r="I66" s="87"/>
      <c r="L66" s="45"/>
      <c r="M66" s="88"/>
    </row>
    <row r="67" customFormat="false" ht="15" hidden="false" customHeight="false" outlineLevel="0" collapsed="false">
      <c r="B67" s="65" t="str">
        <f aca="false">B16 &amp; " x3"</f>
        <v>Q x3</v>
      </c>
      <c r="C67" s="73" t="n">
        <f aca="false">C31*D31*E31*($F$21-L31)*$G$21</f>
        <v>864571136</v>
      </c>
      <c r="D67" s="74" t="n">
        <f aca="false">C67/$G$22</f>
        <v>0.0741049473473371</v>
      </c>
      <c r="E67" s="75" t="n">
        <f aca="false">'Game Info'!Y13</f>
        <v>5</v>
      </c>
      <c r="F67" s="76" t="n">
        <f aca="false">D67*E67/BG!$G$2</f>
        <v>0.00926311841841714</v>
      </c>
      <c r="I67" s="87"/>
      <c r="L67" s="45"/>
      <c r="M67" s="88"/>
    </row>
    <row r="68" customFormat="false" ht="15" hidden="false" customHeight="false" outlineLevel="0" collapsed="false">
      <c r="B68" s="65" t="str">
        <f aca="false">B17 &amp; " x3"</f>
        <v>J x3</v>
      </c>
      <c r="C68" s="73" t="n">
        <f aca="false">C32*D32*E32*($F$21-L32)*$G$21</f>
        <v>599851008</v>
      </c>
      <c r="D68" s="74" t="n">
        <f aca="false">C68/$G$22</f>
        <v>0.0514150027836311</v>
      </c>
      <c r="E68" s="75" t="n">
        <f aca="false">'Game Info'!Y14</f>
        <v>5</v>
      </c>
      <c r="F68" s="76" t="n">
        <f aca="false">D68*E68/BG!$G$2</f>
        <v>0.00642687534795389</v>
      </c>
      <c r="I68" s="87"/>
      <c r="L68" s="45"/>
      <c r="M68" s="88"/>
    </row>
    <row r="69" customFormat="false" ht="15" hidden="false" customHeight="false" outlineLevel="0" collapsed="false">
      <c r="B69" s="65" t="str">
        <f aca="false">B18 &amp; " x3"</f>
        <v>10 x3</v>
      </c>
      <c r="C69" s="73" t="n">
        <f aca="false">C33*D33*E33*($F$21-L33)*$G$21</f>
        <v>989337600</v>
      </c>
      <c r="D69" s="74" t="n">
        <f aca="false">C69/$G$22</f>
        <v>0.0847990497299471</v>
      </c>
      <c r="E69" s="75" t="n">
        <f aca="false">'Game Info'!Y15</f>
        <v>5</v>
      </c>
      <c r="F69" s="76" t="n">
        <f aca="false">D69*E69/BG!$G$2</f>
        <v>0.0105998812162434</v>
      </c>
      <c r="I69" s="87"/>
      <c r="L69" s="45"/>
      <c r="M69" s="88"/>
    </row>
    <row r="70" customFormat="false" ht="15" hidden="false" customHeight="false" outlineLevel="0" collapsed="false">
      <c r="B70" s="69" t="str">
        <f aca="false">B19 &amp; " x3"</f>
        <v>9 x3</v>
      </c>
      <c r="C70" s="78" t="n">
        <f aca="false">C34*D34*E34*($F$21-L34)*$G$21</f>
        <v>139418496</v>
      </c>
      <c r="D70" s="82" t="n">
        <f aca="false">C70/$G$22</f>
        <v>0.0119499713501018</v>
      </c>
      <c r="E70" s="79" t="n">
        <f aca="false">'Game Info'!Y16</f>
        <v>5</v>
      </c>
      <c r="F70" s="80" t="n">
        <f aca="false">D70*E70/BG!$G$2</f>
        <v>0.00149374641876272</v>
      </c>
      <c r="I70" s="87"/>
      <c r="L70" s="45"/>
      <c r="M70" s="88"/>
    </row>
    <row r="71" customFormat="false" ht="15" hidden="false" customHeight="false" outlineLevel="0" collapsed="false">
      <c r="B71" s="60" t="str">
        <f aca="false">B9 &amp; " x2"</f>
        <v>SYM1 x2</v>
      </c>
      <c r="C71" s="73" t="n">
        <f aca="false">PRODUCT(C24:D24,$E$21-K24,$F$21:$G$21)</f>
        <v>607025152</v>
      </c>
      <c r="D71" s="74" t="n">
        <f aca="false">C71/$G$22</f>
        <v>0.0520299198693921</v>
      </c>
      <c r="E71" s="75" t="n">
        <f aca="false">'Game Info'!X6</f>
        <v>10</v>
      </c>
      <c r="F71" s="76" t="n">
        <f aca="false">D71*E71/BG!$G$2</f>
        <v>0.013007479967348</v>
      </c>
      <c r="I71" s="87"/>
      <c r="L71" s="45"/>
      <c r="M71" s="88"/>
    </row>
    <row r="72" customFormat="false" ht="15" hidden="false" customHeight="false" outlineLevel="0" collapsed="false">
      <c r="B72" s="69" t="str">
        <f aca="false">B19 &amp; " x2"</f>
        <v>9 x2</v>
      </c>
      <c r="C72" s="78" t="n">
        <f aca="false">PRODUCT(C34:D34,$E$21-K34,$F$21:$G$21)</f>
        <v>842433984</v>
      </c>
      <c r="D72" s="82" t="n">
        <f aca="false">C72/$G$22</f>
        <v>0.0722075066220201</v>
      </c>
      <c r="E72" s="79" t="n">
        <f aca="false">'Game Info'!X16</f>
        <v>2</v>
      </c>
      <c r="F72" s="80" t="n">
        <f aca="false">D72*E72/BG!$G$2</f>
        <v>0.003610375331101</v>
      </c>
      <c r="I72" s="87"/>
      <c r="L72" s="45"/>
      <c r="M72" s="8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T17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15" activeCellId="0" sqref="G15"/>
    </sheetView>
  </sheetViews>
  <sheetFormatPr defaultColWidth="8.85546875" defaultRowHeight="15" customHeight="false" zeroHeight="false" outlineLevelRow="0" outlineLevelCol="0"/>
  <cols>
    <col collapsed="false" customWidth="true" hidden="false" outlineLevel="0" max="6" min="1" style="1" width="9.14"/>
  </cols>
  <sheetData>
    <row r="2" customFormat="false" ht="15" hidden="false" customHeight="false" outlineLevel="0" collapsed="false">
      <c r="A2" s="10" t="s">
        <v>13</v>
      </c>
      <c r="B2" s="8" t="s">
        <v>8</v>
      </c>
      <c r="C2" s="8" t="s">
        <v>9</v>
      </c>
      <c r="D2" s="8" t="s">
        <v>10</v>
      </c>
      <c r="E2" s="8" t="s">
        <v>11</v>
      </c>
      <c r="F2" s="9" t="s">
        <v>12</v>
      </c>
    </row>
    <row r="3" customFormat="false" ht="15" hidden="false" customHeight="false" outlineLevel="0" collapsed="false">
      <c r="A3" s="18" t="s">
        <v>35</v>
      </c>
      <c r="B3" s="39" t="n">
        <f aca="false">COUNTIF(B$23:B$172,$A3)</f>
        <v>0</v>
      </c>
      <c r="C3" s="39" t="n">
        <f aca="false">COUNTIF(C$23:C$172,$A3)</f>
        <v>1</v>
      </c>
      <c r="D3" s="39" t="n">
        <f aca="false">COUNTIF(D$23:D$172,$A3)</f>
        <v>2</v>
      </c>
      <c r="E3" s="39" t="n">
        <f aca="false">COUNTIF(E$23:E$172,$A3)</f>
        <v>2</v>
      </c>
      <c r="F3" s="104" t="n">
        <f aca="false">COUNTIF(F$23:F$172,$A3)</f>
        <v>0</v>
      </c>
      <c r="H3" s="57" t="s">
        <v>48</v>
      </c>
    </row>
    <row r="4" customFormat="false" ht="15" hidden="false" customHeight="false" outlineLevel="0" collapsed="false">
      <c r="A4" s="18" t="s">
        <v>22</v>
      </c>
      <c r="B4" s="39" t="n">
        <f aca="false">COUNTIF(B$23:B$172,$A4)</f>
        <v>6</v>
      </c>
      <c r="C4" s="39" t="n">
        <f aca="false">COUNTIF(C$23:C$172,$A4)</f>
        <v>4</v>
      </c>
      <c r="D4" s="39" t="n">
        <f aca="false">COUNTIF(D$23:D$172,$A4)</f>
        <v>10</v>
      </c>
      <c r="E4" s="39" t="n">
        <f aca="false">COUNTIF(E$23:E$172,$A4)</f>
        <v>8</v>
      </c>
      <c r="F4" s="104" t="n">
        <f aca="false">COUNTIF(F$23:F$172,$A4)</f>
        <v>17</v>
      </c>
      <c r="H4" s="58" t="s">
        <v>22</v>
      </c>
      <c r="I4" s="105" t="n">
        <f aca="false">COUNTIF(H23:H172,"&gt;0")</f>
        <v>21</v>
      </c>
      <c r="J4" s="83" t="n">
        <f aca="false">COUNTIF(I23:I172,"&gt;0")</f>
        <v>18</v>
      </c>
      <c r="K4" s="83" t="n">
        <f aca="false">COUNTIF(J23:J172,"&gt;0")</f>
        <v>43</v>
      </c>
      <c r="L4" s="83" t="n">
        <f aca="false">COUNTIF(K23:K172,"&gt;0")</f>
        <v>31</v>
      </c>
      <c r="M4" s="106" t="n">
        <f aca="false">COUNTIF(L23:L172,"&gt;0")</f>
        <v>56</v>
      </c>
    </row>
    <row r="5" customFormat="false" ht="15" hidden="false" customHeight="false" outlineLevel="0" collapsed="false">
      <c r="A5" s="18" t="s">
        <v>27</v>
      </c>
      <c r="B5" s="39" t="n">
        <f aca="false">COUNTIF(B$23:B$172,$A5)</f>
        <v>12</v>
      </c>
      <c r="C5" s="39" t="n">
        <f aca="false">COUNTIF(C$23:C$172,$A5)</f>
        <v>13</v>
      </c>
      <c r="D5" s="39" t="n">
        <f aca="false">COUNTIF(D$23:D$172,$A5)</f>
        <v>6</v>
      </c>
      <c r="E5" s="39" t="n">
        <f aca="false">COUNTIF(E$23:E$172,$A5)</f>
        <v>9</v>
      </c>
      <c r="F5" s="104" t="n">
        <f aca="false">COUNTIF(F$23:F$172,$A5)</f>
        <v>8</v>
      </c>
      <c r="H5" s="18" t="s">
        <v>27</v>
      </c>
      <c r="I5" s="91" t="n">
        <f aca="false">COUNTIF(N23:N172,"&gt;0")</f>
        <v>45</v>
      </c>
      <c r="J5" s="73" t="n">
        <f aca="false">COUNTIF(O23:O172,"&gt;0")</f>
        <v>47</v>
      </c>
      <c r="K5" s="73" t="n">
        <f aca="false">COUNTIF(P23:P172,"&gt;0")</f>
        <v>26</v>
      </c>
      <c r="L5" s="73" t="n">
        <f aca="false">COUNTIF(Q23:Q172,"&gt;0")</f>
        <v>36</v>
      </c>
      <c r="M5" s="92" t="n">
        <f aca="false">COUNTIF(R23:R172,"&gt;0")</f>
        <v>26</v>
      </c>
    </row>
    <row r="6" customFormat="false" ht="15" hidden="false" customHeight="false" outlineLevel="0" collapsed="false">
      <c r="A6" s="18" t="s">
        <v>24</v>
      </c>
      <c r="B6" s="39" t="n">
        <f aca="false">COUNTIF(B$23:B$172,$A6)</f>
        <v>14</v>
      </c>
      <c r="C6" s="39" t="n">
        <f aca="false">COUNTIF(C$23:C$172,$A6)</f>
        <v>6</v>
      </c>
      <c r="D6" s="39" t="n">
        <f aca="false">COUNTIF(D$23:D$172,$A6)</f>
        <v>11</v>
      </c>
      <c r="E6" s="39" t="n">
        <f aca="false">COUNTIF(E$23:E$172,$A6)</f>
        <v>7</v>
      </c>
      <c r="F6" s="104" t="n">
        <f aca="false">COUNTIF(F$23:F$172,$A6)</f>
        <v>15</v>
      </c>
      <c r="H6" s="18" t="s">
        <v>24</v>
      </c>
      <c r="I6" s="91" t="n">
        <f aca="false">COUNTIF(T23:T172,"&gt;0")</f>
        <v>52</v>
      </c>
      <c r="J6" s="73" t="n">
        <f aca="false">COUNTIF(U23:U172,"&gt;0")</f>
        <v>26</v>
      </c>
      <c r="K6" s="73" t="n">
        <f aca="false">COUNTIF(V23:V172,"&gt;0")</f>
        <v>46</v>
      </c>
      <c r="L6" s="73" t="n">
        <f aca="false">COUNTIF(W23:W172,"&gt;0")</f>
        <v>28</v>
      </c>
      <c r="M6" s="92" t="n">
        <f aca="false">COUNTIF(X23:X172,"&gt;0")</f>
        <v>53</v>
      </c>
    </row>
    <row r="7" customFormat="false" ht="15" hidden="false" customHeight="false" outlineLevel="0" collapsed="false">
      <c r="A7" s="18" t="s">
        <v>21</v>
      </c>
      <c r="B7" s="39" t="n">
        <f aca="false">COUNTIF(B$23:B$172,$A7)</f>
        <v>6</v>
      </c>
      <c r="C7" s="39" t="n">
        <f aca="false">COUNTIF(C$23:C$172,$A7)</f>
        <v>10</v>
      </c>
      <c r="D7" s="39" t="n">
        <f aca="false">COUNTIF(D$23:D$172,$A7)</f>
        <v>11</v>
      </c>
      <c r="E7" s="39" t="n">
        <f aca="false">COUNTIF(E$23:E$172,$A7)</f>
        <v>10</v>
      </c>
      <c r="F7" s="104" t="n">
        <f aca="false">COUNTIF(F$23:F$172,$A7)</f>
        <v>8</v>
      </c>
      <c r="H7" s="18" t="s">
        <v>21</v>
      </c>
      <c r="I7" s="91" t="n">
        <f aca="false">COUNTIF(Z23:Z172,"&gt;0")</f>
        <v>21</v>
      </c>
      <c r="J7" s="73" t="n">
        <f aca="false">COUNTIF(AA23:AA172,"&gt;0")</f>
        <v>35</v>
      </c>
      <c r="K7" s="73" t="n">
        <f aca="false">COUNTIF(AB23:AB172,"&gt;0")</f>
        <v>38</v>
      </c>
      <c r="L7" s="73" t="n">
        <f aca="false">COUNTIF(AC23:AC172,"&gt;0")</f>
        <v>40</v>
      </c>
      <c r="M7" s="92" t="n">
        <f aca="false">COUNTIF(AD23:AD172,"&gt;0")</f>
        <v>32</v>
      </c>
    </row>
    <row r="8" customFormat="false" ht="15" hidden="false" customHeight="false" outlineLevel="0" collapsed="false">
      <c r="A8" s="18" t="s">
        <v>26</v>
      </c>
      <c r="B8" s="39" t="n">
        <f aca="false">COUNTIF(B$23:B$172,$A8)</f>
        <v>6</v>
      </c>
      <c r="C8" s="39" t="n">
        <f aca="false">COUNTIF(C$23:C$172,$A8)</f>
        <v>8</v>
      </c>
      <c r="D8" s="39" t="n">
        <f aca="false">COUNTIF(D$23:D$172,$A8)</f>
        <v>10</v>
      </c>
      <c r="E8" s="39" t="n">
        <f aca="false">COUNTIF(E$23:E$172,$A8)</f>
        <v>9</v>
      </c>
      <c r="F8" s="104" t="n">
        <f aca="false">COUNTIF(F$23:F$172,$A8)</f>
        <v>5</v>
      </c>
      <c r="H8" s="18" t="s">
        <v>26</v>
      </c>
      <c r="I8" s="91" t="n">
        <f aca="false">COUNTIF(AF23:AF172,"&gt;0")</f>
        <v>17</v>
      </c>
      <c r="J8" s="73" t="n">
        <f aca="false">COUNTIF(AG23:AG172,"&gt;0")</f>
        <v>29</v>
      </c>
      <c r="K8" s="73" t="n">
        <f aca="false">COUNTIF(AH23:AH172,"&gt;0")</f>
        <v>44</v>
      </c>
      <c r="L8" s="73" t="n">
        <f aca="false">COUNTIF(AI23:AI172,"&gt;0")</f>
        <v>38</v>
      </c>
      <c r="M8" s="92" t="n">
        <f aca="false">COUNTIF(AJ23:AJ172,"&gt;0")</f>
        <v>14</v>
      </c>
    </row>
    <row r="9" customFormat="false" ht="15" hidden="false" customHeight="false" outlineLevel="0" collapsed="false">
      <c r="A9" s="18" t="s">
        <v>34</v>
      </c>
      <c r="B9" s="39" t="n">
        <f aca="false">COUNTIF(B$23:B$172,$A9)</f>
        <v>8</v>
      </c>
      <c r="C9" s="39" t="n">
        <f aca="false">COUNTIF(C$23:C$172,$A9)</f>
        <v>8</v>
      </c>
      <c r="D9" s="39" t="n">
        <f aca="false">COUNTIF(D$23:D$172,$A9)</f>
        <v>6</v>
      </c>
      <c r="E9" s="39" t="n">
        <f aca="false">COUNTIF(E$23:E$172,$A9)</f>
        <v>5</v>
      </c>
      <c r="F9" s="104" t="n">
        <f aca="false">COUNTIF(F$23:F$172,$A9)</f>
        <v>7</v>
      </c>
      <c r="H9" s="18" t="s">
        <v>34</v>
      </c>
      <c r="I9" s="91" t="n">
        <f aca="false">COUNTIF(AL23:AL172,"&gt;0")</f>
        <v>32</v>
      </c>
      <c r="J9" s="73" t="n">
        <f aca="false">COUNTIF(AM23:AM172,"&gt;0")</f>
        <v>33</v>
      </c>
      <c r="K9" s="73" t="n">
        <f aca="false">COUNTIF(AN23:AN172,"&gt;0")</f>
        <v>32</v>
      </c>
      <c r="L9" s="73" t="n">
        <f aca="false">COUNTIF(AO23:AO172,"&gt;0")</f>
        <v>22</v>
      </c>
      <c r="M9" s="92" t="n">
        <f aca="false">COUNTIF(AP23:AP172,"&gt;0")</f>
        <v>28</v>
      </c>
    </row>
    <row r="10" customFormat="false" ht="15" hidden="false" customHeight="false" outlineLevel="0" collapsed="false">
      <c r="A10" s="18" t="s">
        <v>25</v>
      </c>
      <c r="B10" s="39" t="n">
        <f aca="false">COUNTIF(B$23:B$172,$A10)</f>
        <v>7</v>
      </c>
      <c r="C10" s="39" t="n">
        <f aca="false">COUNTIF(C$23:C$172,$A10)</f>
        <v>13</v>
      </c>
      <c r="D10" s="39" t="n">
        <f aca="false">COUNTIF(D$23:D$172,$A10)</f>
        <v>9</v>
      </c>
      <c r="E10" s="39" t="n">
        <f aca="false">COUNTIF(E$23:E$172,$A10)</f>
        <v>6</v>
      </c>
      <c r="F10" s="104" t="n">
        <f aca="false">COUNTIF(F$23:F$172,$A10)</f>
        <v>15</v>
      </c>
      <c r="H10" s="18" t="s">
        <v>25</v>
      </c>
      <c r="I10" s="91" t="n">
        <f aca="false">COUNTIF(AR23:AR172,"&gt;0")</f>
        <v>28</v>
      </c>
      <c r="J10" s="73" t="n">
        <f aca="false">COUNTIF(AS23:AS172,"&gt;0")</f>
        <v>50</v>
      </c>
      <c r="K10" s="73" t="n">
        <f aca="false">COUNTIF(AT23:AT172,"&gt;0")</f>
        <v>43</v>
      </c>
      <c r="L10" s="73" t="n">
        <f aca="false">COUNTIF(AU23:AU172,"&gt;0")</f>
        <v>31</v>
      </c>
      <c r="M10" s="92" t="n">
        <f aca="false">COUNTIF(AV23:AV172,"&gt;0")</f>
        <v>57</v>
      </c>
    </row>
    <row r="11" customFormat="false" ht="15" hidden="false" customHeight="false" outlineLevel="0" collapsed="false">
      <c r="A11" s="18" t="s">
        <v>30</v>
      </c>
      <c r="B11" s="39" t="n">
        <f aca="false">COUNTIF(B$23:B$172,$A11)</f>
        <v>11</v>
      </c>
      <c r="C11" s="39" t="n">
        <f aca="false">COUNTIF(C$23:C$172,$A11)</f>
        <v>10</v>
      </c>
      <c r="D11" s="39" t="n">
        <f aca="false">COUNTIF(D$23:D$172,$A11)</f>
        <v>16</v>
      </c>
      <c r="E11" s="39" t="n">
        <f aca="false">COUNTIF(E$23:E$172,$A11)</f>
        <v>9</v>
      </c>
      <c r="F11" s="104" t="n">
        <f aca="false">COUNTIF(F$23:F$172,$A11)</f>
        <v>14</v>
      </c>
      <c r="H11" s="18" t="s">
        <v>30</v>
      </c>
      <c r="I11" s="91" t="n">
        <f aca="false">COUNTIF(AX23:AX172,"&gt;0")</f>
        <v>42</v>
      </c>
      <c r="J11" s="73" t="n">
        <f aca="false">COUNTIF(AY23:AY172,"&gt;0")</f>
        <v>39</v>
      </c>
      <c r="K11" s="73" t="n">
        <f aca="false">COUNTIF(AZ23:AZ172,"&gt;0")</f>
        <v>68</v>
      </c>
      <c r="L11" s="73" t="n">
        <f aca="false">COUNTIF(BA23:BA172,"&gt;0")</f>
        <v>42</v>
      </c>
      <c r="M11" s="92" t="n">
        <f aca="false">COUNTIF(BB23:BB172,"&gt;0")</f>
        <v>54</v>
      </c>
    </row>
    <row r="12" customFormat="false" ht="15" hidden="false" customHeight="false" outlineLevel="0" collapsed="false">
      <c r="A12" s="18" t="s">
        <v>29</v>
      </c>
      <c r="B12" s="39" t="n">
        <f aca="false">COUNTIF(B$23:B$172,$A12)</f>
        <v>8</v>
      </c>
      <c r="C12" s="39" t="n">
        <f aca="false">COUNTIF(C$23:C$172,$A12)</f>
        <v>13</v>
      </c>
      <c r="D12" s="39" t="n">
        <f aca="false">COUNTIF(D$23:D$172,$A12)</f>
        <v>10</v>
      </c>
      <c r="E12" s="39" t="n">
        <f aca="false">COUNTIF(E$23:E$172,$A12)</f>
        <v>6</v>
      </c>
      <c r="F12" s="104" t="n">
        <f aca="false">COUNTIF(F$23:F$172,$A12)</f>
        <v>9</v>
      </c>
      <c r="H12" s="18" t="s">
        <v>29</v>
      </c>
      <c r="I12" s="91" t="n">
        <f aca="false">COUNTIF(BD23:BD172,"&gt;0")</f>
        <v>30</v>
      </c>
      <c r="J12" s="73" t="n">
        <f aca="false">COUNTIF(BE23:BE172,"&gt;0")</f>
        <v>54</v>
      </c>
      <c r="K12" s="73" t="n">
        <f aca="false">COUNTIF(BF23:BF172,"&gt;0")</f>
        <v>42</v>
      </c>
      <c r="L12" s="73" t="n">
        <f aca="false">COUNTIF(BG23:BG172,"&gt;0")</f>
        <v>32</v>
      </c>
      <c r="M12" s="92" t="n">
        <f aca="false">COUNTIF(BH23:BH172,"&gt;0")</f>
        <v>36</v>
      </c>
    </row>
    <row r="13" customFormat="false" ht="15" hidden="false" customHeight="false" outlineLevel="0" collapsed="false">
      <c r="A13" s="18" t="n">
        <v>10</v>
      </c>
      <c r="B13" s="39" t="n">
        <f aca="false">COUNTIF(B$23:B$172,$A13)</f>
        <v>16</v>
      </c>
      <c r="C13" s="39" t="n">
        <f aca="false">COUNTIF(C$23:C$172,$A13)</f>
        <v>7</v>
      </c>
      <c r="D13" s="39" t="n">
        <f aca="false">COUNTIF(D$23:D$172,$A13)</f>
        <v>12</v>
      </c>
      <c r="E13" s="39" t="n">
        <f aca="false">COUNTIF(E$23:E$172,$A13)</f>
        <v>6</v>
      </c>
      <c r="F13" s="104" t="n">
        <f aca="false">COUNTIF(F$23:F$172,$A13)</f>
        <v>10</v>
      </c>
      <c r="H13" s="18" t="n">
        <v>10</v>
      </c>
      <c r="I13" s="91" t="n">
        <f aca="false">COUNTIF(BJ23:BJ172,"&gt;0")</f>
        <v>61</v>
      </c>
      <c r="J13" s="73" t="n">
        <f aca="false">COUNTIF(BK23:BK172,"&gt;0")</f>
        <v>32</v>
      </c>
      <c r="K13" s="73" t="n">
        <f aca="false">COUNTIF(BL23:BL172,"&gt;0")</f>
        <v>51</v>
      </c>
      <c r="L13" s="73" t="n">
        <f aca="false">COUNTIF(BM23:BM172,"&gt;0")</f>
        <v>29</v>
      </c>
      <c r="M13" s="92" t="n">
        <f aca="false">COUNTIF(BN23:BN172,"&gt;0")</f>
        <v>39</v>
      </c>
    </row>
    <row r="14" customFormat="false" ht="15" hidden="false" customHeight="false" outlineLevel="0" collapsed="false">
      <c r="A14" s="18" t="n">
        <v>9</v>
      </c>
      <c r="B14" s="39" t="n">
        <f aca="false">COUNTIF(B$23:B$172,$A14)</f>
        <v>9</v>
      </c>
      <c r="C14" s="39" t="n">
        <f aca="false">COUNTIF(C$23:C$172,$A14)</f>
        <v>5</v>
      </c>
      <c r="D14" s="39" t="n">
        <f aca="false">COUNTIF(D$23:D$172,$A14)</f>
        <v>3</v>
      </c>
      <c r="E14" s="39" t="n">
        <f aca="false">COUNTIF(E$23:E$172,$A14)</f>
        <v>8</v>
      </c>
      <c r="F14" s="104" t="n">
        <f aca="false">COUNTIF(F$23:F$172,$A14)</f>
        <v>4</v>
      </c>
      <c r="H14" s="66" t="n">
        <v>9</v>
      </c>
      <c r="I14" s="97" t="n">
        <f aca="false">COUNTIF(BP23:BP172,"&gt;0")</f>
        <v>36</v>
      </c>
      <c r="J14" s="78" t="n">
        <f aca="false">COUNTIF(BQ23:BQ172,"&gt;0")</f>
        <v>24</v>
      </c>
      <c r="K14" s="78" t="n">
        <f aca="false">COUNTIF(BR23:BR172,"&gt;0")</f>
        <v>20</v>
      </c>
      <c r="L14" s="78" t="n">
        <f aca="false">COUNTIF(BS23:BS172,"&gt;0")</f>
        <v>35</v>
      </c>
      <c r="M14" s="98" t="n">
        <f aca="false">COUNTIF(BT23:BT172,"&gt;0")</f>
        <v>14</v>
      </c>
    </row>
    <row r="15" customFormat="false" ht="15" hidden="false" customHeight="false" outlineLevel="0" collapsed="false">
      <c r="A15" s="18" t="s">
        <v>20</v>
      </c>
      <c r="B15" s="39" t="n">
        <f aca="false">COUNTIF(B$23:B$172,$A15)</f>
        <v>4</v>
      </c>
      <c r="C15" s="39" t="n">
        <f aca="false">COUNTIF(C$23:C$172,$A15)</f>
        <v>4</v>
      </c>
      <c r="D15" s="39" t="n">
        <f aca="false">COUNTIF(D$23:D$172,$A15)</f>
        <v>4</v>
      </c>
      <c r="E15" s="39" t="n">
        <f aca="false">COUNTIF(E$23:E$172,$A15)</f>
        <v>1</v>
      </c>
      <c r="F15" s="104" t="n">
        <f aca="false">COUNTIF(F$23:F$172,$A15)</f>
        <v>1</v>
      </c>
    </row>
    <row r="16" customFormat="false" ht="15" hidden="false" customHeight="false" outlineLevel="0" collapsed="false">
      <c r="A16" s="37" t="s">
        <v>46</v>
      </c>
      <c r="B16" s="107" t="n">
        <f aca="false">SUM(B3:B15)</f>
        <v>107</v>
      </c>
      <c r="C16" s="107" t="n">
        <f aca="false">SUM(C3:C15)</f>
        <v>102</v>
      </c>
      <c r="D16" s="107" t="n">
        <f aca="false">SUM(D3:D15)</f>
        <v>110</v>
      </c>
      <c r="E16" s="107" t="n">
        <f aca="false">SUM(E3:E15)</f>
        <v>86</v>
      </c>
      <c r="F16" s="108" t="n">
        <f aca="false">SUM(F3:F15)</f>
        <v>113</v>
      </c>
    </row>
    <row r="17" customFormat="false" ht="15" hidden="false" customHeight="false" outlineLevel="0" collapsed="false">
      <c r="A17" s="52"/>
    </row>
    <row r="18" customFormat="false" ht="15" hidden="false" customHeight="false" outlineLevel="0" collapsed="false">
      <c r="A18" s="3" t="s">
        <v>2</v>
      </c>
    </row>
    <row r="19" customFormat="false" ht="15" hidden="false" customHeight="false" outlineLevel="0" collapsed="false">
      <c r="A19" s="7" t="s">
        <v>7</v>
      </c>
      <c r="B19" s="8" t="s">
        <v>8</v>
      </c>
      <c r="C19" s="8" t="s">
        <v>9</v>
      </c>
      <c r="D19" s="8" t="s">
        <v>10</v>
      </c>
      <c r="E19" s="8" t="s">
        <v>11</v>
      </c>
      <c r="F19" s="9" t="s">
        <v>12</v>
      </c>
    </row>
    <row r="20" customFormat="false" ht="15" hidden="false" customHeight="false" outlineLevel="0" collapsed="false">
      <c r="A20" s="109" t="n">
        <v>-3</v>
      </c>
      <c r="B20" s="110" t="str">
        <f aca="true">OFFSET(B23,B16+$A20,)</f>
        <v>Q</v>
      </c>
      <c r="C20" s="110" t="str">
        <f aca="true">OFFSET(C23,C16+$A20,)</f>
        <v>SYM3</v>
      </c>
      <c r="D20" s="110" t="n">
        <f aca="true">OFFSET(D23,D16+$A20,)</f>
        <v>10</v>
      </c>
      <c r="E20" s="110" t="str">
        <f aca="true">OFFSET(E23,E16+$A20,)</f>
        <v>SYM4</v>
      </c>
      <c r="F20" s="111" t="str">
        <f aca="true">OFFSET(F23,F16+$A20,)</f>
        <v>Q</v>
      </c>
    </row>
    <row r="21" s="112" customFormat="true" ht="15" hidden="false" customHeight="false" outlineLevel="0" collapsed="false">
      <c r="A21" s="109" t="n">
        <v>-2</v>
      </c>
      <c r="B21" s="110" t="n">
        <f aca="true">OFFSET(B23,B16+$A21,)</f>
        <v>10</v>
      </c>
      <c r="C21" s="110" t="str">
        <f aca="true">OFFSET(C23,C16+$A21,)</f>
        <v>A</v>
      </c>
      <c r="D21" s="110" t="str">
        <f aca="true">OFFSET(D23,D16+$A21,)</f>
        <v>SYM4</v>
      </c>
      <c r="E21" s="110" t="n">
        <f aca="true">OFFSET(E23,E16+$A21,)</f>
        <v>9</v>
      </c>
      <c r="F21" s="111" t="str">
        <f aca="true">OFFSET(F23,F16+$A21,)</f>
        <v>SYM4</v>
      </c>
      <c r="H21" s="47" t="str">
        <f aca="false">$A$4</f>
        <v>SYM1</v>
      </c>
      <c r="N21" s="47" t="str">
        <f aca="false">$A$5</f>
        <v>SYM2</v>
      </c>
      <c r="T21" s="47" t="str">
        <f aca="false">$A$6</f>
        <v>SYM3</v>
      </c>
      <c r="Z21" s="47" t="str">
        <f aca="false">$A$7</f>
        <v>SYM4</v>
      </c>
      <c r="AF21" s="47" t="str">
        <f aca="false">$A$8</f>
        <v>SYM5</v>
      </c>
      <c r="AL21" s="47" t="str">
        <f aca="false">$A$9</f>
        <v>A</v>
      </c>
      <c r="AR21" s="47" t="str">
        <f aca="false">$A$10</f>
        <v>K</v>
      </c>
      <c r="AX21" s="47" t="str">
        <f aca="false">$A$11</f>
        <v>Q</v>
      </c>
      <c r="BD21" s="47" t="str">
        <f aca="false">$A$12</f>
        <v>J</v>
      </c>
      <c r="BJ21" s="47" t="n">
        <f aca="false">$A$13</f>
        <v>10</v>
      </c>
      <c r="BP21" s="47" t="n">
        <f aca="false">$A$14</f>
        <v>9</v>
      </c>
    </row>
    <row r="22" s="112" customFormat="true" ht="15" hidden="false" customHeight="false" outlineLevel="0" collapsed="false">
      <c r="A22" s="113" t="n">
        <v>-1</v>
      </c>
      <c r="B22" s="114" t="str">
        <f aca="true">OFFSET(B23,B16+$A22,)</f>
        <v>SYM2</v>
      </c>
      <c r="C22" s="114" t="str">
        <f aca="true">OFFSET(C23,C16+$A22,)</f>
        <v>SYM4</v>
      </c>
      <c r="D22" s="114" t="str">
        <f aca="true">OFFSET(D23,D16+$A22,)</f>
        <v>Q</v>
      </c>
      <c r="E22" s="114" t="str">
        <f aca="true">OFFSET(E23,E16+$A22,)</f>
        <v>SYM1</v>
      </c>
      <c r="F22" s="115" t="str">
        <f aca="true">OFFSET(F23,F16+$A22,)</f>
        <v>J</v>
      </c>
    </row>
    <row r="23" customFormat="false" ht="15" hidden="false" customHeight="false" outlineLevel="0" collapsed="false">
      <c r="A23" s="13" t="n">
        <v>1</v>
      </c>
      <c r="B23" s="116" t="n">
        <f aca="false">IF('Game Info'!J6="","",'Game Info'!J6)</f>
        <v>10</v>
      </c>
      <c r="C23" s="116" t="str">
        <f aca="false">IF('Game Info'!K6="","",'Game Info'!K6)</f>
        <v>SYM4</v>
      </c>
      <c r="D23" s="116" t="str">
        <f aca="false">IF('Game Info'!L6="","",'Game Info'!L6)</f>
        <v>SYM1</v>
      </c>
      <c r="E23" s="116" t="n">
        <f aca="false">IF('Game Info'!M6="","",'Game Info'!M6)</f>
        <v>10</v>
      </c>
      <c r="F23" s="117" t="n">
        <f aca="false">IF('Game Info'!N6="","",'Game Info'!N6)</f>
        <v>10</v>
      </c>
      <c r="H23" s="60" t="n">
        <f aca="false">IF($B23="","",COUNTIF($B20:$B23,H$21)+COUNTIF($B20:$B23,$A$3))</f>
        <v>0</v>
      </c>
      <c r="I23" s="61" t="n">
        <f aca="false">IF($C23="","",COUNTIF($C20:$C23,H$21)+COUNTIF($C20:$C23,$A$3))</f>
        <v>0</v>
      </c>
      <c r="J23" s="61" t="n">
        <f aca="false">IF($D23="","",COUNTIF($D20:$D23,H$21)+COUNTIF($D20:$D23,$A$3))</f>
        <v>1</v>
      </c>
      <c r="K23" s="61" t="n">
        <f aca="false">IF($E23="","",COUNTIF($E20:$E23,H$21)+COUNTIF($E20:$E23,$A$3))</f>
        <v>1</v>
      </c>
      <c r="L23" s="62" t="n">
        <f aca="false">IF($F23="","",COUNTIF($F20:$F23,H$21)+COUNTIF($F20:$F23,$A$3))</f>
        <v>0</v>
      </c>
      <c r="N23" s="60" t="n">
        <f aca="false">IF($B23="","",COUNTIF($B20:$B23,N$21)+COUNTIF($B20:$B23,$A$3))</f>
        <v>1</v>
      </c>
      <c r="O23" s="61" t="n">
        <f aca="false">IF($C23="","",COUNTIF($C20:$C23,N$21)+COUNTIF($C20:$C23,$A$3))</f>
        <v>0</v>
      </c>
      <c r="P23" s="61" t="n">
        <f aca="false">IF($D23="","",COUNTIF($D20:$D23,N$21)+COUNTIF($D20:$D23,$A$3))</f>
        <v>0</v>
      </c>
      <c r="Q23" s="61" t="n">
        <f aca="false">IF($E23="","",COUNTIF($E20:$E23,N$21)+COUNTIF($E20:$E23,$A$3))</f>
        <v>0</v>
      </c>
      <c r="R23" s="62" t="n">
        <f aca="false">IF($F23="","",COUNTIF($F20:$F23,N$21)+COUNTIF($F20:$F23,$A$3))</f>
        <v>0</v>
      </c>
      <c r="T23" s="60" t="n">
        <f aca="false">IF($B23="","",COUNTIF($B20:$B23,T$21)+COUNTIF($B20:$B23,$A$3))</f>
        <v>0</v>
      </c>
      <c r="U23" s="61" t="n">
        <f aca="false">IF($C23="","",COUNTIF($C20:$C23,T$21)+COUNTIF($C20:$C23,$A$3))</f>
        <v>1</v>
      </c>
      <c r="V23" s="61" t="n">
        <f aca="false">IF($D23="","",COUNTIF($D20:$D23,T$21)+COUNTIF($D20:$D23,$A$3))</f>
        <v>0</v>
      </c>
      <c r="W23" s="61" t="n">
        <f aca="false">IF($E23="","",COUNTIF($E20:$E23,T$21)+COUNTIF($E20:$E23,$A$3))</f>
        <v>0</v>
      </c>
      <c r="X23" s="62" t="n">
        <f aca="false">IF($F23="","",COUNTIF($F20:$F23,T$21)+COUNTIF($F20:$F23,$A$3))</f>
        <v>0</v>
      </c>
      <c r="Z23" s="60" t="n">
        <f aca="false">IF($B23="","",COUNTIF($B20:$B23,Z$21)+COUNTIF($B20:$B23,$A$3))</f>
        <v>0</v>
      </c>
      <c r="AA23" s="61" t="n">
        <f aca="false">IF($C23="","",COUNTIF($C20:$C23,Z$21)+COUNTIF($C20:$C23,$A$3))</f>
        <v>2</v>
      </c>
      <c r="AB23" s="61" t="n">
        <f aca="false">IF($D23="","",COUNTIF($D20:$D23,Z$21)+COUNTIF($D20:$D23,$A$3))</f>
        <v>1</v>
      </c>
      <c r="AC23" s="61" t="n">
        <f aca="false">IF($E23="","",COUNTIF($E20:$E23,Z$21)+COUNTIF($E20:$E23,$A$3))</f>
        <v>1</v>
      </c>
      <c r="AD23" s="62" t="n">
        <f aca="false">IF($F23="","",COUNTIF($F20:$F23,Z$21)+COUNTIF($F20:$F23,$A$3))</f>
        <v>1</v>
      </c>
      <c r="AF23" s="60" t="n">
        <f aca="false">IF($B23="","",COUNTIF($B20:$B23,AF$21)+COUNTIF($B20:$B23,$A$3))</f>
        <v>0</v>
      </c>
      <c r="AG23" s="61" t="n">
        <f aca="false">IF($C23="","",COUNTIF($C20:$C23,AF$21)+COUNTIF($C20:$C23,$A$3))</f>
        <v>0</v>
      </c>
      <c r="AH23" s="61" t="n">
        <f aca="false">IF($D23="","",COUNTIF($D20:$D23,AF$21)+COUNTIF($D20:$D23,$A$3))</f>
        <v>0</v>
      </c>
      <c r="AI23" s="61" t="n">
        <f aca="false">IF($E23="","",COUNTIF($E20:$E23,AF$21)+COUNTIF($E20:$E23,$A$3))</f>
        <v>0</v>
      </c>
      <c r="AJ23" s="62" t="n">
        <f aca="false">IF($F23="","",COUNTIF($F20:$F23,AF$21)+COUNTIF($F20:$F23,$A$3))</f>
        <v>0</v>
      </c>
      <c r="AL23" s="60" t="n">
        <f aca="false">IF($B23="","",COUNTIF($B20:$B23,AL$21)+COUNTIF($B20:$B23,$A$3))</f>
        <v>0</v>
      </c>
      <c r="AM23" s="61" t="n">
        <f aca="false">IF($C23="","",COUNTIF($C20:$C23,AL$21)+COUNTIF($C20:$C23,$A$3))</f>
        <v>1</v>
      </c>
      <c r="AN23" s="61" t="n">
        <f aca="false">IF($D23="","",COUNTIF($D20:$D23,AL$21)+COUNTIF($D20:$D23,$A$3))</f>
        <v>0</v>
      </c>
      <c r="AO23" s="61" t="n">
        <f aca="false">IF($E23="","",COUNTIF($E20:$E23,AL$21)+COUNTIF($E20:$E23,$A$3))</f>
        <v>0</v>
      </c>
      <c r="AP23" s="62" t="n">
        <f aca="false">IF($F23="","",COUNTIF($F20:$F23,AL$21)+COUNTIF($F20:$F23,$A$3))</f>
        <v>0</v>
      </c>
      <c r="AR23" s="60" t="n">
        <f aca="false">IF($B23="","",COUNTIF($B20:$B23,AR$21)+COUNTIF($B20:$B23,$A$3))</f>
        <v>0</v>
      </c>
      <c r="AS23" s="61" t="n">
        <f aca="false">IF($C23="","",COUNTIF($C20:$C23,AR$21)+COUNTIF($C20:$C23,$A$3))</f>
        <v>0</v>
      </c>
      <c r="AT23" s="61" t="n">
        <f aca="false">IF($D23="","",COUNTIF($D20:$D23,AR$21)+COUNTIF($D20:$D23,$A$3))</f>
        <v>0</v>
      </c>
      <c r="AU23" s="61" t="n">
        <f aca="false">IF($E23="","",COUNTIF($E20:$E23,AR$21)+COUNTIF($E20:$E23,$A$3))</f>
        <v>0</v>
      </c>
      <c r="AV23" s="62" t="n">
        <f aca="false">IF($F23="","",COUNTIF($F20:$F23,AR$21)+COUNTIF($F20:$F23,$A$3))</f>
        <v>0</v>
      </c>
      <c r="AX23" s="60" t="n">
        <f aca="false">IF($B23="","",COUNTIF($B20:$B23,AX$21)+COUNTIF($B20:$B23,$A$3))</f>
        <v>1</v>
      </c>
      <c r="AY23" s="61" t="n">
        <f aca="false">IF($C23="","",COUNTIF($C20:$C23,AX$21)+COUNTIF($C20:$C23,$A$3))</f>
        <v>0</v>
      </c>
      <c r="AZ23" s="61" t="n">
        <f aca="false">IF($D23="","",COUNTIF($D20:$D23,AX$21)+COUNTIF($D20:$D23,$A$3))</f>
        <v>1</v>
      </c>
      <c r="BA23" s="61" t="n">
        <f aca="false">IF($E23="","",COUNTIF($E20:$E23,AX$21)+COUNTIF($E20:$E23,$A$3))</f>
        <v>0</v>
      </c>
      <c r="BB23" s="62" t="n">
        <f aca="false">IF($F23="","",COUNTIF($F20:$F23,AX$21)+COUNTIF($F20:$F23,$A$3))</f>
        <v>1</v>
      </c>
      <c r="BD23" s="60" t="n">
        <f aca="false">IF($B23="","",COUNTIF($B20:$B23,BD$21)+COUNTIF($B20:$B23,$A$3))</f>
        <v>0</v>
      </c>
      <c r="BE23" s="61" t="n">
        <f aca="false">IF($C23="","",COUNTIF($C20:$C23,BD$21)+COUNTIF($C20:$C23,$A$3))</f>
        <v>0</v>
      </c>
      <c r="BF23" s="61" t="n">
        <f aca="false">IF($D23="","",COUNTIF($D20:$D23,BD$21)+COUNTIF($D20:$D23,$A$3))</f>
        <v>0</v>
      </c>
      <c r="BG23" s="61" t="n">
        <f aca="false">IF($E23="","",COUNTIF($E20:$E23,BD$21)+COUNTIF($E20:$E23,$A$3))</f>
        <v>0</v>
      </c>
      <c r="BH23" s="62" t="n">
        <f aca="false">IF($F23="","",COUNTIF($F20:$F23,BD$21)+COUNTIF($F20:$F23,$A$3))</f>
        <v>1</v>
      </c>
      <c r="BJ23" s="60" t="n">
        <f aca="false">IF($B23="","",COUNTIF($B20:$B23,BJ$21)+COUNTIF($B20:$B23,$A$3))</f>
        <v>2</v>
      </c>
      <c r="BK23" s="61" t="n">
        <f aca="false">IF($C23="","",COUNTIF($C20:$C23,BJ$21)+COUNTIF($C20:$C23,$A$3))</f>
        <v>0</v>
      </c>
      <c r="BL23" s="61" t="n">
        <f aca="false">IF($D23="","",COUNTIF($D20:$D23,BJ$21)+COUNTIF($D20:$D23,$A$3))</f>
        <v>1</v>
      </c>
      <c r="BM23" s="61" t="n">
        <f aca="false">IF($E23="","",COUNTIF($E20:$E23,BJ$21)+COUNTIF($E20:$E23,$A$3))</f>
        <v>1</v>
      </c>
      <c r="BN23" s="62" t="n">
        <f aca="false">IF($F23="","",COUNTIF($F20:$F23,BJ$21)+COUNTIF($F20:$F23,$A$3))</f>
        <v>1</v>
      </c>
      <c r="BP23" s="60" t="n">
        <f aca="false">IF($B23="","",COUNTIF($B20:$B23,BP$21)+COUNTIF($B20:$B23,$A$3))</f>
        <v>0</v>
      </c>
      <c r="BQ23" s="61" t="n">
        <f aca="false">IF($C23="","",COUNTIF($C20:$C23,BP$21)+COUNTIF($C20:$C23,$A$3))</f>
        <v>0</v>
      </c>
      <c r="BR23" s="61" t="n">
        <f aca="false">IF($D23="","",COUNTIF($D20:$D23,BP$21)+COUNTIF($D20:$D23,$A$3))</f>
        <v>0</v>
      </c>
      <c r="BS23" s="61" t="n">
        <f aca="false">IF($E23="","",COUNTIF($E20:$E23,BP$21)+COUNTIF($E20:$E23,$A$3))</f>
        <v>1</v>
      </c>
      <c r="BT23" s="62" t="n">
        <f aca="false">IF($F23="","",COUNTIF($F20:$F23,BP$21)+COUNTIF($F20:$F23,$A$3))</f>
        <v>0</v>
      </c>
    </row>
    <row r="24" customFormat="false" ht="15" hidden="false" customHeight="false" outlineLevel="0" collapsed="false">
      <c r="A24" s="13" t="n">
        <v>2</v>
      </c>
      <c r="B24" s="116" t="str">
        <f aca="false">IF('Game Info'!J7="","",'Game Info'!J7)</f>
        <v>SYM3</v>
      </c>
      <c r="C24" s="116" t="n">
        <f aca="false">IF('Game Info'!K7="","",'Game Info'!K7)</f>
        <v>9</v>
      </c>
      <c r="D24" s="116" t="str">
        <f aca="false">IF('Game Info'!L7="","",'Game Info'!L7)</f>
        <v>K</v>
      </c>
      <c r="E24" s="116" t="str">
        <f aca="false">IF('Game Info'!M7="","",'Game Info'!M7)</f>
        <v>SYM3</v>
      </c>
      <c r="F24" s="117" t="str">
        <f aca="false">IF('Game Info'!N7="","",'Game Info'!N7)</f>
        <v>SYM5</v>
      </c>
      <c r="H24" s="65" t="n">
        <f aca="false">IF($B24="","",COUNTIF($B21:$B24,H$21)+COUNTIF($B21:$B24,$A$3))</f>
        <v>0</v>
      </c>
      <c r="I24" s="52" t="n">
        <f aca="false">IF($C24="","",COUNTIF($C21:$C24,H$21)+COUNTIF($C21:$C24,$A$3))</f>
        <v>0</v>
      </c>
      <c r="J24" s="52" t="n">
        <f aca="false">IF($D24="","",COUNTIF($D21:$D24,H$21)+COUNTIF($D21:$D24,$A$3))</f>
        <v>1</v>
      </c>
      <c r="K24" s="52" t="n">
        <f aca="false">IF($E24="","",COUNTIF($E21:$E24,H$21)+COUNTIF($E21:$E24,$A$3))</f>
        <v>1</v>
      </c>
      <c r="L24" s="53" t="n">
        <f aca="false">IF($F24="","",COUNTIF($F21:$F24,H$21)+COUNTIF($F21:$F24,$A$3))</f>
        <v>0</v>
      </c>
      <c r="N24" s="65" t="n">
        <f aca="false">IF($B24="","",COUNTIF($B21:$B24,N$21)+COUNTIF($B21:$B24,$A$3))</f>
        <v>1</v>
      </c>
      <c r="O24" s="52" t="n">
        <f aca="false">IF($C24="","",COUNTIF($C21:$C24,N$21)+COUNTIF($C21:$C24,$A$3))</f>
        <v>0</v>
      </c>
      <c r="P24" s="52" t="n">
        <f aca="false">IF($D24="","",COUNTIF($D21:$D24,N$21)+COUNTIF($D21:$D24,$A$3))</f>
        <v>0</v>
      </c>
      <c r="Q24" s="52" t="n">
        <f aca="false">IF($E24="","",COUNTIF($E21:$E24,N$21)+COUNTIF($E21:$E24,$A$3))</f>
        <v>0</v>
      </c>
      <c r="R24" s="53" t="n">
        <f aca="false">IF($F24="","",COUNTIF($F21:$F24,N$21)+COUNTIF($F21:$F24,$A$3))</f>
        <v>0</v>
      </c>
      <c r="T24" s="65" t="n">
        <f aca="false">IF($B24="","",COUNTIF($B21:$B24,T$21)+COUNTIF($B21:$B24,$A$3))</f>
        <v>1</v>
      </c>
      <c r="U24" s="52" t="n">
        <f aca="false">IF($C24="","",COUNTIF($C21:$C24,T$21)+COUNTIF($C21:$C24,$A$3))</f>
        <v>0</v>
      </c>
      <c r="V24" s="52" t="n">
        <f aca="false">IF($D24="","",COUNTIF($D21:$D24,T$21)+COUNTIF($D21:$D24,$A$3))</f>
        <v>0</v>
      </c>
      <c r="W24" s="52" t="n">
        <f aca="false">IF($E24="","",COUNTIF($E21:$E24,T$21)+COUNTIF($E21:$E24,$A$3))</f>
        <v>1</v>
      </c>
      <c r="X24" s="53" t="n">
        <f aca="false">IF($F24="","",COUNTIF($F21:$F24,T$21)+COUNTIF($F21:$F24,$A$3))</f>
        <v>0</v>
      </c>
      <c r="Z24" s="65" t="n">
        <f aca="false">IF($B24="","",COUNTIF($B21:$B24,Z$21)+COUNTIF($B21:$B24,$A$3))</f>
        <v>0</v>
      </c>
      <c r="AA24" s="52" t="n">
        <f aca="false">IF($C24="","",COUNTIF($C21:$C24,Z$21)+COUNTIF($C21:$C24,$A$3))</f>
        <v>2</v>
      </c>
      <c r="AB24" s="52" t="n">
        <f aca="false">IF($D24="","",COUNTIF($D21:$D24,Z$21)+COUNTIF($D21:$D24,$A$3))</f>
        <v>1</v>
      </c>
      <c r="AC24" s="52" t="n">
        <f aca="false">IF($E24="","",COUNTIF($E21:$E24,Z$21)+COUNTIF($E21:$E24,$A$3))</f>
        <v>0</v>
      </c>
      <c r="AD24" s="53" t="n">
        <f aca="false">IF($F24="","",COUNTIF($F21:$F24,Z$21)+COUNTIF($F21:$F24,$A$3))</f>
        <v>1</v>
      </c>
      <c r="AF24" s="65" t="n">
        <f aca="false">IF($B24="","",COUNTIF($B21:$B24,AF$21)+COUNTIF($B21:$B24,$A$3))</f>
        <v>0</v>
      </c>
      <c r="AG24" s="52" t="n">
        <f aca="false">IF($C24="","",COUNTIF($C21:$C24,AF$21)+COUNTIF($C21:$C24,$A$3))</f>
        <v>0</v>
      </c>
      <c r="AH24" s="52" t="n">
        <f aca="false">IF($D24="","",COUNTIF($D21:$D24,AF$21)+COUNTIF($D21:$D24,$A$3))</f>
        <v>0</v>
      </c>
      <c r="AI24" s="52" t="n">
        <f aca="false">IF($E24="","",COUNTIF($E21:$E24,AF$21)+COUNTIF($E21:$E24,$A$3))</f>
        <v>0</v>
      </c>
      <c r="AJ24" s="53" t="n">
        <f aca="false">IF($F24="","",COUNTIF($F21:$F24,AF$21)+COUNTIF($F21:$F24,$A$3))</f>
        <v>1</v>
      </c>
      <c r="AL24" s="65" t="n">
        <f aca="false">IF($B24="","",COUNTIF($B21:$B24,AL$21)+COUNTIF($B21:$B24,$A$3))</f>
        <v>0</v>
      </c>
      <c r="AM24" s="52" t="n">
        <f aca="false">IF($C24="","",COUNTIF($C21:$C24,AL$21)+COUNTIF($C21:$C24,$A$3))</f>
        <v>1</v>
      </c>
      <c r="AN24" s="52" t="n">
        <f aca="false">IF($D24="","",COUNTIF($D21:$D24,AL$21)+COUNTIF($D21:$D24,$A$3))</f>
        <v>0</v>
      </c>
      <c r="AO24" s="52" t="n">
        <f aca="false">IF($E24="","",COUNTIF($E21:$E24,AL$21)+COUNTIF($E21:$E24,$A$3))</f>
        <v>0</v>
      </c>
      <c r="AP24" s="53" t="n">
        <f aca="false">IF($F24="","",COUNTIF($F21:$F24,AL$21)+COUNTIF($F21:$F24,$A$3))</f>
        <v>0</v>
      </c>
      <c r="AR24" s="65" t="n">
        <f aca="false">IF($B24="","",COUNTIF($B21:$B24,AR$21)+COUNTIF($B21:$B24,$A$3))</f>
        <v>0</v>
      </c>
      <c r="AS24" s="52" t="n">
        <f aca="false">IF($C24="","",COUNTIF($C21:$C24,AR$21)+COUNTIF($C21:$C24,$A$3))</f>
        <v>0</v>
      </c>
      <c r="AT24" s="52" t="n">
        <f aca="false">IF($D24="","",COUNTIF($D21:$D24,AR$21)+COUNTIF($D21:$D24,$A$3))</f>
        <v>1</v>
      </c>
      <c r="AU24" s="52" t="n">
        <f aca="false">IF($E24="","",COUNTIF($E21:$E24,AR$21)+COUNTIF($E21:$E24,$A$3))</f>
        <v>0</v>
      </c>
      <c r="AV24" s="53" t="n">
        <f aca="false">IF($F24="","",COUNTIF($F21:$F24,AR$21)+COUNTIF($F21:$F24,$A$3))</f>
        <v>0</v>
      </c>
      <c r="AX24" s="65" t="n">
        <f aca="false">IF($B24="","",COUNTIF($B21:$B24,AX$21)+COUNTIF($B21:$B24,$A$3))</f>
        <v>0</v>
      </c>
      <c r="AY24" s="52" t="n">
        <f aca="false">IF($C24="","",COUNTIF($C21:$C24,AX$21)+COUNTIF($C21:$C24,$A$3))</f>
        <v>0</v>
      </c>
      <c r="AZ24" s="52" t="n">
        <f aca="false">IF($D24="","",COUNTIF($D21:$D24,AX$21)+COUNTIF($D21:$D24,$A$3))</f>
        <v>1</v>
      </c>
      <c r="BA24" s="52" t="n">
        <f aca="false">IF($E24="","",COUNTIF($E21:$E24,AX$21)+COUNTIF($E21:$E24,$A$3))</f>
        <v>0</v>
      </c>
      <c r="BB24" s="53" t="n">
        <f aca="false">IF($F24="","",COUNTIF($F21:$F24,AX$21)+COUNTIF($F21:$F24,$A$3))</f>
        <v>0</v>
      </c>
      <c r="BD24" s="65" t="n">
        <f aca="false">IF($B24="","",COUNTIF($B21:$B24,BD$21)+COUNTIF($B21:$B24,$A$3))</f>
        <v>0</v>
      </c>
      <c r="BE24" s="52" t="n">
        <f aca="false">IF($C24="","",COUNTIF($C21:$C24,BD$21)+COUNTIF($C21:$C24,$A$3))</f>
        <v>0</v>
      </c>
      <c r="BF24" s="52" t="n">
        <f aca="false">IF($D24="","",COUNTIF($D21:$D24,BD$21)+COUNTIF($D21:$D24,$A$3))</f>
        <v>0</v>
      </c>
      <c r="BG24" s="52" t="n">
        <f aca="false">IF($E24="","",COUNTIF($E21:$E24,BD$21)+COUNTIF($E21:$E24,$A$3))</f>
        <v>0</v>
      </c>
      <c r="BH24" s="53" t="n">
        <f aca="false">IF($F24="","",COUNTIF($F21:$F24,BD$21)+COUNTIF($F21:$F24,$A$3))</f>
        <v>1</v>
      </c>
      <c r="BJ24" s="65" t="n">
        <f aca="false">IF($B24="","",COUNTIF($B21:$B24,BJ$21)+COUNTIF($B21:$B24,$A$3))</f>
        <v>2</v>
      </c>
      <c r="BK24" s="52" t="n">
        <f aca="false">IF($C24="","",COUNTIF($C21:$C24,BJ$21)+COUNTIF($C21:$C24,$A$3))</f>
        <v>0</v>
      </c>
      <c r="BL24" s="52" t="n">
        <f aca="false">IF($D24="","",COUNTIF($D21:$D24,BJ$21)+COUNTIF($D21:$D24,$A$3))</f>
        <v>0</v>
      </c>
      <c r="BM24" s="52" t="n">
        <f aca="false">IF($E24="","",COUNTIF($E21:$E24,BJ$21)+COUNTIF($E21:$E24,$A$3))</f>
        <v>1</v>
      </c>
      <c r="BN24" s="53" t="n">
        <f aca="false">IF($F24="","",COUNTIF($F21:$F24,BJ$21)+COUNTIF($F21:$F24,$A$3))</f>
        <v>1</v>
      </c>
      <c r="BP24" s="65" t="n">
        <f aca="false">IF($B24="","",COUNTIF($B21:$B24,BP$21)+COUNTIF($B21:$B24,$A$3))</f>
        <v>0</v>
      </c>
      <c r="BQ24" s="52" t="n">
        <f aca="false">IF($C24="","",COUNTIF($C21:$C24,BP$21)+COUNTIF($C21:$C24,$A$3))</f>
        <v>1</v>
      </c>
      <c r="BR24" s="52" t="n">
        <f aca="false">IF($D24="","",COUNTIF($D21:$D24,BP$21)+COUNTIF($D21:$D24,$A$3))</f>
        <v>0</v>
      </c>
      <c r="BS24" s="52" t="n">
        <f aca="false">IF($E24="","",COUNTIF($E21:$E24,BP$21)+COUNTIF($E21:$E24,$A$3))</f>
        <v>1</v>
      </c>
      <c r="BT24" s="53" t="n">
        <f aca="false">IF($F24="","",COUNTIF($F21:$F24,BP$21)+COUNTIF($F21:$F24,$A$3))</f>
        <v>0</v>
      </c>
    </row>
    <row r="25" customFormat="false" ht="15" hidden="false" customHeight="false" outlineLevel="0" collapsed="false">
      <c r="A25" s="13" t="n">
        <v>3</v>
      </c>
      <c r="B25" s="116" t="n">
        <f aca="false">IF('Game Info'!J8="","",'Game Info'!J8)</f>
        <v>9</v>
      </c>
      <c r="C25" s="116" t="str">
        <f aca="false">IF('Game Info'!K8="","",'Game Info'!K8)</f>
        <v>SYM2</v>
      </c>
      <c r="D25" s="116" t="n">
        <f aca="false">IF('Game Info'!L8="","",'Game Info'!L8)</f>
        <v>10</v>
      </c>
      <c r="E25" s="116" t="str">
        <f aca="false">IF('Game Info'!M8="","",'Game Info'!M8)</f>
        <v>J</v>
      </c>
      <c r="F25" s="117" t="str">
        <f aca="false">IF('Game Info'!N8="","",'Game Info'!N8)</f>
        <v>Q</v>
      </c>
      <c r="H25" s="65" t="n">
        <f aca="false">IF($B25="","",COUNTIF($B22:$B25,H$21)+COUNTIF($B22:$B25,$A$3))</f>
        <v>0</v>
      </c>
      <c r="I25" s="52" t="n">
        <f aca="false">IF($C25="","",COUNTIF($C22:$C25,H$21)+COUNTIF($C22:$C25,$A$3))</f>
        <v>0</v>
      </c>
      <c r="J25" s="52" t="n">
        <f aca="false">IF($D25="","",COUNTIF($D22:$D25,H$21)+COUNTIF($D22:$D25,$A$3))</f>
        <v>1</v>
      </c>
      <c r="K25" s="52" t="n">
        <f aca="false">IF($E25="","",COUNTIF($E22:$E25,H$21)+COUNTIF($E22:$E25,$A$3))</f>
        <v>1</v>
      </c>
      <c r="L25" s="53" t="n">
        <f aca="false">IF($F25="","",COUNTIF($F22:$F25,H$21)+COUNTIF($F22:$F25,$A$3))</f>
        <v>0</v>
      </c>
      <c r="N25" s="65" t="n">
        <f aca="false">IF($B25="","",COUNTIF($B22:$B25,N$21)+COUNTIF($B22:$B25,$A$3))</f>
        <v>1</v>
      </c>
      <c r="O25" s="52" t="n">
        <f aca="false">IF($C25="","",COUNTIF($C22:$C25,N$21)+COUNTIF($C22:$C25,$A$3))</f>
        <v>1</v>
      </c>
      <c r="P25" s="52" t="n">
        <f aca="false">IF($D25="","",COUNTIF($D22:$D25,N$21)+COUNTIF($D22:$D25,$A$3))</f>
        <v>0</v>
      </c>
      <c r="Q25" s="52" t="n">
        <f aca="false">IF($E25="","",COUNTIF($E22:$E25,N$21)+COUNTIF($E22:$E25,$A$3))</f>
        <v>0</v>
      </c>
      <c r="R25" s="53" t="n">
        <f aca="false">IF($F25="","",COUNTIF($F22:$F25,N$21)+COUNTIF($F22:$F25,$A$3))</f>
        <v>0</v>
      </c>
      <c r="T25" s="65" t="n">
        <f aca="false">IF($B25="","",COUNTIF($B22:$B25,T$21)+COUNTIF($B22:$B25,$A$3))</f>
        <v>1</v>
      </c>
      <c r="U25" s="52" t="n">
        <f aca="false">IF($C25="","",COUNTIF($C22:$C25,T$21)+COUNTIF($C22:$C25,$A$3))</f>
        <v>0</v>
      </c>
      <c r="V25" s="52" t="n">
        <f aca="false">IF($D25="","",COUNTIF($D22:$D25,T$21)+COUNTIF($D22:$D25,$A$3))</f>
        <v>0</v>
      </c>
      <c r="W25" s="52" t="n">
        <f aca="false">IF($E25="","",COUNTIF($E22:$E25,T$21)+COUNTIF($E22:$E25,$A$3))</f>
        <v>1</v>
      </c>
      <c r="X25" s="53" t="n">
        <f aca="false">IF($F25="","",COUNTIF($F22:$F25,T$21)+COUNTIF($F22:$F25,$A$3))</f>
        <v>0</v>
      </c>
      <c r="Z25" s="65" t="n">
        <f aca="false">IF($B25="","",COUNTIF($B22:$B25,Z$21)+COUNTIF($B22:$B25,$A$3))</f>
        <v>0</v>
      </c>
      <c r="AA25" s="52" t="n">
        <f aca="false">IF($C25="","",COUNTIF($C22:$C25,Z$21)+COUNTIF($C22:$C25,$A$3))</f>
        <v>2</v>
      </c>
      <c r="AB25" s="52" t="n">
        <f aca="false">IF($D25="","",COUNTIF($D22:$D25,Z$21)+COUNTIF($D22:$D25,$A$3))</f>
        <v>0</v>
      </c>
      <c r="AC25" s="52" t="n">
        <f aca="false">IF($E25="","",COUNTIF($E22:$E25,Z$21)+COUNTIF($E22:$E25,$A$3))</f>
        <v>0</v>
      </c>
      <c r="AD25" s="53" t="n">
        <f aca="false">IF($F25="","",COUNTIF($F22:$F25,Z$21)+COUNTIF($F22:$F25,$A$3))</f>
        <v>0</v>
      </c>
      <c r="AF25" s="65" t="n">
        <f aca="false">IF($B25="","",COUNTIF($B22:$B25,AF$21)+COUNTIF($B22:$B25,$A$3))</f>
        <v>0</v>
      </c>
      <c r="AG25" s="52" t="n">
        <f aca="false">IF($C25="","",COUNTIF($C22:$C25,AF$21)+COUNTIF($C22:$C25,$A$3))</f>
        <v>0</v>
      </c>
      <c r="AH25" s="52" t="n">
        <f aca="false">IF($D25="","",COUNTIF($D22:$D25,AF$21)+COUNTIF($D22:$D25,$A$3))</f>
        <v>0</v>
      </c>
      <c r="AI25" s="52" t="n">
        <f aca="false">IF($E25="","",COUNTIF($E22:$E25,AF$21)+COUNTIF($E22:$E25,$A$3))</f>
        <v>0</v>
      </c>
      <c r="AJ25" s="53" t="n">
        <f aca="false">IF($F25="","",COUNTIF($F22:$F25,AF$21)+COUNTIF($F22:$F25,$A$3))</f>
        <v>1</v>
      </c>
      <c r="AL25" s="65" t="n">
        <f aca="false">IF($B25="","",COUNTIF($B22:$B25,AL$21)+COUNTIF($B22:$B25,$A$3))</f>
        <v>0</v>
      </c>
      <c r="AM25" s="52" t="n">
        <f aca="false">IF($C25="","",COUNTIF($C22:$C25,AL$21)+COUNTIF($C22:$C25,$A$3))</f>
        <v>0</v>
      </c>
      <c r="AN25" s="52" t="n">
        <f aca="false">IF($D25="","",COUNTIF($D22:$D25,AL$21)+COUNTIF($D22:$D25,$A$3))</f>
        <v>0</v>
      </c>
      <c r="AO25" s="52" t="n">
        <f aca="false">IF($E25="","",COUNTIF($E22:$E25,AL$21)+COUNTIF($E22:$E25,$A$3))</f>
        <v>0</v>
      </c>
      <c r="AP25" s="53" t="n">
        <f aca="false">IF($F25="","",COUNTIF($F22:$F25,AL$21)+COUNTIF($F22:$F25,$A$3))</f>
        <v>0</v>
      </c>
      <c r="AR25" s="65" t="n">
        <f aca="false">IF($B25="","",COUNTIF($B22:$B25,AR$21)+COUNTIF($B22:$B25,$A$3))</f>
        <v>0</v>
      </c>
      <c r="AS25" s="52" t="n">
        <f aca="false">IF($C25="","",COUNTIF($C22:$C25,AR$21)+COUNTIF($C22:$C25,$A$3))</f>
        <v>0</v>
      </c>
      <c r="AT25" s="52" t="n">
        <f aca="false">IF($D25="","",COUNTIF($D22:$D25,AR$21)+COUNTIF($D22:$D25,$A$3))</f>
        <v>1</v>
      </c>
      <c r="AU25" s="52" t="n">
        <f aca="false">IF($E25="","",COUNTIF($E22:$E25,AR$21)+COUNTIF($E22:$E25,$A$3))</f>
        <v>0</v>
      </c>
      <c r="AV25" s="53" t="n">
        <f aca="false">IF($F25="","",COUNTIF($F22:$F25,AR$21)+COUNTIF($F22:$F25,$A$3))</f>
        <v>0</v>
      </c>
      <c r="AX25" s="65" t="n">
        <f aca="false">IF($B25="","",COUNTIF($B22:$B25,AX$21)+COUNTIF($B22:$B25,$A$3))</f>
        <v>0</v>
      </c>
      <c r="AY25" s="52" t="n">
        <f aca="false">IF($C25="","",COUNTIF($C22:$C25,AX$21)+COUNTIF($C22:$C25,$A$3))</f>
        <v>0</v>
      </c>
      <c r="AZ25" s="52" t="n">
        <f aca="false">IF($D25="","",COUNTIF($D22:$D25,AX$21)+COUNTIF($D22:$D25,$A$3))</f>
        <v>1</v>
      </c>
      <c r="BA25" s="52" t="n">
        <f aca="false">IF($E25="","",COUNTIF($E22:$E25,AX$21)+COUNTIF($E22:$E25,$A$3))</f>
        <v>0</v>
      </c>
      <c r="BB25" s="53" t="n">
        <f aca="false">IF($F25="","",COUNTIF($F22:$F25,AX$21)+COUNTIF($F22:$F25,$A$3))</f>
        <v>1</v>
      </c>
      <c r="BD25" s="65" t="n">
        <f aca="false">IF($B25="","",COUNTIF($B22:$B25,BD$21)+COUNTIF($B22:$B25,$A$3))</f>
        <v>0</v>
      </c>
      <c r="BE25" s="52" t="n">
        <f aca="false">IF($C25="","",COUNTIF($C22:$C25,BD$21)+COUNTIF($C22:$C25,$A$3))</f>
        <v>0</v>
      </c>
      <c r="BF25" s="52" t="n">
        <f aca="false">IF($D25="","",COUNTIF($D22:$D25,BD$21)+COUNTIF($D22:$D25,$A$3))</f>
        <v>0</v>
      </c>
      <c r="BG25" s="52" t="n">
        <f aca="false">IF($E25="","",COUNTIF($E22:$E25,BD$21)+COUNTIF($E22:$E25,$A$3))</f>
        <v>1</v>
      </c>
      <c r="BH25" s="53" t="n">
        <f aca="false">IF($F25="","",COUNTIF($F22:$F25,BD$21)+COUNTIF($F22:$F25,$A$3))</f>
        <v>1</v>
      </c>
      <c r="BJ25" s="65" t="n">
        <f aca="false">IF($B25="","",COUNTIF($B22:$B25,BJ$21)+COUNTIF($B22:$B25,$A$3))</f>
        <v>1</v>
      </c>
      <c r="BK25" s="52" t="n">
        <f aca="false">IF($C25="","",COUNTIF($C22:$C25,BJ$21)+COUNTIF($C22:$C25,$A$3))</f>
        <v>0</v>
      </c>
      <c r="BL25" s="52" t="n">
        <f aca="false">IF($D25="","",COUNTIF($D22:$D25,BJ$21)+COUNTIF($D22:$D25,$A$3))</f>
        <v>1</v>
      </c>
      <c r="BM25" s="52" t="n">
        <f aca="false">IF($E25="","",COUNTIF($E22:$E25,BJ$21)+COUNTIF($E22:$E25,$A$3))</f>
        <v>1</v>
      </c>
      <c r="BN25" s="53" t="n">
        <f aca="false">IF($F25="","",COUNTIF($F22:$F25,BJ$21)+COUNTIF($F22:$F25,$A$3))</f>
        <v>1</v>
      </c>
      <c r="BP25" s="65" t="n">
        <f aca="false">IF($B25="","",COUNTIF($B22:$B25,BP$21)+COUNTIF($B22:$B25,$A$3))</f>
        <v>1</v>
      </c>
      <c r="BQ25" s="52" t="n">
        <f aca="false">IF($C25="","",COUNTIF($C22:$C25,BP$21)+COUNTIF($C22:$C25,$A$3))</f>
        <v>1</v>
      </c>
      <c r="BR25" s="52" t="n">
        <f aca="false">IF($D25="","",COUNTIF($D22:$D25,BP$21)+COUNTIF($D22:$D25,$A$3))</f>
        <v>0</v>
      </c>
      <c r="BS25" s="52" t="n">
        <f aca="false">IF($E25="","",COUNTIF($E22:$E25,BP$21)+COUNTIF($E22:$E25,$A$3))</f>
        <v>0</v>
      </c>
      <c r="BT25" s="53" t="n">
        <f aca="false">IF($F25="","",COUNTIF($F22:$F25,BP$21)+COUNTIF($F22:$F25,$A$3))</f>
        <v>0</v>
      </c>
    </row>
    <row r="26" customFormat="false" ht="15" hidden="false" customHeight="false" outlineLevel="0" collapsed="false">
      <c r="A26" s="13" t="n">
        <v>4</v>
      </c>
      <c r="B26" s="116" t="str">
        <f aca="false">IF('Game Info'!J9="","",'Game Info'!J9)</f>
        <v>SYM2</v>
      </c>
      <c r="C26" s="116" t="str">
        <f aca="false">IF('Game Info'!K9="","",'Game Info'!K9)</f>
        <v>J</v>
      </c>
      <c r="D26" s="116" t="str">
        <f aca="false">IF('Game Info'!L9="","",'Game Info'!L9)</f>
        <v>Q</v>
      </c>
      <c r="E26" s="116" t="str">
        <f aca="false">IF('Game Info'!M9="","",'Game Info'!M9)</f>
        <v>SYM2</v>
      </c>
      <c r="F26" s="117" t="str">
        <f aca="false">IF('Game Info'!N9="","",'Game Info'!N9)</f>
        <v>K</v>
      </c>
      <c r="H26" s="65" t="n">
        <f aca="false">IF($B26="","",COUNTIF($B23:$B26,H$21)+COUNTIF($B23:$B26,$A$3))</f>
        <v>0</v>
      </c>
      <c r="I26" s="52" t="n">
        <f aca="false">IF($C26="","",COUNTIF($C23:$C26,H$21)+COUNTIF($C23:$C26,$A$3))</f>
        <v>0</v>
      </c>
      <c r="J26" s="52" t="n">
        <f aca="false">IF($D26="","",COUNTIF($D23:$D26,H$21)+COUNTIF($D23:$D26,$A$3))</f>
        <v>1</v>
      </c>
      <c r="K26" s="52" t="n">
        <f aca="false">IF($E26="","",COUNTIF($E23:$E26,H$21)+COUNTIF($E23:$E26,$A$3))</f>
        <v>0</v>
      </c>
      <c r="L26" s="53" t="n">
        <f aca="false">IF($F26="","",COUNTIF($F23:$F26,H$21)+COUNTIF($F23:$F26,$A$3))</f>
        <v>0</v>
      </c>
      <c r="N26" s="65" t="n">
        <f aca="false">IF($B26="","",COUNTIF($B23:$B26,N$21)+COUNTIF($B23:$B26,$A$3))</f>
        <v>1</v>
      </c>
      <c r="O26" s="52" t="n">
        <f aca="false">IF($C26="","",COUNTIF($C23:$C26,N$21)+COUNTIF($C23:$C26,$A$3))</f>
        <v>1</v>
      </c>
      <c r="P26" s="52" t="n">
        <f aca="false">IF($D26="","",COUNTIF($D23:$D26,N$21)+COUNTIF($D23:$D26,$A$3))</f>
        <v>0</v>
      </c>
      <c r="Q26" s="52" t="n">
        <f aca="false">IF($E26="","",COUNTIF($E23:$E26,N$21)+COUNTIF($E23:$E26,$A$3))</f>
        <v>1</v>
      </c>
      <c r="R26" s="53" t="n">
        <f aca="false">IF($F26="","",COUNTIF($F23:$F26,N$21)+COUNTIF($F23:$F26,$A$3))</f>
        <v>0</v>
      </c>
      <c r="T26" s="65" t="n">
        <f aca="false">IF($B26="","",COUNTIF($B23:$B26,T$21)+COUNTIF($B23:$B26,$A$3))</f>
        <v>1</v>
      </c>
      <c r="U26" s="52" t="n">
        <f aca="false">IF($C26="","",COUNTIF($C23:$C26,T$21)+COUNTIF($C23:$C26,$A$3))</f>
        <v>0</v>
      </c>
      <c r="V26" s="52" t="n">
        <f aca="false">IF($D26="","",COUNTIF($D23:$D26,T$21)+COUNTIF($D23:$D26,$A$3))</f>
        <v>0</v>
      </c>
      <c r="W26" s="52" t="n">
        <f aca="false">IF($E26="","",COUNTIF($E23:$E26,T$21)+COUNTIF($E23:$E26,$A$3))</f>
        <v>1</v>
      </c>
      <c r="X26" s="53" t="n">
        <f aca="false">IF($F26="","",COUNTIF($F23:$F26,T$21)+COUNTIF($F23:$F26,$A$3))</f>
        <v>0</v>
      </c>
      <c r="Z26" s="65" t="n">
        <f aca="false">IF($B26="","",COUNTIF($B23:$B26,Z$21)+COUNTIF($B23:$B26,$A$3))</f>
        <v>0</v>
      </c>
      <c r="AA26" s="52" t="n">
        <f aca="false">IF($C26="","",COUNTIF($C23:$C26,Z$21)+COUNTIF($C23:$C26,$A$3))</f>
        <v>1</v>
      </c>
      <c r="AB26" s="52" t="n">
        <f aca="false">IF($D26="","",COUNTIF($D23:$D26,Z$21)+COUNTIF($D23:$D26,$A$3))</f>
        <v>0</v>
      </c>
      <c r="AC26" s="52" t="n">
        <f aca="false">IF($E26="","",COUNTIF($E23:$E26,Z$21)+COUNTIF($E23:$E26,$A$3))</f>
        <v>0</v>
      </c>
      <c r="AD26" s="53" t="n">
        <f aca="false">IF($F26="","",COUNTIF($F23:$F26,Z$21)+COUNTIF($F23:$F26,$A$3))</f>
        <v>0</v>
      </c>
      <c r="AF26" s="65" t="n">
        <f aca="false">IF($B26="","",COUNTIF($B23:$B26,AF$21)+COUNTIF($B23:$B26,$A$3))</f>
        <v>0</v>
      </c>
      <c r="AG26" s="52" t="n">
        <f aca="false">IF($C26="","",COUNTIF($C23:$C26,AF$21)+COUNTIF($C23:$C26,$A$3))</f>
        <v>0</v>
      </c>
      <c r="AH26" s="52" t="n">
        <f aca="false">IF($D26="","",COUNTIF($D23:$D26,AF$21)+COUNTIF($D23:$D26,$A$3))</f>
        <v>0</v>
      </c>
      <c r="AI26" s="52" t="n">
        <f aca="false">IF($E26="","",COUNTIF($E23:$E26,AF$21)+COUNTIF($E23:$E26,$A$3))</f>
        <v>0</v>
      </c>
      <c r="AJ26" s="53" t="n">
        <f aca="false">IF($F26="","",COUNTIF($F23:$F26,AF$21)+COUNTIF($F23:$F26,$A$3))</f>
        <v>1</v>
      </c>
      <c r="AL26" s="65" t="n">
        <f aca="false">IF($B26="","",COUNTIF($B23:$B26,AL$21)+COUNTIF($B23:$B26,$A$3))</f>
        <v>0</v>
      </c>
      <c r="AM26" s="52" t="n">
        <f aca="false">IF($C26="","",COUNTIF($C23:$C26,AL$21)+COUNTIF($C23:$C26,$A$3))</f>
        <v>0</v>
      </c>
      <c r="AN26" s="52" t="n">
        <f aca="false">IF($D26="","",COUNTIF($D23:$D26,AL$21)+COUNTIF($D23:$D26,$A$3))</f>
        <v>0</v>
      </c>
      <c r="AO26" s="52" t="n">
        <f aca="false">IF($E26="","",COUNTIF($E23:$E26,AL$21)+COUNTIF($E23:$E26,$A$3))</f>
        <v>0</v>
      </c>
      <c r="AP26" s="53" t="n">
        <f aca="false">IF($F26="","",COUNTIF($F23:$F26,AL$21)+COUNTIF($F23:$F26,$A$3))</f>
        <v>0</v>
      </c>
      <c r="AR26" s="65" t="n">
        <f aca="false">IF($B26="","",COUNTIF($B23:$B26,AR$21)+COUNTIF($B23:$B26,$A$3))</f>
        <v>0</v>
      </c>
      <c r="AS26" s="52" t="n">
        <f aca="false">IF($C26="","",COUNTIF($C23:$C26,AR$21)+COUNTIF($C23:$C26,$A$3))</f>
        <v>0</v>
      </c>
      <c r="AT26" s="52" t="n">
        <f aca="false">IF($D26="","",COUNTIF($D23:$D26,AR$21)+COUNTIF($D23:$D26,$A$3))</f>
        <v>1</v>
      </c>
      <c r="AU26" s="52" t="n">
        <f aca="false">IF($E26="","",COUNTIF($E23:$E26,AR$21)+COUNTIF($E23:$E26,$A$3))</f>
        <v>0</v>
      </c>
      <c r="AV26" s="53" t="n">
        <f aca="false">IF($F26="","",COUNTIF($F23:$F26,AR$21)+COUNTIF($F23:$F26,$A$3))</f>
        <v>1</v>
      </c>
      <c r="AX26" s="65" t="n">
        <f aca="false">IF($B26="","",COUNTIF($B23:$B26,AX$21)+COUNTIF($B23:$B26,$A$3))</f>
        <v>0</v>
      </c>
      <c r="AY26" s="52" t="n">
        <f aca="false">IF($C26="","",COUNTIF($C23:$C26,AX$21)+COUNTIF($C23:$C26,$A$3))</f>
        <v>0</v>
      </c>
      <c r="AZ26" s="52" t="n">
        <f aca="false">IF($D26="","",COUNTIF($D23:$D26,AX$21)+COUNTIF($D23:$D26,$A$3))</f>
        <v>1</v>
      </c>
      <c r="BA26" s="52" t="n">
        <f aca="false">IF($E26="","",COUNTIF($E23:$E26,AX$21)+COUNTIF($E23:$E26,$A$3))</f>
        <v>0</v>
      </c>
      <c r="BB26" s="53" t="n">
        <f aca="false">IF($F26="","",COUNTIF($F23:$F26,AX$21)+COUNTIF($F23:$F26,$A$3))</f>
        <v>1</v>
      </c>
      <c r="BD26" s="65" t="n">
        <f aca="false">IF($B26="","",COUNTIF($B23:$B26,BD$21)+COUNTIF($B23:$B26,$A$3))</f>
        <v>0</v>
      </c>
      <c r="BE26" s="52" t="n">
        <f aca="false">IF($C26="","",COUNTIF($C23:$C26,BD$21)+COUNTIF($C23:$C26,$A$3))</f>
        <v>1</v>
      </c>
      <c r="BF26" s="52" t="n">
        <f aca="false">IF($D26="","",COUNTIF($D23:$D26,BD$21)+COUNTIF($D23:$D26,$A$3))</f>
        <v>0</v>
      </c>
      <c r="BG26" s="52" t="n">
        <f aca="false">IF($E26="","",COUNTIF($E23:$E26,BD$21)+COUNTIF($E23:$E26,$A$3))</f>
        <v>1</v>
      </c>
      <c r="BH26" s="53" t="n">
        <f aca="false">IF($F26="","",COUNTIF($F23:$F26,BD$21)+COUNTIF($F23:$F26,$A$3))</f>
        <v>0</v>
      </c>
      <c r="BJ26" s="65" t="n">
        <f aca="false">IF($B26="","",COUNTIF($B23:$B26,BJ$21)+COUNTIF($B23:$B26,$A$3))</f>
        <v>1</v>
      </c>
      <c r="BK26" s="52" t="n">
        <f aca="false">IF($C26="","",COUNTIF($C23:$C26,BJ$21)+COUNTIF($C23:$C26,$A$3))</f>
        <v>0</v>
      </c>
      <c r="BL26" s="52" t="n">
        <f aca="false">IF($D26="","",COUNTIF($D23:$D26,BJ$21)+COUNTIF($D23:$D26,$A$3))</f>
        <v>1</v>
      </c>
      <c r="BM26" s="52" t="n">
        <f aca="false">IF($E26="","",COUNTIF($E23:$E26,BJ$21)+COUNTIF($E23:$E26,$A$3))</f>
        <v>1</v>
      </c>
      <c r="BN26" s="53" t="n">
        <f aca="false">IF($F26="","",COUNTIF($F23:$F26,BJ$21)+COUNTIF($F23:$F26,$A$3))</f>
        <v>1</v>
      </c>
      <c r="BP26" s="65" t="n">
        <f aca="false">IF($B26="","",COUNTIF($B23:$B26,BP$21)+COUNTIF($B23:$B26,$A$3))</f>
        <v>1</v>
      </c>
      <c r="BQ26" s="52" t="n">
        <f aca="false">IF($C26="","",COUNTIF($C23:$C26,BP$21)+COUNTIF($C23:$C26,$A$3))</f>
        <v>1</v>
      </c>
      <c r="BR26" s="52" t="n">
        <f aca="false">IF($D26="","",COUNTIF($D23:$D26,BP$21)+COUNTIF($D23:$D26,$A$3))</f>
        <v>0</v>
      </c>
      <c r="BS26" s="52" t="n">
        <f aca="false">IF($E26="","",COUNTIF($E23:$E26,BP$21)+COUNTIF($E23:$E26,$A$3))</f>
        <v>0</v>
      </c>
      <c r="BT26" s="53" t="n">
        <f aca="false">IF($F26="","",COUNTIF($F23:$F26,BP$21)+COUNTIF($F23:$F26,$A$3))</f>
        <v>0</v>
      </c>
    </row>
    <row r="27" customFormat="false" ht="15" hidden="false" customHeight="false" outlineLevel="0" collapsed="false">
      <c r="A27" s="13" t="n">
        <v>5</v>
      </c>
      <c r="B27" s="116" t="str">
        <f aca="false">IF('Game Info'!J10="","",'Game Info'!J10)</f>
        <v>Q</v>
      </c>
      <c r="C27" s="116" t="str">
        <f aca="false">IF('Game Info'!K10="","",'Game Info'!K10)</f>
        <v>K</v>
      </c>
      <c r="D27" s="116" t="str">
        <f aca="false">IF('Game Info'!L10="","",'Game Info'!L10)</f>
        <v>SYM5</v>
      </c>
      <c r="E27" s="116" t="str">
        <f aca="false">IF('Game Info'!M10="","",'Game Info'!M10)</f>
        <v>SYM2</v>
      </c>
      <c r="F27" s="117" t="str">
        <f aca="false">IF('Game Info'!N10="","",'Game Info'!N10)</f>
        <v>J</v>
      </c>
      <c r="H27" s="65" t="n">
        <f aca="false">IF($B27="","",COUNTIF($B24:$B27,H$21)+COUNTIF($B24:$B27,$A$3))</f>
        <v>0</v>
      </c>
      <c r="I27" s="52" t="n">
        <f aca="false">IF($C27="","",COUNTIF($C24:$C27,H$21)+COUNTIF($C24:$C27,$A$3))</f>
        <v>0</v>
      </c>
      <c r="J27" s="52" t="n">
        <f aca="false">IF($D27="","",COUNTIF($D24:$D27,H$21)+COUNTIF($D24:$D27,$A$3))</f>
        <v>0</v>
      </c>
      <c r="K27" s="52" t="n">
        <f aca="false">IF($E27="","",COUNTIF($E24:$E27,H$21)+COUNTIF($E24:$E27,$A$3))</f>
        <v>0</v>
      </c>
      <c r="L27" s="53" t="n">
        <f aca="false">IF($F27="","",COUNTIF($F24:$F27,H$21)+COUNTIF($F24:$F27,$A$3))</f>
        <v>0</v>
      </c>
      <c r="N27" s="65" t="n">
        <f aca="false">IF($B27="","",COUNTIF($B24:$B27,N$21)+COUNTIF($B24:$B27,$A$3))</f>
        <v>1</v>
      </c>
      <c r="O27" s="52" t="n">
        <f aca="false">IF($C27="","",COUNTIF($C24:$C27,N$21)+COUNTIF($C24:$C27,$A$3))</f>
        <v>1</v>
      </c>
      <c r="P27" s="52" t="n">
        <f aca="false">IF($D27="","",COUNTIF($D24:$D27,N$21)+COUNTIF($D24:$D27,$A$3))</f>
        <v>0</v>
      </c>
      <c r="Q27" s="52" t="n">
        <f aca="false">IF($E27="","",COUNTIF($E24:$E27,N$21)+COUNTIF($E24:$E27,$A$3))</f>
        <v>2</v>
      </c>
      <c r="R27" s="53" t="n">
        <f aca="false">IF($F27="","",COUNTIF($F24:$F27,N$21)+COUNTIF($F24:$F27,$A$3))</f>
        <v>0</v>
      </c>
      <c r="T27" s="65" t="n">
        <f aca="false">IF($B27="","",COUNTIF($B24:$B27,T$21)+COUNTIF($B24:$B27,$A$3))</f>
        <v>1</v>
      </c>
      <c r="U27" s="52" t="n">
        <f aca="false">IF($C27="","",COUNTIF($C24:$C27,T$21)+COUNTIF($C24:$C27,$A$3))</f>
        <v>0</v>
      </c>
      <c r="V27" s="52" t="n">
        <f aca="false">IF($D27="","",COUNTIF($D24:$D27,T$21)+COUNTIF($D24:$D27,$A$3))</f>
        <v>0</v>
      </c>
      <c r="W27" s="52" t="n">
        <f aca="false">IF($E27="","",COUNTIF($E24:$E27,T$21)+COUNTIF($E24:$E27,$A$3))</f>
        <v>1</v>
      </c>
      <c r="X27" s="53" t="n">
        <f aca="false">IF($F27="","",COUNTIF($F24:$F27,T$21)+COUNTIF($F24:$F27,$A$3))</f>
        <v>0</v>
      </c>
      <c r="Z27" s="65" t="n">
        <f aca="false">IF($B27="","",COUNTIF($B24:$B27,Z$21)+COUNTIF($B24:$B27,$A$3))</f>
        <v>0</v>
      </c>
      <c r="AA27" s="52" t="n">
        <f aca="false">IF($C27="","",COUNTIF($C24:$C27,Z$21)+COUNTIF($C24:$C27,$A$3))</f>
        <v>0</v>
      </c>
      <c r="AB27" s="52" t="n">
        <f aca="false">IF($D27="","",COUNTIF($D24:$D27,Z$21)+COUNTIF($D24:$D27,$A$3))</f>
        <v>0</v>
      </c>
      <c r="AC27" s="52" t="n">
        <f aca="false">IF($E27="","",COUNTIF($E24:$E27,Z$21)+COUNTIF($E24:$E27,$A$3))</f>
        <v>0</v>
      </c>
      <c r="AD27" s="53" t="n">
        <f aca="false">IF($F27="","",COUNTIF($F24:$F27,Z$21)+COUNTIF($F24:$F27,$A$3))</f>
        <v>0</v>
      </c>
      <c r="AF27" s="65" t="n">
        <f aca="false">IF($B27="","",COUNTIF($B24:$B27,AF$21)+COUNTIF($B24:$B27,$A$3))</f>
        <v>0</v>
      </c>
      <c r="AG27" s="52" t="n">
        <f aca="false">IF($C27="","",COUNTIF($C24:$C27,AF$21)+COUNTIF($C24:$C27,$A$3))</f>
        <v>0</v>
      </c>
      <c r="AH27" s="52" t="n">
        <f aca="false">IF($D27="","",COUNTIF($D24:$D27,AF$21)+COUNTIF($D24:$D27,$A$3))</f>
        <v>1</v>
      </c>
      <c r="AI27" s="52" t="n">
        <f aca="false">IF($E27="","",COUNTIF($E24:$E27,AF$21)+COUNTIF($E24:$E27,$A$3))</f>
        <v>0</v>
      </c>
      <c r="AJ27" s="53" t="n">
        <f aca="false">IF($F27="","",COUNTIF($F24:$F27,AF$21)+COUNTIF($F24:$F27,$A$3))</f>
        <v>1</v>
      </c>
      <c r="AL27" s="65" t="n">
        <f aca="false">IF($B27="","",COUNTIF($B24:$B27,AL$21)+COUNTIF($B24:$B27,$A$3))</f>
        <v>0</v>
      </c>
      <c r="AM27" s="52" t="n">
        <f aca="false">IF($C27="","",COUNTIF($C24:$C27,AL$21)+COUNTIF($C24:$C27,$A$3))</f>
        <v>0</v>
      </c>
      <c r="AN27" s="52" t="n">
        <f aca="false">IF($D27="","",COUNTIF($D24:$D27,AL$21)+COUNTIF($D24:$D27,$A$3))</f>
        <v>0</v>
      </c>
      <c r="AO27" s="52" t="n">
        <f aca="false">IF($E27="","",COUNTIF($E24:$E27,AL$21)+COUNTIF($E24:$E27,$A$3))</f>
        <v>0</v>
      </c>
      <c r="AP27" s="53" t="n">
        <f aca="false">IF($F27="","",COUNTIF($F24:$F27,AL$21)+COUNTIF($F24:$F27,$A$3))</f>
        <v>0</v>
      </c>
      <c r="AR27" s="65" t="n">
        <f aca="false">IF($B27="","",COUNTIF($B24:$B27,AR$21)+COUNTIF($B24:$B27,$A$3))</f>
        <v>0</v>
      </c>
      <c r="AS27" s="52" t="n">
        <f aca="false">IF($C27="","",COUNTIF($C24:$C27,AR$21)+COUNTIF($C24:$C27,$A$3))</f>
        <v>1</v>
      </c>
      <c r="AT27" s="52" t="n">
        <f aca="false">IF($D27="","",COUNTIF($D24:$D27,AR$21)+COUNTIF($D24:$D27,$A$3))</f>
        <v>1</v>
      </c>
      <c r="AU27" s="52" t="n">
        <f aca="false">IF($E27="","",COUNTIF($E24:$E27,AR$21)+COUNTIF($E24:$E27,$A$3))</f>
        <v>0</v>
      </c>
      <c r="AV27" s="53" t="n">
        <f aca="false">IF($F27="","",COUNTIF($F24:$F27,AR$21)+COUNTIF($F24:$F27,$A$3))</f>
        <v>1</v>
      </c>
      <c r="AX27" s="65" t="n">
        <f aca="false">IF($B27="","",COUNTIF($B24:$B27,AX$21)+COUNTIF($B24:$B27,$A$3))</f>
        <v>1</v>
      </c>
      <c r="AY27" s="52" t="n">
        <f aca="false">IF($C27="","",COUNTIF($C24:$C27,AX$21)+COUNTIF($C24:$C27,$A$3))</f>
        <v>0</v>
      </c>
      <c r="AZ27" s="52" t="n">
        <f aca="false">IF($D27="","",COUNTIF($D24:$D27,AX$21)+COUNTIF($D24:$D27,$A$3))</f>
        <v>1</v>
      </c>
      <c r="BA27" s="52" t="n">
        <f aca="false">IF($E27="","",COUNTIF($E24:$E27,AX$21)+COUNTIF($E24:$E27,$A$3))</f>
        <v>0</v>
      </c>
      <c r="BB27" s="53" t="n">
        <f aca="false">IF($F27="","",COUNTIF($F24:$F27,AX$21)+COUNTIF($F24:$F27,$A$3))</f>
        <v>1</v>
      </c>
      <c r="BD27" s="65" t="n">
        <f aca="false">IF($B27="","",COUNTIF($B24:$B27,BD$21)+COUNTIF($B24:$B27,$A$3))</f>
        <v>0</v>
      </c>
      <c r="BE27" s="52" t="n">
        <f aca="false">IF($C27="","",COUNTIF($C24:$C27,BD$21)+COUNTIF($C24:$C27,$A$3))</f>
        <v>1</v>
      </c>
      <c r="BF27" s="52" t="n">
        <f aca="false">IF($D27="","",COUNTIF($D24:$D27,BD$21)+COUNTIF($D24:$D27,$A$3))</f>
        <v>0</v>
      </c>
      <c r="BG27" s="52" t="n">
        <f aca="false">IF($E27="","",COUNTIF($E24:$E27,BD$21)+COUNTIF($E24:$E27,$A$3))</f>
        <v>1</v>
      </c>
      <c r="BH27" s="53" t="n">
        <f aca="false">IF($F27="","",COUNTIF($F24:$F27,BD$21)+COUNTIF($F24:$F27,$A$3))</f>
        <v>1</v>
      </c>
      <c r="BJ27" s="65" t="n">
        <f aca="false">IF($B27="","",COUNTIF($B24:$B27,BJ$21)+COUNTIF($B24:$B27,$A$3))</f>
        <v>0</v>
      </c>
      <c r="BK27" s="52" t="n">
        <f aca="false">IF($C27="","",COUNTIF($C24:$C27,BJ$21)+COUNTIF($C24:$C27,$A$3))</f>
        <v>0</v>
      </c>
      <c r="BL27" s="52" t="n">
        <f aca="false">IF($D27="","",COUNTIF($D24:$D27,BJ$21)+COUNTIF($D24:$D27,$A$3))</f>
        <v>1</v>
      </c>
      <c r="BM27" s="52" t="n">
        <f aca="false">IF($E27="","",COUNTIF($E24:$E27,BJ$21)+COUNTIF($E24:$E27,$A$3))</f>
        <v>0</v>
      </c>
      <c r="BN27" s="53" t="n">
        <f aca="false">IF($F27="","",COUNTIF($F24:$F27,BJ$21)+COUNTIF($F24:$F27,$A$3))</f>
        <v>0</v>
      </c>
      <c r="BP27" s="65" t="n">
        <f aca="false">IF($B27="","",COUNTIF($B24:$B27,BP$21)+COUNTIF($B24:$B27,$A$3))</f>
        <v>1</v>
      </c>
      <c r="BQ27" s="52" t="n">
        <f aca="false">IF($C27="","",COUNTIF($C24:$C27,BP$21)+COUNTIF($C24:$C27,$A$3))</f>
        <v>1</v>
      </c>
      <c r="BR27" s="52" t="n">
        <f aca="false">IF($D27="","",COUNTIF($D24:$D27,BP$21)+COUNTIF($D24:$D27,$A$3))</f>
        <v>0</v>
      </c>
      <c r="BS27" s="52" t="n">
        <f aca="false">IF($E27="","",COUNTIF($E24:$E27,BP$21)+COUNTIF($E24:$E27,$A$3))</f>
        <v>0</v>
      </c>
      <c r="BT27" s="53" t="n">
        <f aca="false">IF($F27="","",COUNTIF($F24:$F27,BP$21)+COUNTIF($F24:$F27,$A$3))</f>
        <v>0</v>
      </c>
    </row>
    <row r="28" customFormat="false" ht="15" hidden="false" customHeight="false" outlineLevel="0" collapsed="false">
      <c r="A28" s="13" t="n">
        <v>6</v>
      </c>
      <c r="B28" s="116" t="n">
        <f aca="false">IF('Game Info'!J11="","",'Game Info'!J11)</f>
        <v>10</v>
      </c>
      <c r="C28" s="116" t="str">
        <f aca="false">IF('Game Info'!K11="","",'Game Info'!K11)</f>
        <v>SYM1</v>
      </c>
      <c r="D28" s="116" t="str">
        <f aca="false">IF('Game Info'!L11="","",'Game Info'!L11)</f>
        <v>J</v>
      </c>
      <c r="E28" s="116" t="str">
        <f aca="false">IF('Game Info'!M11="","",'Game Info'!M11)</f>
        <v>SYM2</v>
      </c>
      <c r="F28" s="117" t="str">
        <f aca="false">IF('Game Info'!N11="","",'Game Info'!N11)</f>
        <v>SYM3</v>
      </c>
      <c r="H28" s="65" t="n">
        <f aca="false">IF($B28="","",COUNTIF($B25:$B28,H$21)+COUNTIF($B25:$B28,$A$3))</f>
        <v>0</v>
      </c>
      <c r="I28" s="52" t="n">
        <f aca="false">IF($C28="","",COUNTIF($C25:$C28,H$21)+COUNTIF($C25:$C28,$A$3))</f>
        <v>1</v>
      </c>
      <c r="J28" s="52" t="n">
        <f aca="false">IF($D28="","",COUNTIF($D25:$D28,H$21)+COUNTIF($D25:$D28,$A$3))</f>
        <v>0</v>
      </c>
      <c r="K28" s="52" t="n">
        <f aca="false">IF($E28="","",COUNTIF($E25:$E28,H$21)+COUNTIF($E25:$E28,$A$3))</f>
        <v>0</v>
      </c>
      <c r="L28" s="53" t="n">
        <f aca="false">IF($F28="","",COUNTIF($F25:$F28,H$21)+COUNTIF($F25:$F28,$A$3))</f>
        <v>0</v>
      </c>
      <c r="N28" s="65" t="n">
        <f aca="false">IF($B28="","",COUNTIF($B25:$B28,N$21)+COUNTIF($B25:$B28,$A$3))</f>
        <v>1</v>
      </c>
      <c r="O28" s="52" t="n">
        <f aca="false">IF($C28="","",COUNTIF($C25:$C28,N$21)+COUNTIF($C25:$C28,$A$3))</f>
        <v>1</v>
      </c>
      <c r="P28" s="52" t="n">
        <f aca="false">IF($D28="","",COUNTIF($D25:$D28,N$21)+COUNTIF($D25:$D28,$A$3))</f>
        <v>0</v>
      </c>
      <c r="Q28" s="52" t="n">
        <f aca="false">IF($E28="","",COUNTIF($E25:$E28,N$21)+COUNTIF($E25:$E28,$A$3))</f>
        <v>3</v>
      </c>
      <c r="R28" s="53" t="n">
        <f aca="false">IF($F28="","",COUNTIF($F25:$F28,N$21)+COUNTIF($F25:$F28,$A$3))</f>
        <v>0</v>
      </c>
      <c r="T28" s="65" t="n">
        <f aca="false">IF($B28="","",COUNTIF($B25:$B28,T$21)+COUNTIF($B25:$B28,$A$3))</f>
        <v>0</v>
      </c>
      <c r="U28" s="52" t="n">
        <f aca="false">IF($C28="","",COUNTIF($C25:$C28,T$21)+COUNTIF($C25:$C28,$A$3))</f>
        <v>0</v>
      </c>
      <c r="V28" s="52" t="n">
        <f aca="false">IF($D28="","",COUNTIF($D25:$D28,T$21)+COUNTIF($D25:$D28,$A$3))</f>
        <v>0</v>
      </c>
      <c r="W28" s="52" t="n">
        <f aca="false">IF($E28="","",COUNTIF($E25:$E28,T$21)+COUNTIF($E25:$E28,$A$3))</f>
        <v>0</v>
      </c>
      <c r="X28" s="53" t="n">
        <f aca="false">IF($F28="","",COUNTIF($F25:$F28,T$21)+COUNTIF($F25:$F28,$A$3))</f>
        <v>1</v>
      </c>
      <c r="Z28" s="65" t="n">
        <f aca="false">IF($B28="","",COUNTIF($B25:$B28,Z$21)+COUNTIF($B25:$B28,$A$3))</f>
        <v>0</v>
      </c>
      <c r="AA28" s="52" t="n">
        <f aca="false">IF($C28="","",COUNTIF($C25:$C28,Z$21)+COUNTIF($C25:$C28,$A$3))</f>
        <v>0</v>
      </c>
      <c r="AB28" s="52" t="n">
        <f aca="false">IF($D28="","",COUNTIF($D25:$D28,Z$21)+COUNTIF($D25:$D28,$A$3))</f>
        <v>0</v>
      </c>
      <c r="AC28" s="52" t="n">
        <f aca="false">IF($E28="","",COUNTIF($E25:$E28,Z$21)+COUNTIF($E25:$E28,$A$3))</f>
        <v>0</v>
      </c>
      <c r="AD28" s="53" t="n">
        <f aca="false">IF($F28="","",COUNTIF($F25:$F28,Z$21)+COUNTIF($F25:$F28,$A$3))</f>
        <v>0</v>
      </c>
      <c r="AF28" s="65" t="n">
        <f aca="false">IF($B28="","",COUNTIF($B25:$B28,AF$21)+COUNTIF($B25:$B28,$A$3))</f>
        <v>0</v>
      </c>
      <c r="AG28" s="52" t="n">
        <f aca="false">IF($C28="","",COUNTIF($C25:$C28,AF$21)+COUNTIF($C25:$C28,$A$3))</f>
        <v>0</v>
      </c>
      <c r="AH28" s="52" t="n">
        <f aca="false">IF($D28="","",COUNTIF($D25:$D28,AF$21)+COUNTIF($D25:$D28,$A$3))</f>
        <v>1</v>
      </c>
      <c r="AI28" s="52" t="n">
        <f aca="false">IF($E28="","",COUNTIF($E25:$E28,AF$21)+COUNTIF($E25:$E28,$A$3))</f>
        <v>0</v>
      </c>
      <c r="AJ28" s="53" t="n">
        <f aca="false">IF($F28="","",COUNTIF($F25:$F28,AF$21)+COUNTIF($F25:$F28,$A$3))</f>
        <v>0</v>
      </c>
      <c r="AL28" s="65" t="n">
        <f aca="false">IF($B28="","",COUNTIF($B25:$B28,AL$21)+COUNTIF($B25:$B28,$A$3))</f>
        <v>0</v>
      </c>
      <c r="AM28" s="52" t="n">
        <f aca="false">IF($C28="","",COUNTIF($C25:$C28,AL$21)+COUNTIF($C25:$C28,$A$3))</f>
        <v>0</v>
      </c>
      <c r="AN28" s="52" t="n">
        <f aca="false">IF($D28="","",COUNTIF($D25:$D28,AL$21)+COUNTIF($D25:$D28,$A$3))</f>
        <v>0</v>
      </c>
      <c r="AO28" s="52" t="n">
        <f aca="false">IF($E28="","",COUNTIF($E25:$E28,AL$21)+COUNTIF($E25:$E28,$A$3))</f>
        <v>0</v>
      </c>
      <c r="AP28" s="53" t="n">
        <f aca="false">IF($F28="","",COUNTIF($F25:$F28,AL$21)+COUNTIF($F25:$F28,$A$3))</f>
        <v>0</v>
      </c>
      <c r="AR28" s="65" t="n">
        <f aca="false">IF($B28="","",COUNTIF($B25:$B28,AR$21)+COUNTIF($B25:$B28,$A$3))</f>
        <v>0</v>
      </c>
      <c r="AS28" s="52" t="n">
        <f aca="false">IF($C28="","",COUNTIF($C25:$C28,AR$21)+COUNTIF($C25:$C28,$A$3))</f>
        <v>1</v>
      </c>
      <c r="AT28" s="52" t="n">
        <f aca="false">IF($D28="","",COUNTIF($D25:$D28,AR$21)+COUNTIF($D25:$D28,$A$3))</f>
        <v>0</v>
      </c>
      <c r="AU28" s="52" t="n">
        <f aca="false">IF($E28="","",COUNTIF($E25:$E28,AR$21)+COUNTIF($E25:$E28,$A$3))</f>
        <v>0</v>
      </c>
      <c r="AV28" s="53" t="n">
        <f aca="false">IF($F28="","",COUNTIF($F25:$F28,AR$21)+COUNTIF($F25:$F28,$A$3))</f>
        <v>1</v>
      </c>
      <c r="AX28" s="65" t="n">
        <f aca="false">IF($B28="","",COUNTIF($B25:$B28,AX$21)+COUNTIF($B25:$B28,$A$3))</f>
        <v>1</v>
      </c>
      <c r="AY28" s="52" t="n">
        <f aca="false">IF($C28="","",COUNTIF($C25:$C28,AX$21)+COUNTIF($C25:$C28,$A$3))</f>
        <v>0</v>
      </c>
      <c r="AZ28" s="52" t="n">
        <f aca="false">IF($D28="","",COUNTIF($D25:$D28,AX$21)+COUNTIF($D25:$D28,$A$3))</f>
        <v>1</v>
      </c>
      <c r="BA28" s="52" t="n">
        <f aca="false">IF($E28="","",COUNTIF($E25:$E28,AX$21)+COUNTIF($E25:$E28,$A$3))</f>
        <v>0</v>
      </c>
      <c r="BB28" s="53" t="n">
        <f aca="false">IF($F28="","",COUNTIF($F25:$F28,AX$21)+COUNTIF($F25:$F28,$A$3))</f>
        <v>1</v>
      </c>
      <c r="BD28" s="65" t="n">
        <f aca="false">IF($B28="","",COUNTIF($B25:$B28,BD$21)+COUNTIF($B25:$B28,$A$3))</f>
        <v>0</v>
      </c>
      <c r="BE28" s="52" t="n">
        <f aca="false">IF($C28="","",COUNTIF($C25:$C28,BD$21)+COUNTIF($C25:$C28,$A$3))</f>
        <v>1</v>
      </c>
      <c r="BF28" s="52" t="n">
        <f aca="false">IF($D28="","",COUNTIF($D25:$D28,BD$21)+COUNTIF($D25:$D28,$A$3))</f>
        <v>1</v>
      </c>
      <c r="BG28" s="52" t="n">
        <f aca="false">IF($E28="","",COUNTIF($E25:$E28,BD$21)+COUNTIF($E25:$E28,$A$3))</f>
        <v>1</v>
      </c>
      <c r="BH28" s="53" t="n">
        <f aca="false">IF($F28="","",COUNTIF($F25:$F28,BD$21)+COUNTIF($F25:$F28,$A$3))</f>
        <v>1</v>
      </c>
      <c r="BJ28" s="65" t="n">
        <f aca="false">IF($B28="","",COUNTIF($B25:$B28,BJ$21)+COUNTIF($B25:$B28,$A$3))</f>
        <v>1</v>
      </c>
      <c r="BK28" s="52" t="n">
        <f aca="false">IF($C28="","",COUNTIF($C25:$C28,BJ$21)+COUNTIF($C25:$C28,$A$3))</f>
        <v>0</v>
      </c>
      <c r="BL28" s="52" t="n">
        <f aca="false">IF($D28="","",COUNTIF($D25:$D28,BJ$21)+COUNTIF($D25:$D28,$A$3))</f>
        <v>1</v>
      </c>
      <c r="BM28" s="52" t="n">
        <f aca="false">IF($E28="","",COUNTIF($E25:$E28,BJ$21)+COUNTIF($E25:$E28,$A$3))</f>
        <v>0</v>
      </c>
      <c r="BN28" s="53" t="n">
        <f aca="false">IF($F28="","",COUNTIF($F25:$F28,BJ$21)+COUNTIF($F25:$F28,$A$3))</f>
        <v>0</v>
      </c>
      <c r="BP28" s="65" t="n">
        <f aca="false">IF($B28="","",COUNTIF($B25:$B28,BP$21)+COUNTIF($B25:$B28,$A$3))</f>
        <v>1</v>
      </c>
      <c r="BQ28" s="52" t="n">
        <f aca="false">IF($C28="","",COUNTIF($C25:$C28,BP$21)+COUNTIF($C25:$C28,$A$3))</f>
        <v>0</v>
      </c>
      <c r="BR28" s="52" t="n">
        <f aca="false">IF($D28="","",COUNTIF($D25:$D28,BP$21)+COUNTIF($D25:$D28,$A$3))</f>
        <v>0</v>
      </c>
      <c r="BS28" s="52" t="n">
        <f aca="false">IF($E28="","",COUNTIF($E25:$E28,BP$21)+COUNTIF($E25:$E28,$A$3))</f>
        <v>0</v>
      </c>
      <c r="BT28" s="53" t="n">
        <f aca="false">IF($F28="","",COUNTIF($F25:$F28,BP$21)+COUNTIF($F25:$F28,$A$3))</f>
        <v>0</v>
      </c>
    </row>
    <row r="29" customFormat="false" ht="15" hidden="false" customHeight="false" outlineLevel="0" collapsed="false">
      <c r="A29" s="13" t="n">
        <v>7</v>
      </c>
      <c r="B29" s="116" t="str">
        <f aca="false">IF('Game Info'!J12="","",'Game Info'!J12)</f>
        <v>SYM1</v>
      </c>
      <c r="C29" s="116" t="str">
        <f aca="false">IF('Game Info'!K12="","",'Game Info'!K12)</f>
        <v>A</v>
      </c>
      <c r="D29" s="116" t="str">
        <f aca="false">IF('Game Info'!L12="","",'Game Info'!L12)</f>
        <v>WILD</v>
      </c>
      <c r="E29" s="116" t="n">
        <f aca="false">IF('Game Info'!M12="","",'Game Info'!M12)</f>
        <v>9</v>
      </c>
      <c r="F29" s="117" t="n">
        <f aca="false">IF('Game Info'!N12="","",'Game Info'!N12)</f>
        <v>9</v>
      </c>
      <c r="H29" s="65" t="n">
        <f aca="false">IF($B29="","",COUNTIF($B26:$B29,H$21)+COUNTIF($B26:$B29,$A$3))</f>
        <v>1</v>
      </c>
      <c r="I29" s="52" t="n">
        <f aca="false">IF($C29="","",COUNTIF($C26:$C29,H$21)+COUNTIF($C26:$C29,$A$3))</f>
        <v>1</v>
      </c>
      <c r="J29" s="52" t="n">
        <f aca="false">IF($D29="","",COUNTIF($D26:$D29,H$21)+COUNTIF($D26:$D29,$A$3))</f>
        <v>1</v>
      </c>
      <c r="K29" s="52" t="n">
        <f aca="false">IF($E29="","",COUNTIF($E26:$E29,H$21)+COUNTIF($E26:$E29,$A$3))</f>
        <v>0</v>
      </c>
      <c r="L29" s="53" t="n">
        <f aca="false">IF($F29="","",COUNTIF($F26:$F29,H$21)+COUNTIF($F26:$F29,$A$3))</f>
        <v>0</v>
      </c>
      <c r="N29" s="65" t="n">
        <f aca="false">IF($B29="","",COUNTIF($B26:$B29,N$21)+COUNTIF($B26:$B29,$A$3))</f>
        <v>1</v>
      </c>
      <c r="O29" s="52" t="n">
        <f aca="false">IF($C29="","",COUNTIF($C26:$C29,N$21)+COUNTIF($C26:$C29,$A$3))</f>
        <v>0</v>
      </c>
      <c r="P29" s="52" t="n">
        <f aca="false">IF($D29="","",COUNTIF($D26:$D29,N$21)+COUNTIF($D26:$D29,$A$3))</f>
        <v>1</v>
      </c>
      <c r="Q29" s="52" t="n">
        <f aca="false">IF($E29="","",COUNTIF($E26:$E29,N$21)+COUNTIF($E26:$E29,$A$3))</f>
        <v>3</v>
      </c>
      <c r="R29" s="53" t="n">
        <f aca="false">IF($F29="","",COUNTIF($F26:$F29,N$21)+COUNTIF($F26:$F29,$A$3))</f>
        <v>0</v>
      </c>
      <c r="T29" s="65" t="n">
        <f aca="false">IF($B29="","",COUNTIF($B26:$B29,T$21)+COUNTIF($B26:$B29,$A$3))</f>
        <v>0</v>
      </c>
      <c r="U29" s="52" t="n">
        <f aca="false">IF($C29="","",COUNTIF($C26:$C29,T$21)+COUNTIF($C26:$C29,$A$3))</f>
        <v>0</v>
      </c>
      <c r="V29" s="52" t="n">
        <f aca="false">IF($D29="","",COUNTIF($D26:$D29,T$21)+COUNTIF($D26:$D29,$A$3))</f>
        <v>1</v>
      </c>
      <c r="W29" s="52" t="n">
        <f aca="false">IF($E29="","",COUNTIF($E26:$E29,T$21)+COUNTIF($E26:$E29,$A$3))</f>
        <v>0</v>
      </c>
      <c r="X29" s="53" t="n">
        <f aca="false">IF($F29="","",COUNTIF($F26:$F29,T$21)+COUNTIF($F26:$F29,$A$3))</f>
        <v>1</v>
      </c>
      <c r="Z29" s="65" t="n">
        <f aca="false">IF($B29="","",COUNTIF($B26:$B29,Z$21)+COUNTIF($B26:$B29,$A$3))</f>
        <v>0</v>
      </c>
      <c r="AA29" s="52" t="n">
        <f aca="false">IF($C29="","",COUNTIF($C26:$C29,Z$21)+COUNTIF($C26:$C29,$A$3))</f>
        <v>0</v>
      </c>
      <c r="AB29" s="52" t="n">
        <f aca="false">IF($D29="","",COUNTIF($D26:$D29,Z$21)+COUNTIF($D26:$D29,$A$3))</f>
        <v>1</v>
      </c>
      <c r="AC29" s="52" t="n">
        <f aca="false">IF($E29="","",COUNTIF($E26:$E29,Z$21)+COUNTIF($E26:$E29,$A$3))</f>
        <v>0</v>
      </c>
      <c r="AD29" s="53" t="n">
        <f aca="false">IF($F29="","",COUNTIF($F26:$F29,Z$21)+COUNTIF($F26:$F29,$A$3))</f>
        <v>0</v>
      </c>
      <c r="AF29" s="65" t="n">
        <f aca="false">IF($B29="","",COUNTIF($B26:$B29,AF$21)+COUNTIF($B26:$B29,$A$3))</f>
        <v>0</v>
      </c>
      <c r="AG29" s="52" t="n">
        <f aca="false">IF($C29="","",COUNTIF($C26:$C29,AF$21)+COUNTIF($C26:$C29,$A$3))</f>
        <v>0</v>
      </c>
      <c r="AH29" s="52" t="n">
        <f aca="false">IF($D29="","",COUNTIF($D26:$D29,AF$21)+COUNTIF($D26:$D29,$A$3))</f>
        <v>2</v>
      </c>
      <c r="AI29" s="52" t="n">
        <f aca="false">IF($E29="","",COUNTIF($E26:$E29,AF$21)+COUNTIF($E26:$E29,$A$3))</f>
        <v>0</v>
      </c>
      <c r="AJ29" s="53" t="n">
        <f aca="false">IF($F29="","",COUNTIF($F26:$F29,AF$21)+COUNTIF($F26:$F29,$A$3))</f>
        <v>0</v>
      </c>
      <c r="AL29" s="65" t="n">
        <f aca="false">IF($B29="","",COUNTIF($B26:$B29,AL$21)+COUNTIF($B26:$B29,$A$3))</f>
        <v>0</v>
      </c>
      <c r="AM29" s="52" t="n">
        <f aca="false">IF($C29="","",COUNTIF($C26:$C29,AL$21)+COUNTIF($C26:$C29,$A$3))</f>
        <v>1</v>
      </c>
      <c r="AN29" s="52" t="n">
        <f aca="false">IF($D29="","",COUNTIF($D26:$D29,AL$21)+COUNTIF($D26:$D29,$A$3))</f>
        <v>1</v>
      </c>
      <c r="AO29" s="52" t="n">
        <f aca="false">IF($E29="","",COUNTIF($E26:$E29,AL$21)+COUNTIF($E26:$E29,$A$3))</f>
        <v>0</v>
      </c>
      <c r="AP29" s="53" t="n">
        <f aca="false">IF($F29="","",COUNTIF($F26:$F29,AL$21)+COUNTIF($F26:$F29,$A$3))</f>
        <v>0</v>
      </c>
      <c r="AR29" s="65" t="n">
        <f aca="false">IF($B29="","",COUNTIF($B26:$B29,AR$21)+COUNTIF($B26:$B29,$A$3))</f>
        <v>0</v>
      </c>
      <c r="AS29" s="52" t="n">
        <f aca="false">IF($C29="","",COUNTIF($C26:$C29,AR$21)+COUNTIF($C26:$C29,$A$3))</f>
        <v>1</v>
      </c>
      <c r="AT29" s="52" t="n">
        <f aca="false">IF($D29="","",COUNTIF($D26:$D29,AR$21)+COUNTIF($D26:$D29,$A$3))</f>
        <v>1</v>
      </c>
      <c r="AU29" s="52" t="n">
        <f aca="false">IF($E29="","",COUNTIF($E26:$E29,AR$21)+COUNTIF($E26:$E29,$A$3))</f>
        <v>0</v>
      </c>
      <c r="AV29" s="53" t="n">
        <f aca="false">IF($F29="","",COUNTIF($F26:$F29,AR$21)+COUNTIF($F26:$F29,$A$3))</f>
        <v>1</v>
      </c>
      <c r="AX29" s="65" t="n">
        <f aca="false">IF($B29="","",COUNTIF($B26:$B29,AX$21)+COUNTIF($B26:$B29,$A$3))</f>
        <v>1</v>
      </c>
      <c r="AY29" s="52" t="n">
        <f aca="false">IF($C29="","",COUNTIF($C26:$C29,AX$21)+COUNTIF($C26:$C29,$A$3))</f>
        <v>0</v>
      </c>
      <c r="AZ29" s="52" t="n">
        <f aca="false">IF($D29="","",COUNTIF($D26:$D29,AX$21)+COUNTIF($D26:$D29,$A$3))</f>
        <v>2</v>
      </c>
      <c r="BA29" s="52" t="n">
        <f aca="false">IF($E29="","",COUNTIF($E26:$E29,AX$21)+COUNTIF($E26:$E29,$A$3))</f>
        <v>0</v>
      </c>
      <c r="BB29" s="53" t="n">
        <f aca="false">IF($F29="","",COUNTIF($F26:$F29,AX$21)+COUNTIF($F26:$F29,$A$3))</f>
        <v>0</v>
      </c>
      <c r="BD29" s="65" t="n">
        <f aca="false">IF($B29="","",COUNTIF($B26:$B29,BD$21)+COUNTIF($B26:$B29,$A$3))</f>
        <v>0</v>
      </c>
      <c r="BE29" s="52" t="n">
        <f aca="false">IF($C29="","",COUNTIF($C26:$C29,BD$21)+COUNTIF($C26:$C29,$A$3))</f>
        <v>1</v>
      </c>
      <c r="BF29" s="52" t="n">
        <f aca="false">IF($D29="","",COUNTIF($D26:$D29,BD$21)+COUNTIF($D26:$D29,$A$3))</f>
        <v>2</v>
      </c>
      <c r="BG29" s="52" t="n">
        <f aca="false">IF($E29="","",COUNTIF($E26:$E29,BD$21)+COUNTIF($E26:$E29,$A$3))</f>
        <v>0</v>
      </c>
      <c r="BH29" s="53" t="n">
        <f aca="false">IF($F29="","",COUNTIF($F26:$F29,BD$21)+COUNTIF($F26:$F29,$A$3))</f>
        <v>1</v>
      </c>
      <c r="BJ29" s="65" t="n">
        <f aca="false">IF($B29="","",COUNTIF($B26:$B29,BJ$21)+COUNTIF($B26:$B29,$A$3))</f>
        <v>1</v>
      </c>
      <c r="BK29" s="52" t="n">
        <f aca="false">IF($C29="","",COUNTIF($C26:$C29,BJ$21)+COUNTIF($C26:$C29,$A$3))</f>
        <v>0</v>
      </c>
      <c r="BL29" s="52" t="n">
        <f aca="false">IF($D29="","",COUNTIF($D26:$D29,BJ$21)+COUNTIF($D26:$D29,$A$3))</f>
        <v>1</v>
      </c>
      <c r="BM29" s="52" t="n">
        <f aca="false">IF($E29="","",COUNTIF($E26:$E29,BJ$21)+COUNTIF($E26:$E29,$A$3))</f>
        <v>0</v>
      </c>
      <c r="BN29" s="53" t="n">
        <f aca="false">IF($F29="","",COUNTIF($F26:$F29,BJ$21)+COUNTIF($F26:$F29,$A$3))</f>
        <v>0</v>
      </c>
      <c r="BP29" s="65" t="n">
        <f aca="false">IF($B29="","",COUNTIF($B26:$B29,BP$21)+COUNTIF($B26:$B29,$A$3))</f>
        <v>0</v>
      </c>
      <c r="BQ29" s="52" t="n">
        <f aca="false">IF($C29="","",COUNTIF($C26:$C29,BP$21)+COUNTIF($C26:$C29,$A$3))</f>
        <v>0</v>
      </c>
      <c r="BR29" s="52" t="n">
        <f aca="false">IF($D29="","",COUNTIF($D26:$D29,BP$21)+COUNTIF($D26:$D29,$A$3))</f>
        <v>1</v>
      </c>
      <c r="BS29" s="52" t="n">
        <f aca="false">IF($E29="","",COUNTIF($E26:$E29,BP$21)+COUNTIF($E26:$E29,$A$3))</f>
        <v>1</v>
      </c>
      <c r="BT29" s="53" t="n">
        <f aca="false">IF($F29="","",COUNTIF($F26:$F29,BP$21)+COUNTIF($F26:$F29,$A$3))</f>
        <v>1</v>
      </c>
    </row>
    <row r="30" customFormat="false" ht="15" hidden="false" customHeight="false" outlineLevel="0" collapsed="false">
      <c r="A30" s="13" t="n">
        <v>8</v>
      </c>
      <c r="B30" s="116" t="str">
        <f aca="false">IF('Game Info'!J13="","",'Game Info'!J13)</f>
        <v>SYM5</v>
      </c>
      <c r="C30" s="116" t="str">
        <f aca="false">IF('Game Info'!K13="","",'Game Info'!K13)</f>
        <v>SYM3</v>
      </c>
      <c r="D30" s="116" t="str">
        <f aca="false">IF('Game Info'!L13="","",'Game Info'!L13)</f>
        <v>Q</v>
      </c>
      <c r="E30" s="116" t="str">
        <f aca="false">IF('Game Info'!M13="","",'Game Info'!M13)</f>
        <v>Q</v>
      </c>
      <c r="F30" s="117" t="str">
        <f aca="false">IF('Game Info'!N13="","",'Game Info'!N13)</f>
        <v>SYM1</v>
      </c>
      <c r="H30" s="65" t="n">
        <f aca="false">IF($B30="","",COUNTIF($B27:$B30,H$21)+COUNTIF($B27:$B30,$A$3))</f>
        <v>1</v>
      </c>
      <c r="I30" s="52" t="n">
        <f aca="false">IF($C30="","",COUNTIF($C27:$C30,H$21)+COUNTIF($C27:$C30,$A$3))</f>
        <v>1</v>
      </c>
      <c r="J30" s="52" t="n">
        <f aca="false">IF($D30="","",COUNTIF($D27:$D30,H$21)+COUNTIF($D27:$D30,$A$3))</f>
        <v>1</v>
      </c>
      <c r="K30" s="52" t="n">
        <f aca="false">IF($E30="","",COUNTIF($E27:$E30,H$21)+COUNTIF($E27:$E30,$A$3))</f>
        <v>0</v>
      </c>
      <c r="L30" s="53" t="n">
        <f aca="false">IF($F30="","",COUNTIF($F27:$F30,H$21)+COUNTIF($F27:$F30,$A$3))</f>
        <v>1</v>
      </c>
      <c r="N30" s="65" t="n">
        <f aca="false">IF($B30="","",COUNTIF($B27:$B30,N$21)+COUNTIF($B27:$B30,$A$3))</f>
        <v>0</v>
      </c>
      <c r="O30" s="52" t="n">
        <f aca="false">IF($C30="","",COUNTIF($C27:$C30,N$21)+COUNTIF($C27:$C30,$A$3))</f>
        <v>0</v>
      </c>
      <c r="P30" s="52" t="n">
        <f aca="false">IF($D30="","",COUNTIF($D27:$D30,N$21)+COUNTIF($D27:$D30,$A$3))</f>
        <v>1</v>
      </c>
      <c r="Q30" s="52" t="n">
        <f aca="false">IF($E30="","",COUNTIF($E27:$E30,N$21)+COUNTIF($E27:$E30,$A$3))</f>
        <v>2</v>
      </c>
      <c r="R30" s="53" t="n">
        <f aca="false">IF($F30="","",COUNTIF($F27:$F30,N$21)+COUNTIF($F27:$F30,$A$3))</f>
        <v>0</v>
      </c>
      <c r="T30" s="65" t="n">
        <f aca="false">IF($B30="","",COUNTIF($B27:$B30,T$21)+COUNTIF($B27:$B30,$A$3))</f>
        <v>0</v>
      </c>
      <c r="U30" s="52" t="n">
        <f aca="false">IF($C30="","",COUNTIF($C27:$C30,T$21)+COUNTIF($C27:$C30,$A$3))</f>
        <v>1</v>
      </c>
      <c r="V30" s="52" t="n">
        <f aca="false">IF($D30="","",COUNTIF($D27:$D30,T$21)+COUNTIF($D27:$D30,$A$3))</f>
        <v>1</v>
      </c>
      <c r="W30" s="52" t="n">
        <f aca="false">IF($E30="","",COUNTIF($E27:$E30,T$21)+COUNTIF($E27:$E30,$A$3))</f>
        <v>0</v>
      </c>
      <c r="X30" s="53" t="n">
        <f aca="false">IF($F30="","",COUNTIF($F27:$F30,T$21)+COUNTIF($F27:$F30,$A$3))</f>
        <v>1</v>
      </c>
      <c r="Z30" s="65" t="n">
        <f aca="false">IF($B30="","",COUNTIF($B27:$B30,Z$21)+COUNTIF($B27:$B30,$A$3))</f>
        <v>0</v>
      </c>
      <c r="AA30" s="52" t="n">
        <f aca="false">IF($C30="","",COUNTIF($C27:$C30,Z$21)+COUNTIF($C27:$C30,$A$3))</f>
        <v>0</v>
      </c>
      <c r="AB30" s="52" t="n">
        <f aca="false">IF($D30="","",COUNTIF($D27:$D30,Z$21)+COUNTIF($D27:$D30,$A$3))</f>
        <v>1</v>
      </c>
      <c r="AC30" s="52" t="n">
        <f aca="false">IF($E30="","",COUNTIF($E27:$E30,Z$21)+COUNTIF($E27:$E30,$A$3))</f>
        <v>0</v>
      </c>
      <c r="AD30" s="53" t="n">
        <f aca="false">IF($F30="","",COUNTIF($F27:$F30,Z$21)+COUNTIF($F27:$F30,$A$3))</f>
        <v>0</v>
      </c>
      <c r="AF30" s="65" t="n">
        <f aca="false">IF($B30="","",COUNTIF($B27:$B30,AF$21)+COUNTIF($B27:$B30,$A$3))</f>
        <v>1</v>
      </c>
      <c r="AG30" s="52" t="n">
        <f aca="false">IF($C30="","",COUNTIF($C27:$C30,AF$21)+COUNTIF($C27:$C30,$A$3))</f>
        <v>0</v>
      </c>
      <c r="AH30" s="52" t="n">
        <f aca="false">IF($D30="","",COUNTIF($D27:$D30,AF$21)+COUNTIF($D27:$D30,$A$3))</f>
        <v>2</v>
      </c>
      <c r="AI30" s="52" t="n">
        <f aca="false">IF($E30="","",COUNTIF($E27:$E30,AF$21)+COUNTIF($E27:$E30,$A$3))</f>
        <v>0</v>
      </c>
      <c r="AJ30" s="53" t="n">
        <f aca="false">IF($F30="","",COUNTIF($F27:$F30,AF$21)+COUNTIF($F27:$F30,$A$3))</f>
        <v>0</v>
      </c>
      <c r="AL30" s="65" t="n">
        <f aca="false">IF($B30="","",COUNTIF($B27:$B30,AL$21)+COUNTIF($B27:$B30,$A$3))</f>
        <v>0</v>
      </c>
      <c r="AM30" s="52" t="n">
        <f aca="false">IF($C30="","",COUNTIF($C27:$C30,AL$21)+COUNTIF($C27:$C30,$A$3))</f>
        <v>1</v>
      </c>
      <c r="AN30" s="52" t="n">
        <f aca="false">IF($D30="","",COUNTIF($D27:$D30,AL$21)+COUNTIF($D27:$D30,$A$3))</f>
        <v>1</v>
      </c>
      <c r="AO30" s="52" t="n">
        <f aca="false">IF($E30="","",COUNTIF($E27:$E30,AL$21)+COUNTIF($E27:$E30,$A$3))</f>
        <v>0</v>
      </c>
      <c r="AP30" s="53" t="n">
        <f aca="false">IF($F30="","",COUNTIF($F27:$F30,AL$21)+COUNTIF($F27:$F30,$A$3))</f>
        <v>0</v>
      </c>
      <c r="AR30" s="65" t="n">
        <f aca="false">IF($B30="","",COUNTIF($B27:$B30,AR$21)+COUNTIF($B27:$B30,$A$3))</f>
        <v>0</v>
      </c>
      <c r="AS30" s="52" t="n">
        <f aca="false">IF($C30="","",COUNTIF($C27:$C30,AR$21)+COUNTIF($C27:$C30,$A$3))</f>
        <v>1</v>
      </c>
      <c r="AT30" s="52" t="n">
        <f aca="false">IF($D30="","",COUNTIF($D27:$D30,AR$21)+COUNTIF($D27:$D30,$A$3))</f>
        <v>1</v>
      </c>
      <c r="AU30" s="52" t="n">
        <f aca="false">IF($E30="","",COUNTIF($E27:$E30,AR$21)+COUNTIF($E27:$E30,$A$3))</f>
        <v>0</v>
      </c>
      <c r="AV30" s="53" t="n">
        <f aca="false">IF($F30="","",COUNTIF($F27:$F30,AR$21)+COUNTIF($F27:$F30,$A$3))</f>
        <v>0</v>
      </c>
      <c r="AX30" s="65" t="n">
        <f aca="false">IF($B30="","",COUNTIF($B27:$B30,AX$21)+COUNTIF($B27:$B30,$A$3))</f>
        <v>1</v>
      </c>
      <c r="AY30" s="52" t="n">
        <f aca="false">IF($C30="","",COUNTIF($C27:$C30,AX$21)+COUNTIF($C27:$C30,$A$3))</f>
        <v>0</v>
      </c>
      <c r="AZ30" s="52" t="n">
        <f aca="false">IF($D30="","",COUNTIF($D27:$D30,AX$21)+COUNTIF($D27:$D30,$A$3))</f>
        <v>2</v>
      </c>
      <c r="BA30" s="52" t="n">
        <f aca="false">IF($E30="","",COUNTIF($E27:$E30,AX$21)+COUNTIF($E27:$E30,$A$3))</f>
        <v>1</v>
      </c>
      <c r="BB30" s="53" t="n">
        <f aca="false">IF($F30="","",COUNTIF($F27:$F30,AX$21)+COUNTIF($F27:$F30,$A$3))</f>
        <v>0</v>
      </c>
      <c r="BD30" s="65" t="n">
        <f aca="false">IF($B30="","",COUNTIF($B27:$B30,BD$21)+COUNTIF($B27:$B30,$A$3))</f>
        <v>0</v>
      </c>
      <c r="BE30" s="52" t="n">
        <f aca="false">IF($C30="","",COUNTIF($C27:$C30,BD$21)+COUNTIF($C27:$C30,$A$3))</f>
        <v>0</v>
      </c>
      <c r="BF30" s="52" t="n">
        <f aca="false">IF($D30="","",COUNTIF($D27:$D30,BD$21)+COUNTIF($D27:$D30,$A$3))</f>
        <v>2</v>
      </c>
      <c r="BG30" s="52" t="n">
        <f aca="false">IF($E30="","",COUNTIF($E27:$E30,BD$21)+COUNTIF($E27:$E30,$A$3))</f>
        <v>0</v>
      </c>
      <c r="BH30" s="53" t="n">
        <f aca="false">IF($F30="","",COUNTIF($F27:$F30,BD$21)+COUNTIF($F27:$F30,$A$3))</f>
        <v>1</v>
      </c>
      <c r="BJ30" s="65" t="n">
        <f aca="false">IF($B30="","",COUNTIF($B27:$B30,BJ$21)+COUNTIF($B27:$B30,$A$3))</f>
        <v>1</v>
      </c>
      <c r="BK30" s="52" t="n">
        <f aca="false">IF($C30="","",COUNTIF($C27:$C30,BJ$21)+COUNTIF($C27:$C30,$A$3))</f>
        <v>0</v>
      </c>
      <c r="BL30" s="52" t="n">
        <f aca="false">IF($D30="","",COUNTIF($D27:$D30,BJ$21)+COUNTIF($D27:$D30,$A$3))</f>
        <v>1</v>
      </c>
      <c r="BM30" s="52" t="n">
        <f aca="false">IF($E30="","",COUNTIF($E27:$E30,BJ$21)+COUNTIF($E27:$E30,$A$3))</f>
        <v>0</v>
      </c>
      <c r="BN30" s="53" t="n">
        <f aca="false">IF($F30="","",COUNTIF($F27:$F30,BJ$21)+COUNTIF($F27:$F30,$A$3))</f>
        <v>0</v>
      </c>
      <c r="BP30" s="65" t="n">
        <f aca="false">IF($B30="","",COUNTIF($B27:$B30,BP$21)+COUNTIF($B27:$B30,$A$3))</f>
        <v>0</v>
      </c>
      <c r="BQ30" s="52" t="n">
        <f aca="false">IF($C30="","",COUNTIF($C27:$C30,BP$21)+COUNTIF($C27:$C30,$A$3))</f>
        <v>0</v>
      </c>
      <c r="BR30" s="52" t="n">
        <f aca="false">IF($D30="","",COUNTIF($D27:$D30,BP$21)+COUNTIF($D27:$D30,$A$3))</f>
        <v>1</v>
      </c>
      <c r="BS30" s="52" t="n">
        <f aca="false">IF($E30="","",COUNTIF($E27:$E30,BP$21)+COUNTIF($E27:$E30,$A$3))</f>
        <v>1</v>
      </c>
      <c r="BT30" s="53" t="n">
        <f aca="false">IF($F30="","",COUNTIF($F27:$F30,BP$21)+COUNTIF($F27:$F30,$A$3))</f>
        <v>1</v>
      </c>
    </row>
    <row r="31" customFormat="false" ht="15" hidden="false" customHeight="false" outlineLevel="0" collapsed="false">
      <c r="A31" s="13" t="n">
        <v>9</v>
      </c>
      <c r="B31" s="116" t="str">
        <f aca="false">IF('Game Info'!J14="","",'Game Info'!J14)</f>
        <v>FG</v>
      </c>
      <c r="C31" s="116" t="n">
        <f aca="false">IF('Game Info'!K14="","",'Game Info'!K14)</f>
        <v>10</v>
      </c>
      <c r="D31" s="116" t="str">
        <f aca="false">IF('Game Info'!L14="","",'Game Info'!L14)</f>
        <v>SYM5</v>
      </c>
      <c r="E31" s="116" t="str">
        <f aca="false">IF('Game Info'!M14="","",'Game Info'!M14)</f>
        <v>SYM5</v>
      </c>
      <c r="F31" s="117" t="str">
        <f aca="false">IF('Game Info'!N14="","",'Game Info'!N14)</f>
        <v>Q</v>
      </c>
      <c r="H31" s="65" t="n">
        <f aca="false">IF($B31="","",COUNTIF($B28:$B31,H$21)+COUNTIF($B28:$B31,$A$3))</f>
        <v>1</v>
      </c>
      <c r="I31" s="52" t="n">
        <f aca="false">IF($C31="","",COUNTIF($C28:$C31,H$21)+COUNTIF($C28:$C31,$A$3))</f>
        <v>1</v>
      </c>
      <c r="J31" s="52" t="n">
        <f aca="false">IF($D31="","",COUNTIF($D28:$D31,H$21)+COUNTIF($D28:$D31,$A$3))</f>
        <v>1</v>
      </c>
      <c r="K31" s="52" t="n">
        <f aca="false">IF($E31="","",COUNTIF($E28:$E31,H$21)+COUNTIF($E28:$E31,$A$3))</f>
        <v>0</v>
      </c>
      <c r="L31" s="53" t="n">
        <f aca="false">IF($F31="","",COUNTIF($F28:$F31,H$21)+COUNTIF($F28:$F31,$A$3))</f>
        <v>1</v>
      </c>
      <c r="N31" s="65" t="n">
        <f aca="false">IF($B31="","",COUNTIF($B28:$B31,N$21)+COUNTIF($B28:$B31,$A$3))</f>
        <v>0</v>
      </c>
      <c r="O31" s="52" t="n">
        <f aca="false">IF($C31="","",COUNTIF($C28:$C31,N$21)+COUNTIF($C28:$C31,$A$3))</f>
        <v>0</v>
      </c>
      <c r="P31" s="52" t="n">
        <f aca="false">IF($D31="","",COUNTIF($D28:$D31,N$21)+COUNTIF($D28:$D31,$A$3))</f>
        <v>1</v>
      </c>
      <c r="Q31" s="52" t="n">
        <f aca="false">IF($E31="","",COUNTIF($E28:$E31,N$21)+COUNTIF($E28:$E31,$A$3))</f>
        <v>1</v>
      </c>
      <c r="R31" s="53" t="n">
        <f aca="false">IF($F31="","",COUNTIF($F28:$F31,N$21)+COUNTIF($F28:$F31,$A$3))</f>
        <v>0</v>
      </c>
      <c r="T31" s="65" t="n">
        <f aca="false">IF($B31="","",COUNTIF($B28:$B31,T$21)+COUNTIF($B28:$B31,$A$3))</f>
        <v>0</v>
      </c>
      <c r="U31" s="52" t="n">
        <f aca="false">IF($C31="","",COUNTIF($C28:$C31,T$21)+COUNTIF($C28:$C31,$A$3))</f>
        <v>1</v>
      </c>
      <c r="V31" s="52" t="n">
        <f aca="false">IF($D31="","",COUNTIF($D28:$D31,T$21)+COUNTIF($D28:$D31,$A$3))</f>
        <v>1</v>
      </c>
      <c r="W31" s="52" t="n">
        <f aca="false">IF($E31="","",COUNTIF($E28:$E31,T$21)+COUNTIF($E28:$E31,$A$3))</f>
        <v>0</v>
      </c>
      <c r="X31" s="53" t="n">
        <f aca="false">IF($F31="","",COUNTIF($F28:$F31,T$21)+COUNTIF($F28:$F31,$A$3))</f>
        <v>1</v>
      </c>
      <c r="Z31" s="65" t="n">
        <f aca="false">IF($B31="","",COUNTIF($B28:$B31,Z$21)+COUNTIF($B28:$B31,$A$3))</f>
        <v>0</v>
      </c>
      <c r="AA31" s="52" t="n">
        <f aca="false">IF($C31="","",COUNTIF($C28:$C31,Z$21)+COUNTIF($C28:$C31,$A$3))</f>
        <v>0</v>
      </c>
      <c r="AB31" s="52" t="n">
        <f aca="false">IF($D31="","",COUNTIF($D28:$D31,Z$21)+COUNTIF($D28:$D31,$A$3))</f>
        <v>1</v>
      </c>
      <c r="AC31" s="52" t="n">
        <f aca="false">IF($E31="","",COUNTIF($E28:$E31,Z$21)+COUNTIF($E28:$E31,$A$3))</f>
        <v>0</v>
      </c>
      <c r="AD31" s="53" t="n">
        <f aca="false">IF($F31="","",COUNTIF($F28:$F31,Z$21)+COUNTIF($F28:$F31,$A$3))</f>
        <v>0</v>
      </c>
      <c r="AF31" s="65" t="n">
        <f aca="false">IF($B31="","",COUNTIF($B28:$B31,AF$21)+COUNTIF($B28:$B31,$A$3))</f>
        <v>1</v>
      </c>
      <c r="AG31" s="52" t="n">
        <f aca="false">IF($C31="","",COUNTIF($C28:$C31,AF$21)+COUNTIF($C28:$C31,$A$3))</f>
        <v>0</v>
      </c>
      <c r="AH31" s="52" t="n">
        <f aca="false">IF($D31="","",COUNTIF($D28:$D31,AF$21)+COUNTIF($D28:$D31,$A$3))</f>
        <v>2</v>
      </c>
      <c r="AI31" s="52" t="n">
        <f aca="false">IF($E31="","",COUNTIF($E28:$E31,AF$21)+COUNTIF($E28:$E31,$A$3))</f>
        <v>1</v>
      </c>
      <c r="AJ31" s="53" t="n">
        <f aca="false">IF($F31="","",COUNTIF($F28:$F31,AF$21)+COUNTIF($F28:$F31,$A$3))</f>
        <v>0</v>
      </c>
      <c r="AL31" s="65" t="n">
        <f aca="false">IF($B31="","",COUNTIF($B28:$B31,AL$21)+COUNTIF($B28:$B31,$A$3))</f>
        <v>0</v>
      </c>
      <c r="AM31" s="52" t="n">
        <f aca="false">IF($C31="","",COUNTIF($C28:$C31,AL$21)+COUNTIF($C28:$C31,$A$3))</f>
        <v>1</v>
      </c>
      <c r="AN31" s="52" t="n">
        <f aca="false">IF($D31="","",COUNTIF($D28:$D31,AL$21)+COUNTIF($D28:$D31,$A$3))</f>
        <v>1</v>
      </c>
      <c r="AO31" s="52" t="n">
        <f aca="false">IF($E31="","",COUNTIF($E28:$E31,AL$21)+COUNTIF($E28:$E31,$A$3))</f>
        <v>0</v>
      </c>
      <c r="AP31" s="53" t="n">
        <f aca="false">IF($F31="","",COUNTIF($F28:$F31,AL$21)+COUNTIF($F28:$F31,$A$3))</f>
        <v>0</v>
      </c>
      <c r="AR31" s="65" t="n">
        <f aca="false">IF($B31="","",COUNTIF($B28:$B31,AR$21)+COUNTIF($B28:$B31,$A$3))</f>
        <v>0</v>
      </c>
      <c r="AS31" s="52" t="n">
        <f aca="false">IF($C31="","",COUNTIF($C28:$C31,AR$21)+COUNTIF($C28:$C31,$A$3))</f>
        <v>0</v>
      </c>
      <c r="AT31" s="52" t="n">
        <f aca="false">IF($D31="","",COUNTIF($D28:$D31,AR$21)+COUNTIF($D28:$D31,$A$3))</f>
        <v>1</v>
      </c>
      <c r="AU31" s="52" t="n">
        <f aca="false">IF($E31="","",COUNTIF($E28:$E31,AR$21)+COUNTIF($E28:$E31,$A$3))</f>
        <v>0</v>
      </c>
      <c r="AV31" s="53" t="n">
        <f aca="false">IF($F31="","",COUNTIF($F28:$F31,AR$21)+COUNTIF($F28:$F31,$A$3))</f>
        <v>0</v>
      </c>
      <c r="AX31" s="65" t="n">
        <f aca="false">IF($B31="","",COUNTIF($B28:$B31,AX$21)+COUNTIF($B28:$B31,$A$3))</f>
        <v>0</v>
      </c>
      <c r="AY31" s="52" t="n">
        <f aca="false">IF($C31="","",COUNTIF($C28:$C31,AX$21)+COUNTIF($C28:$C31,$A$3))</f>
        <v>0</v>
      </c>
      <c r="AZ31" s="52" t="n">
        <f aca="false">IF($D31="","",COUNTIF($D28:$D31,AX$21)+COUNTIF($D28:$D31,$A$3))</f>
        <v>2</v>
      </c>
      <c r="BA31" s="52" t="n">
        <f aca="false">IF($E31="","",COUNTIF($E28:$E31,AX$21)+COUNTIF($E28:$E31,$A$3))</f>
        <v>1</v>
      </c>
      <c r="BB31" s="53" t="n">
        <f aca="false">IF($F31="","",COUNTIF($F28:$F31,AX$21)+COUNTIF($F28:$F31,$A$3))</f>
        <v>1</v>
      </c>
      <c r="BD31" s="65" t="n">
        <f aca="false">IF($B31="","",COUNTIF($B28:$B31,BD$21)+COUNTIF($B28:$B31,$A$3))</f>
        <v>0</v>
      </c>
      <c r="BE31" s="52" t="n">
        <f aca="false">IF($C31="","",COUNTIF($C28:$C31,BD$21)+COUNTIF($C28:$C31,$A$3))</f>
        <v>0</v>
      </c>
      <c r="BF31" s="52" t="n">
        <f aca="false">IF($D31="","",COUNTIF($D28:$D31,BD$21)+COUNTIF($D28:$D31,$A$3))</f>
        <v>2</v>
      </c>
      <c r="BG31" s="52" t="n">
        <f aca="false">IF($E31="","",COUNTIF($E28:$E31,BD$21)+COUNTIF($E28:$E31,$A$3))</f>
        <v>0</v>
      </c>
      <c r="BH31" s="53" t="n">
        <f aca="false">IF($F31="","",COUNTIF($F28:$F31,BD$21)+COUNTIF($F28:$F31,$A$3))</f>
        <v>0</v>
      </c>
      <c r="BJ31" s="65" t="n">
        <f aca="false">IF($B31="","",COUNTIF($B28:$B31,BJ$21)+COUNTIF($B28:$B31,$A$3))</f>
        <v>1</v>
      </c>
      <c r="BK31" s="52" t="n">
        <f aca="false">IF($C31="","",COUNTIF($C28:$C31,BJ$21)+COUNTIF($C28:$C31,$A$3))</f>
        <v>1</v>
      </c>
      <c r="BL31" s="52" t="n">
        <f aca="false">IF($D31="","",COUNTIF($D28:$D31,BJ$21)+COUNTIF($D28:$D31,$A$3))</f>
        <v>1</v>
      </c>
      <c r="BM31" s="52" t="n">
        <f aca="false">IF($E31="","",COUNTIF($E28:$E31,BJ$21)+COUNTIF($E28:$E31,$A$3))</f>
        <v>0</v>
      </c>
      <c r="BN31" s="53" t="n">
        <f aca="false">IF($F31="","",COUNTIF($F28:$F31,BJ$21)+COUNTIF($F28:$F31,$A$3))</f>
        <v>0</v>
      </c>
      <c r="BP31" s="65" t="n">
        <f aca="false">IF($B31="","",COUNTIF($B28:$B31,BP$21)+COUNTIF($B28:$B31,$A$3))</f>
        <v>0</v>
      </c>
      <c r="BQ31" s="52" t="n">
        <f aca="false">IF($C31="","",COUNTIF($C28:$C31,BP$21)+COUNTIF($C28:$C31,$A$3))</f>
        <v>0</v>
      </c>
      <c r="BR31" s="52" t="n">
        <f aca="false">IF($D31="","",COUNTIF($D28:$D31,BP$21)+COUNTIF($D28:$D31,$A$3))</f>
        <v>1</v>
      </c>
      <c r="BS31" s="52" t="n">
        <f aca="false">IF($E31="","",COUNTIF($E28:$E31,BP$21)+COUNTIF($E28:$E31,$A$3))</f>
        <v>1</v>
      </c>
      <c r="BT31" s="53" t="n">
        <f aca="false">IF($F31="","",COUNTIF($F28:$F31,BP$21)+COUNTIF($F28:$F31,$A$3))</f>
        <v>1</v>
      </c>
    </row>
    <row r="32" customFormat="false" ht="15" hidden="false" customHeight="false" outlineLevel="0" collapsed="false">
      <c r="A32" s="13" t="n">
        <v>10</v>
      </c>
      <c r="B32" s="116" t="str">
        <f aca="false">IF('Game Info'!J15="","",'Game Info'!J15)</f>
        <v>A</v>
      </c>
      <c r="C32" s="116" t="str">
        <f aca="false">IF('Game Info'!K15="","",'Game Info'!K15)</f>
        <v>SYM4</v>
      </c>
      <c r="D32" s="116" t="str">
        <f aca="false">IF('Game Info'!L15="","",'Game Info'!L15)</f>
        <v>K</v>
      </c>
      <c r="E32" s="116" t="n">
        <f aca="false">IF('Game Info'!M15="","",'Game Info'!M15)</f>
        <v>9</v>
      </c>
      <c r="F32" s="117" t="n">
        <f aca="false">IF('Game Info'!N15="","",'Game Info'!N15)</f>
        <v>9</v>
      </c>
      <c r="H32" s="65" t="n">
        <f aca="false">IF($B32="","",COUNTIF($B29:$B32,H$21)+COUNTIF($B29:$B32,$A$3))</f>
        <v>1</v>
      </c>
      <c r="I32" s="52" t="n">
        <f aca="false">IF($C32="","",COUNTIF($C29:$C32,H$21)+COUNTIF($C29:$C32,$A$3))</f>
        <v>0</v>
      </c>
      <c r="J32" s="52" t="n">
        <f aca="false">IF($D32="","",COUNTIF($D29:$D32,H$21)+COUNTIF($D29:$D32,$A$3))</f>
        <v>1</v>
      </c>
      <c r="K32" s="52" t="n">
        <f aca="false">IF($E32="","",COUNTIF($E29:$E32,H$21)+COUNTIF($E29:$E32,$A$3))</f>
        <v>0</v>
      </c>
      <c r="L32" s="53" t="n">
        <f aca="false">IF($F32="","",COUNTIF($F29:$F32,H$21)+COUNTIF($F29:$F32,$A$3))</f>
        <v>1</v>
      </c>
      <c r="N32" s="65" t="n">
        <f aca="false">IF($B32="","",COUNTIF($B29:$B32,N$21)+COUNTIF($B29:$B32,$A$3))</f>
        <v>0</v>
      </c>
      <c r="O32" s="52" t="n">
        <f aca="false">IF($C32="","",COUNTIF($C29:$C32,N$21)+COUNTIF($C29:$C32,$A$3))</f>
        <v>0</v>
      </c>
      <c r="P32" s="52" t="n">
        <f aca="false">IF($D32="","",COUNTIF($D29:$D32,N$21)+COUNTIF($D29:$D32,$A$3))</f>
        <v>1</v>
      </c>
      <c r="Q32" s="52" t="n">
        <f aca="false">IF($E32="","",COUNTIF($E29:$E32,N$21)+COUNTIF($E29:$E32,$A$3))</f>
        <v>0</v>
      </c>
      <c r="R32" s="53" t="n">
        <f aca="false">IF($F32="","",COUNTIF($F29:$F32,N$21)+COUNTIF($F29:$F32,$A$3))</f>
        <v>0</v>
      </c>
      <c r="T32" s="65" t="n">
        <f aca="false">IF($B32="","",COUNTIF($B29:$B32,T$21)+COUNTIF($B29:$B32,$A$3))</f>
        <v>0</v>
      </c>
      <c r="U32" s="52" t="n">
        <f aca="false">IF($C32="","",COUNTIF($C29:$C32,T$21)+COUNTIF($C29:$C32,$A$3))</f>
        <v>1</v>
      </c>
      <c r="V32" s="52" t="n">
        <f aca="false">IF($D32="","",COUNTIF($D29:$D32,T$21)+COUNTIF($D29:$D32,$A$3))</f>
        <v>1</v>
      </c>
      <c r="W32" s="52" t="n">
        <f aca="false">IF($E32="","",COUNTIF($E29:$E32,T$21)+COUNTIF($E29:$E32,$A$3))</f>
        <v>0</v>
      </c>
      <c r="X32" s="53" t="n">
        <f aca="false">IF($F32="","",COUNTIF($F29:$F32,T$21)+COUNTIF($F29:$F32,$A$3))</f>
        <v>0</v>
      </c>
      <c r="Z32" s="65" t="n">
        <f aca="false">IF($B32="","",COUNTIF($B29:$B32,Z$21)+COUNTIF($B29:$B32,$A$3))</f>
        <v>0</v>
      </c>
      <c r="AA32" s="52" t="n">
        <f aca="false">IF($C32="","",COUNTIF($C29:$C32,Z$21)+COUNTIF($C29:$C32,$A$3))</f>
        <v>1</v>
      </c>
      <c r="AB32" s="52" t="n">
        <f aca="false">IF($D32="","",COUNTIF($D29:$D32,Z$21)+COUNTIF($D29:$D32,$A$3))</f>
        <v>1</v>
      </c>
      <c r="AC32" s="52" t="n">
        <f aca="false">IF($E32="","",COUNTIF($E29:$E32,Z$21)+COUNTIF($E29:$E32,$A$3))</f>
        <v>0</v>
      </c>
      <c r="AD32" s="53" t="n">
        <f aca="false">IF($F32="","",COUNTIF($F29:$F32,Z$21)+COUNTIF($F29:$F32,$A$3))</f>
        <v>0</v>
      </c>
      <c r="AF32" s="65" t="n">
        <f aca="false">IF($B32="","",COUNTIF($B29:$B32,AF$21)+COUNTIF($B29:$B32,$A$3))</f>
        <v>1</v>
      </c>
      <c r="AG32" s="52" t="n">
        <f aca="false">IF($C32="","",COUNTIF($C29:$C32,AF$21)+COUNTIF($C29:$C32,$A$3))</f>
        <v>0</v>
      </c>
      <c r="AH32" s="52" t="n">
        <f aca="false">IF($D32="","",COUNTIF($D29:$D32,AF$21)+COUNTIF($D29:$D32,$A$3))</f>
        <v>2</v>
      </c>
      <c r="AI32" s="52" t="n">
        <f aca="false">IF($E32="","",COUNTIF($E29:$E32,AF$21)+COUNTIF($E29:$E32,$A$3))</f>
        <v>1</v>
      </c>
      <c r="AJ32" s="53" t="n">
        <f aca="false">IF($F32="","",COUNTIF($F29:$F32,AF$21)+COUNTIF($F29:$F32,$A$3))</f>
        <v>0</v>
      </c>
      <c r="AL32" s="65" t="n">
        <f aca="false">IF($B32="","",COUNTIF($B29:$B32,AL$21)+COUNTIF($B29:$B32,$A$3))</f>
        <v>1</v>
      </c>
      <c r="AM32" s="52" t="n">
        <f aca="false">IF($C32="","",COUNTIF($C29:$C32,AL$21)+COUNTIF($C29:$C32,$A$3))</f>
        <v>1</v>
      </c>
      <c r="AN32" s="52" t="n">
        <f aca="false">IF($D32="","",COUNTIF($D29:$D32,AL$21)+COUNTIF($D29:$D32,$A$3))</f>
        <v>1</v>
      </c>
      <c r="AO32" s="52" t="n">
        <f aca="false">IF($E32="","",COUNTIF($E29:$E32,AL$21)+COUNTIF($E29:$E32,$A$3))</f>
        <v>0</v>
      </c>
      <c r="AP32" s="53" t="n">
        <f aca="false">IF($F32="","",COUNTIF($F29:$F32,AL$21)+COUNTIF($F29:$F32,$A$3))</f>
        <v>0</v>
      </c>
      <c r="AR32" s="65" t="n">
        <f aca="false">IF($B32="","",COUNTIF($B29:$B32,AR$21)+COUNTIF($B29:$B32,$A$3))</f>
        <v>0</v>
      </c>
      <c r="AS32" s="52" t="n">
        <f aca="false">IF($C32="","",COUNTIF($C29:$C32,AR$21)+COUNTIF($C29:$C32,$A$3))</f>
        <v>0</v>
      </c>
      <c r="AT32" s="52" t="n">
        <f aca="false">IF($D32="","",COUNTIF($D29:$D32,AR$21)+COUNTIF($D29:$D32,$A$3))</f>
        <v>2</v>
      </c>
      <c r="AU32" s="52" t="n">
        <f aca="false">IF($E32="","",COUNTIF($E29:$E32,AR$21)+COUNTIF($E29:$E32,$A$3))</f>
        <v>0</v>
      </c>
      <c r="AV32" s="53" t="n">
        <f aca="false">IF($F32="","",COUNTIF($F29:$F32,AR$21)+COUNTIF($F29:$F32,$A$3))</f>
        <v>0</v>
      </c>
      <c r="AX32" s="65" t="n">
        <f aca="false">IF($B32="","",COUNTIF($B29:$B32,AX$21)+COUNTIF($B29:$B32,$A$3))</f>
        <v>0</v>
      </c>
      <c r="AY32" s="52" t="n">
        <f aca="false">IF($C32="","",COUNTIF($C29:$C32,AX$21)+COUNTIF($C29:$C32,$A$3))</f>
        <v>0</v>
      </c>
      <c r="AZ32" s="52" t="n">
        <f aca="false">IF($D32="","",COUNTIF($D29:$D32,AX$21)+COUNTIF($D29:$D32,$A$3))</f>
        <v>2</v>
      </c>
      <c r="BA32" s="52" t="n">
        <f aca="false">IF($E32="","",COUNTIF($E29:$E32,AX$21)+COUNTIF($E29:$E32,$A$3))</f>
        <v>1</v>
      </c>
      <c r="BB32" s="53" t="n">
        <f aca="false">IF($F32="","",COUNTIF($F29:$F32,AX$21)+COUNTIF($F29:$F32,$A$3))</f>
        <v>1</v>
      </c>
      <c r="BD32" s="65" t="n">
        <f aca="false">IF($B32="","",COUNTIF($B29:$B32,BD$21)+COUNTIF($B29:$B32,$A$3))</f>
        <v>0</v>
      </c>
      <c r="BE32" s="52" t="n">
        <f aca="false">IF($C32="","",COUNTIF($C29:$C32,BD$21)+COUNTIF($C29:$C32,$A$3))</f>
        <v>0</v>
      </c>
      <c r="BF32" s="52" t="n">
        <f aca="false">IF($D32="","",COUNTIF($D29:$D32,BD$21)+COUNTIF($D29:$D32,$A$3))</f>
        <v>1</v>
      </c>
      <c r="BG32" s="52" t="n">
        <f aca="false">IF($E32="","",COUNTIF($E29:$E32,BD$21)+COUNTIF($E29:$E32,$A$3))</f>
        <v>0</v>
      </c>
      <c r="BH32" s="53" t="n">
        <f aca="false">IF($F32="","",COUNTIF($F29:$F32,BD$21)+COUNTIF($F29:$F32,$A$3))</f>
        <v>0</v>
      </c>
      <c r="BJ32" s="65" t="n">
        <f aca="false">IF($B32="","",COUNTIF($B29:$B32,BJ$21)+COUNTIF($B29:$B32,$A$3))</f>
        <v>0</v>
      </c>
      <c r="BK32" s="52" t="n">
        <f aca="false">IF($C32="","",COUNTIF($C29:$C32,BJ$21)+COUNTIF($C29:$C32,$A$3))</f>
        <v>1</v>
      </c>
      <c r="BL32" s="52" t="n">
        <f aca="false">IF($D32="","",COUNTIF($D29:$D32,BJ$21)+COUNTIF($D29:$D32,$A$3))</f>
        <v>1</v>
      </c>
      <c r="BM32" s="52" t="n">
        <f aca="false">IF($E32="","",COUNTIF($E29:$E32,BJ$21)+COUNTIF($E29:$E32,$A$3))</f>
        <v>0</v>
      </c>
      <c r="BN32" s="53" t="n">
        <f aca="false">IF($F32="","",COUNTIF($F29:$F32,BJ$21)+COUNTIF($F29:$F32,$A$3))</f>
        <v>0</v>
      </c>
      <c r="BP32" s="65" t="n">
        <f aca="false">IF($B32="","",COUNTIF($B29:$B32,BP$21)+COUNTIF($B29:$B32,$A$3))</f>
        <v>0</v>
      </c>
      <c r="BQ32" s="52" t="n">
        <f aca="false">IF($C32="","",COUNTIF($C29:$C32,BP$21)+COUNTIF($C29:$C32,$A$3))</f>
        <v>0</v>
      </c>
      <c r="BR32" s="52" t="n">
        <f aca="false">IF($D32="","",COUNTIF($D29:$D32,BP$21)+COUNTIF($D29:$D32,$A$3))</f>
        <v>1</v>
      </c>
      <c r="BS32" s="52" t="n">
        <f aca="false">IF($E32="","",COUNTIF($E29:$E32,BP$21)+COUNTIF($E29:$E32,$A$3))</f>
        <v>2</v>
      </c>
      <c r="BT32" s="53" t="n">
        <f aca="false">IF($F32="","",COUNTIF($F29:$F32,BP$21)+COUNTIF($F29:$F32,$A$3))</f>
        <v>2</v>
      </c>
    </row>
    <row r="33" customFormat="false" ht="15" hidden="false" customHeight="false" outlineLevel="0" collapsed="false">
      <c r="A33" s="13" t="n">
        <v>11</v>
      </c>
      <c r="B33" s="116" t="str">
        <f aca="false">IF('Game Info'!J16="","",'Game Info'!J16)</f>
        <v>K</v>
      </c>
      <c r="C33" s="116" t="str">
        <f aca="false">IF('Game Info'!K16="","",'Game Info'!K16)</f>
        <v>K</v>
      </c>
      <c r="D33" s="116" t="str">
        <f aca="false">IF('Game Info'!L16="","",'Game Info'!L16)</f>
        <v>FG</v>
      </c>
      <c r="E33" s="116" t="str">
        <f aca="false">IF('Game Info'!M16="","",'Game Info'!M16)</f>
        <v>WILD</v>
      </c>
      <c r="F33" s="117" t="str">
        <f aca="false">IF('Game Info'!N16="","",'Game Info'!N16)</f>
        <v>SYM2</v>
      </c>
      <c r="H33" s="65" t="n">
        <f aca="false">IF($B33="","",COUNTIF($B30:$B33,H$21)+COUNTIF($B30:$B33,$A$3))</f>
        <v>0</v>
      </c>
      <c r="I33" s="52" t="n">
        <f aca="false">IF($C33="","",COUNTIF($C30:$C33,H$21)+COUNTIF($C30:$C33,$A$3))</f>
        <v>0</v>
      </c>
      <c r="J33" s="52" t="n">
        <f aca="false">IF($D33="","",COUNTIF($D30:$D33,H$21)+COUNTIF($D30:$D33,$A$3))</f>
        <v>0</v>
      </c>
      <c r="K33" s="52" t="n">
        <f aca="false">IF($E33="","",COUNTIF($E30:$E33,H$21)+COUNTIF($E30:$E33,$A$3))</f>
        <v>1</v>
      </c>
      <c r="L33" s="53" t="n">
        <f aca="false">IF($F33="","",COUNTIF($F30:$F33,H$21)+COUNTIF($F30:$F33,$A$3))</f>
        <v>1</v>
      </c>
      <c r="N33" s="65" t="n">
        <f aca="false">IF($B33="","",COUNTIF($B30:$B33,N$21)+COUNTIF($B30:$B33,$A$3))</f>
        <v>0</v>
      </c>
      <c r="O33" s="52" t="n">
        <f aca="false">IF($C33="","",COUNTIF($C30:$C33,N$21)+COUNTIF($C30:$C33,$A$3))</f>
        <v>0</v>
      </c>
      <c r="P33" s="52" t="n">
        <f aca="false">IF($D33="","",COUNTIF($D30:$D33,N$21)+COUNTIF($D30:$D33,$A$3))</f>
        <v>0</v>
      </c>
      <c r="Q33" s="52" t="n">
        <f aca="false">IF($E33="","",COUNTIF($E30:$E33,N$21)+COUNTIF($E30:$E33,$A$3))</f>
        <v>1</v>
      </c>
      <c r="R33" s="53" t="n">
        <f aca="false">IF($F33="","",COUNTIF($F30:$F33,N$21)+COUNTIF($F30:$F33,$A$3))</f>
        <v>1</v>
      </c>
      <c r="T33" s="65" t="n">
        <f aca="false">IF($B33="","",COUNTIF($B30:$B33,T$21)+COUNTIF($B30:$B33,$A$3))</f>
        <v>0</v>
      </c>
      <c r="U33" s="52" t="n">
        <f aca="false">IF($C33="","",COUNTIF($C30:$C33,T$21)+COUNTIF($C30:$C33,$A$3))</f>
        <v>1</v>
      </c>
      <c r="V33" s="52" t="n">
        <f aca="false">IF($D33="","",COUNTIF($D30:$D33,T$21)+COUNTIF($D30:$D33,$A$3))</f>
        <v>0</v>
      </c>
      <c r="W33" s="52" t="n">
        <f aca="false">IF($E33="","",COUNTIF($E30:$E33,T$21)+COUNTIF($E30:$E33,$A$3))</f>
        <v>1</v>
      </c>
      <c r="X33" s="53" t="n">
        <f aca="false">IF($F33="","",COUNTIF($F30:$F33,T$21)+COUNTIF($F30:$F33,$A$3))</f>
        <v>0</v>
      </c>
      <c r="Z33" s="65" t="n">
        <f aca="false">IF($B33="","",COUNTIF($B30:$B33,Z$21)+COUNTIF($B30:$B33,$A$3))</f>
        <v>0</v>
      </c>
      <c r="AA33" s="52" t="n">
        <f aca="false">IF($C33="","",COUNTIF($C30:$C33,Z$21)+COUNTIF($C30:$C33,$A$3))</f>
        <v>1</v>
      </c>
      <c r="AB33" s="52" t="n">
        <f aca="false">IF($D33="","",COUNTIF($D30:$D33,Z$21)+COUNTIF($D30:$D33,$A$3))</f>
        <v>0</v>
      </c>
      <c r="AC33" s="52" t="n">
        <f aca="false">IF($E33="","",COUNTIF($E30:$E33,Z$21)+COUNTIF($E30:$E33,$A$3))</f>
        <v>1</v>
      </c>
      <c r="AD33" s="53" t="n">
        <f aca="false">IF($F33="","",COUNTIF($F30:$F33,Z$21)+COUNTIF($F30:$F33,$A$3))</f>
        <v>0</v>
      </c>
      <c r="AF33" s="65" t="n">
        <f aca="false">IF($B33="","",COUNTIF($B30:$B33,AF$21)+COUNTIF($B30:$B33,$A$3))</f>
        <v>1</v>
      </c>
      <c r="AG33" s="52" t="n">
        <f aca="false">IF($C33="","",COUNTIF($C30:$C33,AF$21)+COUNTIF($C30:$C33,$A$3))</f>
        <v>0</v>
      </c>
      <c r="AH33" s="52" t="n">
        <f aca="false">IF($D33="","",COUNTIF($D30:$D33,AF$21)+COUNTIF($D30:$D33,$A$3))</f>
        <v>1</v>
      </c>
      <c r="AI33" s="52" t="n">
        <f aca="false">IF($E33="","",COUNTIF($E30:$E33,AF$21)+COUNTIF($E30:$E33,$A$3))</f>
        <v>2</v>
      </c>
      <c r="AJ33" s="53" t="n">
        <f aca="false">IF($F33="","",COUNTIF($F30:$F33,AF$21)+COUNTIF($F30:$F33,$A$3))</f>
        <v>0</v>
      </c>
      <c r="AL33" s="65" t="n">
        <f aca="false">IF($B33="","",COUNTIF($B30:$B33,AL$21)+COUNTIF($B30:$B33,$A$3))</f>
        <v>1</v>
      </c>
      <c r="AM33" s="52" t="n">
        <f aca="false">IF($C33="","",COUNTIF($C30:$C33,AL$21)+COUNTIF($C30:$C33,$A$3))</f>
        <v>0</v>
      </c>
      <c r="AN33" s="52" t="n">
        <f aca="false">IF($D33="","",COUNTIF($D30:$D33,AL$21)+COUNTIF($D30:$D33,$A$3))</f>
        <v>0</v>
      </c>
      <c r="AO33" s="52" t="n">
        <f aca="false">IF($E33="","",COUNTIF($E30:$E33,AL$21)+COUNTIF($E30:$E33,$A$3))</f>
        <v>1</v>
      </c>
      <c r="AP33" s="53" t="n">
        <f aca="false">IF($F33="","",COUNTIF($F30:$F33,AL$21)+COUNTIF($F30:$F33,$A$3))</f>
        <v>0</v>
      </c>
      <c r="AR33" s="65" t="n">
        <f aca="false">IF($B33="","",COUNTIF($B30:$B33,AR$21)+COUNTIF($B30:$B33,$A$3))</f>
        <v>1</v>
      </c>
      <c r="AS33" s="52" t="n">
        <f aca="false">IF($C33="","",COUNTIF($C30:$C33,AR$21)+COUNTIF($C30:$C33,$A$3))</f>
        <v>1</v>
      </c>
      <c r="AT33" s="52" t="n">
        <f aca="false">IF($D33="","",COUNTIF($D30:$D33,AR$21)+COUNTIF($D30:$D33,$A$3))</f>
        <v>1</v>
      </c>
      <c r="AU33" s="52" t="n">
        <f aca="false">IF($E33="","",COUNTIF($E30:$E33,AR$21)+COUNTIF($E30:$E33,$A$3))</f>
        <v>1</v>
      </c>
      <c r="AV33" s="53" t="n">
        <f aca="false">IF($F33="","",COUNTIF($F30:$F33,AR$21)+COUNTIF($F30:$F33,$A$3))</f>
        <v>0</v>
      </c>
      <c r="AX33" s="65" t="n">
        <f aca="false">IF($B33="","",COUNTIF($B30:$B33,AX$21)+COUNTIF($B30:$B33,$A$3))</f>
        <v>0</v>
      </c>
      <c r="AY33" s="52" t="n">
        <f aca="false">IF($C33="","",COUNTIF($C30:$C33,AX$21)+COUNTIF($C30:$C33,$A$3))</f>
        <v>0</v>
      </c>
      <c r="AZ33" s="52" t="n">
        <f aca="false">IF($D33="","",COUNTIF($D30:$D33,AX$21)+COUNTIF($D30:$D33,$A$3))</f>
        <v>1</v>
      </c>
      <c r="BA33" s="52" t="n">
        <f aca="false">IF($E33="","",COUNTIF($E30:$E33,AX$21)+COUNTIF($E30:$E33,$A$3))</f>
        <v>2</v>
      </c>
      <c r="BB33" s="53" t="n">
        <f aca="false">IF($F33="","",COUNTIF($F30:$F33,AX$21)+COUNTIF($F30:$F33,$A$3))</f>
        <v>1</v>
      </c>
      <c r="BD33" s="65" t="n">
        <f aca="false">IF($B33="","",COUNTIF($B30:$B33,BD$21)+COUNTIF($B30:$B33,$A$3))</f>
        <v>0</v>
      </c>
      <c r="BE33" s="52" t="n">
        <f aca="false">IF($C33="","",COUNTIF($C30:$C33,BD$21)+COUNTIF($C30:$C33,$A$3))</f>
        <v>0</v>
      </c>
      <c r="BF33" s="52" t="n">
        <f aca="false">IF($D33="","",COUNTIF($D30:$D33,BD$21)+COUNTIF($D30:$D33,$A$3))</f>
        <v>0</v>
      </c>
      <c r="BG33" s="52" t="n">
        <f aca="false">IF($E33="","",COUNTIF($E30:$E33,BD$21)+COUNTIF($E30:$E33,$A$3))</f>
        <v>1</v>
      </c>
      <c r="BH33" s="53" t="n">
        <f aca="false">IF($F33="","",COUNTIF($F30:$F33,BD$21)+COUNTIF($F30:$F33,$A$3))</f>
        <v>0</v>
      </c>
      <c r="BJ33" s="65" t="n">
        <f aca="false">IF($B33="","",COUNTIF($B30:$B33,BJ$21)+COUNTIF($B30:$B33,$A$3))</f>
        <v>0</v>
      </c>
      <c r="BK33" s="52" t="n">
        <f aca="false">IF($C33="","",COUNTIF($C30:$C33,BJ$21)+COUNTIF($C30:$C33,$A$3))</f>
        <v>1</v>
      </c>
      <c r="BL33" s="52" t="n">
        <f aca="false">IF($D33="","",COUNTIF($D30:$D33,BJ$21)+COUNTIF($D30:$D33,$A$3))</f>
        <v>0</v>
      </c>
      <c r="BM33" s="52" t="n">
        <f aca="false">IF($E33="","",COUNTIF($E30:$E33,BJ$21)+COUNTIF($E30:$E33,$A$3))</f>
        <v>1</v>
      </c>
      <c r="BN33" s="53" t="n">
        <f aca="false">IF($F33="","",COUNTIF($F30:$F33,BJ$21)+COUNTIF($F30:$F33,$A$3))</f>
        <v>0</v>
      </c>
      <c r="BP33" s="65" t="n">
        <f aca="false">IF($B33="","",COUNTIF($B30:$B33,BP$21)+COUNTIF($B30:$B33,$A$3))</f>
        <v>0</v>
      </c>
      <c r="BQ33" s="52" t="n">
        <f aca="false">IF($C33="","",COUNTIF($C30:$C33,BP$21)+COUNTIF($C30:$C33,$A$3))</f>
        <v>0</v>
      </c>
      <c r="BR33" s="52" t="n">
        <f aca="false">IF($D33="","",COUNTIF($D30:$D33,BP$21)+COUNTIF($D30:$D33,$A$3))</f>
        <v>0</v>
      </c>
      <c r="BS33" s="52" t="n">
        <f aca="false">IF($E33="","",COUNTIF($E30:$E33,BP$21)+COUNTIF($E30:$E33,$A$3))</f>
        <v>2</v>
      </c>
      <c r="BT33" s="53" t="n">
        <f aca="false">IF($F33="","",COUNTIF($F30:$F33,BP$21)+COUNTIF($F30:$F33,$A$3))</f>
        <v>1</v>
      </c>
    </row>
    <row r="34" customFormat="false" ht="15" hidden="false" customHeight="false" outlineLevel="0" collapsed="false">
      <c r="A34" s="13" t="n">
        <v>12</v>
      </c>
      <c r="B34" s="116" t="str">
        <f aca="false">IF('Game Info'!J17="","",'Game Info'!J17)</f>
        <v>SYM4</v>
      </c>
      <c r="C34" s="116" t="str">
        <f aca="false">IF('Game Info'!K17="","",'Game Info'!K17)</f>
        <v>SYM3</v>
      </c>
      <c r="D34" s="116" t="n">
        <f aca="false">IF('Game Info'!L17="","",'Game Info'!L17)</f>
        <v>10</v>
      </c>
      <c r="E34" s="116" t="str">
        <f aca="false">IF('Game Info'!M17="","",'Game Info'!M17)</f>
        <v>A</v>
      </c>
      <c r="F34" s="117" t="str">
        <f aca="false">IF('Game Info'!N17="","",'Game Info'!N17)</f>
        <v>J</v>
      </c>
      <c r="H34" s="65" t="n">
        <f aca="false">IF($B34="","",COUNTIF($B31:$B34,H$21)+COUNTIF($B31:$B34,$A$3))</f>
        <v>0</v>
      </c>
      <c r="I34" s="52" t="n">
        <f aca="false">IF($C34="","",COUNTIF($C31:$C34,H$21)+COUNTIF($C31:$C34,$A$3))</f>
        <v>0</v>
      </c>
      <c r="J34" s="52" t="n">
        <f aca="false">IF($D34="","",COUNTIF($D31:$D34,H$21)+COUNTIF($D31:$D34,$A$3))</f>
        <v>0</v>
      </c>
      <c r="K34" s="52" t="n">
        <f aca="false">IF($E34="","",COUNTIF($E31:$E34,H$21)+COUNTIF($E31:$E34,$A$3))</f>
        <v>1</v>
      </c>
      <c r="L34" s="53" t="n">
        <f aca="false">IF($F34="","",COUNTIF($F31:$F34,H$21)+COUNTIF($F31:$F34,$A$3))</f>
        <v>0</v>
      </c>
      <c r="N34" s="65" t="n">
        <f aca="false">IF($B34="","",COUNTIF($B31:$B34,N$21)+COUNTIF($B31:$B34,$A$3))</f>
        <v>0</v>
      </c>
      <c r="O34" s="52" t="n">
        <f aca="false">IF($C34="","",COUNTIF($C31:$C34,N$21)+COUNTIF($C31:$C34,$A$3))</f>
        <v>0</v>
      </c>
      <c r="P34" s="52" t="n">
        <f aca="false">IF($D34="","",COUNTIF($D31:$D34,N$21)+COUNTIF($D31:$D34,$A$3))</f>
        <v>0</v>
      </c>
      <c r="Q34" s="52" t="n">
        <f aca="false">IF($E34="","",COUNTIF($E31:$E34,N$21)+COUNTIF($E31:$E34,$A$3))</f>
        <v>1</v>
      </c>
      <c r="R34" s="53" t="n">
        <f aca="false">IF($F34="","",COUNTIF($F31:$F34,N$21)+COUNTIF($F31:$F34,$A$3))</f>
        <v>1</v>
      </c>
      <c r="T34" s="65" t="n">
        <f aca="false">IF($B34="","",COUNTIF($B31:$B34,T$21)+COUNTIF($B31:$B34,$A$3))</f>
        <v>0</v>
      </c>
      <c r="U34" s="52" t="n">
        <f aca="false">IF($C34="","",COUNTIF($C31:$C34,T$21)+COUNTIF($C31:$C34,$A$3))</f>
        <v>1</v>
      </c>
      <c r="V34" s="52" t="n">
        <f aca="false">IF($D34="","",COUNTIF($D31:$D34,T$21)+COUNTIF($D31:$D34,$A$3))</f>
        <v>0</v>
      </c>
      <c r="W34" s="52" t="n">
        <f aca="false">IF($E34="","",COUNTIF($E31:$E34,T$21)+COUNTIF($E31:$E34,$A$3))</f>
        <v>1</v>
      </c>
      <c r="X34" s="53" t="n">
        <f aca="false">IF($F34="","",COUNTIF($F31:$F34,T$21)+COUNTIF($F31:$F34,$A$3))</f>
        <v>0</v>
      </c>
      <c r="Z34" s="65" t="n">
        <f aca="false">IF($B34="","",COUNTIF($B31:$B34,Z$21)+COUNTIF($B31:$B34,$A$3))</f>
        <v>1</v>
      </c>
      <c r="AA34" s="52" t="n">
        <f aca="false">IF($C34="","",COUNTIF($C31:$C34,Z$21)+COUNTIF($C31:$C34,$A$3))</f>
        <v>1</v>
      </c>
      <c r="AB34" s="52" t="n">
        <f aca="false">IF($D34="","",COUNTIF($D31:$D34,Z$21)+COUNTIF($D31:$D34,$A$3))</f>
        <v>0</v>
      </c>
      <c r="AC34" s="52" t="n">
        <f aca="false">IF($E34="","",COUNTIF($E31:$E34,Z$21)+COUNTIF($E31:$E34,$A$3))</f>
        <v>1</v>
      </c>
      <c r="AD34" s="53" t="n">
        <f aca="false">IF($F34="","",COUNTIF($F31:$F34,Z$21)+COUNTIF($F31:$F34,$A$3))</f>
        <v>0</v>
      </c>
      <c r="AF34" s="65" t="n">
        <f aca="false">IF($B34="","",COUNTIF($B31:$B34,AF$21)+COUNTIF($B31:$B34,$A$3))</f>
        <v>0</v>
      </c>
      <c r="AG34" s="52" t="n">
        <f aca="false">IF($C34="","",COUNTIF($C31:$C34,AF$21)+COUNTIF($C31:$C34,$A$3))</f>
        <v>0</v>
      </c>
      <c r="AH34" s="52" t="n">
        <f aca="false">IF($D34="","",COUNTIF($D31:$D34,AF$21)+COUNTIF($D31:$D34,$A$3))</f>
        <v>1</v>
      </c>
      <c r="AI34" s="52" t="n">
        <f aca="false">IF($E34="","",COUNTIF($E31:$E34,AF$21)+COUNTIF($E31:$E34,$A$3))</f>
        <v>2</v>
      </c>
      <c r="AJ34" s="53" t="n">
        <f aca="false">IF($F34="","",COUNTIF($F31:$F34,AF$21)+COUNTIF($F31:$F34,$A$3))</f>
        <v>0</v>
      </c>
      <c r="AL34" s="65" t="n">
        <f aca="false">IF($B34="","",COUNTIF($B31:$B34,AL$21)+COUNTIF($B31:$B34,$A$3))</f>
        <v>1</v>
      </c>
      <c r="AM34" s="52" t="n">
        <f aca="false">IF($C34="","",COUNTIF($C31:$C34,AL$21)+COUNTIF($C31:$C34,$A$3))</f>
        <v>0</v>
      </c>
      <c r="AN34" s="52" t="n">
        <f aca="false">IF($D34="","",COUNTIF($D31:$D34,AL$21)+COUNTIF($D31:$D34,$A$3))</f>
        <v>0</v>
      </c>
      <c r="AO34" s="52" t="n">
        <f aca="false">IF($E34="","",COUNTIF($E31:$E34,AL$21)+COUNTIF($E31:$E34,$A$3))</f>
        <v>2</v>
      </c>
      <c r="AP34" s="53" t="n">
        <f aca="false">IF($F34="","",COUNTIF($F31:$F34,AL$21)+COUNTIF($F31:$F34,$A$3))</f>
        <v>0</v>
      </c>
      <c r="AR34" s="65" t="n">
        <f aca="false">IF($B34="","",COUNTIF($B31:$B34,AR$21)+COUNTIF($B31:$B34,$A$3))</f>
        <v>1</v>
      </c>
      <c r="AS34" s="52" t="n">
        <f aca="false">IF($C34="","",COUNTIF($C31:$C34,AR$21)+COUNTIF($C31:$C34,$A$3))</f>
        <v>1</v>
      </c>
      <c r="AT34" s="52" t="n">
        <f aca="false">IF($D34="","",COUNTIF($D31:$D34,AR$21)+COUNTIF($D31:$D34,$A$3))</f>
        <v>1</v>
      </c>
      <c r="AU34" s="52" t="n">
        <f aca="false">IF($E34="","",COUNTIF($E31:$E34,AR$21)+COUNTIF($E31:$E34,$A$3))</f>
        <v>1</v>
      </c>
      <c r="AV34" s="53" t="n">
        <f aca="false">IF($F34="","",COUNTIF($F31:$F34,AR$21)+COUNTIF($F31:$F34,$A$3))</f>
        <v>0</v>
      </c>
      <c r="AX34" s="65" t="n">
        <f aca="false">IF($B34="","",COUNTIF($B31:$B34,AX$21)+COUNTIF($B31:$B34,$A$3))</f>
        <v>0</v>
      </c>
      <c r="AY34" s="52" t="n">
        <f aca="false">IF($C34="","",COUNTIF($C31:$C34,AX$21)+COUNTIF($C31:$C34,$A$3))</f>
        <v>0</v>
      </c>
      <c r="AZ34" s="52" t="n">
        <f aca="false">IF($D34="","",COUNTIF($D31:$D34,AX$21)+COUNTIF($D31:$D34,$A$3))</f>
        <v>0</v>
      </c>
      <c r="BA34" s="52" t="n">
        <f aca="false">IF($E34="","",COUNTIF($E31:$E34,AX$21)+COUNTIF($E31:$E34,$A$3))</f>
        <v>1</v>
      </c>
      <c r="BB34" s="53" t="n">
        <f aca="false">IF($F34="","",COUNTIF($F31:$F34,AX$21)+COUNTIF($F31:$F34,$A$3))</f>
        <v>1</v>
      </c>
      <c r="BD34" s="65" t="n">
        <f aca="false">IF($B34="","",COUNTIF($B31:$B34,BD$21)+COUNTIF($B31:$B34,$A$3))</f>
        <v>0</v>
      </c>
      <c r="BE34" s="52" t="n">
        <f aca="false">IF($C34="","",COUNTIF($C31:$C34,BD$21)+COUNTIF($C31:$C34,$A$3))</f>
        <v>0</v>
      </c>
      <c r="BF34" s="52" t="n">
        <f aca="false">IF($D34="","",COUNTIF($D31:$D34,BD$21)+COUNTIF($D31:$D34,$A$3))</f>
        <v>0</v>
      </c>
      <c r="BG34" s="52" t="n">
        <f aca="false">IF($E34="","",COUNTIF($E31:$E34,BD$21)+COUNTIF($E31:$E34,$A$3))</f>
        <v>1</v>
      </c>
      <c r="BH34" s="53" t="n">
        <f aca="false">IF($F34="","",COUNTIF($F31:$F34,BD$21)+COUNTIF($F31:$F34,$A$3))</f>
        <v>1</v>
      </c>
      <c r="BJ34" s="65" t="n">
        <f aca="false">IF($B34="","",COUNTIF($B31:$B34,BJ$21)+COUNTIF($B31:$B34,$A$3))</f>
        <v>0</v>
      </c>
      <c r="BK34" s="52" t="n">
        <f aca="false">IF($C34="","",COUNTIF($C31:$C34,BJ$21)+COUNTIF($C31:$C34,$A$3))</f>
        <v>1</v>
      </c>
      <c r="BL34" s="52" t="n">
        <f aca="false">IF($D34="","",COUNTIF($D31:$D34,BJ$21)+COUNTIF($D31:$D34,$A$3))</f>
        <v>1</v>
      </c>
      <c r="BM34" s="52" t="n">
        <f aca="false">IF($E34="","",COUNTIF($E31:$E34,BJ$21)+COUNTIF($E31:$E34,$A$3))</f>
        <v>1</v>
      </c>
      <c r="BN34" s="53" t="n">
        <f aca="false">IF($F34="","",COUNTIF($F31:$F34,BJ$21)+COUNTIF($F31:$F34,$A$3))</f>
        <v>0</v>
      </c>
      <c r="BP34" s="65" t="n">
        <f aca="false">IF($B34="","",COUNTIF($B31:$B34,BP$21)+COUNTIF($B31:$B34,$A$3))</f>
        <v>0</v>
      </c>
      <c r="BQ34" s="52" t="n">
        <f aca="false">IF($C34="","",COUNTIF($C31:$C34,BP$21)+COUNTIF($C31:$C34,$A$3))</f>
        <v>0</v>
      </c>
      <c r="BR34" s="52" t="n">
        <f aca="false">IF($D34="","",COUNTIF($D31:$D34,BP$21)+COUNTIF($D31:$D34,$A$3))</f>
        <v>0</v>
      </c>
      <c r="BS34" s="52" t="n">
        <f aca="false">IF($E34="","",COUNTIF($E31:$E34,BP$21)+COUNTIF($E31:$E34,$A$3))</f>
        <v>2</v>
      </c>
      <c r="BT34" s="53" t="n">
        <f aca="false">IF($F34="","",COUNTIF($F31:$F34,BP$21)+COUNTIF($F31:$F34,$A$3))</f>
        <v>1</v>
      </c>
    </row>
    <row r="35" customFormat="false" ht="15" hidden="false" customHeight="false" outlineLevel="0" collapsed="false">
      <c r="A35" s="13" t="n">
        <v>13</v>
      </c>
      <c r="B35" s="116" t="n">
        <f aca="false">IF('Game Info'!J18="","",'Game Info'!J18)</f>
        <v>9</v>
      </c>
      <c r="C35" s="116" t="str">
        <f aca="false">IF('Game Info'!K18="","",'Game Info'!K18)</f>
        <v>A</v>
      </c>
      <c r="D35" s="116" t="str">
        <f aca="false">IF('Game Info'!L18="","",'Game Info'!L18)</f>
        <v>Q</v>
      </c>
      <c r="E35" s="116" t="str">
        <f aca="false">IF('Game Info'!M18="","",'Game Info'!M18)</f>
        <v>SYM2</v>
      </c>
      <c r="F35" s="117" t="str">
        <f aca="false">IF('Game Info'!N18="","",'Game Info'!N18)</f>
        <v>SYM3</v>
      </c>
      <c r="H35" s="65" t="n">
        <f aca="false">IF($B35="","",COUNTIF($B32:$B35,H$21)+COUNTIF($B32:$B35,$A$3))</f>
        <v>0</v>
      </c>
      <c r="I35" s="52" t="n">
        <f aca="false">IF($C35="","",COUNTIF($C32:$C35,H$21)+COUNTIF($C32:$C35,$A$3))</f>
        <v>0</v>
      </c>
      <c r="J35" s="52" t="n">
        <f aca="false">IF($D35="","",COUNTIF($D32:$D35,H$21)+COUNTIF($D32:$D35,$A$3))</f>
        <v>0</v>
      </c>
      <c r="K35" s="52" t="n">
        <f aca="false">IF($E35="","",COUNTIF($E32:$E35,H$21)+COUNTIF($E32:$E35,$A$3))</f>
        <v>1</v>
      </c>
      <c r="L35" s="53" t="n">
        <f aca="false">IF($F35="","",COUNTIF($F32:$F35,H$21)+COUNTIF($F32:$F35,$A$3))</f>
        <v>0</v>
      </c>
      <c r="N35" s="65" t="n">
        <f aca="false">IF($B35="","",COUNTIF($B32:$B35,N$21)+COUNTIF($B32:$B35,$A$3))</f>
        <v>0</v>
      </c>
      <c r="O35" s="52" t="n">
        <f aca="false">IF($C35="","",COUNTIF($C32:$C35,N$21)+COUNTIF($C32:$C35,$A$3))</f>
        <v>0</v>
      </c>
      <c r="P35" s="52" t="n">
        <f aca="false">IF($D35="","",COUNTIF($D32:$D35,N$21)+COUNTIF($D32:$D35,$A$3))</f>
        <v>0</v>
      </c>
      <c r="Q35" s="52" t="n">
        <f aca="false">IF($E35="","",COUNTIF($E32:$E35,N$21)+COUNTIF($E32:$E35,$A$3))</f>
        <v>2</v>
      </c>
      <c r="R35" s="53" t="n">
        <f aca="false">IF($F35="","",COUNTIF($F32:$F35,N$21)+COUNTIF($F32:$F35,$A$3))</f>
        <v>1</v>
      </c>
      <c r="T35" s="65" t="n">
        <f aca="false">IF($B35="","",COUNTIF($B32:$B35,T$21)+COUNTIF($B32:$B35,$A$3))</f>
        <v>0</v>
      </c>
      <c r="U35" s="52" t="n">
        <f aca="false">IF($C35="","",COUNTIF($C32:$C35,T$21)+COUNTIF($C32:$C35,$A$3))</f>
        <v>1</v>
      </c>
      <c r="V35" s="52" t="n">
        <f aca="false">IF($D35="","",COUNTIF($D32:$D35,T$21)+COUNTIF($D32:$D35,$A$3))</f>
        <v>0</v>
      </c>
      <c r="W35" s="52" t="n">
        <f aca="false">IF($E35="","",COUNTIF($E32:$E35,T$21)+COUNTIF($E32:$E35,$A$3))</f>
        <v>1</v>
      </c>
      <c r="X35" s="53" t="n">
        <f aca="false">IF($F35="","",COUNTIF($F32:$F35,T$21)+COUNTIF($F32:$F35,$A$3))</f>
        <v>1</v>
      </c>
      <c r="Z35" s="65" t="n">
        <f aca="false">IF($B35="","",COUNTIF($B32:$B35,Z$21)+COUNTIF($B32:$B35,$A$3))</f>
        <v>1</v>
      </c>
      <c r="AA35" s="52" t="n">
        <f aca="false">IF($C35="","",COUNTIF($C32:$C35,Z$21)+COUNTIF($C32:$C35,$A$3))</f>
        <v>1</v>
      </c>
      <c r="AB35" s="52" t="n">
        <f aca="false">IF($D35="","",COUNTIF($D32:$D35,Z$21)+COUNTIF($D32:$D35,$A$3))</f>
        <v>0</v>
      </c>
      <c r="AC35" s="52" t="n">
        <f aca="false">IF($E35="","",COUNTIF($E32:$E35,Z$21)+COUNTIF($E32:$E35,$A$3))</f>
        <v>1</v>
      </c>
      <c r="AD35" s="53" t="n">
        <f aca="false">IF($F35="","",COUNTIF($F32:$F35,Z$21)+COUNTIF($F32:$F35,$A$3))</f>
        <v>0</v>
      </c>
      <c r="AF35" s="65" t="n">
        <f aca="false">IF($B35="","",COUNTIF($B32:$B35,AF$21)+COUNTIF($B32:$B35,$A$3))</f>
        <v>0</v>
      </c>
      <c r="AG35" s="52" t="n">
        <f aca="false">IF($C35="","",COUNTIF($C32:$C35,AF$21)+COUNTIF($C32:$C35,$A$3))</f>
        <v>0</v>
      </c>
      <c r="AH35" s="52" t="n">
        <f aca="false">IF($D35="","",COUNTIF($D32:$D35,AF$21)+COUNTIF($D32:$D35,$A$3))</f>
        <v>0</v>
      </c>
      <c r="AI35" s="52" t="n">
        <f aca="false">IF($E35="","",COUNTIF($E32:$E35,AF$21)+COUNTIF($E32:$E35,$A$3))</f>
        <v>1</v>
      </c>
      <c r="AJ35" s="53" t="n">
        <f aca="false">IF($F35="","",COUNTIF($F32:$F35,AF$21)+COUNTIF($F32:$F35,$A$3))</f>
        <v>0</v>
      </c>
      <c r="AL35" s="65" t="n">
        <f aca="false">IF($B35="","",COUNTIF($B32:$B35,AL$21)+COUNTIF($B32:$B35,$A$3))</f>
        <v>1</v>
      </c>
      <c r="AM35" s="52" t="n">
        <f aca="false">IF($C35="","",COUNTIF($C32:$C35,AL$21)+COUNTIF($C32:$C35,$A$3))</f>
        <v>1</v>
      </c>
      <c r="AN35" s="52" t="n">
        <f aca="false">IF($D35="","",COUNTIF($D32:$D35,AL$21)+COUNTIF($D32:$D35,$A$3))</f>
        <v>0</v>
      </c>
      <c r="AO35" s="52" t="n">
        <f aca="false">IF($E35="","",COUNTIF($E32:$E35,AL$21)+COUNTIF($E32:$E35,$A$3))</f>
        <v>2</v>
      </c>
      <c r="AP35" s="53" t="n">
        <f aca="false">IF($F35="","",COUNTIF($F32:$F35,AL$21)+COUNTIF($F32:$F35,$A$3))</f>
        <v>0</v>
      </c>
      <c r="AR35" s="65" t="n">
        <f aca="false">IF($B35="","",COUNTIF($B32:$B35,AR$21)+COUNTIF($B32:$B35,$A$3))</f>
        <v>1</v>
      </c>
      <c r="AS35" s="52" t="n">
        <f aca="false">IF($C35="","",COUNTIF($C32:$C35,AR$21)+COUNTIF($C32:$C35,$A$3))</f>
        <v>1</v>
      </c>
      <c r="AT35" s="52" t="n">
        <f aca="false">IF($D35="","",COUNTIF($D32:$D35,AR$21)+COUNTIF($D32:$D35,$A$3))</f>
        <v>1</v>
      </c>
      <c r="AU35" s="52" t="n">
        <f aca="false">IF($E35="","",COUNTIF($E32:$E35,AR$21)+COUNTIF($E32:$E35,$A$3))</f>
        <v>1</v>
      </c>
      <c r="AV35" s="53" t="n">
        <f aca="false">IF($F35="","",COUNTIF($F32:$F35,AR$21)+COUNTIF($F32:$F35,$A$3))</f>
        <v>0</v>
      </c>
      <c r="AX35" s="65" t="n">
        <f aca="false">IF($B35="","",COUNTIF($B32:$B35,AX$21)+COUNTIF($B32:$B35,$A$3))</f>
        <v>0</v>
      </c>
      <c r="AY35" s="52" t="n">
        <f aca="false">IF($C35="","",COUNTIF($C32:$C35,AX$21)+COUNTIF($C32:$C35,$A$3))</f>
        <v>0</v>
      </c>
      <c r="AZ35" s="52" t="n">
        <f aca="false">IF($D35="","",COUNTIF($D32:$D35,AX$21)+COUNTIF($D32:$D35,$A$3))</f>
        <v>1</v>
      </c>
      <c r="BA35" s="52" t="n">
        <f aca="false">IF($E35="","",COUNTIF($E32:$E35,AX$21)+COUNTIF($E32:$E35,$A$3))</f>
        <v>1</v>
      </c>
      <c r="BB35" s="53" t="n">
        <f aca="false">IF($F35="","",COUNTIF($F32:$F35,AX$21)+COUNTIF($F32:$F35,$A$3))</f>
        <v>0</v>
      </c>
      <c r="BD35" s="65" t="n">
        <f aca="false">IF($B35="","",COUNTIF($B32:$B35,BD$21)+COUNTIF($B32:$B35,$A$3))</f>
        <v>0</v>
      </c>
      <c r="BE35" s="52" t="n">
        <f aca="false">IF($C35="","",COUNTIF($C32:$C35,BD$21)+COUNTIF($C32:$C35,$A$3))</f>
        <v>0</v>
      </c>
      <c r="BF35" s="52" t="n">
        <f aca="false">IF($D35="","",COUNTIF($D32:$D35,BD$21)+COUNTIF($D32:$D35,$A$3))</f>
        <v>0</v>
      </c>
      <c r="BG35" s="52" t="n">
        <f aca="false">IF($E35="","",COUNTIF($E32:$E35,BD$21)+COUNTIF($E32:$E35,$A$3))</f>
        <v>1</v>
      </c>
      <c r="BH35" s="53" t="n">
        <f aca="false">IF($F35="","",COUNTIF($F32:$F35,BD$21)+COUNTIF($F32:$F35,$A$3))</f>
        <v>1</v>
      </c>
      <c r="BJ35" s="65" t="n">
        <f aca="false">IF($B35="","",COUNTIF($B32:$B35,BJ$21)+COUNTIF($B32:$B35,$A$3))</f>
        <v>0</v>
      </c>
      <c r="BK35" s="52" t="n">
        <f aca="false">IF($C35="","",COUNTIF($C32:$C35,BJ$21)+COUNTIF($C32:$C35,$A$3))</f>
        <v>0</v>
      </c>
      <c r="BL35" s="52" t="n">
        <f aca="false">IF($D35="","",COUNTIF($D32:$D35,BJ$21)+COUNTIF($D32:$D35,$A$3))</f>
        <v>1</v>
      </c>
      <c r="BM35" s="52" t="n">
        <f aca="false">IF($E35="","",COUNTIF($E32:$E35,BJ$21)+COUNTIF($E32:$E35,$A$3))</f>
        <v>1</v>
      </c>
      <c r="BN35" s="53" t="n">
        <f aca="false">IF($F35="","",COUNTIF($F32:$F35,BJ$21)+COUNTIF($F32:$F35,$A$3))</f>
        <v>0</v>
      </c>
      <c r="BP35" s="65" t="n">
        <f aca="false">IF($B35="","",COUNTIF($B32:$B35,BP$21)+COUNTIF($B32:$B35,$A$3))</f>
        <v>1</v>
      </c>
      <c r="BQ35" s="52" t="n">
        <f aca="false">IF($C35="","",COUNTIF($C32:$C35,BP$21)+COUNTIF($C32:$C35,$A$3))</f>
        <v>0</v>
      </c>
      <c r="BR35" s="52" t="n">
        <f aca="false">IF($D35="","",COUNTIF($D32:$D35,BP$21)+COUNTIF($D32:$D35,$A$3))</f>
        <v>0</v>
      </c>
      <c r="BS35" s="52" t="n">
        <f aca="false">IF($E35="","",COUNTIF($E32:$E35,BP$21)+COUNTIF($E32:$E35,$A$3))</f>
        <v>2</v>
      </c>
      <c r="BT35" s="53" t="n">
        <f aca="false">IF($F35="","",COUNTIF($F32:$F35,BP$21)+COUNTIF($F32:$F35,$A$3))</f>
        <v>1</v>
      </c>
    </row>
    <row r="36" customFormat="false" ht="15" hidden="false" customHeight="false" outlineLevel="0" collapsed="false">
      <c r="A36" s="13" t="n">
        <v>14</v>
      </c>
      <c r="B36" s="116" t="str">
        <f aca="false">IF('Game Info'!J19="","",'Game Info'!J19)</f>
        <v>J</v>
      </c>
      <c r="C36" s="116" t="str">
        <f aca="false">IF('Game Info'!K19="","",'Game Info'!K19)</f>
        <v>WILD</v>
      </c>
      <c r="D36" s="116" t="str">
        <f aca="false">IF('Game Info'!L19="","",'Game Info'!L19)</f>
        <v>SYM3</v>
      </c>
      <c r="E36" s="116" t="str">
        <f aca="false">IF('Game Info'!M19="","",'Game Info'!M19)</f>
        <v>K</v>
      </c>
      <c r="F36" s="117" t="str">
        <f aca="false">IF('Game Info'!N19="","",'Game Info'!N19)</f>
        <v>Q</v>
      </c>
      <c r="H36" s="65" t="n">
        <f aca="false">IF($B36="","",COUNTIF($B33:$B36,H$21)+COUNTIF($B33:$B36,$A$3))</f>
        <v>0</v>
      </c>
      <c r="I36" s="52" t="n">
        <f aca="false">IF($C36="","",COUNTIF($C33:$C36,H$21)+COUNTIF($C33:$C36,$A$3))</f>
        <v>1</v>
      </c>
      <c r="J36" s="52" t="n">
        <f aca="false">IF($D36="","",COUNTIF($D33:$D36,H$21)+COUNTIF($D33:$D36,$A$3))</f>
        <v>0</v>
      </c>
      <c r="K36" s="52" t="n">
        <f aca="false">IF($E36="","",COUNTIF($E33:$E36,H$21)+COUNTIF($E33:$E36,$A$3))</f>
        <v>1</v>
      </c>
      <c r="L36" s="53" t="n">
        <f aca="false">IF($F36="","",COUNTIF($F33:$F36,H$21)+COUNTIF($F33:$F36,$A$3))</f>
        <v>0</v>
      </c>
      <c r="N36" s="65" t="n">
        <f aca="false">IF($B36="","",COUNTIF($B33:$B36,N$21)+COUNTIF($B33:$B36,$A$3))</f>
        <v>0</v>
      </c>
      <c r="O36" s="52" t="n">
        <f aca="false">IF($C36="","",COUNTIF($C33:$C36,N$21)+COUNTIF($C33:$C36,$A$3))</f>
        <v>1</v>
      </c>
      <c r="P36" s="52" t="n">
        <f aca="false">IF($D36="","",COUNTIF($D33:$D36,N$21)+COUNTIF($D33:$D36,$A$3))</f>
        <v>0</v>
      </c>
      <c r="Q36" s="52" t="n">
        <f aca="false">IF($E36="","",COUNTIF($E33:$E36,N$21)+COUNTIF($E33:$E36,$A$3))</f>
        <v>2</v>
      </c>
      <c r="R36" s="53" t="n">
        <f aca="false">IF($F36="","",COUNTIF($F33:$F36,N$21)+COUNTIF($F33:$F36,$A$3))</f>
        <v>1</v>
      </c>
      <c r="T36" s="65" t="n">
        <f aca="false">IF($B36="","",COUNTIF($B33:$B36,T$21)+COUNTIF($B33:$B36,$A$3))</f>
        <v>0</v>
      </c>
      <c r="U36" s="52" t="n">
        <f aca="false">IF($C36="","",COUNTIF($C33:$C36,T$21)+COUNTIF($C33:$C36,$A$3))</f>
        <v>2</v>
      </c>
      <c r="V36" s="52" t="n">
        <f aca="false">IF($D36="","",COUNTIF($D33:$D36,T$21)+COUNTIF($D33:$D36,$A$3))</f>
        <v>1</v>
      </c>
      <c r="W36" s="52" t="n">
        <f aca="false">IF($E36="","",COUNTIF($E33:$E36,T$21)+COUNTIF($E33:$E36,$A$3))</f>
        <v>1</v>
      </c>
      <c r="X36" s="53" t="n">
        <f aca="false">IF($F36="","",COUNTIF($F33:$F36,T$21)+COUNTIF($F33:$F36,$A$3))</f>
        <v>1</v>
      </c>
      <c r="Z36" s="65" t="n">
        <f aca="false">IF($B36="","",COUNTIF($B33:$B36,Z$21)+COUNTIF($B33:$B36,$A$3))</f>
        <v>1</v>
      </c>
      <c r="AA36" s="52" t="n">
        <f aca="false">IF($C36="","",COUNTIF($C33:$C36,Z$21)+COUNTIF($C33:$C36,$A$3))</f>
        <v>1</v>
      </c>
      <c r="AB36" s="52" t="n">
        <f aca="false">IF($D36="","",COUNTIF($D33:$D36,Z$21)+COUNTIF($D33:$D36,$A$3))</f>
        <v>0</v>
      </c>
      <c r="AC36" s="52" t="n">
        <f aca="false">IF($E36="","",COUNTIF($E33:$E36,Z$21)+COUNTIF($E33:$E36,$A$3))</f>
        <v>1</v>
      </c>
      <c r="AD36" s="53" t="n">
        <f aca="false">IF($F36="","",COUNTIF($F33:$F36,Z$21)+COUNTIF($F33:$F36,$A$3))</f>
        <v>0</v>
      </c>
      <c r="AF36" s="65" t="n">
        <f aca="false">IF($B36="","",COUNTIF($B33:$B36,AF$21)+COUNTIF($B33:$B36,$A$3))</f>
        <v>0</v>
      </c>
      <c r="AG36" s="52" t="n">
        <f aca="false">IF($C36="","",COUNTIF($C33:$C36,AF$21)+COUNTIF($C33:$C36,$A$3))</f>
        <v>1</v>
      </c>
      <c r="AH36" s="52" t="n">
        <f aca="false">IF($D36="","",COUNTIF($D33:$D36,AF$21)+COUNTIF($D33:$D36,$A$3))</f>
        <v>0</v>
      </c>
      <c r="AI36" s="52" t="n">
        <f aca="false">IF($E36="","",COUNTIF($E33:$E36,AF$21)+COUNTIF($E33:$E36,$A$3))</f>
        <v>1</v>
      </c>
      <c r="AJ36" s="53" t="n">
        <f aca="false">IF($F36="","",COUNTIF($F33:$F36,AF$21)+COUNTIF($F33:$F36,$A$3))</f>
        <v>0</v>
      </c>
      <c r="AL36" s="65" t="n">
        <f aca="false">IF($B36="","",COUNTIF($B33:$B36,AL$21)+COUNTIF($B33:$B36,$A$3))</f>
        <v>0</v>
      </c>
      <c r="AM36" s="52" t="n">
        <f aca="false">IF($C36="","",COUNTIF($C33:$C36,AL$21)+COUNTIF($C33:$C36,$A$3))</f>
        <v>2</v>
      </c>
      <c r="AN36" s="52" t="n">
        <f aca="false">IF($D36="","",COUNTIF($D33:$D36,AL$21)+COUNTIF($D33:$D36,$A$3))</f>
        <v>0</v>
      </c>
      <c r="AO36" s="52" t="n">
        <f aca="false">IF($E36="","",COUNTIF($E33:$E36,AL$21)+COUNTIF($E33:$E36,$A$3))</f>
        <v>2</v>
      </c>
      <c r="AP36" s="53" t="n">
        <f aca="false">IF($F36="","",COUNTIF($F33:$F36,AL$21)+COUNTIF($F33:$F36,$A$3))</f>
        <v>0</v>
      </c>
      <c r="AR36" s="65" t="n">
        <f aca="false">IF($B36="","",COUNTIF($B33:$B36,AR$21)+COUNTIF($B33:$B36,$A$3))</f>
        <v>1</v>
      </c>
      <c r="AS36" s="52" t="n">
        <f aca="false">IF($C36="","",COUNTIF($C33:$C36,AR$21)+COUNTIF($C33:$C36,$A$3))</f>
        <v>2</v>
      </c>
      <c r="AT36" s="52" t="n">
        <f aca="false">IF($D36="","",COUNTIF($D33:$D36,AR$21)+COUNTIF($D33:$D36,$A$3))</f>
        <v>0</v>
      </c>
      <c r="AU36" s="52" t="n">
        <f aca="false">IF($E36="","",COUNTIF($E33:$E36,AR$21)+COUNTIF($E33:$E36,$A$3))</f>
        <v>2</v>
      </c>
      <c r="AV36" s="53" t="n">
        <f aca="false">IF($F36="","",COUNTIF($F33:$F36,AR$21)+COUNTIF($F33:$F36,$A$3))</f>
        <v>0</v>
      </c>
      <c r="AX36" s="65" t="n">
        <f aca="false">IF($B36="","",COUNTIF($B33:$B36,AX$21)+COUNTIF($B33:$B36,$A$3))</f>
        <v>0</v>
      </c>
      <c r="AY36" s="52" t="n">
        <f aca="false">IF($C36="","",COUNTIF($C33:$C36,AX$21)+COUNTIF($C33:$C36,$A$3))</f>
        <v>1</v>
      </c>
      <c r="AZ36" s="52" t="n">
        <f aca="false">IF($D36="","",COUNTIF($D33:$D36,AX$21)+COUNTIF($D33:$D36,$A$3))</f>
        <v>1</v>
      </c>
      <c r="BA36" s="52" t="n">
        <f aca="false">IF($E36="","",COUNTIF($E33:$E36,AX$21)+COUNTIF($E33:$E36,$A$3))</f>
        <v>1</v>
      </c>
      <c r="BB36" s="53" t="n">
        <f aca="false">IF($F36="","",COUNTIF($F33:$F36,AX$21)+COUNTIF($F33:$F36,$A$3))</f>
        <v>1</v>
      </c>
      <c r="BD36" s="65" t="n">
        <f aca="false">IF($B36="","",COUNTIF($B33:$B36,BD$21)+COUNTIF($B33:$B36,$A$3))</f>
        <v>1</v>
      </c>
      <c r="BE36" s="52" t="n">
        <f aca="false">IF($C36="","",COUNTIF($C33:$C36,BD$21)+COUNTIF($C33:$C36,$A$3))</f>
        <v>1</v>
      </c>
      <c r="BF36" s="52" t="n">
        <f aca="false">IF($D36="","",COUNTIF($D33:$D36,BD$21)+COUNTIF($D33:$D36,$A$3))</f>
        <v>0</v>
      </c>
      <c r="BG36" s="52" t="n">
        <f aca="false">IF($E36="","",COUNTIF($E33:$E36,BD$21)+COUNTIF($E33:$E36,$A$3))</f>
        <v>1</v>
      </c>
      <c r="BH36" s="53" t="n">
        <f aca="false">IF($F36="","",COUNTIF($F33:$F36,BD$21)+COUNTIF($F33:$F36,$A$3))</f>
        <v>1</v>
      </c>
      <c r="BJ36" s="65" t="n">
        <f aca="false">IF($B36="","",COUNTIF($B33:$B36,BJ$21)+COUNTIF($B33:$B36,$A$3))</f>
        <v>0</v>
      </c>
      <c r="BK36" s="52" t="n">
        <f aca="false">IF($C36="","",COUNTIF($C33:$C36,BJ$21)+COUNTIF($C33:$C36,$A$3))</f>
        <v>1</v>
      </c>
      <c r="BL36" s="52" t="n">
        <f aca="false">IF($D36="","",COUNTIF($D33:$D36,BJ$21)+COUNTIF($D33:$D36,$A$3))</f>
        <v>1</v>
      </c>
      <c r="BM36" s="52" t="n">
        <f aca="false">IF($E36="","",COUNTIF($E33:$E36,BJ$21)+COUNTIF($E33:$E36,$A$3))</f>
        <v>1</v>
      </c>
      <c r="BN36" s="53" t="n">
        <f aca="false">IF($F36="","",COUNTIF($F33:$F36,BJ$21)+COUNTIF($F33:$F36,$A$3))</f>
        <v>0</v>
      </c>
      <c r="BP36" s="65" t="n">
        <f aca="false">IF($B36="","",COUNTIF($B33:$B36,BP$21)+COUNTIF($B33:$B36,$A$3))</f>
        <v>1</v>
      </c>
      <c r="BQ36" s="52" t="n">
        <f aca="false">IF($C36="","",COUNTIF($C33:$C36,BP$21)+COUNTIF($C33:$C36,$A$3))</f>
        <v>1</v>
      </c>
      <c r="BR36" s="52" t="n">
        <f aca="false">IF($D36="","",COUNTIF($D33:$D36,BP$21)+COUNTIF($D33:$D36,$A$3))</f>
        <v>0</v>
      </c>
      <c r="BS36" s="52" t="n">
        <f aca="false">IF($E36="","",COUNTIF($E33:$E36,BP$21)+COUNTIF($E33:$E36,$A$3))</f>
        <v>1</v>
      </c>
      <c r="BT36" s="53" t="n">
        <f aca="false">IF($F36="","",COUNTIF($F33:$F36,BP$21)+COUNTIF($F33:$F36,$A$3))</f>
        <v>0</v>
      </c>
    </row>
    <row r="37" customFormat="false" ht="15" hidden="false" customHeight="false" outlineLevel="0" collapsed="false">
      <c r="A37" s="13" t="n">
        <v>15</v>
      </c>
      <c r="B37" s="116" t="str">
        <f aca="false">IF('Game Info'!J20="","",'Game Info'!J20)</f>
        <v>A</v>
      </c>
      <c r="C37" s="116" t="str">
        <f aca="false">IF('Game Info'!K20="","",'Game Info'!K20)</f>
        <v>K</v>
      </c>
      <c r="D37" s="116" t="str">
        <f aca="false">IF('Game Info'!L20="","",'Game Info'!L20)</f>
        <v>A</v>
      </c>
      <c r="E37" s="116" t="str">
        <f aca="false">IF('Game Info'!M20="","",'Game Info'!M20)</f>
        <v>SYM4</v>
      </c>
      <c r="F37" s="117" t="str">
        <f aca="false">IF('Game Info'!N20="","",'Game Info'!N20)</f>
        <v>SYM1</v>
      </c>
      <c r="H37" s="65" t="n">
        <f aca="false">IF($B37="","",COUNTIF($B34:$B37,H$21)+COUNTIF($B34:$B37,$A$3))</f>
        <v>0</v>
      </c>
      <c r="I37" s="52" t="n">
        <f aca="false">IF($C37="","",COUNTIF($C34:$C37,H$21)+COUNTIF($C34:$C37,$A$3))</f>
        <v>1</v>
      </c>
      <c r="J37" s="52" t="n">
        <f aca="false">IF($D37="","",COUNTIF($D34:$D37,H$21)+COUNTIF($D34:$D37,$A$3))</f>
        <v>0</v>
      </c>
      <c r="K37" s="52" t="n">
        <f aca="false">IF($E37="","",COUNTIF($E34:$E37,H$21)+COUNTIF($E34:$E37,$A$3))</f>
        <v>0</v>
      </c>
      <c r="L37" s="53" t="n">
        <f aca="false">IF($F37="","",COUNTIF($F34:$F37,H$21)+COUNTIF($F34:$F37,$A$3))</f>
        <v>1</v>
      </c>
      <c r="N37" s="65" t="n">
        <f aca="false">IF($B37="","",COUNTIF($B34:$B37,N$21)+COUNTIF($B34:$B37,$A$3))</f>
        <v>0</v>
      </c>
      <c r="O37" s="52" t="n">
        <f aca="false">IF($C37="","",COUNTIF($C34:$C37,N$21)+COUNTIF($C34:$C37,$A$3))</f>
        <v>1</v>
      </c>
      <c r="P37" s="52" t="n">
        <f aca="false">IF($D37="","",COUNTIF($D34:$D37,N$21)+COUNTIF($D34:$D37,$A$3))</f>
        <v>0</v>
      </c>
      <c r="Q37" s="52" t="n">
        <f aca="false">IF($E37="","",COUNTIF($E34:$E37,N$21)+COUNTIF($E34:$E37,$A$3))</f>
        <v>1</v>
      </c>
      <c r="R37" s="53" t="n">
        <f aca="false">IF($F37="","",COUNTIF($F34:$F37,N$21)+COUNTIF($F34:$F37,$A$3))</f>
        <v>0</v>
      </c>
      <c r="T37" s="65" t="n">
        <f aca="false">IF($B37="","",COUNTIF($B34:$B37,T$21)+COUNTIF($B34:$B37,$A$3))</f>
        <v>0</v>
      </c>
      <c r="U37" s="52" t="n">
        <f aca="false">IF($C37="","",COUNTIF($C34:$C37,T$21)+COUNTIF($C34:$C37,$A$3))</f>
        <v>2</v>
      </c>
      <c r="V37" s="52" t="n">
        <f aca="false">IF($D37="","",COUNTIF($D34:$D37,T$21)+COUNTIF($D34:$D37,$A$3))</f>
        <v>1</v>
      </c>
      <c r="W37" s="52" t="n">
        <f aca="false">IF($E37="","",COUNTIF($E34:$E37,T$21)+COUNTIF($E34:$E37,$A$3))</f>
        <v>0</v>
      </c>
      <c r="X37" s="53" t="n">
        <f aca="false">IF($F37="","",COUNTIF($F34:$F37,T$21)+COUNTIF($F34:$F37,$A$3))</f>
        <v>1</v>
      </c>
      <c r="Z37" s="65" t="n">
        <f aca="false">IF($B37="","",COUNTIF($B34:$B37,Z$21)+COUNTIF($B34:$B37,$A$3))</f>
        <v>1</v>
      </c>
      <c r="AA37" s="52" t="n">
        <f aca="false">IF($C37="","",COUNTIF($C34:$C37,Z$21)+COUNTIF($C34:$C37,$A$3))</f>
        <v>1</v>
      </c>
      <c r="AB37" s="52" t="n">
        <f aca="false">IF($D37="","",COUNTIF($D34:$D37,Z$21)+COUNTIF($D34:$D37,$A$3))</f>
        <v>0</v>
      </c>
      <c r="AC37" s="52" t="n">
        <f aca="false">IF($E37="","",COUNTIF($E34:$E37,Z$21)+COUNTIF($E34:$E37,$A$3))</f>
        <v>1</v>
      </c>
      <c r="AD37" s="53" t="n">
        <f aca="false">IF($F37="","",COUNTIF($F34:$F37,Z$21)+COUNTIF($F34:$F37,$A$3))</f>
        <v>0</v>
      </c>
      <c r="AF37" s="65" t="n">
        <f aca="false">IF($B37="","",COUNTIF($B34:$B37,AF$21)+COUNTIF($B34:$B37,$A$3))</f>
        <v>0</v>
      </c>
      <c r="AG37" s="52" t="n">
        <f aca="false">IF($C37="","",COUNTIF($C34:$C37,AF$21)+COUNTIF($C34:$C37,$A$3))</f>
        <v>1</v>
      </c>
      <c r="AH37" s="52" t="n">
        <f aca="false">IF($D37="","",COUNTIF($D34:$D37,AF$21)+COUNTIF($D34:$D37,$A$3))</f>
        <v>0</v>
      </c>
      <c r="AI37" s="52" t="n">
        <f aca="false">IF($E37="","",COUNTIF($E34:$E37,AF$21)+COUNTIF($E34:$E37,$A$3))</f>
        <v>0</v>
      </c>
      <c r="AJ37" s="53" t="n">
        <f aca="false">IF($F37="","",COUNTIF($F34:$F37,AF$21)+COUNTIF($F34:$F37,$A$3))</f>
        <v>0</v>
      </c>
      <c r="AL37" s="65" t="n">
        <f aca="false">IF($B37="","",COUNTIF($B34:$B37,AL$21)+COUNTIF($B34:$B37,$A$3))</f>
        <v>1</v>
      </c>
      <c r="AM37" s="52" t="n">
        <f aca="false">IF($C37="","",COUNTIF($C34:$C37,AL$21)+COUNTIF($C34:$C37,$A$3))</f>
        <v>2</v>
      </c>
      <c r="AN37" s="52" t="n">
        <f aca="false">IF($D37="","",COUNTIF($D34:$D37,AL$21)+COUNTIF($D34:$D37,$A$3))</f>
        <v>1</v>
      </c>
      <c r="AO37" s="52" t="n">
        <f aca="false">IF($E37="","",COUNTIF($E34:$E37,AL$21)+COUNTIF($E34:$E37,$A$3))</f>
        <v>1</v>
      </c>
      <c r="AP37" s="53" t="n">
        <f aca="false">IF($F37="","",COUNTIF($F34:$F37,AL$21)+COUNTIF($F34:$F37,$A$3))</f>
        <v>0</v>
      </c>
      <c r="AR37" s="65" t="n">
        <f aca="false">IF($B37="","",COUNTIF($B34:$B37,AR$21)+COUNTIF($B34:$B37,$A$3))</f>
        <v>0</v>
      </c>
      <c r="AS37" s="52" t="n">
        <f aca="false">IF($C37="","",COUNTIF($C34:$C37,AR$21)+COUNTIF($C34:$C37,$A$3))</f>
        <v>2</v>
      </c>
      <c r="AT37" s="52" t="n">
        <f aca="false">IF($D37="","",COUNTIF($D34:$D37,AR$21)+COUNTIF($D34:$D37,$A$3))</f>
        <v>0</v>
      </c>
      <c r="AU37" s="52" t="n">
        <f aca="false">IF($E37="","",COUNTIF($E34:$E37,AR$21)+COUNTIF($E34:$E37,$A$3))</f>
        <v>1</v>
      </c>
      <c r="AV37" s="53" t="n">
        <f aca="false">IF($F37="","",COUNTIF($F34:$F37,AR$21)+COUNTIF($F34:$F37,$A$3))</f>
        <v>0</v>
      </c>
      <c r="AX37" s="65" t="n">
        <f aca="false">IF($B37="","",COUNTIF($B34:$B37,AX$21)+COUNTIF($B34:$B37,$A$3))</f>
        <v>0</v>
      </c>
      <c r="AY37" s="52" t="n">
        <f aca="false">IF($C37="","",COUNTIF($C34:$C37,AX$21)+COUNTIF($C34:$C37,$A$3))</f>
        <v>1</v>
      </c>
      <c r="AZ37" s="52" t="n">
        <f aca="false">IF($D37="","",COUNTIF($D34:$D37,AX$21)+COUNTIF($D34:$D37,$A$3))</f>
        <v>1</v>
      </c>
      <c r="BA37" s="52" t="n">
        <f aca="false">IF($E37="","",COUNTIF($E34:$E37,AX$21)+COUNTIF($E34:$E37,$A$3))</f>
        <v>0</v>
      </c>
      <c r="BB37" s="53" t="n">
        <f aca="false">IF($F37="","",COUNTIF($F34:$F37,AX$21)+COUNTIF($F34:$F37,$A$3))</f>
        <v>1</v>
      </c>
      <c r="BD37" s="65" t="n">
        <f aca="false">IF($B37="","",COUNTIF($B34:$B37,BD$21)+COUNTIF($B34:$B37,$A$3))</f>
        <v>1</v>
      </c>
      <c r="BE37" s="52" t="n">
        <f aca="false">IF($C37="","",COUNTIF($C34:$C37,BD$21)+COUNTIF($C34:$C37,$A$3))</f>
        <v>1</v>
      </c>
      <c r="BF37" s="52" t="n">
        <f aca="false">IF($D37="","",COUNTIF($D34:$D37,BD$21)+COUNTIF($D34:$D37,$A$3))</f>
        <v>0</v>
      </c>
      <c r="BG37" s="52" t="n">
        <f aca="false">IF($E37="","",COUNTIF($E34:$E37,BD$21)+COUNTIF($E34:$E37,$A$3))</f>
        <v>0</v>
      </c>
      <c r="BH37" s="53" t="n">
        <f aca="false">IF($F37="","",COUNTIF($F34:$F37,BD$21)+COUNTIF($F34:$F37,$A$3))</f>
        <v>1</v>
      </c>
      <c r="BJ37" s="65" t="n">
        <f aca="false">IF($B37="","",COUNTIF($B34:$B37,BJ$21)+COUNTIF($B34:$B37,$A$3))</f>
        <v>0</v>
      </c>
      <c r="BK37" s="52" t="n">
        <f aca="false">IF($C37="","",COUNTIF($C34:$C37,BJ$21)+COUNTIF($C34:$C37,$A$3))</f>
        <v>1</v>
      </c>
      <c r="BL37" s="52" t="n">
        <f aca="false">IF($D37="","",COUNTIF($D34:$D37,BJ$21)+COUNTIF($D34:$D37,$A$3))</f>
        <v>1</v>
      </c>
      <c r="BM37" s="52" t="n">
        <f aca="false">IF($E37="","",COUNTIF($E34:$E37,BJ$21)+COUNTIF($E34:$E37,$A$3))</f>
        <v>0</v>
      </c>
      <c r="BN37" s="53" t="n">
        <f aca="false">IF($F37="","",COUNTIF($F34:$F37,BJ$21)+COUNTIF($F34:$F37,$A$3))</f>
        <v>0</v>
      </c>
      <c r="BP37" s="65" t="n">
        <f aca="false">IF($B37="","",COUNTIF($B34:$B37,BP$21)+COUNTIF($B34:$B37,$A$3))</f>
        <v>1</v>
      </c>
      <c r="BQ37" s="52" t="n">
        <f aca="false">IF($C37="","",COUNTIF($C34:$C37,BP$21)+COUNTIF($C34:$C37,$A$3))</f>
        <v>1</v>
      </c>
      <c r="BR37" s="52" t="n">
        <f aca="false">IF($D37="","",COUNTIF($D34:$D37,BP$21)+COUNTIF($D34:$D37,$A$3))</f>
        <v>0</v>
      </c>
      <c r="BS37" s="52" t="n">
        <f aca="false">IF($E37="","",COUNTIF($E34:$E37,BP$21)+COUNTIF($E34:$E37,$A$3))</f>
        <v>0</v>
      </c>
      <c r="BT37" s="53" t="n">
        <f aca="false">IF($F37="","",COUNTIF($F34:$F37,BP$21)+COUNTIF($F34:$F37,$A$3))</f>
        <v>0</v>
      </c>
    </row>
    <row r="38" customFormat="false" ht="15" hidden="false" customHeight="false" outlineLevel="0" collapsed="false">
      <c r="A38" s="13" t="n">
        <v>16</v>
      </c>
      <c r="B38" s="116" t="str">
        <f aca="false">IF('Game Info'!J21="","",'Game Info'!J21)</f>
        <v>SYM5</v>
      </c>
      <c r="C38" s="116" t="str">
        <f aca="false">IF('Game Info'!K21="","",'Game Info'!K21)</f>
        <v>SYM1</v>
      </c>
      <c r="D38" s="116" t="str">
        <f aca="false">IF('Game Info'!L21="","",'Game Info'!L21)</f>
        <v>SYM4</v>
      </c>
      <c r="E38" s="116" t="str">
        <f aca="false">IF('Game Info'!M21="","",'Game Info'!M21)</f>
        <v>J</v>
      </c>
      <c r="F38" s="117" t="str">
        <f aca="false">IF('Game Info'!N21="","",'Game Info'!N21)</f>
        <v>K</v>
      </c>
      <c r="H38" s="65" t="n">
        <f aca="false">IF($B38="","",COUNTIF($B35:$B38,H$21)+COUNTIF($B35:$B38,$A$3))</f>
        <v>0</v>
      </c>
      <c r="I38" s="52" t="n">
        <f aca="false">IF($C38="","",COUNTIF($C35:$C38,H$21)+COUNTIF($C35:$C38,$A$3))</f>
        <v>2</v>
      </c>
      <c r="J38" s="52" t="n">
        <f aca="false">IF($D38="","",COUNTIF($D35:$D38,H$21)+COUNTIF($D35:$D38,$A$3))</f>
        <v>0</v>
      </c>
      <c r="K38" s="52" t="n">
        <f aca="false">IF($E38="","",COUNTIF($E35:$E38,H$21)+COUNTIF($E35:$E38,$A$3))</f>
        <v>0</v>
      </c>
      <c r="L38" s="53" t="n">
        <f aca="false">IF($F38="","",COUNTIF($F35:$F38,H$21)+COUNTIF($F35:$F38,$A$3))</f>
        <v>1</v>
      </c>
      <c r="N38" s="65" t="n">
        <f aca="false">IF($B38="","",COUNTIF($B35:$B38,N$21)+COUNTIF($B35:$B38,$A$3))</f>
        <v>0</v>
      </c>
      <c r="O38" s="52" t="n">
        <f aca="false">IF($C38="","",COUNTIF($C35:$C38,N$21)+COUNTIF($C35:$C38,$A$3))</f>
        <v>1</v>
      </c>
      <c r="P38" s="52" t="n">
        <f aca="false">IF($D38="","",COUNTIF($D35:$D38,N$21)+COUNTIF($D35:$D38,$A$3))</f>
        <v>0</v>
      </c>
      <c r="Q38" s="52" t="n">
        <f aca="false">IF($E38="","",COUNTIF($E35:$E38,N$21)+COUNTIF($E35:$E38,$A$3))</f>
        <v>1</v>
      </c>
      <c r="R38" s="53" t="n">
        <f aca="false">IF($F38="","",COUNTIF($F35:$F38,N$21)+COUNTIF($F35:$F38,$A$3))</f>
        <v>0</v>
      </c>
      <c r="T38" s="65" t="n">
        <f aca="false">IF($B38="","",COUNTIF($B35:$B38,T$21)+COUNTIF($B35:$B38,$A$3))</f>
        <v>0</v>
      </c>
      <c r="U38" s="52" t="n">
        <f aca="false">IF($C38="","",COUNTIF($C35:$C38,T$21)+COUNTIF($C35:$C38,$A$3))</f>
        <v>1</v>
      </c>
      <c r="V38" s="52" t="n">
        <f aca="false">IF($D38="","",COUNTIF($D35:$D38,T$21)+COUNTIF($D35:$D38,$A$3))</f>
        <v>1</v>
      </c>
      <c r="W38" s="52" t="n">
        <f aca="false">IF($E38="","",COUNTIF($E35:$E38,T$21)+COUNTIF($E35:$E38,$A$3))</f>
        <v>0</v>
      </c>
      <c r="X38" s="53" t="n">
        <f aca="false">IF($F38="","",COUNTIF($F35:$F38,T$21)+COUNTIF($F35:$F38,$A$3))</f>
        <v>1</v>
      </c>
      <c r="Z38" s="65" t="n">
        <f aca="false">IF($B38="","",COUNTIF($B35:$B38,Z$21)+COUNTIF($B35:$B38,$A$3))</f>
        <v>0</v>
      </c>
      <c r="AA38" s="52" t="n">
        <f aca="false">IF($C38="","",COUNTIF($C35:$C38,Z$21)+COUNTIF($C35:$C38,$A$3))</f>
        <v>1</v>
      </c>
      <c r="AB38" s="52" t="n">
        <f aca="false">IF($D38="","",COUNTIF($D35:$D38,Z$21)+COUNTIF($D35:$D38,$A$3))</f>
        <v>1</v>
      </c>
      <c r="AC38" s="52" t="n">
        <f aca="false">IF($E38="","",COUNTIF($E35:$E38,Z$21)+COUNTIF($E35:$E38,$A$3))</f>
        <v>1</v>
      </c>
      <c r="AD38" s="53" t="n">
        <f aca="false">IF($F38="","",COUNTIF($F35:$F38,Z$21)+COUNTIF($F35:$F38,$A$3))</f>
        <v>0</v>
      </c>
      <c r="AF38" s="65" t="n">
        <f aca="false">IF($B38="","",COUNTIF($B35:$B38,AF$21)+COUNTIF($B35:$B38,$A$3))</f>
        <v>1</v>
      </c>
      <c r="AG38" s="52" t="n">
        <f aca="false">IF($C38="","",COUNTIF($C35:$C38,AF$21)+COUNTIF($C35:$C38,$A$3))</f>
        <v>1</v>
      </c>
      <c r="AH38" s="52" t="n">
        <f aca="false">IF($D38="","",COUNTIF($D35:$D38,AF$21)+COUNTIF($D35:$D38,$A$3))</f>
        <v>0</v>
      </c>
      <c r="AI38" s="52" t="n">
        <f aca="false">IF($E38="","",COUNTIF($E35:$E38,AF$21)+COUNTIF($E35:$E38,$A$3))</f>
        <v>0</v>
      </c>
      <c r="AJ38" s="53" t="n">
        <f aca="false">IF($F38="","",COUNTIF($F35:$F38,AF$21)+COUNTIF($F35:$F38,$A$3))</f>
        <v>0</v>
      </c>
      <c r="AL38" s="65" t="n">
        <f aca="false">IF($B38="","",COUNTIF($B35:$B38,AL$21)+COUNTIF($B35:$B38,$A$3))</f>
        <v>1</v>
      </c>
      <c r="AM38" s="52" t="n">
        <f aca="false">IF($C38="","",COUNTIF($C35:$C38,AL$21)+COUNTIF($C35:$C38,$A$3))</f>
        <v>2</v>
      </c>
      <c r="AN38" s="52" t="n">
        <f aca="false">IF($D38="","",COUNTIF($D35:$D38,AL$21)+COUNTIF($D35:$D38,$A$3))</f>
        <v>1</v>
      </c>
      <c r="AO38" s="52" t="n">
        <f aca="false">IF($E38="","",COUNTIF($E35:$E38,AL$21)+COUNTIF($E35:$E38,$A$3))</f>
        <v>0</v>
      </c>
      <c r="AP38" s="53" t="n">
        <f aca="false">IF($F38="","",COUNTIF($F35:$F38,AL$21)+COUNTIF($F35:$F38,$A$3))</f>
        <v>0</v>
      </c>
      <c r="AR38" s="65" t="n">
        <f aca="false">IF($B38="","",COUNTIF($B35:$B38,AR$21)+COUNTIF($B35:$B38,$A$3))</f>
        <v>0</v>
      </c>
      <c r="AS38" s="52" t="n">
        <f aca="false">IF($C38="","",COUNTIF($C35:$C38,AR$21)+COUNTIF($C35:$C38,$A$3))</f>
        <v>2</v>
      </c>
      <c r="AT38" s="52" t="n">
        <f aca="false">IF($D38="","",COUNTIF($D35:$D38,AR$21)+COUNTIF($D35:$D38,$A$3))</f>
        <v>0</v>
      </c>
      <c r="AU38" s="52" t="n">
        <f aca="false">IF($E38="","",COUNTIF($E35:$E38,AR$21)+COUNTIF($E35:$E38,$A$3))</f>
        <v>1</v>
      </c>
      <c r="AV38" s="53" t="n">
        <f aca="false">IF($F38="","",COUNTIF($F35:$F38,AR$21)+COUNTIF($F35:$F38,$A$3))</f>
        <v>1</v>
      </c>
      <c r="AX38" s="65" t="n">
        <f aca="false">IF($B38="","",COUNTIF($B35:$B38,AX$21)+COUNTIF($B35:$B38,$A$3))</f>
        <v>0</v>
      </c>
      <c r="AY38" s="52" t="n">
        <f aca="false">IF($C38="","",COUNTIF($C35:$C38,AX$21)+COUNTIF($C35:$C38,$A$3))</f>
        <v>1</v>
      </c>
      <c r="AZ38" s="52" t="n">
        <f aca="false">IF($D38="","",COUNTIF($D35:$D38,AX$21)+COUNTIF($D35:$D38,$A$3))</f>
        <v>1</v>
      </c>
      <c r="BA38" s="52" t="n">
        <f aca="false">IF($E38="","",COUNTIF($E35:$E38,AX$21)+COUNTIF($E35:$E38,$A$3))</f>
        <v>0</v>
      </c>
      <c r="BB38" s="53" t="n">
        <f aca="false">IF($F38="","",COUNTIF($F35:$F38,AX$21)+COUNTIF($F35:$F38,$A$3))</f>
        <v>1</v>
      </c>
      <c r="BD38" s="65" t="n">
        <f aca="false">IF($B38="","",COUNTIF($B35:$B38,BD$21)+COUNTIF($B35:$B38,$A$3))</f>
        <v>1</v>
      </c>
      <c r="BE38" s="52" t="n">
        <f aca="false">IF($C38="","",COUNTIF($C35:$C38,BD$21)+COUNTIF($C35:$C38,$A$3))</f>
        <v>1</v>
      </c>
      <c r="BF38" s="52" t="n">
        <f aca="false">IF($D38="","",COUNTIF($D35:$D38,BD$21)+COUNTIF($D35:$D38,$A$3))</f>
        <v>0</v>
      </c>
      <c r="BG38" s="52" t="n">
        <f aca="false">IF($E38="","",COUNTIF($E35:$E38,BD$21)+COUNTIF($E35:$E38,$A$3))</f>
        <v>1</v>
      </c>
      <c r="BH38" s="53" t="n">
        <f aca="false">IF($F38="","",COUNTIF($F35:$F38,BD$21)+COUNTIF($F35:$F38,$A$3))</f>
        <v>0</v>
      </c>
      <c r="BJ38" s="65" t="n">
        <f aca="false">IF($B38="","",COUNTIF($B35:$B38,BJ$21)+COUNTIF($B35:$B38,$A$3))</f>
        <v>0</v>
      </c>
      <c r="BK38" s="52" t="n">
        <f aca="false">IF($C38="","",COUNTIF($C35:$C38,BJ$21)+COUNTIF($C35:$C38,$A$3))</f>
        <v>1</v>
      </c>
      <c r="BL38" s="52" t="n">
        <f aca="false">IF($D38="","",COUNTIF($D35:$D38,BJ$21)+COUNTIF($D35:$D38,$A$3))</f>
        <v>0</v>
      </c>
      <c r="BM38" s="52" t="n">
        <f aca="false">IF($E38="","",COUNTIF($E35:$E38,BJ$21)+COUNTIF($E35:$E38,$A$3))</f>
        <v>0</v>
      </c>
      <c r="BN38" s="53" t="n">
        <f aca="false">IF($F38="","",COUNTIF($F35:$F38,BJ$21)+COUNTIF($F35:$F38,$A$3))</f>
        <v>0</v>
      </c>
      <c r="BP38" s="65" t="n">
        <f aca="false">IF($B38="","",COUNTIF($B35:$B38,BP$21)+COUNTIF($B35:$B38,$A$3))</f>
        <v>1</v>
      </c>
      <c r="BQ38" s="52" t="n">
        <f aca="false">IF($C38="","",COUNTIF($C35:$C38,BP$21)+COUNTIF($C35:$C38,$A$3))</f>
        <v>1</v>
      </c>
      <c r="BR38" s="52" t="n">
        <f aca="false">IF($D38="","",COUNTIF($D35:$D38,BP$21)+COUNTIF($D35:$D38,$A$3))</f>
        <v>0</v>
      </c>
      <c r="BS38" s="52" t="n">
        <f aca="false">IF($E38="","",COUNTIF($E35:$E38,BP$21)+COUNTIF($E35:$E38,$A$3))</f>
        <v>0</v>
      </c>
      <c r="BT38" s="53" t="n">
        <f aca="false">IF($F38="","",COUNTIF($F35:$F38,BP$21)+COUNTIF($F35:$F38,$A$3))</f>
        <v>0</v>
      </c>
    </row>
    <row r="39" customFormat="false" ht="15" hidden="false" customHeight="false" outlineLevel="0" collapsed="false">
      <c r="A39" s="13" t="n">
        <v>17</v>
      </c>
      <c r="B39" s="116" t="str">
        <f aca="false">IF('Game Info'!J22="","",'Game Info'!J22)</f>
        <v>SYM5</v>
      </c>
      <c r="C39" s="116" t="str">
        <f aca="false">IF('Game Info'!K22="","",'Game Info'!K22)</f>
        <v>Q</v>
      </c>
      <c r="D39" s="116" t="str">
        <f aca="false">IF('Game Info'!L22="","",'Game Info'!L22)</f>
        <v>SYM4</v>
      </c>
      <c r="E39" s="116" t="str">
        <f aca="false">IF('Game Info'!M22="","",'Game Info'!M22)</f>
        <v>SYM1</v>
      </c>
      <c r="F39" s="117" t="str">
        <f aca="false">IF('Game Info'!N22="","",'Game Info'!N22)</f>
        <v>Q</v>
      </c>
      <c r="H39" s="65" t="n">
        <f aca="false">IF($B39="","",COUNTIF($B36:$B39,H$21)+COUNTIF($B36:$B39,$A$3))</f>
        <v>0</v>
      </c>
      <c r="I39" s="52" t="n">
        <f aca="false">IF($C39="","",COUNTIF($C36:$C39,H$21)+COUNTIF($C36:$C39,$A$3))</f>
        <v>2</v>
      </c>
      <c r="J39" s="52" t="n">
        <f aca="false">IF($D39="","",COUNTIF($D36:$D39,H$21)+COUNTIF($D36:$D39,$A$3))</f>
        <v>0</v>
      </c>
      <c r="K39" s="52" t="n">
        <f aca="false">IF($E39="","",COUNTIF($E36:$E39,H$21)+COUNTIF($E36:$E39,$A$3))</f>
        <v>1</v>
      </c>
      <c r="L39" s="53" t="n">
        <f aca="false">IF($F39="","",COUNTIF($F36:$F39,H$21)+COUNTIF($F36:$F39,$A$3))</f>
        <v>1</v>
      </c>
      <c r="N39" s="65" t="n">
        <f aca="false">IF($B39="","",COUNTIF($B36:$B39,N$21)+COUNTIF($B36:$B39,$A$3))</f>
        <v>0</v>
      </c>
      <c r="O39" s="52" t="n">
        <f aca="false">IF($C39="","",COUNTIF($C36:$C39,N$21)+COUNTIF($C36:$C39,$A$3))</f>
        <v>1</v>
      </c>
      <c r="P39" s="52" t="n">
        <f aca="false">IF($D39="","",COUNTIF($D36:$D39,N$21)+COUNTIF($D36:$D39,$A$3))</f>
        <v>0</v>
      </c>
      <c r="Q39" s="52" t="n">
        <f aca="false">IF($E39="","",COUNTIF($E36:$E39,N$21)+COUNTIF($E36:$E39,$A$3))</f>
        <v>0</v>
      </c>
      <c r="R39" s="53" t="n">
        <f aca="false">IF($F39="","",COUNTIF($F36:$F39,N$21)+COUNTIF($F36:$F39,$A$3))</f>
        <v>0</v>
      </c>
      <c r="T39" s="65" t="n">
        <f aca="false">IF($B39="","",COUNTIF($B36:$B39,T$21)+COUNTIF($B36:$B39,$A$3))</f>
        <v>0</v>
      </c>
      <c r="U39" s="52" t="n">
        <f aca="false">IF($C39="","",COUNTIF($C36:$C39,T$21)+COUNTIF($C36:$C39,$A$3))</f>
        <v>1</v>
      </c>
      <c r="V39" s="52" t="n">
        <f aca="false">IF($D39="","",COUNTIF($D36:$D39,T$21)+COUNTIF($D36:$D39,$A$3))</f>
        <v>1</v>
      </c>
      <c r="W39" s="52" t="n">
        <f aca="false">IF($E39="","",COUNTIF($E36:$E39,T$21)+COUNTIF($E36:$E39,$A$3))</f>
        <v>0</v>
      </c>
      <c r="X39" s="53" t="n">
        <f aca="false">IF($F39="","",COUNTIF($F36:$F39,T$21)+COUNTIF($F36:$F39,$A$3))</f>
        <v>0</v>
      </c>
      <c r="Z39" s="65" t="n">
        <f aca="false">IF($B39="","",COUNTIF($B36:$B39,Z$21)+COUNTIF($B36:$B39,$A$3))</f>
        <v>0</v>
      </c>
      <c r="AA39" s="52" t="n">
        <f aca="false">IF($C39="","",COUNTIF($C36:$C39,Z$21)+COUNTIF($C36:$C39,$A$3))</f>
        <v>1</v>
      </c>
      <c r="AB39" s="52" t="n">
        <f aca="false">IF($D39="","",COUNTIF($D36:$D39,Z$21)+COUNTIF($D36:$D39,$A$3))</f>
        <v>2</v>
      </c>
      <c r="AC39" s="52" t="n">
        <f aca="false">IF($E39="","",COUNTIF($E36:$E39,Z$21)+COUNTIF($E36:$E39,$A$3))</f>
        <v>1</v>
      </c>
      <c r="AD39" s="53" t="n">
        <f aca="false">IF($F39="","",COUNTIF($F36:$F39,Z$21)+COUNTIF($F36:$F39,$A$3))</f>
        <v>0</v>
      </c>
      <c r="AF39" s="65" t="n">
        <f aca="false">IF($B39="","",COUNTIF($B36:$B39,AF$21)+COUNTIF($B36:$B39,$A$3))</f>
        <v>2</v>
      </c>
      <c r="AG39" s="52" t="n">
        <f aca="false">IF($C39="","",COUNTIF($C36:$C39,AF$21)+COUNTIF($C36:$C39,$A$3))</f>
        <v>1</v>
      </c>
      <c r="AH39" s="52" t="n">
        <f aca="false">IF($D39="","",COUNTIF($D36:$D39,AF$21)+COUNTIF($D36:$D39,$A$3))</f>
        <v>0</v>
      </c>
      <c r="AI39" s="52" t="n">
        <f aca="false">IF($E39="","",COUNTIF($E36:$E39,AF$21)+COUNTIF($E36:$E39,$A$3))</f>
        <v>0</v>
      </c>
      <c r="AJ39" s="53" t="n">
        <f aca="false">IF($F39="","",COUNTIF($F36:$F39,AF$21)+COUNTIF($F36:$F39,$A$3))</f>
        <v>0</v>
      </c>
      <c r="AL39" s="65" t="n">
        <f aca="false">IF($B39="","",COUNTIF($B36:$B39,AL$21)+COUNTIF($B36:$B39,$A$3))</f>
        <v>1</v>
      </c>
      <c r="AM39" s="52" t="n">
        <f aca="false">IF($C39="","",COUNTIF($C36:$C39,AL$21)+COUNTIF($C36:$C39,$A$3))</f>
        <v>1</v>
      </c>
      <c r="AN39" s="52" t="n">
        <f aca="false">IF($D39="","",COUNTIF($D36:$D39,AL$21)+COUNTIF($D36:$D39,$A$3))</f>
        <v>1</v>
      </c>
      <c r="AO39" s="52" t="n">
        <f aca="false">IF($E39="","",COUNTIF($E36:$E39,AL$21)+COUNTIF($E36:$E39,$A$3))</f>
        <v>0</v>
      </c>
      <c r="AP39" s="53" t="n">
        <f aca="false">IF($F39="","",COUNTIF($F36:$F39,AL$21)+COUNTIF($F36:$F39,$A$3))</f>
        <v>0</v>
      </c>
      <c r="AR39" s="65" t="n">
        <f aca="false">IF($B39="","",COUNTIF($B36:$B39,AR$21)+COUNTIF($B36:$B39,$A$3))</f>
        <v>0</v>
      </c>
      <c r="AS39" s="52" t="n">
        <f aca="false">IF($C39="","",COUNTIF($C36:$C39,AR$21)+COUNTIF($C36:$C39,$A$3))</f>
        <v>2</v>
      </c>
      <c r="AT39" s="52" t="n">
        <f aca="false">IF($D39="","",COUNTIF($D36:$D39,AR$21)+COUNTIF($D36:$D39,$A$3))</f>
        <v>0</v>
      </c>
      <c r="AU39" s="52" t="n">
        <f aca="false">IF($E39="","",COUNTIF($E36:$E39,AR$21)+COUNTIF($E36:$E39,$A$3))</f>
        <v>1</v>
      </c>
      <c r="AV39" s="53" t="n">
        <f aca="false">IF($F39="","",COUNTIF($F36:$F39,AR$21)+COUNTIF($F36:$F39,$A$3))</f>
        <v>1</v>
      </c>
      <c r="AX39" s="65" t="n">
        <f aca="false">IF($B39="","",COUNTIF($B36:$B39,AX$21)+COUNTIF($B36:$B39,$A$3))</f>
        <v>0</v>
      </c>
      <c r="AY39" s="52" t="n">
        <f aca="false">IF($C39="","",COUNTIF($C36:$C39,AX$21)+COUNTIF($C36:$C39,$A$3))</f>
        <v>2</v>
      </c>
      <c r="AZ39" s="52" t="n">
        <f aca="false">IF($D39="","",COUNTIF($D36:$D39,AX$21)+COUNTIF($D36:$D39,$A$3))</f>
        <v>0</v>
      </c>
      <c r="BA39" s="52" t="n">
        <f aca="false">IF($E39="","",COUNTIF($E36:$E39,AX$21)+COUNTIF($E36:$E39,$A$3))</f>
        <v>0</v>
      </c>
      <c r="BB39" s="53" t="n">
        <f aca="false">IF($F39="","",COUNTIF($F36:$F39,AX$21)+COUNTIF($F36:$F39,$A$3))</f>
        <v>2</v>
      </c>
      <c r="BD39" s="65" t="n">
        <f aca="false">IF($B39="","",COUNTIF($B36:$B39,BD$21)+COUNTIF($B36:$B39,$A$3))</f>
        <v>1</v>
      </c>
      <c r="BE39" s="52" t="n">
        <f aca="false">IF($C39="","",COUNTIF($C36:$C39,BD$21)+COUNTIF($C36:$C39,$A$3))</f>
        <v>1</v>
      </c>
      <c r="BF39" s="52" t="n">
        <f aca="false">IF($D39="","",COUNTIF($D36:$D39,BD$21)+COUNTIF($D36:$D39,$A$3))</f>
        <v>0</v>
      </c>
      <c r="BG39" s="52" t="n">
        <f aca="false">IF($E39="","",COUNTIF($E36:$E39,BD$21)+COUNTIF($E36:$E39,$A$3))</f>
        <v>1</v>
      </c>
      <c r="BH39" s="53" t="n">
        <f aca="false">IF($F39="","",COUNTIF($F36:$F39,BD$21)+COUNTIF($F36:$F39,$A$3))</f>
        <v>0</v>
      </c>
      <c r="BJ39" s="65" t="n">
        <f aca="false">IF($B39="","",COUNTIF($B36:$B39,BJ$21)+COUNTIF($B36:$B39,$A$3))</f>
        <v>0</v>
      </c>
      <c r="BK39" s="52" t="n">
        <f aca="false">IF($C39="","",COUNTIF($C36:$C39,BJ$21)+COUNTIF($C36:$C39,$A$3))</f>
        <v>1</v>
      </c>
      <c r="BL39" s="52" t="n">
        <f aca="false">IF($D39="","",COUNTIF($D36:$D39,BJ$21)+COUNTIF($D36:$D39,$A$3))</f>
        <v>0</v>
      </c>
      <c r="BM39" s="52" t="n">
        <f aca="false">IF($E39="","",COUNTIF($E36:$E39,BJ$21)+COUNTIF($E36:$E39,$A$3))</f>
        <v>0</v>
      </c>
      <c r="BN39" s="53" t="n">
        <f aca="false">IF($F39="","",COUNTIF($F36:$F39,BJ$21)+COUNTIF($F36:$F39,$A$3))</f>
        <v>0</v>
      </c>
      <c r="BP39" s="65" t="n">
        <f aca="false">IF($B39="","",COUNTIF($B36:$B39,BP$21)+COUNTIF($B36:$B39,$A$3))</f>
        <v>0</v>
      </c>
      <c r="BQ39" s="52" t="n">
        <f aca="false">IF($C39="","",COUNTIF($C36:$C39,BP$21)+COUNTIF($C36:$C39,$A$3))</f>
        <v>1</v>
      </c>
      <c r="BR39" s="52" t="n">
        <f aca="false">IF($D39="","",COUNTIF($D36:$D39,BP$21)+COUNTIF($D36:$D39,$A$3))</f>
        <v>0</v>
      </c>
      <c r="BS39" s="52" t="n">
        <f aca="false">IF($E39="","",COUNTIF($E36:$E39,BP$21)+COUNTIF($E36:$E39,$A$3))</f>
        <v>0</v>
      </c>
      <c r="BT39" s="53" t="n">
        <f aca="false">IF($F39="","",COUNTIF($F36:$F39,BP$21)+COUNTIF($F36:$F39,$A$3))</f>
        <v>0</v>
      </c>
    </row>
    <row r="40" customFormat="false" ht="15" hidden="false" customHeight="false" outlineLevel="0" collapsed="false">
      <c r="A40" s="13" t="n">
        <v>18</v>
      </c>
      <c r="B40" s="116" t="str">
        <f aca="false">IF('Game Info'!J23="","",'Game Info'!J23)</f>
        <v>SYM5</v>
      </c>
      <c r="C40" s="116" t="n">
        <f aca="false">IF('Game Info'!K23="","",'Game Info'!K23)</f>
        <v>10</v>
      </c>
      <c r="D40" s="116" t="str">
        <f aca="false">IF('Game Info'!L23="","",'Game Info'!L23)</f>
        <v>SYM4</v>
      </c>
      <c r="E40" s="116" t="str">
        <f aca="false">IF('Game Info'!M23="","",'Game Info'!M23)</f>
        <v>SYM1</v>
      </c>
      <c r="F40" s="117" t="str">
        <f aca="false">IF('Game Info'!N23="","",'Game Info'!N23)</f>
        <v>SYM4</v>
      </c>
      <c r="H40" s="65" t="n">
        <f aca="false">IF($B40="","",COUNTIF($B37:$B40,H$21)+COUNTIF($B37:$B40,$A$3))</f>
        <v>0</v>
      </c>
      <c r="I40" s="52" t="n">
        <f aca="false">IF($C40="","",COUNTIF($C37:$C40,H$21)+COUNTIF($C37:$C40,$A$3))</f>
        <v>1</v>
      </c>
      <c r="J40" s="52" t="n">
        <f aca="false">IF($D40="","",COUNTIF($D37:$D40,H$21)+COUNTIF($D37:$D40,$A$3))</f>
        <v>0</v>
      </c>
      <c r="K40" s="52" t="n">
        <f aca="false">IF($E40="","",COUNTIF($E37:$E40,H$21)+COUNTIF($E37:$E40,$A$3))</f>
        <v>2</v>
      </c>
      <c r="L40" s="53" t="n">
        <f aca="false">IF($F40="","",COUNTIF($F37:$F40,H$21)+COUNTIF($F37:$F40,$A$3))</f>
        <v>1</v>
      </c>
      <c r="N40" s="65" t="n">
        <f aca="false">IF($B40="","",COUNTIF($B37:$B40,N$21)+COUNTIF($B37:$B40,$A$3))</f>
        <v>0</v>
      </c>
      <c r="O40" s="52" t="n">
        <f aca="false">IF($C40="","",COUNTIF($C37:$C40,N$21)+COUNTIF($C37:$C40,$A$3))</f>
        <v>0</v>
      </c>
      <c r="P40" s="52" t="n">
        <f aca="false">IF($D40="","",COUNTIF($D37:$D40,N$21)+COUNTIF($D37:$D40,$A$3))</f>
        <v>0</v>
      </c>
      <c r="Q40" s="52" t="n">
        <f aca="false">IF($E40="","",COUNTIF($E37:$E40,N$21)+COUNTIF($E37:$E40,$A$3))</f>
        <v>0</v>
      </c>
      <c r="R40" s="53" t="n">
        <f aca="false">IF($F40="","",COUNTIF($F37:$F40,N$21)+COUNTIF($F37:$F40,$A$3))</f>
        <v>0</v>
      </c>
      <c r="T40" s="65" t="n">
        <f aca="false">IF($B40="","",COUNTIF($B37:$B40,T$21)+COUNTIF($B37:$B40,$A$3))</f>
        <v>0</v>
      </c>
      <c r="U40" s="52" t="n">
        <f aca="false">IF($C40="","",COUNTIF($C37:$C40,T$21)+COUNTIF($C37:$C40,$A$3))</f>
        <v>0</v>
      </c>
      <c r="V40" s="52" t="n">
        <f aca="false">IF($D40="","",COUNTIF($D37:$D40,T$21)+COUNTIF($D37:$D40,$A$3))</f>
        <v>0</v>
      </c>
      <c r="W40" s="52" t="n">
        <f aca="false">IF($E40="","",COUNTIF($E37:$E40,T$21)+COUNTIF($E37:$E40,$A$3))</f>
        <v>0</v>
      </c>
      <c r="X40" s="53" t="n">
        <f aca="false">IF($F40="","",COUNTIF($F37:$F40,T$21)+COUNTIF($F37:$F40,$A$3))</f>
        <v>0</v>
      </c>
      <c r="Z40" s="65" t="n">
        <f aca="false">IF($B40="","",COUNTIF($B37:$B40,Z$21)+COUNTIF($B37:$B40,$A$3))</f>
        <v>0</v>
      </c>
      <c r="AA40" s="52" t="n">
        <f aca="false">IF($C40="","",COUNTIF($C37:$C40,Z$21)+COUNTIF($C37:$C40,$A$3))</f>
        <v>0</v>
      </c>
      <c r="AB40" s="52" t="n">
        <f aca="false">IF($D40="","",COUNTIF($D37:$D40,Z$21)+COUNTIF($D37:$D40,$A$3))</f>
        <v>3</v>
      </c>
      <c r="AC40" s="52" t="n">
        <f aca="false">IF($E40="","",COUNTIF($E37:$E40,Z$21)+COUNTIF($E37:$E40,$A$3))</f>
        <v>1</v>
      </c>
      <c r="AD40" s="53" t="n">
        <f aca="false">IF($F40="","",COUNTIF($F37:$F40,Z$21)+COUNTIF($F37:$F40,$A$3))</f>
        <v>1</v>
      </c>
      <c r="AF40" s="65" t="n">
        <f aca="false">IF($B40="","",COUNTIF($B37:$B40,AF$21)+COUNTIF($B37:$B40,$A$3))</f>
        <v>3</v>
      </c>
      <c r="AG40" s="52" t="n">
        <f aca="false">IF($C40="","",COUNTIF($C37:$C40,AF$21)+COUNTIF($C37:$C40,$A$3))</f>
        <v>0</v>
      </c>
      <c r="AH40" s="52" t="n">
        <f aca="false">IF($D40="","",COUNTIF($D37:$D40,AF$21)+COUNTIF($D37:$D40,$A$3))</f>
        <v>0</v>
      </c>
      <c r="AI40" s="52" t="n">
        <f aca="false">IF($E40="","",COUNTIF($E37:$E40,AF$21)+COUNTIF($E37:$E40,$A$3))</f>
        <v>0</v>
      </c>
      <c r="AJ40" s="53" t="n">
        <f aca="false">IF($F40="","",COUNTIF($F37:$F40,AF$21)+COUNTIF($F37:$F40,$A$3))</f>
        <v>0</v>
      </c>
      <c r="AL40" s="65" t="n">
        <f aca="false">IF($B40="","",COUNTIF($B37:$B40,AL$21)+COUNTIF($B37:$B40,$A$3))</f>
        <v>1</v>
      </c>
      <c r="AM40" s="52" t="n">
        <f aca="false">IF($C40="","",COUNTIF($C37:$C40,AL$21)+COUNTIF($C37:$C40,$A$3))</f>
        <v>0</v>
      </c>
      <c r="AN40" s="52" t="n">
        <f aca="false">IF($D40="","",COUNTIF($D37:$D40,AL$21)+COUNTIF($D37:$D40,$A$3))</f>
        <v>1</v>
      </c>
      <c r="AO40" s="52" t="n">
        <f aca="false">IF($E40="","",COUNTIF($E37:$E40,AL$21)+COUNTIF($E37:$E40,$A$3))</f>
        <v>0</v>
      </c>
      <c r="AP40" s="53" t="n">
        <f aca="false">IF($F40="","",COUNTIF($F37:$F40,AL$21)+COUNTIF($F37:$F40,$A$3))</f>
        <v>0</v>
      </c>
      <c r="AR40" s="65" t="n">
        <f aca="false">IF($B40="","",COUNTIF($B37:$B40,AR$21)+COUNTIF($B37:$B40,$A$3))</f>
        <v>0</v>
      </c>
      <c r="AS40" s="52" t="n">
        <f aca="false">IF($C40="","",COUNTIF($C37:$C40,AR$21)+COUNTIF($C37:$C40,$A$3))</f>
        <v>1</v>
      </c>
      <c r="AT40" s="52" t="n">
        <f aca="false">IF($D40="","",COUNTIF($D37:$D40,AR$21)+COUNTIF($D37:$D40,$A$3))</f>
        <v>0</v>
      </c>
      <c r="AU40" s="52" t="n">
        <f aca="false">IF($E40="","",COUNTIF($E37:$E40,AR$21)+COUNTIF($E37:$E40,$A$3))</f>
        <v>0</v>
      </c>
      <c r="AV40" s="53" t="n">
        <f aca="false">IF($F40="","",COUNTIF($F37:$F40,AR$21)+COUNTIF($F37:$F40,$A$3))</f>
        <v>1</v>
      </c>
      <c r="AX40" s="65" t="n">
        <f aca="false">IF($B40="","",COUNTIF($B37:$B40,AX$21)+COUNTIF($B37:$B40,$A$3))</f>
        <v>0</v>
      </c>
      <c r="AY40" s="52" t="n">
        <f aca="false">IF($C40="","",COUNTIF($C37:$C40,AX$21)+COUNTIF($C37:$C40,$A$3))</f>
        <v>1</v>
      </c>
      <c r="AZ40" s="52" t="n">
        <f aca="false">IF($D40="","",COUNTIF($D37:$D40,AX$21)+COUNTIF($D37:$D40,$A$3))</f>
        <v>0</v>
      </c>
      <c r="BA40" s="52" t="n">
        <f aca="false">IF($E40="","",COUNTIF($E37:$E40,AX$21)+COUNTIF($E37:$E40,$A$3))</f>
        <v>0</v>
      </c>
      <c r="BB40" s="53" t="n">
        <f aca="false">IF($F40="","",COUNTIF($F37:$F40,AX$21)+COUNTIF($F37:$F40,$A$3))</f>
        <v>1</v>
      </c>
      <c r="BD40" s="65" t="n">
        <f aca="false">IF($B40="","",COUNTIF($B37:$B40,BD$21)+COUNTIF($B37:$B40,$A$3))</f>
        <v>0</v>
      </c>
      <c r="BE40" s="52" t="n">
        <f aca="false">IF($C40="","",COUNTIF($C37:$C40,BD$21)+COUNTIF($C37:$C40,$A$3))</f>
        <v>0</v>
      </c>
      <c r="BF40" s="52" t="n">
        <f aca="false">IF($D40="","",COUNTIF($D37:$D40,BD$21)+COUNTIF($D37:$D40,$A$3))</f>
        <v>0</v>
      </c>
      <c r="BG40" s="52" t="n">
        <f aca="false">IF($E40="","",COUNTIF($E37:$E40,BD$21)+COUNTIF($E37:$E40,$A$3))</f>
        <v>1</v>
      </c>
      <c r="BH40" s="53" t="n">
        <f aca="false">IF($F40="","",COUNTIF($F37:$F40,BD$21)+COUNTIF($F37:$F40,$A$3))</f>
        <v>0</v>
      </c>
      <c r="BJ40" s="65" t="n">
        <f aca="false">IF($B40="","",COUNTIF($B37:$B40,BJ$21)+COUNTIF($B37:$B40,$A$3))</f>
        <v>0</v>
      </c>
      <c r="BK40" s="52" t="n">
        <f aca="false">IF($C40="","",COUNTIF($C37:$C40,BJ$21)+COUNTIF($C37:$C40,$A$3))</f>
        <v>1</v>
      </c>
      <c r="BL40" s="52" t="n">
        <f aca="false">IF($D40="","",COUNTIF($D37:$D40,BJ$21)+COUNTIF($D37:$D40,$A$3))</f>
        <v>0</v>
      </c>
      <c r="BM40" s="52" t="n">
        <f aca="false">IF($E40="","",COUNTIF($E37:$E40,BJ$21)+COUNTIF($E37:$E40,$A$3))</f>
        <v>0</v>
      </c>
      <c r="BN40" s="53" t="n">
        <f aca="false">IF($F40="","",COUNTIF($F37:$F40,BJ$21)+COUNTIF($F37:$F40,$A$3))</f>
        <v>0</v>
      </c>
      <c r="BP40" s="65" t="n">
        <f aca="false">IF($B40="","",COUNTIF($B37:$B40,BP$21)+COUNTIF($B37:$B40,$A$3))</f>
        <v>0</v>
      </c>
      <c r="BQ40" s="52" t="n">
        <f aca="false">IF($C40="","",COUNTIF($C37:$C40,BP$21)+COUNTIF($C37:$C40,$A$3))</f>
        <v>0</v>
      </c>
      <c r="BR40" s="52" t="n">
        <f aca="false">IF($D40="","",COUNTIF($D37:$D40,BP$21)+COUNTIF($D37:$D40,$A$3))</f>
        <v>0</v>
      </c>
      <c r="BS40" s="52" t="n">
        <f aca="false">IF($E40="","",COUNTIF($E37:$E40,BP$21)+COUNTIF($E37:$E40,$A$3))</f>
        <v>0</v>
      </c>
      <c r="BT40" s="53" t="n">
        <f aca="false">IF($F40="","",COUNTIF($F37:$F40,BP$21)+COUNTIF($F37:$F40,$A$3))</f>
        <v>0</v>
      </c>
    </row>
    <row r="41" customFormat="false" ht="15" hidden="false" customHeight="false" outlineLevel="0" collapsed="false">
      <c r="A41" s="13" t="n">
        <v>19</v>
      </c>
      <c r="B41" s="116" t="str">
        <f aca="false">IF('Game Info'!J24="","",'Game Info'!J24)</f>
        <v>Q</v>
      </c>
      <c r="C41" s="116" t="str">
        <f aca="false">IF('Game Info'!K24="","",'Game Info'!K24)</f>
        <v>K</v>
      </c>
      <c r="D41" s="116" t="str">
        <f aca="false">IF('Game Info'!L24="","",'Game Info'!L24)</f>
        <v>J</v>
      </c>
      <c r="E41" s="116" t="str">
        <f aca="false">IF('Game Info'!M24="","",'Game Info'!M24)</f>
        <v>SYM1</v>
      </c>
      <c r="F41" s="117" t="str">
        <f aca="false">IF('Game Info'!N24="","",'Game Info'!N24)</f>
        <v>K</v>
      </c>
      <c r="H41" s="65" t="n">
        <f aca="false">IF($B41="","",COUNTIF($B38:$B41,H$21)+COUNTIF($B38:$B41,$A$3))</f>
        <v>0</v>
      </c>
      <c r="I41" s="52" t="n">
        <f aca="false">IF($C41="","",COUNTIF($C38:$C41,H$21)+COUNTIF($C38:$C41,$A$3))</f>
        <v>1</v>
      </c>
      <c r="J41" s="52" t="n">
        <f aca="false">IF($D41="","",COUNTIF($D38:$D41,H$21)+COUNTIF($D38:$D41,$A$3))</f>
        <v>0</v>
      </c>
      <c r="K41" s="52" t="n">
        <f aca="false">IF($E41="","",COUNTIF($E38:$E41,H$21)+COUNTIF($E38:$E41,$A$3))</f>
        <v>3</v>
      </c>
      <c r="L41" s="53" t="n">
        <f aca="false">IF($F41="","",COUNTIF($F38:$F41,H$21)+COUNTIF($F38:$F41,$A$3))</f>
        <v>0</v>
      </c>
      <c r="N41" s="65" t="n">
        <f aca="false">IF($B41="","",COUNTIF($B38:$B41,N$21)+COUNTIF($B38:$B41,$A$3))</f>
        <v>0</v>
      </c>
      <c r="O41" s="52" t="n">
        <f aca="false">IF($C41="","",COUNTIF($C38:$C41,N$21)+COUNTIF($C38:$C41,$A$3))</f>
        <v>0</v>
      </c>
      <c r="P41" s="52" t="n">
        <f aca="false">IF($D41="","",COUNTIF($D38:$D41,N$21)+COUNTIF($D38:$D41,$A$3))</f>
        <v>0</v>
      </c>
      <c r="Q41" s="52" t="n">
        <f aca="false">IF($E41="","",COUNTIF($E38:$E41,N$21)+COUNTIF($E38:$E41,$A$3))</f>
        <v>0</v>
      </c>
      <c r="R41" s="53" t="n">
        <f aca="false">IF($F41="","",COUNTIF($F38:$F41,N$21)+COUNTIF($F38:$F41,$A$3))</f>
        <v>0</v>
      </c>
      <c r="T41" s="65" t="n">
        <f aca="false">IF($B41="","",COUNTIF($B38:$B41,T$21)+COUNTIF($B38:$B41,$A$3))</f>
        <v>0</v>
      </c>
      <c r="U41" s="52" t="n">
        <f aca="false">IF($C41="","",COUNTIF($C38:$C41,T$21)+COUNTIF($C38:$C41,$A$3))</f>
        <v>0</v>
      </c>
      <c r="V41" s="52" t="n">
        <f aca="false">IF($D41="","",COUNTIF($D38:$D41,T$21)+COUNTIF($D38:$D41,$A$3))</f>
        <v>0</v>
      </c>
      <c r="W41" s="52" t="n">
        <f aca="false">IF($E41="","",COUNTIF($E38:$E41,T$21)+COUNTIF($E38:$E41,$A$3))</f>
        <v>0</v>
      </c>
      <c r="X41" s="53" t="n">
        <f aca="false">IF($F41="","",COUNTIF($F38:$F41,T$21)+COUNTIF($F38:$F41,$A$3))</f>
        <v>0</v>
      </c>
      <c r="Z41" s="65" t="n">
        <f aca="false">IF($B41="","",COUNTIF($B38:$B41,Z$21)+COUNTIF($B38:$B41,$A$3))</f>
        <v>0</v>
      </c>
      <c r="AA41" s="52" t="n">
        <f aca="false">IF($C41="","",COUNTIF($C38:$C41,Z$21)+COUNTIF($C38:$C41,$A$3))</f>
        <v>0</v>
      </c>
      <c r="AB41" s="52" t="n">
        <f aca="false">IF($D41="","",COUNTIF($D38:$D41,Z$21)+COUNTIF($D38:$D41,$A$3))</f>
        <v>3</v>
      </c>
      <c r="AC41" s="52" t="n">
        <f aca="false">IF($E41="","",COUNTIF($E38:$E41,Z$21)+COUNTIF($E38:$E41,$A$3))</f>
        <v>0</v>
      </c>
      <c r="AD41" s="53" t="n">
        <f aca="false">IF($F41="","",COUNTIF($F38:$F41,Z$21)+COUNTIF($F38:$F41,$A$3))</f>
        <v>1</v>
      </c>
      <c r="AF41" s="65" t="n">
        <f aca="false">IF($B41="","",COUNTIF($B38:$B41,AF$21)+COUNTIF($B38:$B41,$A$3))</f>
        <v>3</v>
      </c>
      <c r="AG41" s="52" t="n">
        <f aca="false">IF($C41="","",COUNTIF($C38:$C41,AF$21)+COUNTIF($C38:$C41,$A$3))</f>
        <v>0</v>
      </c>
      <c r="AH41" s="52" t="n">
        <f aca="false">IF($D41="","",COUNTIF($D38:$D41,AF$21)+COUNTIF($D38:$D41,$A$3))</f>
        <v>0</v>
      </c>
      <c r="AI41" s="52" t="n">
        <f aca="false">IF($E41="","",COUNTIF($E38:$E41,AF$21)+COUNTIF($E38:$E41,$A$3))</f>
        <v>0</v>
      </c>
      <c r="AJ41" s="53" t="n">
        <f aca="false">IF($F41="","",COUNTIF($F38:$F41,AF$21)+COUNTIF($F38:$F41,$A$3))</f>
        <v>0</v>
      </c>
      <c r="AL41" s="65" t="n">
        <f aca="false">IF($B41="","",COUNTIF($B38:$B41,AL$21)+COUNTIF($B38:$B41,$A$3))</f>
        <v>0</v>
      </c>
      <c r="AM41" s="52" t="n">
        <f aca="false">IF($C41="","",COUNTIF($C38:$C41,AL$21)+COUNTIF($C38:$C41,$A$3))</f>
        <v>0</v>
      </c>
      <c r="AN41" s="52" t="n">
        <f aca="false">IF($D41="","",COUNTIF($D38:$D41,AL$21)+COUNTIF($D38:$D41,$A$3))</f>
        <v>0</v>
      </c>
      <c r="AO41" s="52" t="n">
        <f aca="false">IF($E41="","",COUNTIF($E38:$E41,AL$21)+COUNTIF($E38:$E41,$A$3))</f>
        <v>0</v>
      </c>
      <c r="AP41" s="53" t="n">
        <f aca="false">IF($F41="","",COUNTIF($F38:$F41,AL$21)+COUNTIF($F38:$F41,$A$3))</f>
        <v>0</v>
      </c>
      <c r="AR41" s="65" t="n">
        <f aca="false">IF($B41="","",COUNTIF($B38:$B41,AR$21)+COUNTIF($B38:$B41,$A$3))</f>
        <v>0</v>
      </c>
      <c r="AS41" s="52" t="n">
        <f aca="false">IF($C41="","",COUNTIF($C38:$C41,AR$21)+COUNTIF($C38:$C41,$A$3))</f>
        <v>1</v>
      </c>
      <c r="AT41" s="52" t="n">
        <f aca="false">IF($D41="","",COUNTIF($D38:$D41,AR$21)+COUNTIF($D38:$D41,$A$3))</f>
        <v>0</v>
      </c>
      <c r="AU41" s="52" t="n">
        <f aca="false">IF($E41="","",COUNTIF($E38:$E41,AR$21)+COUNTIF($E38:$E41,$A$3))</f>
        <v>0</v>
      </c>
      <c r="AV41" s="53" t="n">
        <f aca="false">IF($F41="","",COUNTIF($F38:$F41,AR$21)+COUNTIF($F38:$F41,$A$3))</f>
        <v>2</v>
      </c>
      <c r="AX41" s="65" t="n">
        <f aca="false">IF($B41="","",COUNTIF($B38:$B41,AX$21)+COUNTIF($B38:$B41,$A$3))</f>
        <v>1</v>
      </c>
      <c r="AY41" s="52" t="n">
        <f aca="false">IF($C41="","",COUNTIF($C38:$C41,AX$21)+COUNTIF($C38:$C41,$A$3))</f>
        <v>1</v>
      </c>
      <c r="AZ41" s="52" t="n">
        <f aca="false">IF($D41="","",COUNTIF($D38:$D41,AX$21)+COUNTIF($D38:$D41,$A$3))</f>
        <v>0</v>
      </c>
      <c r="BA41" s="52" t="n">
        <f aca="false">IF($E41="","",COUNTIF($E38:$E41,AX$21)+COUNTIF($E38:$E41,$A$3))</f>
        <v>0</v>
      </c>
      <c r="BB41" s="53" t="n">
        <f aca="false">IF($F41="","",COUNTIF($F38:$F41,AX$21)+COUNTIF($F38:$F41,$A$3))</f>
        <v>1</v>
      </c>
      <c r="BD41" s="65" t="n">
        <f aca="false">IF($B41="","",COUNTIF($B38:$B41,BD$21)+COUNTIF($B38:$B41,$A$3))</f>
        <v>0</v>
      </c>
      <c r="BE41" s="52" t="n">
        <f aca="false">IF($C41="","",COUNTIF($C38:$C41,BD$21)+COUNTIF($C38:$C41,$A$3))</f>
        <v>0</v>
      </c>
      <c r="BF41" s="52" t="n">
        <f aca="false">IF($D41="","",COUNTIF($D38:$D41,BD$21)+COUNTIF($D38:$D41,$A$3))</f>
        <v>1</v>
      </c>
      <c r="BG41" s="52" t="n">
        <f aca="false">IF($E41="","",COUNTIF($E38:$E41,BD$21)+COUNTIF($E38:$E41,$A$3))</f>
        <v>1</v>
      </c>
      <c r="BH41" s="53" t="n">
        <f aca="false">IF($F41="","",COUNTIF($F38:$F41,BD$21)+COUNTIF($F38:$F41,$A$3))</f>
        <v>0</v>
      </c>
      <c r="BJ41" s="65" t="n">
        <f aca="false">IF($B41="","",COUNTIF($B38:$B41,BJ$21)+COUNTIF($B38:$B41,$A$3))</f>
        <v>0</v>
      </c>
      <c r="BK41" s="52" t="n">
        <f aca="false">IF($C41="","",COUNTIF($C38:$C41,BJ$21)+COUNTIF($C38:$C41,$A$3))</f>
        <v>1</v>
      </c>
      <c r="BL41" s="52" t="n">
        <f aca="false">IF($D41="","",COUNTIF($D38:$D41,BJ$21)+COUNTIF($D38:$D41,$A$3))</f>
        <v>0</v>
      </c>
      <c r="BM41" s="52" t="n">
        <f aca="false">IF($E41="","",COUNTIF($E38:$E41,BJ$21)+COUNTIF($E38:$E41,$A$3))</f>
        <v>0</v>
      </c>
      <c r="BN41" s="53" t="n">
        <f aca="false">IF($F41="","",COUNTIF($F38:$F41,BJ$21)+COUNTIF($F38:$F41,$A$3))</f>
        <v>0</v>
      </c>
      <c r="BP41" s="65" t="n">
        <f aca="false">IF($B41="","",COUNTIF($B38:$B41,BP$21)+COUNTIF($B38:$B41,$A$3))</f>
        <v>0</v>
      </c>
      <c r="BQ41" s="52" t="n">
        <f aca="false">IF($C41="","",COUNTIF($C38:$C41,BP$21)+COUNTIF($C38:$C41,$A$3))</f>
        <v>0</v>
      </c>
      <c r="BR41" s="52" t="n">
        <f aca="false">IF($D41="","",COUNTIF($D38:$D41,BP$21)+COUNTIF($D38:$D41,$A$3))</f>
        <v>0</v>
      </c>
      <c r="BS41" s="52" t="n">
        <f aca="false">IF($E41="","",COUNTIF($E38:$E41,BP$21)+COUNTIF($E38:$E41,$A$3))</f>
        <v>0</v>
      </c>
      <c r="BT41" s="53" t="n">
        <f aca="false">IF($F41="","",COUNTIF($F38:$F41,BP$21)+COUNTIF($F38:$F41,$A$3))</f>
        <v>0</v>
      </c>
    </row>
    <row r="42" customFormat="false" ht="15" hidden="false" customHeight="false" outlineLevel="0" collapsed="false">
      <c r="A42" s="13" t="n">
        <v>20</v>
      </c>
      <c r="B42" s="116" t="n">
        <f aca="false">IF('Game Info'!J25="","",'Game Info'!J25)</f>
        <v>10</v>
      </c>
      <c r="C42" s="116" t="str">
        <f aca="false">IF('Game Info'!K25="","",'Game Info'!K25)</f>
        <v>SYM4</v>
      </c>
      <c r="D42" s="116" t="str">
        <f aca="false">IF('Game Info'!L25="","",'Game Info'!L25)</f>
        <v>FG</v>
      </c>
      <c r="E42" s="116" t="str">
        <f aca="false">IF('Game Info'!M25="","",'Game Info'!M25)</f>
        <v>J</v>
      </c>
      <c r="F42" s="117" t="str">
        <f aca="false">IF('Game Info'!N25="","",'Game Info'!N25)</f>
        <v>SYM1</v>
      </c>
      <c r="H42" s="65" t="n">
        <f aca="false">IF($B42="","",COUNTIF($B39:$B42,H$21)+COUNTIF($B39:$B42,$A$3))</f>
        <v>0</v>
      </c>
      <c r="I42" s="52" t="n">
        <f aca="false">IF($C42="","",COUNTIF($C39:$C42,H$21)+COUNTIF($C39:$C42,$A$3))</f>
        <v>0</v>
      </c>
      <c r="J42" s="52" t="n">
        <f aca="false">IF($D42="","",COUNTIF($D39:$D42,H$21)+COUNTIF($D39:$D42,$A$3))</f>
        <v>0</v>
      </c>
      <c r="K42" s="52" t="n">
        <f aca="false">IF($E42="","",COUNTIF($E39:$E42,H$21)+COUNTIF($E39:$E42,$A$3))</f>
        <v>3</v>
      </c>
      <c r="L42" s="53" t="n">
        <f aca="false">IF($F42="","",COUNTIF($F39:$F42,H$21)+COUNTIF($F39:$F42,$A$3))</f>
        <v>1</v>
      </c>
      <c r="N42" s="65" t="n">
        <f aca="false">IF($B42="","",COUNTIF($B39:$B42,N$21)+COUNTIF($B39:$B42,$A$3))</f>
        <v>0</v>
      </c>
      <c r="O42" s="52" t="n">
        <f aca="false">IF($C42="","",COUNTIF($C39:$C42,N$21)+COUNTIF($C39:$C42,$A$3))</f>
        <v>0</v>
      </c>
      <c r="P42" s="52" t="n">
        <f aca="false">IF($D42="","",COUNTIF($D39:$D42,N$21)+COUNTIF($D39:$D42,$A$3))</f>
        <v>0</v>
      </c>
      <c r="Q42" s="52" t="n">
        <f aca="false">IF($E42="","",COUNTIF($E39:$E42,N$21)+COUNTIF($E39:$E42,$A$3))</f>
        <v>0</v>
      </c>
      <c r="R42" s="53" t="n">
        <f aca="false">IF($F42="","",COUNTIF($F39:$F42,N$21)+COUNTIF($F39:$F42,$A$3))</f>
        <v>0</v>
      </c>
      <c r="T42" s="65" t="n">
        <f aca="false">IF($B42="","",COUNTIF($B39:$B42,T$21)+COUNTIF($B39:$B42,$A$3))</f>
        <v>0</v>
      </c>
      <c r="U42" s="52" t="n">
        <f aca="false">IF($C42="","",COUNTIF($C39:$C42,T$21)+COUNTIF($C39:$C42,$A$3))</f>
        <v>0</v>
      </c>
      <c r="V42" s="52" t="n">
        <f aca="false">IF($D42="","",COUNTIF($D39:$D42,T$21)+COUNTIF($D39:$D42,$A$3))</f>
        <v>0</v>
      </c>
      <c r="W42" s="52" t="n">
        <f aca="false">IF($E42="","",COUNTIF($E39:$E42,T$21)+COUNTIF($E39:$E42,$A$3))</f>
        <v>0</v>
      </c>
      <c r="X42" s="53" t="n">
        <f aca="false">IF($F42="","",COUNTIF($F39:$F42,T$21)+COUNTIF($F39:$F42,$A$3))</f>
        <v>0</v>
      </c>
      <c r="Z42" s="65" t="n">
        <f aca="false">IF($B42="","",COUNTIF($B39:$B42,Z$21)+COUNTIF($B39:$B42,$A$3))</f>
        <v>0</v>
      </c>
      <c r="AA42" s="52" t="n">
        <f aca="false">IF($C42="","",COUNTIF($C39:$C42,Z$21)+COUNTIF($C39:$C42,$A$3))</f>
        <v>1</v>
      </c>
      <c r="AB42" s="52" t="n">
        <f aca="false">IF($D42="","",COUNTIF($D39:$D42,Z$21)+COUNTIF($D39:$D42,$A$3))</f>
        <v>2</v>
      </c>
      <c r="AC42" s="52" t="n">
        <f aca="false">IF($E42="","",COUNTIF($E39:$E42,Z$21)+COUNTIF($E39:$E42,$A$3))</f>
        <v>0</v>
      </c>
      <c r="AD42" s="53" t="n">
        <f aca="false">IF($F42="","",COUNTIF($F39:$F42,Z$21)+COUNTIF($F39:$F42,$A$3))</f>
        <v>1</v>
      </c>
      <c r="AF42" s="65" t="n">
        <f aca="false">IF($B42="","",COUNTIF($B39:$B42,AF$21)+COUNTIF($B39:$B42,$A$3))</f>
        <v>2</v>
      </c>
      <c r="AG42" s="52" t="n">
        <f aca="false">IF($C42="","",COUNTIF($C39:$C42,AF$21)+COUNTIF($C39:$C42,$A$3))</f>
        <v>0</v>
      </c>
      <c r="AH42" s="52" t="n">
        <f aca="false">IF($D42="","",COUNTIF($D39:$D42,AF$21)+COUNTIF($D39:$D42,$A$3))</f>
        <v>0</v>
      </c>
      <c r="AI42" s="52" t="n">
        <f aca="false">IF($E42="","",COUNTIF($E39:$E42,AF$21)+COUNTIF($E39:$E42,$A$3))</f>
        <v>0</v>
      </c>
      <c r="AJ42" s="53" t="n">
        <f aca="false">IF($F42="","",COUNTIF($F39:$F42,AF$21)+COUNTIF($F39:$F42,$A$3))</f>
        <v>0</v>
      </c>
      <c r="AL42" s="65" t="n">
        <f aca="false">IF($B42="","",COUNTIF($B39:$B42,AL$21)+COUNTIF($B39:$B42,$A$3))</f>
        <v>0</v>
      </c>
      <c r="AM42" s="52" t="n">
        <f aca="false">IF($C42="","",COUNTIF($C39:$C42,AL$21)+COUNTIF($C39:$C42,$A$3))</f>
        <v>0</v>
      </c>
      <c r="AN42" s="52" t="n">
        <f aca="false">IF($D42="","",COUNTIF($D39:$D42,AL$21)+COUNTIF($D39:$D42,$A$3))</f>
        <v>0</v>
      </c>
      <c r="AO42" s="52" t="n">
        <f aca="false">IF($E42="","",COUNTIF($E39:$E42,AL$21)+COUNTIF($E39:$E42,$A$3))</f>
        <v>0</v>
      </c>
      <c r="AP42" s="53" t="n">
        <f aca="false">IF($F42="","",COUNTIF($F39:$F42,AL$21)+COUNTIF($F39:$F42,$A$3))</f>
        <v>0</v>
      </c>
      <c r="AR42" s="65" t="n">
        <f aca="false">IF($B42="","",COUNTIF($B39:$B42,AR$21)+COUNTIF($B39:$B42,$A$3))</f>
        <v>0</v>
      </c>
      <c r="AS42" s="52" t="n">
        <f aca="false">IF($C42="","",COUNTIF($C39:$C42,AR$21)+COUNTIF($C39:$C42,$A$3))</f>
        <v>1</v>
      </c>
      <c r="AT42" s="52" t="n">
        <f aca="false">IF($D42="","",COUNTIF($D39:$D42,AR$21)+COUNTIF($D39:$D42,$A$3))</f>
        <v>0</v>
      </c>
      <c r="AU42" s="52" t="n">
        <f aca="false">IF($E42="","",COUNTIF($E39:$E42,AR$21)+COUNTIF($E39:$E42,$A$3))</f>
        <v>0</v>
      </c>
      <c r="AV42" s="53" t="n">
        <f aca="false">IF($F42="","",COUNTIF($F39:$F42,AR$21)+COUNTIF($F39:$F42,$A$3))</f>
        <v>1</v>
      </c>
      <c r="AX42" s="65" t="n">
        <f aca="false">IF($B42="","",COUNTIF($B39:$B42,AX$21)+COUNTIF($B39:$B42,$A$3))</f>
        <v>1</v>
      </c>
      <c r="AY42" s="52" t="n">
        <f aca="false">IF($C42="","",COUNTIF($C39:$C42,AX$21)+COUNTIF($C39:$C42,$A$3))</f>
        <v>1</v>
      </c>
      <c r="AZ42" s="52" t="n">
        <f aca="false">IF($D42="","",COUNTIF($D39:$D42,AX$21)+COUNTIF($D39:$D42,$A$3))</f>
        <v>0</v>
      </c>
      <c r="BA42" s="52" t="n">
        <f aca="false">IF($E42="","",COUNTIF($E39:$E42,AX$21)+COUNTIF($E39:$E42,$A$3))</f>
        <v>0</v>
      </c>
      <c r="BB42" s="53" t="n">
        <f aca="false">IF($F42="","",COUNTIF($F39:$F42,AX$21)+COUNTIF($F39:$F42,$A$3))</f>
        <v>1</v>
      </c>
      <c r="BD42" s="65" t="n">
        <f aca="false">IF($B42="","",COUNTIF($B39:$B42,BD$21)+COUNTIF($B39:$B42,$A$3))</f>
        <v>0</v>
      </c>
      <c r="BE42" s="52" t="n">
        <f aca="false">IF($C42="","",COUNTIF($C39:$C42,BD$21)+COUNTIF($C39:$C42,$A$3))</f>
        <v>0</v>
      </c>
      <c r="BF42" s="52" t="n">
        <f aca="false">IF($D42="","",COUNTIF($D39:$D42,BD$21)+COUNTIF($D39:$D42,$A$3))</f>
        <v>1</v>
      </c>
      <c r="BG42" s="52" t="n">
        <f aca="false">IF($E42="","",COUNTIF($E39:$E42,BD$21)+COUNTIF($E39:$E42,$A$3))</f>
        <v>1</v>
      </c>
      <c r="BH42" s="53" t="n">
        <f aca="false">IF($F42="","",COUNTIF($F39:$F42,BD$21)+COUNTIF($F39:$F42,$A$3))</f>
        <v>0</v>
      </c>
      <c r="BJ42" s="65" t="n">
        <f aca="false">IF($B42="","",COUNTIF($B39:$B42,BJ$21)+COUNTIF($B39:$B42,$A$3))</f>
        <v>1</v>
      </c>
      <c r="BK42" s="52" t="n">
        <f aca="false">IF($C42="","",COUNTIF($C39:$C42,BJ$21)+COUNTIF($C39:$C42,$A$3))</f>
        <v>1</v>
      </c>
      <c r="BL42" s="52" t="n">
        <f aca="false">IF($D42="","",COUNTIF($D39:$D42,BJ$21)+COUNTIF($D39:$D42,$A$3))</f>
        <v>0</v>
      </c>
      <c r="BM42" s="52" t="n">
        <f aca="false">IF($E42="","",COUNTIF($E39:$E42,BJ$21)+COUNTIF($E39:$E42,$A$3))</f>
        <v>0</v>
      </c>
      <c r="BN42" s="53" t="n">
        <f aca="false">IF($F42="","",COUNTIF($F39:$F42,BJ$21)+COUNTIF($F39:$F42,$A$3))</f>
        <v>0</v>
      </c>
      <c r="BP42" s="65" t="n">
        <f aca="false">IF($B42="","",COUNTIF($B39:$B42,BP$21)+COUNTIF($B39:$B42,$A$3))</f>
        <v>0</v>
      </c>
      <c r="BQ42" s="52" t="n">
        <f aca="false">IF($C42="","",COUNTIF($C39:$C42,BP$21)+COUNTIF($C39:$C42,$A$3))</f>
        <v>0</v>
      </c>
      <c r="BR42" s="52" t="n">
        <f aca="false">IF($D42="","",COUNTIF($D39:$D42,BP$21)+COUNTIF($D39:$D42,$A$3))</f>
        <v>0</v>
      </c>
      <c r="BS42" s="52" t="n">
        <f aca="false">IF($E42="","",COUNTIF($E39:$E42,BP$21)+COUNTIF($E39:$E42,$A$3))</f>
        <v>0</v>
      </c>
      <c r="BT42" s="53" t="n">
        <f aca="false">IF($F42="","",COUNTIF($F39:$F42,BP$21)+COUNTIF($F39:$F42,$A$3))</f>
        <v>0</v>
      </c>
    </row>
    <row r="43" customFormat="false" ht="15" hidden="false" customHeight="false" outlineLevel="0" collapsed="false">
      <c r="A43" s="13" t="n">
        <v>21</v>
      </c>
      <c r="B43" s="116" t="str">
        <f aca="false">IF('Game Info'!J26="","",'Game Info'!J26)</f>
        <v>SYM5</v>
      </c>
      <c r="C43" s="116" t="str">
        <f aca="false">IF('Game Info'!K26="","",'Game Info'!K26)</f>
        <v>Q</v>
      </c>
      <c r="D43" s="116" t="n">
        <f aca="false">IF('Game Info'!L26="","",'Game Info'!L26)</f>
        <v>10</v>
      </c>
      <c r="E43" s="116" t="str">
        <f aca="false">IF('Game Info'!M26="","",'Game Info'!M26)</f>
        <v>SYM2</v>
      </c>
      <c r="F43" s="117" t="n">
        <f aca="false">IF('Game Info'!N26="","",'Game Info'!N26)</f>
        <v>10</v>
      </c>
      <c r="H43" s="65" t="n">
        <f aca="false">IF($B43="","",COUNTIF($B40:$B43,H$21)+COUNTIF($B40:$B43,$A$3))</f>
        <v>0</v>
      </c>
      <c r="I43" s="52" t="n">
        <f aca="false">IF($C43="","",COUNTIF($C40:$C43,H$21)+COUNTIF($C40:$C43,$A$3))</f>
        <v>0</v>
      </c>
      <c r="J43" s="52" t="n">
        <f aca="false">IF($D43="","",COUNTIF($D40:$D43,H$21)+COUNTIF($D40:$D43,$A$3))</f>
        <v>0</v>
      </c>
      <c r="K43" s="52" t="n">
        <f aca="false">IF($E43="","",COUNTIF($E40:$E43,H$21)+COUNTIF($E40:$E43,$A$3))</f>
        <v>2</v>
      </c>
      <c r="L43" s="53" t="n">
        <f aca="false">IF($F43="","",COUNTIF($F40:$F43,H$21)+COUNTIF($F40:$F43,$A$3))</f>
        <v>1</v>
      </c>
      <c r="N43" s="65" t="n">
        <f aca="false">IF($B43="","",COUNTIF($B40:$B43,N$21)+COUNTIF($B40:$B43,$A$3))</f>
        <v>0</v>
      </c>
      <c r="O43" s="52" t="n">
        <f aca="false">IF($C43="","",COUNTIF($C40:$C43,N$21)+COUNTIF($C40:$C43,$A$3))</f>
        <v>0</v>
      </c>
      <c r="P43" s="52" t="n">
        <f aca="false">IF($D43="","",COUNTIF($D40:$D43,N$21)+COUNTIF($D40:$D43,$A$3))</f>
        <v>0</v>
      </c>
      <c r="Q43" s="52" t="n">
        <f aca="false">IF($E43="","",COUNTIF($E40:$E43,N$21)+COUNTIF($E40:$E43,$A$3))</f>
        <v>1</v>
      </c>
      <c r="R43" s="53" t="n">
        <f aca="false">IF($F43="","",COUNTIF($F40:$F43,N$21)+COUNTIF($F40:$F43,$A$3))</f>
        <v>0</v>
      </c>
      <c r="T43" s="65" t="n">
        <f aca="false">IF($B43="","",COUNTIF($B40:$B43,T$21)+COUNTIF($B40:$B43,$A$3))</f>
        <v>0</v>
      </c>
      <c r="U43" s="52" t="n">
        <f aca="false">IF($C43="","",COUNTIF($C40:$C43,T$21)+COUNTIF($C40:$C43,$A$3))</f>
        <v>0</v>
      </c>
      <c r="V43" s="52" t="n">
        <f aca="false">IF($D43="","",COUNTIF($D40:$D43,T$21)+COUNTIF($D40:$D43,$A$3))</f>
        <v>0</v>
      </c>
      <c r="W43" s="52" t="n">
        <f aca="false">IF($E43="","",COUNTIF($E40:$E43,T$21)+COUNTIF($E40:$E43,$A$3))</f>
        <v>0</v>
      </c>
      <c r="X43" s="53" t="n">
        <f aca="false">IF($F43="","",COUNTIF($F40:$F43,T$21)+COUNTIF($F40:$F43,$A$3))</f>
        <v>0</v>
      </c>
      <c r="Z43" s="65" t="n">
        <f aca="false">IF($B43="","",COUNTIF($B40:$B43,Z$21)+COUNTIF($B40:$B43,$A$3))</f>
        <v>0</v>
      </c>
      <c r="AA43" s="52" t="n">
        <f aca="false">IF($C43="","",COUNTIF($C40:$C43,Z$21)+COUNTIF($C40:$C43,$A$3))</f>
        <v>1</v>
      </c>
      <c r="AB43" s="52" t="n">
        <f aca="false">IF($D43="","",COUNTIF($D40:$D43,Z$21)+COUNTIF($D40:$D43,$A$3))</f>
        <v>1</v>
      </c>
      <c r="AC43" s="52" t="n">
        <f aca="false">IF($E43="","",COUNTIF($E40:$E43,Z$21)+COUNTIF($E40:$E43,$A$3))</f>
        <v>0</v>
      </c>
      <c r="AD43" s="53" t="n">
        <f aca="false">IF($F43="","",COUNTIF($F40:$F43,Z$21)+COUNTIF($F40:$F43,$A$3))</f>
        <v>1</v>
      </c>
      <c r="AF43" s="65" t="n">
        <f aca="false">IF($B43="","",COUNTIF($B40:$B43,AF$21)+COUNTIF($B40:$B43,$A$3))</f>
        <v>2</v>
      </c>
      <c r="AG43" s="52" t="n">
        <f aca="false">IF($C43="","",COUNTIF($C40:$C43,AF$21)+COUNTIF($C40:$C43,$A$3))</f>
        <v>0</v>
      </c>
      <c r="AH43" s="52" t="n">
        <f aca="false">IF($D43="","",COUNTIF($D40:$D43,AF$21)+COUNTIF($D40:$D43,$A$3))</f>
        <v>0</v>
      </c>
      <c r="AI43" s="52" t="n">
        <f aca="false">IF($E43="","",COUNTIF($E40:$E43,AF$21)+COUNTIF($E40:$E43,$A$3))</f>
        <v>0</v>
      </c>
      <c r="AJ43" s="53" t="n">
        <f aca="false">IF($F43="","",COUNTIF($F40:$F43,AF$21)+COUNTIF($F40:$F43,$A$3))</f>
        <v>0</v>
      </c>
      <c r="AL43" s="65" t="n">
        <f aca="false">IF($B43="","",COUNTIF($B40:$B43,AL$21)+COUNTIF($B40:$B43,$A$3))</f>
        <v>0</v>
      </c>
      <c r="AM43" s="52" t="n">
        <f aca="false">IF($C43="","",COUNTIF($C40:$C43,AL$21)+COUNTIF($C40:$C43,$A$3))</f>
        <v>0</v>
      </c>
      <c r="AN43" s="52" t="n">
        <f aca="false">IF($D43="","",COUNTIF($D40:$D43,AL$21)+COUNTIF($D40:$D43,$A$3))</f>
        <v>0</v>
      </c>
      <c r="AO43" s="52" t="n">
        <f aca="false">IF($E43="","",COUNTIF($E40:$E43,AL$21)+COUNTIF($E40:$E43,$A$3))</f>
        <v>0</v>
      </c>
      <c r="AP43" s="53" t="n">
        <f aca="false">IF($F43="","",COUNTIF($F40:$F43,AL$21)+COUNTIF($F40:$F43,$A$3))</f>
        <v>0</v>
      </c>
      <c r="AR43" s="65" t="n">
        <f aca="false">IF($B43="","",COUNTIF($B40:$B43,AR$21)+COUNTIF($B40:$B43,$A$3))</f>
        <v>0</v>
      </c>
      <c r="AS43" s="52" t="n">
        <f aca="false">IF($C43="","",COUNTIF($C40:$C43,AR$21)+COUNTIF($C40:$C43,$A$3))</f>
        <v>1</v>
      </c>
      <c r="AT43" s="52" t="n">
        <f aca="false">IF($D43="","",COUNTIF($D40:$D43,AR$21)+COUNTIF($D40:$D43,$A$3))</f>
        <v>0</v>
      </c>
      <c r="AU43" s="52" t="n">
        <f aca="false">IF($E43="","",COUNTIF($E40:$E43,AR$21)+COUNTIF($E40:$E43,$A$3))</f>
        <v>0</v>
      </c>
      <c r="AV43" s="53" t="n">
        <f aca="false">IF($F43="","",COUNTIF($F40:$F43,AR$21)+COUNTIF($F40:$F43,$A$3))</f>
        <v>1</v>
      </c>
      <c r="AX43" s="65" t="n">
        <f aca="false">IF($B43="","",COUNTIF($B40:$B43,AX$21)+COUNTIF($B40:$B43,$A$3))</f>
        <v>1</v>
      </c>
      <c r="AY43" s="52" t="n">
        <f aca="false">IF($C43="","",COUNTIF($C40:$C43,AX$21)+COUNTIF($C40:$C43,$A$3))</f>
        <v>1</v>
      </c>
      <c r="AZ43" s="52" t="n">
        <f aca="false">IF($D43="","",COUNTIF($D40:$D43,AX$21)+COUNTIF($D40:$D43,$A$3))</f>
        <v>0</v>
      </c>
      <c r="BA43" s="52" t="n">
        <f aca="false">IF($E43="","",COUNTIF($E40:$E43,AX$21)+COUNTIF($E40:$E43,$A$3))</f>
        <v>0</v>
      </c>
      <c r="BB43" s="53" t="n">
        <f aca="false">IF($F43="","",COUNTIF($F40:$F43,AX$21)+COUNTIF($F40:$F43,$A$3))</f>
        <v>0</v>
      </c>
      <c r="BD43" s="65" t="n">
        <f aca="false">IF($B43="","",COUNTIF($B40:$B43,BD$21)+COUNTIF($B40:$B43,$A$3))</f>
        <v>0</v>
      </c>
      <c r="BE43" s="52" t="n">
        <f aca="false">IF($C43="","",COUNTIF($C40:$C43,BD$21)+COUNTIF($C40:$C43,$A$3))</f>
        <v>0</v>
      </c>
      <c r="BF43" s="52" t="n">
        <f aca="false">IF($D43="","",COUNTIF($D40:$D43,BD$21)+COUNTIF($D40:$D43,$A$3))</f>
        <v>1</v>
      </c>
      <c r="BG43" s="52" t="n">
        <f aca="false">IF($E43="","",COUNTIF($E40:$E43,BD$21)+COUNTIF($E40:$E43,$A$3))</f>
        <v>1</v>
      </c>
      <c r="BH43" s="53" t="n">
        <f aca="false">IF($F43="","",COUNTIF($F40:$F43,BD$21)+COUNTIF($F40:$F43,$A$3))</f>
        <v>0</v>
      </c>
      <c r="BJ43" s="65" t="n">
        <f aca="false">IF($B43="","",COUNTIF($B40:$B43,BJ$21)+COUNTIF($B40:$B43,$A$3))</f>
        <v>1</v>
      </c>
      <c r="BK43" s="52" t="n">
        <f aca="false">IF($C43="","",COUNTIF($C40:$C43,BJ$21)+COUNTIF($C40:$C43,$A$3))</f>
        <v>1</v>
      </c>
      <c r="BL43" s="52" t="n">
        <f aca="false">IF($D43="","",COUNTIF($D40:$D43,BJ$21)+COUNTIF($D40:$D43,$A$3))</f>
        <v>1</v>
      </c>
      <c r="BM43" s="52" t="n">
        <f aca="false">IF($E43="","",COUNTIF($E40:$E43,BJ$21)+COUNTIF($E40:$E43,$A$3))</f>
        <v>0</v>
      </c>
      <c r="BN43" s="53" t="n">
        <f aca="false">IF($F43="","",COUNTIF($F40:$F43,BJ$21)+COUNTIF($F40:$F43,$A$3))</f>
        <v>1</v>
      </c>
      <c r="BP43" s="65" t="n">
        <f aca="false">IF($B43="","",COUNTIF($B40:$B43,BP$21)+COUNTIF($B40:$B43,$A$3))</f>
        <v>0</v>
      </c>
      <c r="BQ43" s="52" t="n">
        <f aca="false">IF($C43="","",COUNTIF($C40:$C43,BP$21)+COUNTIF($C40:$C43,$A$3))</f>
        <v>0</v>
      </c>
      <c r="BR43" s="52" t="n">
        <f aca="false">IF($D43="","",COUNTIF($D40:$D43,BP$21)+COUNTIF($D40:$D43,$A$3))</f>
        <v>0</v>
      </c>
      <c r="BS43" s="52" t="n">
        <f aca="false">IF($E43="","",COUNTIF($E40:$E43,BP$21)+COUNTIF($E40:$E43,$A$3))</f>
        <v>0</v>
      </c>
      <c r="BT43" s="53" t="n">
        <f aca="false">IF($F43="","",COUNTIF($F40:$F43,BP$21)+COUNTIF($F40:$F43,$A$3))</f>
        <v>0</v>
      </c>
    </row>
    <row r="44" customFormat="false" ht="15" hidden="false" customHeight="false" outlineLevel="0" collapsed="false">
      <c r="A44" s="13" t="n">
        <v>22</v>
      </c>
      <c r="B44" s="116" t="str">
        <f aca="false">IF('Game Info'!J27="","",'Game Info'!J27)</f>
        <v>Q</v>
      </c>
      <c r="C44" s="116" t="str">
        <f aca="false">IF('Game Info'!K27="","",'Game Info'!K27)</f>
        <v>SYM2</v>
      </c>
      <c r="D44" s="116" t="str">
        <f aca="false">IF('Game Info'!L27="","",'Game Info'!L27)</f>
        <v>SYM1</v>
      </c>
      <c r="E44" s="116" t="str">
        <f aca="false">IF('Game Info'!M27="","",'Game Info'!M27)</f>
        <v>K</v>
      </c>
      <c r="F44" s="117" t="str">
        <f aca="false">IF('Game Info'!N27="","",'Game Info'!N27)</f>
        <v>SYM3</v>
      </c>
      <c r="H44" s="65" t="n">
        <f aca="false">IF($B44="","",COUNTIF($B41:$B44,H$21)+COUNTIF($B41:$B44,$A$3))</f>
        <v>0</v>
      </c>
      <c r="I44" s="52" t="n">
        <f aca="false">IF($C44="","",COUNTIF($C41:$C44,H$21)+COUNTIF($C41:$C44,$A$3))</f>
        <v>0</v>
      </c>
      <c r="J44" s="52" t="n">
        <f aca="false">IF($D44="","",COUNTIF($D41:$D44,H$21)+COUNTIF($D41:$D44,$A$3))</f>
        <v>1</v>
      </c>
      <c r="K44" s="52" t="n">
        <f aca="false">IF($E44="","",COUNTIF($E41:$E44,H$21)+COUNTIF($E41:$E44,$A$3))</f>
        <v>1</v>
      </c>
      <c r="L44" s="53" t="n">
        <f aca="false">IF($F44="","",COUNTIF($F41:$F44,H$21)+COUNTIF($F41:$F44,$A$3))</f>
        <v>1</v>
      </c>
      <c r="N44" s="65" t="n">
        <f aca="false">IF($B44="","",COUNTIF($B41:$B44,N$21)+COUNTIF($B41:$B44,$A$3))</f>
        <v>0</v>
      </c>
      <c r="O44" s="52" t="n">
        <f aca="false">IF($C44="","",COUNTIF($C41:$C44,N$21)+COUNTIF($C41:$C44,$A$3))</f>
        <v>1</v>
      </c>
      <c r="P44" s="52" t="n">
        <f aca="false">IF($D44="","",COUNTIF($D41:$D44,N$21)+COUNTIF($D41:$D44,$A$3))</f>
        <v>0</v>
      </c>
      <c r="Q44" s="52" t="n">
        <f aca="false">IF($E44="","",COUNTIF($E41:$E44,N$21)+COUNTIF($E41:$E44,$A$3))</f>
        <v>1</v>
      </c>
      <c r="R44" s="53" t="n">
        <f aca="false">IF($F44="","",COUNTIF($F41:$F44,N$21)+COUNTIF($F41:$F44,$A$3))</f>
        <v>0</v>
      </c>
      <c r="T44" s="65" t="n">
        <f aca="false">IF($B44="","",COUNTIF($B41:$B44,T$21)+COUNTIF($B41:$B44,$A$3))</f>
        <v>0</v>
      </c>
      <c r="U44" s="52" t="n">
        <f aca="false">IF($C44="","",COUNTIF($C41:$C44,T$21)+COUNTIF($C41:$C44,$A$3))</f>
        <v>0</v>
      </c>
      <c r="V44" s="52" t="n">
        <f aca="false">IF($D44="","",COUNTIF($D41:$D44,T$21)+COUNTIF($D41:$D44,$A$3))</f>
        <v>0</v>
      </c>
      <c r="W44" s="52" t="n">
        <f aca="false">IF($E44="","",COUNTIF($E41:$E44,T$21)+COUNTIF($E41:$E44,$A$3))</f>
        <v>0</v>
      </c>
      <c r="X44" s="53" t="n">
        <f aca="false">IF($F44="","",COUNTIF($F41:$F44,T$21)+COUNTIF($F41:$F44,$A$3))</f>
        <v>1</v>
      </c>
      <c r="Z44" s="65" t="n">
        <f aca="false">IF($B44="","",COUNTIF($B41:$B44,Z$21)+COUNTIF($B41:$B44,$A$3))</f>
        <v>0</v>
      </c>
      <c r="AA44" s="52" t="n">
        <f aca="false">IF($C44="","",COUNTIF($C41:$C44,Z$21)+COUNTIF($C41:$C44,$A$3))</f>
        <v>1</v>
      </c>
      <c r="AB44" s="52" t="n">
        <f aca="false">IF($D44="","",COUNTIF($D41:$D44,Z$21)+COUNTIF($D41:$D44,$A$3))</f>
        <v>0</v>
      </c>
      <c r="AC44" s="52" t="n">
        <f aca="false">IF($E44="","",COUNTIF($E41:$E44,Z$21)+COUNTIF($E41:$E44,$A$3))</f>
        <v>0</v>
      </c>
      <c r="AD44" s="53" t="n">
        <f aca="false">IF($F44="","",COUNTIF($F41:$F44,Z$21)+COUNTIF($F41:$F44,$A$3))</f>
        <v>0</v>
      </c>
      <c r="AF44" s="65" t="n">
        <f aca="false">IF($B44="","",COUNTIF($B41:$B44,AF$21)+COUNTIF($B41:$B44,$A$3))</f>
        <v>1</v>
      </c>
      <c r="AG44" s="52" t="n">
        <f aca="false">IF($C44="","",COUNTIF($C41:$C44,AF$21)+COUNTIF($C41:$C44,$A$3))</f>
        <v>0</v>
      </c>
      <c r="AH44" s="52" t="n">
        <f aca="false">IF($D44="","",COUNTIF($D41:$D44,AF$21)+COUNTIF($D41:$D44,$A$3))</f>
        <v>0</v>
      </c>
      <c r="AI44" s="52" t="n">
        <f aca="false">IF($E44="","",COUNTIF($E41:$E44,AF$21)+COUNTIF($E41:$E44,$A$3))</f>
        <v>0</v>
      </c>
      <c r="AJ44" s="53" t="n">
        <f aca="false">IF($F44="","",COUNTIF($F41:$F44,AF$21)+COUNTIF($F41:$F44,$A$3))</f>
        <v>0</v>
      </c>
      <c r="AL44" s="65" t="n">
        <f aca="false">IF($B44="","",COUNTIF($B41:$B44,AL$21)+COUNTIF($B41:$B44,$A$3))</f>
        <v>0</v>
      </c>
      <c r="AM44" s="52" t="n">
        <f aca="false">IF($C44="","",COUNTIF($C41:$C44,AL$21)+COUNTIF($C41:$C44,$A$3))</f>
        <v>0</v>
      </c>
      <c r="AN44" s="52" t="n">
        <f aca="false">IF($D44="","",COUNTIF($D41:$D44,AL$21)+COUNTIF($D41:$D44,$A$3))</f>
        <v>0</v>
      </c>
      <c r="AO44" s="52" t="n">
        <f aca="false">IF($E44="","",COUNTIF($E41:$E44,AL$21)+COUNTIF($E41:$E44,$A$3))</f>
        <v>0</v>
      </c>
      <c r="AP44" s="53" t="n">
        <f aca="false">IF($F44="","",COUNTIF($F41:$F44,AL$21)+COUNTIF($F41:$F44,$A$3))</f>
        <v>0</v>
      </c>
      <c r="AR44" s="65" t="n">
        <f aca="false">IF($B44="","",COUNTIF($B41:$B44,AR$21)+COUNTIF($B41:$B44,$A$3))</f>
        <v>0</v>
      </c>
      <c r="AS44" s="52" t="n">
        <f aca="false">IF($C44="","",COUNTIF($C41:$C44,AR$21)+COUNTIF($C41:$C44,$A$3))</f>
        <v>1</v>
      </c>
      <c r="AT44" s="52" t="n">
        <f aca="false">IF($D44="","",COUNTIF($D41:$D44,AR$21)+COUNTIF($D41:$D44,$A$3))</f>
        <v>0</v>
      </c>
      <c r="AU44" s="52" t="n">
        <f aca="false">IF($E44="","",COUNTIF($E41:$E44,AR$21)+COUNTIF($E41:$E44,$A$3))</f>
        <v>1</v>
      </c>
      <c r="AV44" s="53" t="n">
        <f aca="false">IF($F44="","",COUNTIF($F41:$F44,AR$21)+COUNTIF($F41:$F44,$A$3))</f>
        <v>1</v>
      </c>
      <c r="AX44" s="65" t="n">
        <f aca="false">IF($B44="","",COUNTIF($B41:$B44,AX$21)+COUNTIF($B41:$B44,$A$3))</f>
        <v>2</v>
      </c>
      <c r="AY44" s="52" t="n">
        <f aca="false">IF($C44="","",COUNTIF($C41:$C44,AX$21)+COUNTIF($C41:$C44,$A$3))</f>
        <v>1</v>
      </c>
      <c r="AZ44" s="52" t="n">
        <f aca="false">IF($D44="","",COUNTIF($D41:$D44,AX$21)+COUNTIF($D41:$D44,$A$3))</f>
        <v>0</v>
      </c>
      <c r="BA44" s="52" t="n">
        <f aca="false">IF($E44="","",COUNTIF($E41:$E44,AX$21)+COUNTIF($E41:$E44,$A$3))</f>
        <v>0</v>
      </c>
      <c r="BB44" s="53" t="n">
        <f aca="false">IF($F44="","",COUNTIF($F41:$F44,AX$21)+COUNTIF($F41:$F44,$A$3))</f>
        <v>0</v>
      </c>
      <c r="BD44" s="65" t="n">
        <f aca="false">IF($B44="","",COUNTIF($B41:$B44,BD$21)+COUNTIF($B41:$B44,$A$3))</f>
        <v>0</v>
      </c>
      <c r="BE44" s="52" t="n">
        <f aca="false">IF($C44="","",COUNTIF($C41:$C44,BD$21)+COUNTIF($C41:$C44,$A$3))</f>
        <v>0</v>
      </c>
      <c r="BF44" s="52" t="n">
        <f aca="false">IF($D44="","",COUNTIF($D41:$D44,BD$21)+COUNTIF($D41:$D44,$A$3))</f>
        <v>1</v>
      </c>
      <c r="BG44" s="52" t="n">
        <f aca="false">IF($E44="","",COUNTIF($E41:$E44,BD$21)+COUNTIF($E41:$E44,$A$3))</f>
        <v>1</v>
      </c>
      <c r="BH44" s="53" t="n">
        <f aca="false">IF($F44="","",COUNTIF($F41:$F44,BD$21)+COUNTIF($F41:$F44,$A$3))</f>
        <v>0</v>
      </c>
      <c r="BJ44" s="65" t="n">
        <f aca="false">IF($B44="","",COUNTIF($B41:$B44,BJ$21)+COUNTIF($B41:$B44,$A$3))</f>
        <v>1</v>
      </c>
      <c r="BK44" s="52" t="n">
        <f aca="false">IF($C44="","",COUNTIF($C41:$C44,BJ$21)+COUNTIF($C41:$C44,$A$3))</f>
        <v>0</v>
      </c>
      <c r="BL44" s="52" t="n">
        <f aca="false">IF($D44="","",COUNTIF($D41:$D44,BJ$21)+COUNTIF($D41:$D44,$A$3))</f>
        <v>1</v>
      </c>
      <c r="BM44" s="52" t="n">
        <f aca="false">IF($E44="","",COUNTIF($E41:$E44,BJ$21)+COUNTIF($E41:$E44,$A$3))</f>
        <v>0</v>
      </c>
      <c r="BN44" s="53" t="n">
        <f aca="false">IF($F44="","",COUNTIF($F41:$F44,BJ$21)+COUNTIF($F41:$F44,$A$3))</f>
        <v>1</v>
      </c>
      <c r="BP44" s="65" t="n">
        <f aca="false">IF($B44="","",COUNTIF($B41:$B44,BP$21)+COUNTIF($B41:$B44,$A$3))</f>
        <v>0</v>
      </c>
      <c r="BQ44" s="52" t="n">
        <f aca="false">IF($C44="","",COUNTIF($C41:$C44,BP$21)+COUNTIF($C41:$C44,$A$3))</f>
        <v>0</v>
      </c>
      <c r="BR44" s="52" t="n">
        <f aca="false">IF($D44="","",COUNTIF($D41:$D44,BP$21)+COUNTIF($D41:$D44,$A$3))</f>
        <v>0</v>
      </c>
      <c r="BS44" s="52" t="n">
        <f aca="false">IF($E44="","",COUNTIF($E41:$E44,BP$21)+COUNTIF($E41:$E44,$A$3))</f>
        <v>0</v>
      </c>
      <c r="BT44" s="53" t="n">
        <f aca="false">IF($F44="","",COUNTIF($F41:$F44,BP$21)+COUNTIF($F41:$F44,$A$3))</f>
        <v>0</v>
      </c>
    </row>
    <row r="45" customFormat="false" ht="15" hidden="false" customHeight="false" outlineLevel="0" collapsed="false">
      <c r="A45" s="13" t="n">
        <v>23</v>
      </c>
      <c r="B45" s="116" t="str">
        <f aca="false">IF('Game Info'!J28="","",'Game Info'!J28)</f>
        <v>SYM2</v>
      </c>
      <c r="C45" s="116" t="str">
        <f aca="false">IF('Game Info'!K28="","",'Game Info'!K28)</f>
        <v>A</v>
      </c>
      <c r="D45" s="116" t="str">
        <f aca="false">IF('Game Info'!L28="","",'Game Info'!L28)</f>
        <v>J</v>
      </c>
      <c r="E45" s="116" t="str">
        <f aca="false">IF('Game Info'!M28="","",'Game Info'!M28)</f>
        <v>SYM5</v>
      </c>
      <c r="F45" s="117" t="str">
        <f aca="false">IF('Game Info'!N28="","",'Game Info'!N28)</f>
        <v>Q</v>
      </c>
      <c r="H45" s="65" t="n">
        <f aca="false">IF($B45="","",COUNTIF($B42:$B45,H$21)+COUNTIF($B42:$B45,$A$3))</f>
        <v>0</v>
      </c>
      <c r="I45" s="52" t="n">
        <f aca="false">IF($C45="","",COUNTIF($C42:$C45,H$21)+COUNTIF($C42:$C45,$A$3))</f>
        <v>0</v>
      </c>
      <c r="J45" s="52" t="n">
        <f aca="false">IF($D45="","",COUNTIF($D42:$D45,H$21)+COUNTIF($D42:$D45,$A$3))</f>
        <v>1</v>
      </c>
      <c r="K45" s="52" t="n">
        <f aca="false">IF($E45="","",COUNTIF($E42:$E45,H$21)+COUNTIF($E42:$E45,$A$3))</f>
        <v>0</v>
      </c>
      <c r="L45" s="53" t="n">
        <f aca="false">IF($F45="","",COUNTIF($F42:$F45,H$21)+COUNTIF($F42:$F45,$A$3))</f>
        <v>1</v>
      </c>
      <c r="N45" s="65" t="n">
        <f aca="false">IF($B45="","",COUNTIF($B42:$B45,N$21)+COUNTIF($B42:$B45,$A$3))</f>
        <v>1</v>
      </c>
      <c r="O45" s="52" t="n">
        <f aca="false">IF($C45="","",COUNTIF($C42:$C45,N$21)+COUNTIF($C42:$C45,$A$3))</f>
        <v>1</v>
      </c>
      <c r="P45" s="52" t="n">
        <f aca="false">IF($D45="","",COUNTIF($D42:$D45,N$21)+COUNTIF($D42:$D45,$A$3))</f>
        <v>0</v>
      </c>
      <c r="Q45" s="52" t="n">
        <f aca="false">IF($E45="","",COUNTIF($E42:$E45,N$21)+COUNTIF($E42:$E45,$A$3))</f>
        <v>1</v>
      </c>
      <c r="R45" s="53" t="n">
        <f aca="false">IF($F45="","",COUNTIF($F42:$F45,N$21)+COUNTIF($F42:$F45,$A$3))</f>
        <v>0</v>
      </c>
      <c r="T45" s="65" t="n">
        <f aca="false">IF($B45="","",COUNTIF($B42:$B45,T$21)+COUNTIF($B42:$B45,$A$3))</f>
        <v>0</v>
      </c>
      <c r="U45" s="52" t="n">
        <f aca="false">IF($C45="","",COUNTIF($C42:$C45,T$21)+COUNTIF($C42:$C45,$A$3))</f>
        <v>0</v>
      </c>
      <c r="V45" s="52" t="n">
        <f aca="false">IF($D45="","",COUNTIF($D42:$D45,T$21)+COUNTIF($D42:$D45,$A$3))</f>
        <v>0</v>
      </c>
      <c r="W45" s="52" t="n">
        <f aca="false">IF($E45="","",COUNTIF($E42:$E45,T$21)+COUNTIF($E42:$E45,$A$3))</f>
        <v>0</v>
      </c>
      <c r="X45" s="53" t="n">
        <f aca="false">IF($F45="","",COUNTIF($F42:$F45,T$21)+COUNTIF($F42:$F45,$A$3))</f>
        <v>1</v>
      </c>
      <c r="Z45" s="65" t="n">
        <f aca="false">IF($B45="","",COUNTIF($B42:$B45,Z$21)+COUNTIF($B42:$B45,$A$3))</f>
        <v>0</v>
      </c>
      <c r="AA45" s="52" t="n">
        <f aca="false">IF($C45="","",COUNTIF($C42:$C45,Z$21)+COUNTIF($C42:$C45,$A$3))</f>
        <v>1</v>
      </c>
      <c r="AB45" s="52" t="n">
        <f aca="false">IF($D45="","",COUNTIF($D42:$D45,Z$21)+COUNTIF($D42:$D45,$A$3))</f>
        <v>0</v>
      </c>
      <c r="AC45" s="52" t="n">
        <f aca="false">IF($E45="","",COUNTIF($E42:$E45,Z$21)+COUNTIF($E42:$E45,$A$3))</f>
        <v>0</v>
      </c>
      <c r="AD45" s="53" t="n">
        <f aca="false">IF($F45="","",COUNTIF($F42:$F45,Z$21)+COUNTIF($F42:$F45,$A$3))</f>
        <v>0</v>
      </c>
      <c r="AF45" s="65" t="n">
        <f aca="false">IF($B45="","",COUNTIF($B42:$B45,AF$21)+COUNTIF($B42:$B45,$A$3))</f>
        <v>1</v>
      </c>
      <c r="AG45" s="52" t="n">
        <f aca="false">IF($C45="","",COUNTIF($C42:$C45,AF$21)+COUNTIF($C42:$C45,$A$3))</f>
        <v>0</v>
      </c>
      <c r="AH45" s="52" t="n">
        <f aca="false">IF($D45="","",COUNTIF($D42:$D45,AF$21)+COUNTIF($D42:$D45,$A$3))</f>
        <v>0</v>
      </c>
      <c r="AI45" s="52" t="n">
        <f aca="false">IF($E45="","",COUNTIF($E42:$E45,AF$21)+COUNTIF($E42:$E45,$A$3))</f>
        <v>1</v>
      </c>
      <c r="AJ45" s="53" t="n">
        <f aca="false">IF($F45="","",COUNTIF($F42:$F45,AF$21)+COUNTIF($F42:$F45,$A$3))</f>
        <v>0</v>
      </c>
      <c r="AL45" s="65" t="n">
        <f aca="false">IF($B45="","",COUNTIF($B42:$B45,AL$21)+COUNTIF($B42:$B45,$A$3))</f>
        <v>0</v>
      </c>
      <c r="AM45" s="52" t="n">
        <f aca="false">IF($C45="","",COUNTIF($C42:$C45,AL$21)+COUNTIF($C42:$C45,$A$3))</f>
        <v>1</v>
      </c>
      <c r="AN45" s="52" t="n">
        <f aca="false">IF($D45="","",COUNTIF($D42:$D45,AL$21)+COUNTIF($D42:$D45,$A$3))</f>
        <v>0</v>
      </c>
      <c r="AO45" s="52" t="n">
        <f aca="false">IF($E45="","",COUNTIF($E42:$E45,AL$21)+COUNTIF($E42:$E45,$A$3))</f>
        <v>0</v>
      </c>
      <c r="AP45" s="53" t="n">
        <f aca="false">IF($F45="","",COUNTIF($F42:$F45,AL$21)+COUNTIF($F42:$F45,$A$3))</f>
        <v>0</v>
      </c>
      <c r="AR45" s="65" t="n">
        <f aca="false">IF($B45="","",COUNTIF($B42:$B45,AR$21)+COUNTIF($B42:$B45,$A$3))</f>
        <v>0</v>
      </c>
      <c r="AS45" s="52" t="n">
        <f aca="false">IF($C45="","",COUNTIF($C42:$C45,AR$21)+COUNTIF($C42:$C45,$A$3))</f>
        <v>0</v>
      </c>
      <c r="AT45" s="52" t="n">
        <f aca="false">IF($D45="","",COUNTIF($D42:$D45,AR$21)+COUNTIF($D42:$D45,$A$3))</f>
        <v>0</v>
      </c>
      <c r="AU45" s="52" t="n">
        <f aca="false">IF($E45="","",COUNTIF($E42:$E45,AR$21)+COUNTIF($E42:$E45,$A$3))</f>
        <v>1</v>
      </c>
      <c r="AV45" s="53" t="n">
        <f aca="false">IF($F45="","",COUNTIF($F42:$F45,AR$21)+COUNTIF($F42:$F45,$A$3))</f>
        <v>0</v>
      </c>
      <c r="AX45" s="65" t="n">
        <f aca="false">IF($B45="","",COUNTIF($B42:$B45,AX$21)+COUNTIF($B42:$B45,$A$3))</f>
        <v>1</v>
      </c>
      <c r="AY45" s="52" t="n">
        <f aca="false">IF($C45="","",COUNTIF($C42:$C45,AX$21)+COUNTIF($C42:$C45,$A$3))</f>
        <v>1</v>
      </c>
      <c r="AZ45" s="52" t="n">
        <f aca="false">IF($D45="","",COUNTIF($D42:$D45,AX$21)+COUNTIF($D42:$D45,$A$3))</f>
        <v>0</v>
      </c>
      <c r="BA45" s="52" t="n">
        <f aca="false">IF($E45="","",COUNTIF($E42:$E45,AX$21)+COUNTIF($E42:$E45,$A$3))</f>
        <v>0</v>
      </c>
      <c r="BB45" s="53" t="n">
        <f aca="false">IF($F45="","",COUNTIF($F42:$F45,AX$21)+COUNTIF($F42:$F45,$A$3))</f>
        <v>1</v>
      </c>
      <c r="BD45" s="65" t="n">
        <f aca="false">IF($B45="","",COUNTIF($B42:$B45,BD$21)+COUNTIF($B42:$B45,$A$3))</f>
        <v>0</v>
      </c>
      <c r="BE45" s="52" t="n">
        <f aca="false">IF($C45="","",COUNTIF($C42:$C45,BD$21)+COUNTIF($C42:$C45,$A$3))</f>
        <v>0</v>
      </c>
      <c r="BF45" s="52" t="n">
        <f aca="false">IF($D45="","",COUNTIF($D42:$D45,BD$21)+COUNTIF($D42:$D45,$A$3))</f>
        <v>1</v>
      </c>
      <c r="BG45" s="52" t="n">
        <f aca="false">IF($E45="","",COUNTIF($E42:$E45,BD$21)+COUNTIF($E42:$E45,$A$3))</f>
        <v>1</v>
      </c>
      <c r="BH45" s="53" t="n">
        <f aca="false">IF($F45="","",COUNTIF($F42:$F45,BD$21)+COUNTIF($F42:$F45,$A$3))</f>
        <v>0</v>
      </c>
      <c r="BJ45" s="65" t="n">
        <f aca="false">IF($B45="","",COUNTIF($B42:$B45,BJ$21)+COUNTIF($B42:$B45,$A$3))</f>
        <v>1</v>
      </c>
      <c r="BK45" s="52" t="n">
        <f aca="false">IF($C45="","",COUNTIF($C42:$C45,BJ$21)+COUNTIF($C42:$C45,$A$3))</f>
        <v>0</v>
      </c>
      <c r="BL45" s="52" t="n">
        <f aca="false">IF($D45="","",COUNTIF($D42:$D45,BJ$21)+COUNTIF($D42:$D45,$A$3))</f>
        <v>1</v>
      </c>
      <c r="BM45" s="52" t="n">
        <f aca="false">IF($E45="","",COUNTIF($E42:$E45,BJ$21)+COUNTIF($E42:$E45,$A$3))</f>
        <v>0</v>
      </c>
      <c r="BN45" s="53" t="n">
        <f aca="false">IF($F45="","",COUNTIF($F42:$F45,BJ$21)+COUNTIF($F42:$F45,$A$3))</f>
        <v>1</v>
      </c>
      <c r="BP45" s="65" t="n">
        <f aca="false">IF($B45="","",COUNTIF($B42:$B45,BP$21)+COUNTIF($B42:$B45,$A$3))</f>
        <v>0</v>
      </c>
      <c r="BQ45" s="52" t="n">
        <f aca="false">IF($C45="","",COUNTIF($C42:$C45,BP$21)+COUNTIF($C42:$C45,$A$3))</f>
        <v>0</v>
      </c>
      <c r="BR45" s="52" t="n">
        <f aca="false">IF($D45="","",COUNTIF($D42:$D45,BP$21)+COUNTIF($D42:$D45,$A$3))</f>
        <v>0</v>
      </c>
      <c r="BS45" s="52" t="n">
        <f aca="false">IF($E45="","",COUNTIF($E42:$E45,BP$21)+COUNTIF($E42:$E45,$A$3))</f>
        <v>0</v>
      </c>
      <c r="BT45" s="53" t="n">
        <f aca="false">IF($F45="","",COUNTIF($F42:$F45,BP$21)+COUNTIF($F42:$F45,$A$3))</f>
        <v>0</v>
      </c>
    </row>
    <row r="46" customFormat="false" ht="15" hidden="false" customHeight="false" outlineLevel="0" collapsed="false">
      <c r="A46" s="13" t="n">
        <v>24</v>
      </c>
      <c r="B46" s="116" t="str">
        <f aca="false">IF('Game Info'!J29="","",'Game Info'!J29)</f>
        <v>SYM3</v>
      </c>
      <c r="C46" s="116" t="str">
        <f aca="false">IF('Game Info'!K29="","",'Game Info'!K29)</f>
        <v>Q</v>
      </c>
      <c r="D46" s="116" t="n">
        <f aca="false">IF('Game Info'!L29="","",'Game Info'!L29)</f>
        <v>10</v>
      </c>
      <c r="E46" s="116" t="n">
        <f aca="false">IF('Game Info'!M29="","",'Game Info'!M29)</f>
        <v>9</v>
      </c>
      <c r="F46" s="117" t="str">
        <f aca="false">IF('Game Info'!N29="","",'Game Info'!N29)</f>
        <v>A</v>
      </c>
      <c r="H46" s="65" t="n">
        <f aca="false">IF($B46="","",COUNTIF($B43:$B46,H$21)+COUNTIF($B43:$B46,$A$3))</f>
        <v>0</v>
      </c>
      <c r="I46" s="52" t="n">
        <f aca="false">IF($C46="","",COUNTIF($C43:$C46,H$21)+COUNTIF($C43:$C46,$A$3))</f>
        <v>0</v>
      </c>
      <c r="J46" s="52" t="n">
        <f aca="false">IF($D46="","",COUNTIF($D43:$D46,H$21)+COUNTIF($D43:$D46,$A$3))</f>
        <v>1</v>
      </c>
      <c r="K46" s="52" t="n">
        <f aca="false">IF($E46="","",COUNTIF($E43:$E46,H$21)+COUNTIF($E43:$E46,$A$3))</f>
        <v>0</v>
      </c>
      <c r="L46" s="53" t="n">
        <f aca="false">IF($F46="","",COUNTIF($F43:$F46,H$21)+COUNTIF($F43:$F46,$A$3))</f>
        <v>0</v>
      </c>
      <c r="N46" s="65" t="n">
        <f aca="false">IF($B46="","",COUNTIF($B43:$B46,N$21)+COUNTIF($B43:$B46,$A$3))</f>
        <v>1</v>
      </c>
      <c r="O46" s="52" t="n">
        <f aca="false">IF($C46="","",COUNTIF($C43:$C46,N$21)+COUNTIF($C43:$C46,$A$3))</f>
        <v>1</v>
      </c>
      <c r="P46" s="52" t="n">
        <f aca="false">IF($D46="","",COUNTIF($D43:$D46,N$21)+COUNTIF($D43:$D46,$A$3))</f>
        <v>0</v>
      </c>
      <c r="Q46" s="52" t="n">
        <f aca="false">IF($E46="","",COUNTIF($E43:$E46,N$21)+COUNTIF($E43:$E46,$A$3))</f>
        <v>1</v>
      </c>
      <c r="R46" s="53" t="n">
        <f aca="false">IF($F46="","",COUNTIF($F43:$F46,N$21)+COUNTIF($F43:$F46,$A$3))</f>
        <v>0</v>
      </c>
      <c r="T46" s="65" t="n">
        <f aca="false">IF($B46="","",COUNTIF($B43:$B46,T$21)+COUNTIF($B43:$B46,$A$3))</f>
        <v>1</v>
      </c>
      <c r="U46" s="52" t="n">
        <f aca="false">IF($C46="","",COUNTIF($C43:$C46,T$21)+COUNTIF($C43:$C46,$A$3))</f>
        <v>0</v>
      </c>
      <c r="V46" s="52" t="n">
        <f aca="false">IF($D46="","",COUNTIF($D43:$D46,T$21)+COUNTIF($D43:$D46,$A$3))</f>
        <v>0</v>
      </c>
      <c r="W46" s="52" t="n">
        <f aca="false">IF($E46="","",COUNTIF($E43:$E46,T$21)+COUNTIF($E43:$E46,$A$3))</f>
        <v>0</v>
      </c>
      <c r="X46" s="53" t="n">
        <f aca="false">IF($F46="","",COUNTIF($F43:$F46,T$21)+COUNTIF($F43:$F46,$A$3))</f>
        <v>1</v>
      </c>
      <c r="Z46" s="65" t="n">
        <f aca="false">IF($B46="","",COUNTIF($B43:$B46,Z$21)+COUNTIF($B43:$B46,$A$3))</f>
        <v>0</v>
      </c>
      <c r="AA46" s="52" t="n">
        <f aca="false">IF($C46="","",COUNTIF($C43:$C46,Z$21)+COUNTIF($C43:$C46,$A$3))</f>
        <v>0</v>
      </c>
      <c r="AB46" s="52" t="n">
        <f aca="false">IF($D46="","",COUNTIF($D43:$D46,Z$21)+COUNTIF($D43:$D46,$A$3))</f>
        <v>0</v>
      </c>
      <c r="AC46" s="52" t="n">
        <f aca="false">IF($E46="","",COUNTIF($E43:$E46,Z$21)+COUNTIF($E43:$E46,$A$3))</f>
        <v>0</v>
      </c>
      <c r="AD46" s="53" t="n">
        <f aca="false">IF($F46="","",COUNTIF($F43:$F46,Z$21)+COUNTIF($F43:$F46,$A$3))</f>
        <v>0</v>
      </c>
      <c r="AF46" s="65" t="n">
        <f aca="false">IF($B46="","",COUNTIF($B43:$B46,AF$21)+COUNTIF($B43:$B46,$A$3))</f>
        <v>1</v>
      </c>
      <c r="AG46" s="52" t="n">
        <f aca="false">IF($C46="","",COUNTIF($C43:$C46,AF$21)+COUNTIF($C43:$C46,$A$3))</f>
        <v>0</v>
      </c>
      <c r="AH46" s="52" t="n">
        <f aca="false">IF($D46="","",COUNTIF($D43:$D46,AF$21)+COUNTIF($D43:$D46,$A$3))</f>
        <v>0</v>
      </c>
      <c r="AI46" s="52" t="n">
        <f aca="false">IF($E46="","",COUNTIF($E43:$E46,AF$21)+COUNTIF($E43:$E46,$A$3))</f>
        <v>1</v>
      </c>
      <c r="AJ46" s="53" t="n">
        <f aca="false">IF($F46="","",COUNTIF($F43:$F46,AF$21)+COUNTIF($F43:$F46,$A$3))</f>
        <v>0</v>
      </c>
      <c r="AL46" s="65" t="n">
        <f aca="false">IF($B46="","",COUNTIF($B43:$B46,AL$21)+COUNTIF($B43:$B46,$A$3))</f>
        <v>0</v>
      </c>
      <c r="AM46" s="52" t="n">
        <f aca="false">IF($C46="","",COUNTIF($C43:$C46,AL$21)+COUNTIF($C43:$C46,$A$3))</f>
        <v>1</v>
      </c>
      <c r="AN46" s="52" t="n">
        <f aca="false">IF($D46="","",COUNTIF($D43:$D46,AL$21)+COUNTIF($D43:$D46,$A$3))</f>
        <v>0</v>
      </c>
      <c r="AO46" s="52" t="n">
        <f aca="false">IF($E46="","",COUNTIF($E43:$E46,AL$21)+COUNTIF($E43:$E46,$A$3))</f>
        <v>0</v>
      </c>
      <c r="AP46" s="53" t="n">
        <f aca="false">IF($F46="","",COUNTIF($F43:$F46,AL$21)+COUNTIF($F43:$F46,$A$3))</f>
        <v>1</v>
      </c>
      <c r="AR46" s="65" t="n">
        <f aca="false">IF($B46="","",COUNTIF($B43:$B46,AR$21)+COUNTIF($B43:$B46,$A$3))</f>
        <v>0</v>
      </c>
      <c r="AS46" s="52" t="n">
        <f aca="false">IF($C46="","",COUNTIF($C43:$C46,AR$21)+COUNTIF($C43:$C46,$A$3))</f>
        <v>0</v>
      </c>
      <c r="AT46" s="52" t="n">
        <f aca="false">IF($D46="","",COUNTIF($D43:$D46,AR$21)+COUNTIF($D43:$D46,$A$3))</f>
        <v>0</v>
      </c>
      <c r="AU46" s="52" t="n">
        <f aca="false">IF($E46="","",COUNTIF($E43:$E46,AR$21)+COUNTIF($E43:$E46,$A$3))</f>
        <v>1</v>
      </c>
      <c r="AV46" s="53" t="n">
        <f aca="false">IF($F46="","",COUNTIF($F43:$F46,AR$21)+COUNTIF($F43:$F46,$A$3))</f>
        <v>0</v>
      </c>
      <c r="AX46" s="65" t="n">
        <f aca="false">IF($B46="","",COUNTIF($B43:$B46,AX$21)+COUNTIF($B43:$B46,$A$3))</f>
        <v>1</v>
      </c>
      <c r="AY46" s="52" t="n">
        <f aca="false">IF($C46="","",COUNTIF($C43:$C46,AX$21)+COUNTIF($C43:$C46,$A$3))</f>
        <v>2</v>
      </c>
      <c r="AZ46" s="52" t="n">
        <f aca="false">IF($D46="","",COUNTIF($D43:$D46,AX$21)+COUNTIF($D43:$D46,$A$3))</f>
        <v>0</v>
      </c>
      <c r="BA46" s="52" t="n">
        <f aca="false">IF($E46="","",COUNTIF($E43:$E46,AX$21)+COUNTIF($E43:$E46,$A$3))</f>
        <v>0</v>
      </c>
      <c r="BB46" s="53" t="n">
        <f aca="false">IF($F46="","",COUNTIF($F43:$F46,AX$21)+COUNTIF($F43:$F46,$A$3))</f>
        <v>1</v>
      </c>
      <c r="BD46" s="65" t="n">
        <f aca="false">IF($B46="","",COUNTIF($B43:$B46,BD$21)+COUNTIF($B43:$B46,$A$3))</f>
        <v>0</v>
      </c>
      <c r="BE46" s="52" t="n">
        <f aca="false">IF($C46="","",COUNTIF($C43:$C46,BD$21)+COUNTIF($C43:$C46,$A$3))</f>
        <v>0</v>
      </c>
      <c r="BF46" s="52" t="n">
        <f aca="false">IF($D46="","",COUNTIF($D43:$D46,BD$21)+COUNTIF($D43:$D46,$A$3))</f>
        <v>1</v>
      </c>
      <c r="BG46" s="52" t="n">
        <f aca="false">IF($E46="","",COUNTIF($E43:$E46,BD$21)+COUNTIF($E43:$E46,$A$3))</f>
        <v>0</v>
      </c>
      <c r="BH46" s="53" t="n">
        <f aca="false">IF($F46="","",COUNTIF($F43:$F46,BD$21)+COUNTIF($F43:$F46,$A$3))</f>
        <v>0</v>
      </c>
      <c r="BJ46" s="65" t="n">
        <f aca="false">IF($B46="","",COUNTIF($B43:$B46,BJ$21)+COUNTIF($B43:$B46,$A$3))</f>
        <v>0</v>
      </c>
      <c r="BK46" s="52" t="n">
        <f aca="false">IF($C46="","",COUNTIF($C43:$C46,BJ$21)+COUNTIF($C43:$C46,$A$3))</f>
        <v>0</v>
      </c>
      <c r="BL46" s="52" t="n">
        <f aca="false">IF($D46="","",COUNTIF($D43:$D46,BJ$21)+COUNTIF($D43:$D46,$A$3))</f>
        <v>2</v>
      </c>
      <c r="BM46" s="52" t="n">
        <f aca="false">IF($E46="","",COUNTIF($E43:$E46,BJ$21)+COUNTIF($E43:$E46,$A$3))</f>
        <v>0</v>
      </c>
      <c r="BN46" s="53" t="n">
        <f aca="false">IF($F46="","",COUNTIF($F43:$F46,BJ$21)+COUNTIF($F43:$F46,$A$3))</f>
        <v>1</v>
      </c>
      <c r="BP46" s="65" t="n">
        <f aca="false">IF($B46="","",COUNTIF($B43:$B46,BP$21)+COUNTIF($B43:$B46,$A$3))</f>
        <v>0</v>
      </c>
      <c r="BQ46" s="52" t="n">
        <f aca="false">IF($C46="","",COUNTIF($C43:$C46,BP$21)+COUNTIF($C43:$C46,$A$3))</f>
        <v>0</v>
      </c>
      <c r="BR46" s="52" t="n">
        <f aca="false">IF($D46="","",COUNTIF($D43:$D46,BP$21)+COUNTIF($D43:$D46,$A$3))</f>
        <v>0</v>
      </c>
      <c r="BS46" s="52" t="n">
        <f aca="false">IF($E46="","",COUNTIF($E43:$E46,BP$21)+COUNTIF($E43:$E46,$A$3))</f>
        <v>1</v>
      </c>
      <c r="BT46" s="53" t="n">
        <f aca="false">IF($F46="","",COUNTIF($F43:$F46,BP$21)+COUNTIF($F43:$F46,$A$3))</f>
        <v>0</v>
      </c>
    </row>
    <row r="47" customFormat="false" ht="15" hidden="false" customHeight="false" outlineLevel="0" collapsed="false">
      <c r="A47" s="13" t="n">
        <v>25</v>
      </c>
      <c r="B47" s="116" t="str">
        <f aca="false">IF('Game Info'!J30="","",'Game Info'!J30)</f>
        <v>J</v>
      </c>
      <c r="C47" s="116" t="str">
        <f aca="false">IF('Game Info'!K30="","",'Game Info'!K30)</f>
        <v>SYM4</v>
      </c>
      <c r="D47" s="116" t="str">
        <f aca="false">IF('Game Info'!L30="","",'Game Info'!L30)</f>
        <v>Q</v>
      </c>
      <c r="E47" s="116" t="str">
        <f aca="false">IF('Game Info'!M30="","",'Game Info'!M30)</f>
        <v>SYM4</v>
      </c>
      <c r="F47" s="117" t="str">
        <f aca="false">IF('Game Info'!N30="","",'Game Info'!N30)</f>
        <v>SYM1</v>
      </c>
      <c r="H47" s="65" t="n">
        <f aca="false">IF($B47="","",COUNTIF($B44:$B47,H$21)+COUNTIF($B44:$B47,$A$3))</f>
        <v>0</v>
      </c>
      <c r="I47" s="52" t="n">
        <f aca="false">IF($C47="","",COUNTIF($C44:$C47,H$21)+COUNTIF($C44:$C47,$A$3))</f>
        <v>0</v>
      </c>
      <c r="J47" s="52" t="n">
        <f aca="false">IF($D47="","",COUNTIF($D44:$D47,H$21)+COUNTIF($D44:$D47,$A$3))</f>
        <v>1</v>
      </c>
      <c r="K47" s="52" t="n">
        <f aca="false">IF($E47="","",COUNTIF($E44:$E47,H$21)+COUNTIF($E44:$E47,$A$3))</f>
        <v>0</v>
      </c>
      <c r="L47" s="53" t="n">
        <f aca="false">IF($F47="","",COUNTIF($F44:$F47,H$21)+COUNTIF($F44:$F47,$A$3))</f>
        <v>1</v>
      </c>
      <c r="N47" s="65" t="n">
        <f aca="false">IF($B47="","",COUNTIF($B44:$B47,N$21)+COUNTIF($B44:$B47,$A$3))</f>
        <v>1</v>
      </c>
      <c r="O47" s="52" t="n">
        <f aca="false">IF($C47="","",COUNTIF($C44:$C47,N$21)+COUNTIF($C44:$C47,$A$3))</f>
        <v>1</v>
      </c>
      <c r="P47" s="52" t="n">
        <f aca="false">IF($D47="","",COUNTIF($D44:$D47,N$21)+COUNTIF($D44:$D47,$A$3))</f>
        <v>0</v>
      </c>
      <c r="Q47" s="52" t="n">
        <f aca="false">IF($E47="","",COUNTIF($E44:$E47,N$21)+COUNTIF($E44:$E47,$A$3))</f>
        <v>0</v>
      </c>
      <c r="R47" s="53" t="n">
        <f aca="false">IF($F47="","",COUNTIF($F44:$F47,N$21)+COUNTIF($F44:$F47,$A$3))</f>
        <v>0</v>
      </c>
      <c r="T47" s="65" t="n">
        <f aca="false">IF($B47="","",COUNTIF($B44:$B47,T$21)+COUNTIF($B44:$B47,$A$3))</f>
        <v>1</v>
      </c>
      <c r="U47" s="52" t="n">
        <f aca="false">IF($C47="","",COUNTIF($C44:$C47,T$21)+COUNTIF($C44:$C47,$A$3))</f>
        <v>0</v>
      </c>
      <c r="V47" s="52" t="n">
        <f aca="false">IF($D47="","",COUNTIF($D44:$D47,T$21)+COUNTIF($D44:$D47,$A$3))</f>
        <v>0</v>
      </c>
      <c r="W47" s="52" t="n">
        <f aca="false">IF($E47="","",COUNTIF($E44:$E47,T$21)+COUNTIF($E44:$E47,$A$3))</f>
        <v>0</v>
      </c>
      <c r="X47" s="53" t="n">
        <f aca="false">IF($F47="","",COUNTIF($F44:$F47,T$21)+COUNTIF($F44:$F47,$A$3))</f>
        <v>1</v>
      </c>
      <c r="Z47" s="65" t="n">
        <f aca="false">IF($B47="","",COUNTIF($B44:$B47,Z$21)+COUNTIF($B44:$B47,$A$3))</f>
        <v>0</v>
      </c>
      <c r="AA47" s="52" t="n">
        <f aca="false">IF($C47="","",COUNTIF($C44:$C47,Z$21)+COUNTIF($C44:$C47,$A$3))</f>
        <v>1</v>
      </c>
      <c r="AB47" s="52" t="n">
        <f aca="false">IF($D47="","",COUNTIF($D44:$D47,Z$21)+COUNTIF($D44:$D47,$A$3))</f>
        <v>0</v>
      </c>
      <c r="AC47" s="52" t="n">
        <f aca="false">IF($E47="","",COUNTIF($E44:$E47,Z$21)+COUNTIF($E44:$E47,$A$3))</f>
        <v>1</v>
      </c>
      <c r="AD47" s="53" t="n">
        <f aca="false">IF($F47="","",COUNTIF($F44:$F47,Z$21)+COUNTIF($F44:$F47,$A$3))</f>
        <v>0</v>
      </c>
      <c r="AF47" s="65" t="n">
        <f aca="false">IF($B47="","",COUNTIF($B44:$B47,AF$21)+COUNTIF($B44:$B47,$A$3))</f>
        <v>0</v>
      </c>
      <c r="AG47" s="52" t="n">
        <f aca="false">IF($C47="","",COUNTIF($C44:$C47,AF$21)+COUNTIF($C44:$C47,$A$3))</f>
        <v>0</v>
      </c>
      <c r="AH47" s="52" t="n">
        <f aca="false">IF($D47="","",COUNTIF($D44:$D47,AF$21)+COUNTIF($D44:$D47,$A$3))</f>
        <v>0</v>
      </c>
      <c r="AI47" s="52" t="n">
        <f aca="false">IF($E47="","",COUNTIF($E44:$E47,AF$21)+COUNTIF($E44:$E47,$A$3))</f>
        <v>1</v>
      </c>
      <c r="AJ47" s="53" t="n">
        <f aca="false">IF($F47="","",COUNTIF($F44:$F47,AF$21)+COUNTIF($F44:$F47,$A$3))</f>
        <v>0</v>
      </c>
      <c r="AL47" s="65" t="n">
        <f aca="false">IF($B47="","",COUNTIF($B44:$B47,AL$21)+COUNTIF($B44:$B47,$A$3))</f>
        <v>0</v>
      </c>
      <c r="AM47" s="52" t="n">
        <f aca="false">IF($C47="","",COUNTIF($C44:$C47,AL$21)+COUNTIF($C44:$C47,$A$3))</f>
        <v>1</v>
      </c>
      <c r="AN47" s="52" t="n">
        <f aca="false">IF($D47="","",COUNTIF($D44:$D47,AL$21)+COUNTIF($D44:$D47,$A$3))</f>
        <v>0</v>
      </c>
      <c r="AO47" s="52" t="n">
        <f aca="false">IF($E47="","",COUNTIF($E44:$E47,AL$21)+COUNTIF($E44:$E47,$A$3))</f>
        <v>0</v>
      </c>
      <c r="AP47" s="53" t="n">
        <f aca="false">IF($F47="","",COUNTIF($F44:$F47,AL$21)+COUNTIF($F44:$F47,$A$3))</f>
        <v>1</v>
      </c>
      <c r="AR47" s="65" t="n">
        <f aca="false">IF($B47="","",COUNTIF($B44:$B47,AR$21)+COUNTIF($B44:$B47,$A$3))</f>
        <v>0</v>
      </c>
      <c r="AS47" s="52" t="n">
        <f aca="false">IF($C47="","",COUNTIF($C44:$C47,AR$21)+COUNTIF($C44:$C47,$A$3))</f>
        <v>0</v>
      </c>
      <c r="AT47" s="52" t="n">
        <f aca="false">IF($D47="","",COUNTIF($D44:$D47,AR$21)+COUNTIF($D44:$D47,$A$3))</f>
        <v>0</v>
      </c>
      <c r="AU47" s="52" t="n">
        <f aca="false">IF($E47="","",COUNTIF($E44:$E47,AR$21)+COUNTIF($E44:$E47,$A$3))</f>
        <v>1</v>
      </c>
      <c r="AV47" s="53" t="n">
        <f aca="false">IF($F47="","",COUNTIF($F44:$F47,AR$21)+COUNTIF($F44:$F47,$A$3))</f>
        <v>0</v>
      </c>
      <c r="AX47" s="65" t="n">
        <f aca="false">IF($B47="","",COUNTIF($B44:$B47,AX$21)+COUNTIF($B44:$B47,$A$3))</f>
        <v>1</v>
      </c>
      <c r="AY47" s="52" t="n">
        <f aca="false">IF($C47="","",COUNTIF($C44:$C47,AX$21)+COUNTIF($C44:$C47,$A$3))</f>
        <v>1</v>
      </c>
      <c r="AZ47" s="52" t="n">
        <f aca="false">IF($D47="","",COUNTIF($D44:$D47,AX$21)+COUNTIF($D44:$D47,$A$3))</f>
        <v>1</v>
      </c>
      <c r="BA47" s="52" t="n">
        <f aca="false">IF($E47="","",COUNTIF($E44:$E47,AX$21)+COUNTIF($E44:$E47,$A$3))</f>
        <v>0</v>
      </c>
      <c r="BB47" s="53" t="n">
        <f aca="false">IF($F47="","",COUNTIF($F44:$F47,AX$21)+COUNTIF($F44:$F47,$A$3))</f>
        <v>1</v>
      </c>
      <c r="BD47" s="65" t="n">
        <f aca="false">IF($B47="","",COUNTIF($B44:$B47,BD$21)+COUNTIF($B44:$B47,$A$3))</f>
        <v>1</v>
      </c>
      <c r="BE47" s="52" t="n">
        <f aca="false">IF($C47="","",COUNTIF($C44:$C47,BD$21)+COUNTIF($C44:$C47,$A$3))</f>
        <v>0</v>
      </c>
      <c r="BF47" s="52" t="n">
        <f aca="false">IF($D47="","",COUNTIF($D44:$D47,BD$21)+COUNTIF($D44:$D47,$A$3))</f>
        <v>1</v>
      </c>
      <c r="BG47" s="52" t="n">
        <f aca="false">IF($E47="","",COUNTIF($E44:$E47,BD$21)+COUNTIF($E44:$E47,$A$3))</f>
        <v>0</v>
      </c>
      <c r="BH47" s="53" t="n">
        <f aca="false">IF($F47="","",COUNTIF($F44:$F47,BD$21)+COUNTIF($F44:$F47,$A$3))</f>
        <v>0</v>
      </c>
      <c r="BJ47" s="65" t="n">
        <f aca="false">IF($B47="","",COUNTIF($B44:$B47,BJ$21)+COUNTIF($B44:$B47,$A$3))</f>
        <v>0</v>
      </c>
      <c r="BK47" s="52" t="n">
        <f aca="false">IF($C47="","",COUNTIF($C44:$C47,BJ$21)+COUNTIF($C44:$C47,$A$3))</f>
        <v>0</v>
      </c>
      <c r="BL47" s="52" t="n">
        <f aca="false">IF($D47="","",COUNTIF($D44:$D47,BJ$21)+COUNTIF($D44:$D47,$A$3))</f>
        <v>1</v>
      </c>
      <c r="BM47" s="52" t="n">
        <f aca="false">IF($E47="","",COUNTIF($E44:$E47,BJ$21)+COUNTIF($E44:$E47,$A$3))</f>
        <v>0</v>
      </c>
      <c r="BN47" s="53" t="n">
        <f aca="false">IF($F47="","",COUNTIF($F44:$F47,BJ$21)+COUNTIF($F44:$F47,$A$3))</f>
        <v>0</v>
      </c>
      <c r="BP47" s="65" t="n">
        <f aca="false">IF($B47="","",COUNTIF($B44:$B47,BP$21)+COUNTIF($B44:$B47,$A$3))</f>
        <v>0</v>
      </c>
      <c r="BQ47" s="52" t="n">
        <f aca="false">IF($C47="","",COUNTIF($C44:$C47,BP$21)+COUNTIF($C44:$C47,$A$3))</f>
        <v>0</v>
      </c>
      <c r="BR47" s="52" t="n">
        <f aca="false">IF($D47="","",COUNTIF($D44:$D47,BP$21)+COUNTIF($D44:$D47,$A$3))</f>
        <v>0</v>
      </c>
      <c r="BS47" s="52" t="n">
        <f aca="false">IF($E47="","",COUNTIF($E44:$E47,BP$21)+COUNTIF($E44:$E47,$A$3))</f>
        <v>1</v>
      </c>
      <c r="BT47" s="53" t="n">
        <f aca="false">IF($F47="","",COUNTIF($F44:$F47,BP$21)+COUNTIF($F44:$F47,$A$3))</f>
        <v>0</v>
      </c>
    </row>
    <row r="48" customFormat="false" ht="15" hidden="false" customHeight="false" outlineLevel="0" collapsed="false">
      <c r="A48" s="13" t="n">
        <v>26</v>
      </c>
      <c r="B48" s="116" t="n">
        <f aca="false">IF('Game Info'!J31="","",'Game Info'!J31)</f>
        <v>10</v>
      </c>
      <c r="C48" s="116" t="str">
        <f aca="false">IF('Game Info'!K31="","",'Game Info'!K31)</f>
        <v>J</v>
      </c>
      <c r="D48" s="116" t="str">
        <f aca="false">IF('Game Info'!L31="","",'Game Info'!L31)</f>
        <v>SYM1</v>
      </c>
      <c r="E48" s="116" t="str">
        <f aca="false">IF('Game Info'!M31="","",'Game Info'!M31)</f>
        <v>SYM2</v>
      </c>
      <c r="F48" s="117" t="str">
        <f aca="false">IF('Game Info'!N31="","",'Game Info'!N31)</f>
        <v>SYM1</v>
      </c>
      <c r="H48" s="65" t="n">
        <f aca="false">IF($B48="","",COUNTIF($B45:$B48,H$21)+COUNTIF($B45:$B48,$A$3))</f>
        <v>0</v>
      </c>
      <c r="I48" s="52" t="n">
        <f aca="false">IF($C48="","",COUNTIF($C45:$C48,H$21)+COUNTIF($C45:$C48,$A$3))</f>
        <v>0</v>
      </c>
      <c r="J48" s="52" t="n">
        <f aca="false">IF($D48="","",COUNTIF($D45:$D48,H$21)+COUNTIF($D45:$D48,$A$3))</f>
        <v>1</v>
      </c>
      <c r="K48" s="52" t="n">
        <f aca="false">IF($E48="","",COUNTIF($E45:$E48,H$21)+COUNTIF($E45:$E48,$A$3))</f>
        <v>0</v>
      </c>
      <c r="L48" s="53" t="n">
        <f aca="false">IF($F48="","",COUNTIF($F45:$F48,H$21)+COUNTIF($F45:$F48,$A$3))</f>
        <v>2</v>
      </c>
      <c r="N48" s="65" t="n">
        <f aca="false">IF($B48="","",COUNTIF($B45:$B48,N$21)+COUNTIF($B45:$B48,$A$3))</f>
        <v>1</v>
      </c>
      <c r="O48" s="52" t="n">
        <f aca="false">IF($C48="","",COUNTIF($C45:$C48,N$21)+COUNTIF($C45:$C48,$A$3))</f>
        <v>0</v>
      </c>
      <c r="P48" s="52" t="n">
        <f aca="false">IF($D48="","",COUNTIF($D45:$D48,N$21)+COUNTIF($D45:$D48,$A$3))</f>
        <v>0</v>
      </c>
      <c r="Q48" s="52" t="n">
        <f aca="false">IF($E48="","",COUNTIF($E45:$E48,N$21)+COUNTIF($E45:$E48,$A$3))</f>
        <v>1</v>
      </c>
      <c r="R48" s="53" t="n">
        <f aca="false">IF($F48="","",COUNTIF($F45:$F48,N$21)+COUNTIF($F45:$F48,$A$3))</f>
        <v>0</v>
      </c>
      <c r="T48" s="65" t="n">
        <f aca="false">IF($B48="","",COUNTIF($B45:$B48,T$21)+COUNTIF($B45:$B48,$A$3))</f>
        <v>1</v>
      </c>
      <c r="U48" s="52" t="n">
        <f aca="false">IF($C48="","",COUNTIF($C45:$C48,T$21)+COUNTIF($C45:$C48,$A$3))</f>
        <v>0</v>
      </c>
      <c r="V48" s="52" t="n">
        <f aca="false">IF($D48="","",COUNTIF($D45:$D48,T$21)+COUNTIF($D45:$D48,$A$3))</f>
        <v>0</v>
      </c>
      <c r="W48" s="52" t="n">
        <f aca="false">IF($E48="","",COUNTIF($E45:$E48,T$21)+COUNTIF($E45:$E48,$A$3))</f>
        <v>0</v>
      </c>
      <c r="X48" s="53" t="n">
        <f aca="false">IF($F48="","",COUNTIF($F45:$F48,T$21)+COUNTIF($F45:$F48,$A$3))</f>
        <v>0</v>
      </c>
      <c r="Z48" s="65" t="n">
        <f aca="false">IF($B48="","",COUNTIF($B45:$B48,Z$21)+COUNTIF($B45:$B48,$A$3))</f>
        <v>0</v>
      </c>
      <c r="AA48" s="52" t="n">
        <f aca="false">IF($C48="","",COUNTIF($C45:$C48,Z$21)+COUNTIF($C45:$C48,$A$3))</f>
        <v>1</v>
      </c>
      <c r="AB48" s="52" t="n">
        <f aca="false">IF($D48="","",COUNTIF($D45:$D48,Z$21)+COUNTIF($D45:$D48,$A$3))</f>
        <v>0</v>
      </c>
      <c r="AC48" s="52" t="n">
        <f aca="false">IF($E48="","",COUNTIF($E45:$E48,Z$21)+COUNTIF($E45:$E48,$A$3))</f>
        <v>1</v>
      </c>
      <c r="AD48" s="53" t="n">
        <f aca="false">IF($F48="","",COUNTIF($F45:$F48,Z$21)+COUNTIF($F45:$F48,$A$3))</f>
        <v>0</v>
      </c>
      <c r="AF48" s="65" t="n">
        <f aca="false">IF($B48="","",COUNTIF($B45:$B48,AF$21)+COUNTIF($B45:$B48,$A$3))</f>
        <v>0</v>
      </c>
      <c r="AG48" s="52" t="n">
        <f aca="false">IF($C48="","",COUNTIF($C45:$C48,AF$21)+COUNTIF($C45:$C48,$A$3))</f>
        <v>0</v>
      </c>
      <c r="AH48" s="52" t="n">
        <f aca="false">IF($D48="","",COUNTIF($D45:$D48,AF$21)+COUNTIF($D45:$D48,$A$3))</f>
        <v>0</v>
      </c>
      <c r="AI48" s="52" t="n">
        <f aca="false">IF($E48="","",COUNTIF($E45:$E48,AF$21)+COUNTIF($E45:$E48,$A$3))</f>
        <v>1</v>
      </c>
      <c r="AJ48" s="53" t="n">
        <f aca="false">IF($F48="","",COUNTIF($F45:$F48,AF$21)+COUNTIF($F45:$F48,$A$3))</f>
        <v>0</v>
      </c>
      <c r="AL48" s="65" t="n">
        <f aca="false">IF($B48="","",COUNTIF($B45:$B48,AL$21)+COUNTIF($B45:$B48,$A$3))</f>
        <v>0</v>
      </c>
      <c r="AM48" s="52" t="n">
        <f aca="false">IF($C48="","",COUNTIF($C45:$C48,AL$21)+COUNTIF($C45:$C48,$A$3))</f>
        <v>1</v>
      </c>
      <c r="AN48" s="52" t="n">
        <f aca="false">IF($D48="","",COUNTIF($D45:$D48,AL$21)+COUNTIF($D45:$D48,$A$3))</f>
        <v>0</v>
      </c>
      <c r="AO48" s="52" t="n">
        <f aca="false">IF($E48="","",COUNTIF($E45:$E48,AL$21)+COUNTIF($E45:$E48,$A$3))</f>
        <v>0</v>
      </c>
      <c r="AP48" s="53" t="n">
        <f aca="false">IF($F48="","",COUNTIF($F45:$F48,AL$21)+COUNTIF($F45:$F48,$A$3))</f>
        <v>1</v>
      </c>
      <c r="AR48" s="65" t="n">
        <f aca="false">IF($B48="","",COUNTIF($B45:$B48,AR$21)+COUNTIF($B45:$B48,$A$3))</f>
        <v>0</v>
      </c>
      <c r="AS48" s="52" t="n">
        <f aca="false">IF($C48="","",COUNTIF($C45:$C48,AR$21)+COUNTIF($C45:$C48,$A$3))</f>
        <v>0</v>
      </c>
      <c r="AT48" s="52" t="n">
        <f aca="false">IF($D48="","",COUNTIF($D45:$D48,AR$21)+COUNTIF($D45:$D48,$A$3))</f>
        <v>0</v>
      </c>
      <c r="AU48" s="52" t="n">
        <f aca="false">IF($E48="","",COUNTIF($E45:$E48,AR$21)+COUNTIF($E45:$E48,$A$3))</f>
        <v>0</v>
      </c>
      <c r="AV48" s="53" t="n">
        <f aca="false">IF($F48="","",COUNTIF($F45:$F48,AR$21)+COUNTIF($F45:$F48,$A$3))</f>
        <v>0</v>
      </c>
      <c r="AX48" s="65" t="n">
        <f aca="false">IF($B48="","",COUNTIF($B45:$B48,AX$21)+COUNTIF($B45:$B48,$A$3))</f>
        <v>0</v>
      </c>
      <c r="AY48" s="52" t="n">
        <f aca="false">IF($C48="","",COUNTIF($C45:$C48,AX$21)+COUNTIF($C45:$C48,$A$3))</f>
        <v>1</v>
      </c>
      <c r="AZ48" s="52" t="n">
        <f aca="false">IF($D48="","",COUNTIF($D45:$D48,AX$21)+COUNTIF($D45:$D48,$A$3))</f>
        <v>1</v>
      </c>
      <c r="BA48" s="52" t="n">
        <f aca="false">IF($E48="","",COUNTIF($E45:$E48,AX$21)+COUNTIF($E45:$E48,$A$3))</f>
        <v>0</v>
      </c>
      <c r="BB48" s="53" t="n">
        <f aca="false">IF($F48="","",COUNTIF($F45:$F48,AX$21)+COUNTIF($F45:$F48,$A$3))</f>
        <v>1</v>
      </c>
      <c r="BD48" s="65" t="n">
        <f aca="false">IF($B48="","",COUNTIF($B45:$B48,BD$21)+COUNTIF($B45:$B48,$A$3))</f>
        <v>1</v>
      </c>
      <c r="BE48" s="52" t="n">
        <f aca="false">IF($C48="","",COUNTIF($C45:$C48,BD$21)+COUNTIF($C45:$C48,$A$3))</f>
        <v>1</v>
      </c>
      <c r="BF48" s="52" t="n">
        <f aca="false">IF($D48="","",COUNTIF($D45:$D48,BD$21)+COUNTIF($D45:$D48,$A$3))</f>
        <v>1</v>
      </c>
      <c r="BG48" s="52" t="n">
        <f aca="false">IF($E48="","",COUNTIF($E45:$E48,BD$21)+COUNTIF($E45:$E48,$A$3))</f>
        <v>0</v>
      </c>
      <c r="BH48" s="53" t="n">
        <f aca="false">IF($F48="","",COUNTIF($F45:$F48,BD$21)+COUNTIF($F45:$F48,$A$3))</f>
        <v>0</v>
      </c>
      <c r="BJ48" s="65" t="n">
        <f aca="false">IF($B48="","",COUNTIF($B45:$B48,BJ$21)+COUNTIF($B45:$B48,$A$3))</f>
        <v>1</v>
      </c>
      <c r="BK48" s="52" t="n">
        <f aca="false">IF($C48="","",COUNTIF($C45:$C48,BJ$21)+COUNTIF($C45:$C48,$A$3))</f>
        <v>0</v>
      </c>
      <c r="BL48" s="52" t="n">
        <f aca="false">IF($D48="","",COUNTIF($D45:$D48,BJ$21)+COUNTIF($D45:$D48,$A$3))</f>
        <v>1</v>
      </c>
      <c r="BM48" s="52" t="n">
        <f aca="false">IF($E48="","",COUNTIF($E45:$E48,BJ$21)+COUNTIF($E45:$E48,$A$3))</f>
        <v>0</v>
      </c>
      <c r="BN48" s="53" t="n">
        <f aca="false">IF($F48="","",COUNTIF($F45:$F48,BJ$21)+COUNTIF($F45:$F48,$A$3))</f>
        <v>0</v>
      </c>
      <c r="BP48" s="65" t="n">
        <f aca="false">IF($B48="","",COUNTIF($B45:$B48,BP$21)+COUNTIF($B45:$B48,$A$3))</f>
        <v>0</v>
      </c>
      <c r="BQ48" s="52" t="n">
        <f aca="false">IF($C48="","",COUNTIF($C45:$C48,BP$21)+COUNTIF($C45:$C48,$A$3))</f>
        <v>0</v>
      </c>
      <c r="BR48" s="52" t="n">
        <f aca="false">IF($D48="","",COUNTIF($D45:$D48,BP$21)+COUNTIF($D45:$D48,$A$3))</f>
        <v>0</v>
      </c>
      <c r="BS48" s="52" t="n">
        <f aca="false">IF($E48="","",COUNTIF($E45:$E48,BP$21)+COUNTIF($E45:$E48,$A$3))</f>
        <v>1</v>
      </c>
      <c r="BT48" s="53" t="n">
        <f aca="false">IF($F48="","",COUNTIF($F45:$F48,BP$21)+COUNTIF($F45:$F48,$A$3))</f>
        <v>0</v>
      </c>
    </row>
    <row r="49" customFormat="false" ht="15" hidden="false" customHeight="false" outlineLevel="0" collapsed="false">
      <c r="A49" s="13" t="n">
        <v>27</v>
      </c>
      <c r="B49" s="116" t="str">
        <f aca="false">IF('Game Info'!J32="","",'Game Info'!J32)</f>
        <v>A</v>
      </c>
      <c r="C49" s="116" t="str">
        <f aca="false">IF('Game Info'!K32="","",'Game Info'!K32)</f>
        <v>SYM1</v>
      </c>
      <c r="D49" s="116" t="str">
        <f aca="false">IF('Game Info'!L32="","",'Game Info'!L32)</f>
        <v>K</v>
      </c>
      <c r="E49" s="116" t="str">
        <f aca="false">IF('Game Info'!M32="","",'Game Info'!M32)</f>
        <v>J</v>
      </c>
      <c r="F49" s="117" t="str">
        <f aca="false">IF('Game Info'!N32="","",'Game Info'!N32)</f>
        <v>SYM1</v>
      </c>
      <c r="H49" s="65" t="n">
        <f aca="false">IF($B49="","",COUNTIF($B46:$B49,H$21)+COUNTIF($B46:$B49,$A$3))</f>
        <v>0</v>
      </c>
      <c r="I49" s="52" t="n">
        <f aca="false">IF($C49="","",COUNTIF($C46:$C49,H$21)+COUNTIF($C46:$C49,$A$3))</f>
        <v>1</v>
      </c>
      <c r="J49" s="52" t="n">
        <f aca="false">IF($D49="","",COUNTIF($D46:$D49,H$21)+COUNTIF($D46:$D49,$A$3))</f>
        <v>1</v>
      </c>
      <c r="K49" s="52" t="n">
        <f aca="false">IF($E49="","",COUNTIF($E46:$E49,H$21)+COUNTIF($E46:$E49,$A$3))</f>
        <v>0</v>
      </c>
      <c r="L49" s="53" t="n">
        <f aca="false">IF($F49="","",COUNTIF($F46:$F49,H$21)+COUNTIF($F46:$F49,$A$3))</f>
        <v>3</v>
      </c>
      <c r="N49" s="65" t="n">
        <f aca="false">IF($B49="","",COUNTIF($B46:$B49,N$21)+COUNTIF($B46:$B49,$A$3))</f>
        <v>0</v>
      </c>
      <c r="O49" s="52" t="n">
        <f aca="false">IF($C49="","",COUNTIF($C46:$C49,N$21)+COUNTIF($C46:$C49,$A$3))</f>
        <v>0</v>
      </c>
      <c r="P49" s="52" t="n">
        <f aca="false">IF($D49="","",COUNTIF($D46:$D49,N$21)+COUNTIF($D46:$D49,$A$3))</f>
        <v>0</v>
      </c>
      <c r="Q49" s="52" t="n">
        <f aca="false">IF($E49="","",COUNTIF($E46:$E49,N$21)+COUNTIF($E46:$E49,$A$3))</f>
        <v>1</v>
      </c>
      <c r="R49" s="53" t="n">
        <f aca="false">IF($F49="","",COUNTIF($F46:$F49,N$21)+COUNTIF($F46:$F49,$A$3))</f>
        <v>0</v>
      </c>
      <c r="T49" s="65" t="n">
        <f aca="false">IF($B49="","",COUNTIF($B46:$B49,T$21)+COUNTIF($B46:$B49,$A$3))</f>
        <v>1</v>
      </c>
      <c r="U49" s="52" t="n">
        <f aca="false">IF($C49="","",COUNTIF($C46:$C49,T$21)+COUNTIF($C46:$C49,$A$3))</f>
        <v>0</v>
      </c>
      <c r="V49" s="52" t="n">
        <f aca="false">IF($D49="","",COUNTIF($D46:$D49,T$21)+COUNTIF($D46:$D49,$A$3))</f>
        <v>0</v>
      </c>
      <c r="W49" s="52" t="n">
        <f aca="false">IF($E49="","",COUNTIF($E46:$E49,T$21)+COUNTIF($E46:$E49,$A$3))</f>
        <v>0</v>
      </c>
      <c r="X49" s="53" t="n">
        <f aca="false">IF($F49="","",COUNTIF($F46:$F49,T$21)+COUNTIF($F46:$F49,$A$3))</f>
        <v>0</v>
      </c>
      <c r="Z49" s="65" t="n">
        <f aca="false">IF($B49="","",COUNTIF($B46:$B49,Z$21)+COUNTIF($B46:$B49,$A$3))</f>
        <v>0</v>
      </c>
      <c r="AA49" s="52" t="n">
        <f aca="false">IF($C49="","",COUNTIF($C46:$C49,Z$21)+COUNTIF($C46:$C49,$A$3))</f>
        <v>1</v>
      </c>
      <c r="AB49" s="52" t="n">
        <f aca="false">IF($D49="","",COUNTIF($D46:$D49,Z$21)+COUNTIF($D46:$D49,$A$3))</f>
        <v>0</v>
      </c>
      <c r="AC49" s="52" t="n">
        <f aca="false">IF($E49="","",COUNTIF($E46:$E49,Z$21)+COUNTIF($E46:$E49,$A$3))</f>
        <v>1</v>
      </c>
      <c r="AD49" s="53" t="n">
        <f aca="false">IF($F49="","",COUNTIF($F46:$F49,Z$21)+COUNTIF($F46:$F49,$A$3))</f>
        <v>0</v>
      </c>
      <c r="AF49" s="65" t="n">
        <f aca="false">IF($B49="","",COUNTIF($B46:$B49,AF$21)+COUNTIF($B46:$B49,$A$3))</f>
        <v>0</v>
      </c>
      <c r="AG49" s="52" t="n">
        <f aca="false">IF($C49="","",COUNTIF($C46:$C49,AF$21)+COUNTIF($C46:$C49,$A$3))</f>
        <v>0</v>
      </c>
      <c r="AH49" s="52" t="n">
        <f aca="false">IF($D49="","",COUNTIF($D46:$D49,AF$21)+COUNTIF($D46:$D49,$A$3))</f>
        <v>0</v>
      </c>
      <c r="AI49" s="52" t="n">
        <f aca="false">IF($E49="","",COUNTIF($E46:$E49,AF$21)+COUNTIF($E46:$E49,$A$3))</f>
        <v>0</v>
      </c>
      <c r="AJ49" s="53" t="n">
        <f aca="false">IF($F49="","",COUNTIF($F46:$F49,AF$21)+COUNTIF($F46:$F49,$A$3))</f>
        <v>0</v>
      </c>
      <c r="AL49" s="65" t="n">
        <f aca="false">IF($B49="","",COUNTIF($B46:$B49,AL$21)+COUNTIF($B46:$B49,$A$3))</f>
        <v>1</v>
      </c>
      <c r="AM49" s="52" t="n">
        <f aca="false">IF($C49="","",COUNTIF($C46:$C49,AL$21)+COUNTIF($C46:$C49,$A$3))</f>
        <v>0</v>
      </c>
      <c r="AN49" s="52" t="n">
        <f aca="false">IF($D49="","",COUNTIF($D46:$D49,AL$21)+COUNTIF($D46:$D49,$A$3))</f>
        <v>0</v>
      </c>
      <c r="AO49" s="52" t="n">
        <f aca="false">IF($E49="","",COUNTIF($E46:$E49,AL$21)+COUNTIF($E46:$E49,$A$3))</f>
        <v>0</v>
      </c>
      <c r="AP49" s="53" t="n">
        <f aca="false">IF($F49="","",COUNTIF($F46:$F49,AL$21)+COUNTIF($F46:$F49,$A$3))</f>
        <v>1</v>
      </c>
      <c r="AR49" s="65" t="n">
        <f aca="false">IF($B49="","",COUNTIF($B46:$B49,AR$21)+COUNTIF($B46:$B49,$A$3))</f>
        <v>0</v>
      </c>
      <c r="AS49" s="52" t="n">
        <f aca="false">IF($C49="","",COUNTIF($C46:$C49,AR$21)+COUNTIF($C46:$C49,$A$3))</f>
        <v>0</v>
      </c>
      <c r="AT49" s="52" t="n">
        <f aca="false">IF($D49="","",COUNTIF($D46:$D49,AR$21)+COUNTIF($D46:$D49,$A$3))</f>
        <v>1</v>
      </c>
      <c r="AU49" s="52" t="n">
        <f aca="false">IF($E49="","",COUNTIF($E46:$E49,AR$21)+COUNTIF($E46:$E49,$A$3))</f>
        <v>0</v>
      </c>
      <c r="AV49" s="53" t="n">
        <f aca="false">IF($F49="","",COUNTIF($F46:$F49,AR$21)+COUNTIF($F46:$F49,$A$3))</f>
        <v>0</v>
      </c>
      <c r="AX49" s="65" t="n">
        <f aca="false">IF($B49="","",COUNTIF($B46:$B49,AX$21)+COUNTIF($B46:$B49,$A$3))</f>
        <v>0</v>
      </c>
      <c r="AY49" s="52" t="n">
        <f aca="false">IF($C49="","",COUNTIF($C46:$C49,AX$21)+COUNTIF($C46:$C49,$A$3))</f>
        <v>1</v>
      </c>
      <c r="AZ49" s="52" t="n">
        <f aca="false">IF($D49="","",COUNTIF($D46:$D49,AX$21)+COUNTIF($D46:$D49,$A$3))</f>
        <v>1</v>
      </c>
      <c r="BA49" s="52" t="n">
        <f aca="false">IF($E49="","",COUNTIF($E46:$E49,AX$21)+COUNTIF($E46:$E49,$A$3))</f>
        <v>0</v>
      </c>
      <c r="BB49" s="53" t="n">
        <f aca="false">IF($F49="","",COUNTIF($F46:$F49,AX$21)+COUNTIF($F46:$F49,$A$3))</f>
        <v>0</v>
      </c>
      <c r="BD49" s="65" t="n">
        <f aca="false">IF($B49="","",COUNTIF($B46:$B49,BD$21)+COUNTIF($B46:$B49,$A$3))</f>
        <v>1</v>
      </c>
      <c r="BE49" s="52" t="n">
        <f aca="false">IF($C49="","",COUNTIF($C46:$C49,BD$21)+COUNTIF($C46:$C49,$A$3))</f>
        <v>1</v>
      </c>
      <c r="BF49" s="52" t="n">
        <f aca="false">IF($D49="","",COUNTIF($D46:$D49,BD$21)+COUNTIF($D46:$D49,$A$3))</f>
        <v>0</v>
      </c>
      <c r="BG49" s="52" t="n">
        <f aca="false">IF($E49="","",COUNTIF($E46:$E49,BD$21)+COUNTIF($E46:$E49,$A$3))</f>
        <v>1</v>
      </c>
      <c r="BH49" s="53" t="n">
        <f aca="false">IF($F49="","",COUNTIF($F46:$F49,BD$21)+COUNTIF($F46:$F49,$A$3))</f>
        <v>0</v>
      </c>
      <c r="BJ49" s="65" t="n">
        <f aca="false">IF($B49="","",COUNTIF($B46:$B49,BJ$21)+COUNTIF($B46:$B49,$A$3))</f>
        <v>1</v>
      </c>
      <c r="BK49" s="52" t="n">
        <f aca="false">IF($C49="","",COUNTIF($C46:$C49,BJ$21)+COUNTIF($C46:$C49,$A$3))</f>
        <v>0</v>
      </c>
      <c r="BL49" s="52" t="n">
        <f aca="false">IF($D49="","",COUNTIF($D46:$D49,BJ$21)+COUNTIF($D46:$D49,$A$3))</f>
        <v>1</v>
      </c>
      <c r="BM49" s="52" t="n">
        <f aca="false">IF($E49="","",COUNTIF($E46:$E49,BJ$21)+COUNTIF($E46:$E49,$A$3))</f>
        <v>0</v>
      </c>
      <c r="BN49" s="53" t="n">
        <f aca="false">IF($F49="","",COUNTIF($F46:$F49,BJ$21)+COUNTIF($F46:$F49,$A$3))</f>
        <v>0</v>
      </c>
      <c r="BP49" s="65" t="n">
        <f aca="false">IF($B49="","",COUNTIF($B46:$B49,BP$21)+COUNTIF($B46:$B49,$A$3))</f>
        <v>0</v>
      </c>
      <c r="BQ49" s="52" t="n">
        <f aca="false">IF($C49="","",COUNTIF($C46:$C49,BP$21)+COUNTIF($C46:$C49,$A$3))</f>
        <v>0</v>
      </c>
      <c r="BR49" s="52" t="n">
        <f aca="false">IF($D49="","",COUNTIF($D46:$D49,BP$21)+COUNTIF($D46:$D49,$A$3))</f>
        <v>0</v>
      </c>
      <c r="BS49" s="52" t="n">
        <f aca="false">IF($E49="","",COUNTIF($E46:$E49,BP$21)+COUNTIF($E46:$E49,$A$3))</f>
        <v>1</v>
      </c>
      <c r="BT49" s="53" t="n">
        <f aca="false">IF($F49="","",COUNTIF($F46:$F49,BP$21)+COUNTIF($F46:$F49,$A$3))</f>
        <v>0</v>
      </c>
    </row>
    <row r="50" customFormat="false" ht="15" hidden="false" customHeight="false" outlineLevel="0" collapsed="false">
      <c r="A50" s="13" t="n">
        <v>28</v>
      </c>
      <c r="B50" s="116" t="str">
        <f aca="false">IF('Game Info'!J33="","",'Game Info'!J33)</f>
        <v>SYM4</v>
      </c>
      <c r="C50" s="116" t="str">
        <f aca="false">IF('Game Info'!K33="","",'Game Info'!K33)</f>
        <v>K</v>
      </c>
      <c r="D50" s="116" t="str">
        <f aca="false">IF('Game Info'!L33="","",'Game Info'!L33)</f>
        <v>J</v>
      </c>
      <c r="E50" s="116" t="str">
        <f aca="false">IF('Game Info'!M33="","",'Game Info'!M33)</f>
        <v>A</v>
      </c>
      <c r="F50" s="117" t="n">
        <f aca="false">IF('Game Info'!N33="","",'Game Info'!N33)</f>
        <v>10</v>
      </c>
      <c r="H50" s="65" t="n">
        <f aca="false">IF($B50="","",COUNTIF($B47:$B50,H$21)+COUNTIF($B47:$B50,$A$3))</f>
        <v>0</v>
      </c>
      <c r="I50" s="52" t="n">
        <f aca="false">IF($C50="","",COUNTIF($C47:$C50,H$21)+COUNTIF($C47:$C50,$A$3))</f>
        <v>1</v>
      </c>
      <c r="J50" s="52" t="n">
        <f aca="false">IF($D50="","",COUNTIF($D47:$D50,H$21)+COUNTIF($D47:$D50,$A$3))</f>
        <v>1</v>
      </c>
      <c r="K50" s="52" t="n">
        <f aca="false">IF($E50="","",COUNTIF($E47:$E50,H$21)+COUNTIF($E47:$E50,$A$3))</f>
        <v>0</v>
      </c>
      <c r="L50" s="53" t="n">
        <f aca="false">IF($F50="","",COUNTIF($F47:$F50,H$21)+COUNTIF($F47:$F50,$A$3))</f>
        <v>3</v>
      </c>
      <c r="N50" s="65" t="n">
        <f aca="false">IF($B50="","",COUNTIF($B47:$B50,N$21)+COUNTIF($B47:$B50,$A$3))</f>
        <v>0</v>
      </c>
      <c r="O50" s="52" t="n">
        <f aca="false">IF($C50="","",COUNTIF($C47:$C50,N$21)+COUNTIF($C47:$C50,$A$3))</f>
        <v>0</v>
      </c>
      <c r="P50" s="52" t="n">
        <f aca="false">IF($D50="","",COUNTIF($D47:$D50,N$21)+COUNTIF($D47:$D50,$A$3))</f>
        <v>0</v>
      </c>
      <c r="Q50" s="52" t="n">
        <f aca="false">IF($E50="","",COUNTIF($E47:$E50,N$21)+COUNTIF($E47:$E50,$A$3))</f>
        <v>1</v>
      </c>
      <c r="R50" s="53" t="n">
        <f aca="false">IF($F50="","",COUNTIF($F47:$F50,N$21)+COUNTIF($F47:$F50,$A$3))</f>
        <v>0</v>
      </c>
      <c r="T50" s="65" t="n">
        <f aca="false">IF($B50="","",COUNTIF($B47:$B50,T$21)+COUNTIF($B47:$B50,$A$3))</f>
        <v>0</v>
      </c>
      <c r="U50" s="52" t="n">
        <f aca="false">IF($C50="","",COUNTIF($C47:$C50,T$21)+COUNTIF($C47:$C50,$A$3))</f>
        <v>0</v>
      </c>
      <c r="V50" s="52" t="n">
        <f aca="false">IF($D50="","",COUNTIF($D47:$D50,T$21)+COUNTIF($D47:$D50,$A$3))</f>
        <v>0</v>
      </c>
      <c r="W50" s="52" t="n">
        <f aca="false">IF($E50="","",COUNTIF($E47:$E50,T$21)+COUNTIF($E47:$E50,$A$3))</f>
        <v>0</v>
      </c>
      <c r="X50" s="53" t="n">
        <f aca="false">IF($F50="","",COUNTIF($F47:$F50,T$21)+COUNTIF($F47:$F50,$A$3))</f>
        <v>0</v>
      </c>
      <c r="Z50" s="65" t="n">
        <f aca="false">IF($B50="","",COUNTIF($B47:$B50,Z$21)+COUNTIF($B47:$B50,$A$3))</f>
        <v>1</v>
      </c>
      <c r="AA50" s="52" t="n">
        <f aca="false">IF($C50="","",COUNTIF($C47:$C50,Z$21)+COUNTIF($C47:$C50,$A$3))</f>
        <v>1</v>
      </c>
      <c r="AB50" s="52" t="n">
        <f aca="false">IF($D50="","",COUNTIF($D47:$D50,Z$21)+COUNTIF($D47:$D50,$A$3))</f>
        <v>0</v>
      </c>
      <c r="AC50" s="52" t="n">
        <f aca="false">IF($E50="","",COUNTIF($E47:$E50,Z$21)+COUNTIF($E47:$E50,$A$3))</f>
        <v>1</v>
      </c>
      <c r="AD50" s="53" t="n">
        <f aca="false">IF($F50="","",COUNTIF($F47:$F50,Z$21)+COUNTIF($F47:$F50,$A$3))</f>
        <v>0</v>
      </c>
      <c r="AF50" s="65" t="n">
        <f aca="false">IF($B50="","",COUNTIF($B47:$B50,AF$21)+COUNTIF($B47:$B50,$A$3))</f>
        <v>0</v>
      </c>
      <c r="AG50" s="52" t="n">
        <f aca="false">IF($C50="","",COUNTIF($C47:$C50,AF$21)+COUNTIF($C47:$C50,$A$3))</f>
        <v>0</v>
      </c>
      <c r="AH50" s="52" t="n">
        <f aca="false">IF($D50="","",COUNTIF($D47:$D50,AF$21)+COUNTIF($D47:$D50,$A$3))</f>
        <v>0</v>
      </c>
      <c r="AI50" s="52" t="n">
        <f aca="false">IF($E50="","",COUNTIF($E47:$E50,AF$21)+COUNTIF($E47:$E50,$A$3))</f>
        <v>0</v>
      </c>
      <c r="AJ50" s="53" t="n">
        <f aca="false">IF($F50="","",COUNTIF($F47:$F50,AF$21)+COUNTIF($F47:$F50,$A$3))</f>
        <v>0</v>
      </c>
      <c r="AL50" s="65" t="n">
        <f aca="false">IF($B50="","",COUNTIF($B47:$B50,AL$21)+COUNTIF($B47:$B50,$A$3))</f>
        <v>1</v>
      </c>
      <c r="AM50" s="52" t="n">
        <f aca="false">IF($C50="","",COUNTIF($C47:$C50,AL$21)+COUNTIF($C47:$C50,$A$3))</f>
        <v>0</v>
      </c>
      <c r="AN50" s="52" t="n">
        <f aca="false">IF($D50="","",COUNTIF($D47:$D50,AL$21)+COUNTIF($D47:$D50,$A$3))</f>
        <v>0</v>
      </c>
      <c r="AO50" s="52" t="n">
        <f aca="false">IF($E50="","",COUNTIF($E47:$E50,AL$21)+COUNTIF($E47:$E50,$A$3))</f>
        <v>1</v>
      </c>
      <c r="AP50" s="53" t="n">
        <f aca="false">IF($F50="","",COUNTIF($F47:$F50,AL$21)+COUNTIF($F47:$F50,$A$3))</f>
        <v>0</v>
      </c>
      <c r="AR50" s="65" t="n">
        <f aca="false">IF($B50="","",COUNTIF($B47:$B50,AR$21)+COUNTIF($B47:$B50,$A$3))</f>
        <v>0</v>
      </c>
      <c r="AS50" s="52" t="n">
        <f aca="false">IF($C50="","",COUNTIF($C47:$C50,AR$21)+COUNTIF($C47:$C50,$A$3))</f>
        <v>1</v>
      </c>
      <c r="AT50" s="52" t="n">
        <f aca="false">IF($D50="","",COUNTIF($D47:$D50,AR$21)+COUNTIF($D47:$D50,$A$3))</f>
        <v>1</v>
      </c>
      <c r="AU50" s="52" t="n">
        <f aca="false">IF($E50="","",COUNTIF($E47:$E50,AR$21)+COUNTIF($E47:$E50,$A$3))</f>
        <v>0</v>
      </c>
      <c r="AV50" s="53" t="n">
        <f aca="false">IF($F50="","",COUNTIF($F47:$F50,AR$21)+COUNTIF($F47:$F50,$A$3))</f>
        <v>0</v>
      </c>
      <c r="AX50" s="65" t="n">
        <f aca="false">IF($B50="","",COUNTIF($B47:$B50,AX$21)+COUNTIF($B47:$B50,$A$3))</f>
        <v>0</v>
      </c>
      <c r="AY50" s="52" t="n">
        <f aca="false">IF($C50="","",COUNTIF($C47:$C50,AX$21)+COUNTIF($C47:$C50,$A$3))</f>
        <v>0</v>
      </c>
      <c r="AZ50" s="52" t="n">
        <f aca="false">IF($D50="","",COUNTIF($D47:$D50,AX$21)+COUNTIF($D47:$D50,$A$3))</f>
        <v>1</v>
      </c>
      <c r="BA50" s="52" t="n">
        <f aca="false">IF($E50="","",COUNTIF($E47:$E50,AX$21)+COUNTIF($E47:$E50,$A$3))</f>
        <v>0</v>
      </c>
      <c r="BB50" s="53" t="n">
        <f aca="false">IF($F50="","",COUNTIF($F47:$F50,AX$21)+COUNTIF($F47:$F50,$A$3))</f>
        <v>0</v>
      </c>
      <c r="BD50" s="65" t="n">
        <f aca="false">IF($B50="","",COUNTIF($B47:$B50,BD$21)+COUNTIF($B47:$B50,$A$3))</f>
        <v>1</v>
      </c>
      <c r="BE50" s="52" t="n">
        <f aca="false">IF($C50="","",COUNTIF($C47:$C50,BD$21)+COUNTIF($C47:$C50,$A$3))</f>
        <v>1</v>
      </c>
      <c r="BF50" s="52" t="n">
        <f aca="false">IF($D50="","",COUNTIF($D47:$D50,BD$21)+COUNTIF($D47:$D50,$A$3))</f>
        <v>1</v>
      </c>
      <c r="BG50" s="52" t="n">
        <f aca="false">IF($E50="","",COUNTIF($E47:$E50,BD$21)+COUNTIF($E47:$E50,$A$3))</f>
        <v>1</v>
      </c>
      <c r="BH50" s="53" t="n">
        <f aca="false">IF($F50="","",COUNTIF($F47:$F50,BD$21)+COUNTIF($F47:$F50,$A$3))</f>
        <v>0</v>
      </c>
      <c r="BJ50" s="65" t="n">
        <f aca="false">IF($B50="","",COUNTIF($B47:$B50,BJ$21)+COUNTIF($B47:$B50,$A$3))</f>
        <v>1</v>
      </c>
      <c r="BK50" s="52" t="n">
        <f aca="false">IF($C50="","",COUNTIF($C47:$C50,BJ$21)+COUNTIF($C47:$C50,$A$3))</f>
        <v>0</v>
      </c>
      <c r="BL50" s="52" t="n">
        <f aca="false">IF($D50="","",COUNTIF($D47:$D50,BJ$21)+COUNTIF($D47:$D50,$A$3))</f>
        <v>0</v>
      </c>
      <c r="BM50" s="52" t="n">
        <f aca="false">IF($E50="","",COUNTIF($E47:$E50,BJ$21)+COUNTIF($E47:$E50,$A$3))</f>
        <v>0</v>
      </c>
      <c r="BN50" s="53" t="n">
        <f aca="false">IF($F50="","",COUNTIF($F47:$F50,BJ$21)+COUNTIF($F47:$F50,$A$3))</f>
        <v>1</v>
      </c>
      <c r="BP50" s="65" t="n">
        <f aca="false">IF($B50="","",COUNTIF($B47:$B50,BP$21)+COUNTIF($B47:$B50,$A$3))</f>
        <v>0</v>
      </c>
      <c r="BQ50" s="52" t="n">
        <f aca="false">IF($C50="","",COUNTIF($C47:$C50,BP$21)+COUNTIF($C47:$C50,$A$3))</f>
        <v>0</v>
      </c>
      <c r="BR50" s="52" t="n">
        <f aca="false">IF($D50="","",COUNTIF($D47:$D50,BP$21)+COUNTIF($D47:$D50,$A$3))</f>
        <v>0</v>
      </c>
      <c r="BS50" s="52" t="n">
        <f aca="false">IF($E50="","",COUNTIF($E47:$E50,BP$21)+COUNTIF($E47:$E50,$A$3))</f>
        <v>0</v>
      </c>
      <c r="BT50" s="53" t="n">
        <f aca="false">IF($F50="","",COUNTIF($F47:$F50,BP$21)+COUNTIF($F47:$F50,$A$3))</f>
        <v>0</v>
      </c>
    </row>
    <row r="51" customFormat="false" ht="15" hidden="false" customHeight="false" outlineLevel="0" collapsed="false">
      <c r="A51" s="13" t="n">
        <v>29</v>
      </c>
      <c r="B51" s="116" t="str">
        <f aca="false">IF('Game Info'!J34="","",'Game Info'!J34)</f>
        <v>SYM4</v>
      </c>
      <c r="C51" s="116" t="str">
        <f aca="false">IF('Game Info'!K34="","",'Game Info'!K34)</f>
        <v>SYM2</v>
      </c>
      <c r="D51" s="116" t="str">
        <f aca="false">IF('Game Info'!L34="","",'Game Info'!L34)</f>
        <v>SYM3</v>
      </c>
      <c r="E51" s="116" t="str">
        <f aca="false">IF('Game Info'!M34="","",'Game Info'!M34)</f>
        <v>SYM4</v>
      </c>
      <c r="F51" s="117" t="str">
        <f aca="false">IF('Game Info'!N34="","",'Game Info'!N34)</f>
        <v>SYM3</v>
      </c>
      <c r="H51" s="65" t="n">
        <f aca="false">IF($B51="","",COUNTIF($B48:$B51,H$21)+COUNTIF($B48:$B51,$A$3))</f>
        <v>0</v>
      </c>
      <c r="I51" s="52" t="n">
        <f aca="false">IF($C51="","",COUNTIF($C48:$C51,H$21)+COUNTIF($C48:$C51,$A$3))</f>
        <v>1</v>
      </c>
      <c r="J51" s="52" t="n">
        <f aca="false">IF($D51="","",COUNTIF($D48:$D51,H$21)+COUNTIF($D48:$D51,$A$3))</f>
        <v>1</v>
      </c>
      <c r="K51" s="52" t="n">
        <f aca="false">IF($E51="","",COUNTIF($E48:$E51,H$21)+COUNTIF($E48:$E51,$A$3))</f>
        <v>0</v>
      </c>
      <c r="L51" s="53" t="n">
        <f aca="false">IF($F51="","",COUNTIF($F48:$F51,H$21)+COUNTIF($F48:$F51,$A$3))</f>
        <v>2</v>
      </c>
      <c r="N51" s="65" t="n">
        <f aca="false">IF($B51="","",COUNTIF($B48:$B51,N$21)+COUNTIF($B48:$B51,$A$3))</f>
        <v>0</v>
      </c>
      <c r="O51" s="52" t="n">
        <f aca="false">IF($C51="","",COUNTIF($C48:$C51,N$21)+COUNTIF($C48:$C51,$A$3))</f>
        <v>1</v>
      </c>
      <c r="P51" s="52" t="n">
        <f aca="false">IF($D51="","",COUNTIF($D48:$D51,N$21)+COUNTIF($D48:$D51,$A$3))</f>
        <v>0</v>
      </c>
      <c r="Q51" s="52" t="n">
        <f aca="false">IF($E51="","",COUNTIF($E48:$E51,N$21)+COUNTIF($E48:$E51,$A$3))</f>
        <v>1</v>
      </c>
      <c r="R51" s="53" t="n">
        <f aca="false">IF($F51="","",COUNTIF($F48:$F51,N$21)+COUNTIF($F48:$F51,$A$3))</f>
        <v>0</v>
      </c>
      <c r="T51" s="65" t="n">
        <f aca="false">IF($B51="","",COUNTIF($B48:$B51,T$21)+COUNTIF($B48:$B51,$A$3))</f>
        <v>0</v>
      </c>
      <c r="U51" s="52" t="n">
        <f aca="false">IF($C51="","",COUNTIF($C48:$C51,T$21)+COUNTIF($C48:$C51,$A$3))</f>
        <v>0</v>
      </c>
      <c r="V51" s="52" t="n">
        <f aca="false">IF($D51="","",COUNTIF($D48:$D51,T$21)+COUNTIF($D48:$D51,$A$3))</f>
        <v>1</v>
      </c>
      <c r="W51" s="52" t="n">
        <f aca="false">IF($E51="","",COUNTIF($E48:$E51,T$21)+COUNTIF($E48:$E51,$A$3))</f>
        <v>0</v>
      </c>
      <c r="X51" s="53" t="n">
        <f aca="false">IF($F51="","",COUNTIF($F48:$F51,T$21)+COUNTIF($F48:$F51,$A$3))</f>
        <v>1</v>
      </c>
      <c r="Z51" s="65" t="n">
        <f aca="false">IF($B51="","",COUNTIF($B48:$B51,Z$21)+COUNTIF($B48:$B51,$A$3))</f>
        <v>2</v>
      </c>
      <c r="AA51" s="52" t="n">
        <f aca="false">IF($C51="","",COUNTIF($C48:$C51,Z$21)+COUNTIF($C48:$C51,$A$3))</f>
        <v>0</v>
      </c>
      <c r="AB51" s="52" t="n">
        <f aca="false">IF($D51="","",COUNTIF($D48:$D51,Z$21)+COUNTIF($D48:$D51,$A$3))</f>
        <v>0</v>
      </c>
      <c r="AC51" s="52" t="n">
        <f aca="false">IF($E51="","",COUNTIF($E48:$E51,Z$21)+COUNTIF($E48:$E51,$A$3))</f>
        <v>1</v>
      </c>
      <c r="AD51" s="53" t="n">
        <f aca="false">IF($F51="","",COUNTIF($F48:$F51,Z$21)+COUNTIF($F48:$F51,$A$3))</f>
        <v>0</v>
      </c>
      <c r="AF51" s="65" t="n">
        <f aca="false">IF($B51="","",COUNTIF($B48:$B51,AF$21)+COUNTIF($B48:$B51,$A$3))</f>
        <v>0</v>
      </c>
      <c r="AG51" s="52" t="n">
        <f aca="false">IF($C51="","",COUNTIF($C48:$C51,AF$21)+COUNTIF($C48:$C51,$A$3))</f>
        <v>0</v>
      </c>
      <c r="AH51" s="52" t="n">
        <f aca="false">IF($D51="","",COUNTIF($D48:$D51,AF$21)+COUNTIF($D48:$D51,$A$3))</f>
        <v>0</v>
      </c>
      <c r="AI51" s="52" t="n">
        <f aca="false">IF($E51="","",COUNTIF($E48:$E51,AF$21)+COUNTIF($E48:$E51,$A$3))</f>
        <v>0</v>
      </c>
      <c r="AJ51" s="53" t="n">
        <f aca="false">IF($F51="","",COUNTIF($F48:$F51,AF$21)+COUNTIF($F48:$F51,$A$3))</f>
        <v>0</v>
      </c>
      <c r="AL51" s="65" t="n">
        <f aca="false">IF($B51="","",COUNTIF($B48:$B51,AL$21)+COUNTIF($B48:$B51,$A$3))</f>
        <v>1</v>
      </c>
      <c r="AM51" s="52" t="n">
        <f aca="false">IF($C51="","",COUNTIF($C48:$C51,AL$21)+COUNTIF($C48:$C51,$A$3))</f>
        <v>0</v>
      </c>
      <c r="AN51" s="52" t="n">
        <f aca="false">IF($D51="","",COUNTIF($D48:$D51,AL$21)+COUNTIF($D48:$D51,$A$3))</f>
        <v>0</v>
      </c>
      <c r="AO51" s="52" t="n">
        <f aca="false">IF($E51="","",COUNTIF($E48:$E51,AL$21)+COUNTIF($E48:$E51,$A$3))</f>
        <v>1</v>
      </c>
      <c r="AP51" s="53" t="n">
        <f aca="false">IF($F51="","",COUNTIF($F48:$F51,AL$21)+COUNTIF($F48:$F51,$A$3))</f>
        <v>0</v>
      </c>
      <c r="AR51" s="65" t="n">
        <f aca="false">IF($B51="","",COUNTIF($B48:$B51,AR$21)+COUNTIF($B48:$B51,$A$3))</f>
        <v>0</v>
      </c>
      <c r="AS51" s="52" t="n">
        <f aca="false">IF($C51="","",COUNTIF($C48:$C51,AR$21)+COUNTIF($C48:$C51,$A$3))</f>
        <v>1</v>
      </c>
      <c r="AT51" s="52" t="n">
        <f aca="false">IF($D51="","",COUNTIF($D48:$D51,AR$21)+COUNTIF($D48:$D51,$A$3))</f>
        <v>1</v>
      </c>
      <c r="AU51" s="52" t="n">
        <f aca="false">IF($E51="","",COUNTIF($E48:$E51,AR$21)+COUNTIF($E48:$E51,$A$3))</f>
        <v>0</v>
      </c>
      <c r="AV51" s="53" t="n">
        <f aca="false">IF($F51="","",COUNTIF($F48:$F51,AR$21)+COUNTIF($F48:$F51,$A$3))</f>
        <v>0</v>
      </c>
      <c r="AX51" s="65" t="n">
        <f aca="false">IF($B51="","",COUNTIF($B48:$B51,AX$21)+COUNTIF($B48:$B51,$A$3))</f>
        <v>0</v>
      </c>
      <c r="AY51" s="52" t="n">
        <f aca="false">IF($C51="","",COUNTIF($C48:$C51,AX$21)+COUNTIF($C48:$C51,$A$3))</f>
        <v>0</v>
      </c>
      <c r="AZ51" s="52" t="n">
        <f aca="false">IF($D51="","",COUNTIF($D48:$D51,AX$21)+COUNTIF($D48:$D51,$A$3))</f>
        <v>0</v>
      </c>
      <c r="BA51" s="52" t="n">
        <f aca="false">IF($E51="","",COUNTIF($E48:$E51,AX$21)+COUNTIF($E48:$E51,$A$3))</f>
        <v>0</v>
      </c>
      <c r="BB51" s="53" t="n">
        <f aca="false">IF($F51="","",COUNTIF($F48:$F51,AX$21)+COUNTIF($F48:$F51,$A$3))</f>
        <v>0</v>
      </c>
      <c r="BD51" s="65" t="n">
        <f aca="false">IF($B51="","",COUNTIF($B48:$B51,BD$21)+COUNTIF($B48:$B51,$A$3))</f>
        <v>0</v>
      </c>
      <c r="BE51" s="52" t="n">
        <f aca="false">IF($C51="","",COUNTIF($C48:$C51,BD$21)+COUNTIF($C48:$C51,$A$3))</f>
        <v>1</v>
      </c>
      <c r="BF51" s="52" t="n">
        <f aca="false">IF($D51="","",COUNTIF($D48:$D51,BD$21)+COUNTIF($D48:$D51,$A$3))</f>
        <v>1</v>
      </c>
      <c r="BG51" s="52" t="n">
        <f aca="false">IF($E51="","",COUNTIF($E48:$E51,BD$21)+COUNTIF($E48:$E51,$A$3))</f>
        <v>1</v>
      </c>
      <c r="BH51" s="53" t="n">
        <f aca="false">IF($F51="","",COUNTIF($F48:$F51,BD$21)+COUNTIF($F48:$F51,$A$3))</f>
        <v>0</v>
      </c>
      <c r="BJ51" s="65" t="n">
        <f aca="false">IF($B51="","",COUNTIF($B48:$B51,BJ$21)+COUNTIF($B48:$B51,$A$3))</f>
        <v>1</v>
      </c>
      <c r="BK51" s="52" t="n">
        <f aca="false">IF($C51="","",COUNTIF($C48:$C51,BJ$21)+COUNTIF($C48:$C51,$A$3))</f>
        <v>0</v>
      </c>
      <c r="BL51" s="52" t="n">
        <f aca="false">IF($D51="","",COUNTIF($D48:$D51,BJ$21)+COUNTIF($D48:$D51,$A$3))</f>
        <v>0</v>
      </c>
      <c r="BM51" s="52" t="n">
        <f aca="false">IF($E51="","",COUNTIF($E48:$E51,BJ$21)+COUNTIF($E48:$E51,$A$3))</f>
        <v>0</v>
      </c>
      <c r="BN51" s="53" t="n">
        <f aca="false">IF($F51="","",COUNTIF($F48:$F51,BJ$21)+COUNTIF($F48:$F51,$A$3))</f>
        <v>1</v>
      </c>
      <c r="BP51" s="65" t="n">
        <f aca="false">IF($B51="","",COUNTIF($B48:$B51,BP$21)+COUNTIF($B48:$B51,$A$3))</f>
        <v>0</v>
      </c>
      <c r="BQ51" s="52" t="n">
        <f aca="false">IF($C51="","",COUNTIF($C48:$C51,BP$21)+COUNTIF($C48:$C51,$A$3))</f>
        <v>0</v>
      </c>
      <c r="BR51" s="52" t="n">
        <f aca="false">IF($D51="","",COUNTIF($D48:$D51,BP$21)+COUNTIF($D48:$D51,$A$3))</f>
        <v>0</v>
      </c>
      <c r="BS51" s="52" t="n">
        <f aca="false">IF($E51="","",COUNTIF($E48:$E51,BP$21)+COUNTIF($E48:$E51,$A$3))</f>
        <v>0</v>
      </c>
      <c r="BT51" s="53" t="n">
        <f aca="false">IF($F51="","",COUNTIF($F48:$F51,BP$21)+COUNTIF($F48:$F51,$A$3))</f>
        <v>0</v>
      </c>
    </row>
    <row r="52" customFormat="false" ht="15" hidden="false" customHeight="false" outlineLevel="0" collapsed="false">
      <c r="A52" s="13" t="n">
        <v>30</v>
      </c>
      <c r="B52" s="116" t="n">
        <f aca="false">IF('Game Info'!J35="","",'Game Info'!J35)</f>
        <v>9</v>
      </c>
      <c r="C52" s="116" t="str">
        <f aca="false">IF('Game Info'!K35="","",'Game Info'!K35)</f>
        <v>J</v>
      </c>
      <c r="D52" s="116" t="str">
        <f aca="false">IF('Game Info'!L35="","",'Game Info'!L35)</f>
        <v>SYM5</v>
      </c>
      <c r="E52" s="116" t="str">
        <f aca="false">IF('Game Info'!M35="","",'Game Info'!M35)</f>
        <v>Q</v>
      </c>
      <c r="F52" s="117" t="str">
        <f aca="false">IF('Game Info'!N35="","",'Game Info'!N35)</f>
        <v>Q</v>
      </c>
      <c r="H52" s="65" t="n">
        <f aca="false">IF($B52="","",COUNTIF($B49:$B52,H$21)+COUNTIF($B49:$B52,$A$3))</f>
        <v>0</v>
      </c>
      <c r="I52" s="52" t="n">
        <f aca="false">IF($C52="","",COUNTIF($C49:$C52,H$21)+COUNTIF($C49:$C52,$A$3))</f>
        <v>1</v>
      </c>
      <c r="J52" s="52" t="n">
        <f aca="false">IF($D52="","",COUNTIF($D49:$D52,H$21)+COUNTIF($D49:$D52,$A$3))</f>
        <v>0</v>
      </c>
      <c r="K52" s="52" t="n">
        <f aca="false">IF($E52="","",COUNTIF($E49:$E52,H$21)+COUNTIF($E49:$E52,$A$3))</f>
        <v>0</v>
      </c>
      <c r="L52" s="53" t="n">
        <f aca="false">IF($F52="","",COUNTIF($F49:$F52,H$21)+COUNTIF($F49:$F52,$A$3))</f>
        <v>1</v>
      </c>
      <c r="N52" s="65" t="n">
        <f aca="false">IF($B52="","",COUNTIF($B49:$B52,N$21)+COUNTIF($B49:$B52,$A$3))</f>
        <v>0</v>
      </c>
      <c r="O52" s="52" t="n">
        <f aca="false">IF($C52="","",COUNTIF($C49:$C52,N$21)+COUNTIF($C49:$C52,$A$3))</f>
        <v>1</v>
      </c>
      <c r="P52" s="52" t="n">
        <f aca="false">IF($D52="","",COUNTIF($D49:$D52,N$21)+COUNTIF($D49:$D52,$A$3))</f>
        <v>0</v>
      </c>
      <c r="Q52" s="52" t="n">
        <f aca="false">IF($E52="","",COUNTIF($E49:$E52,N$21)+COUNTIF($E49:$E52,$A$3))</f>
        <v>0</v>
      </c>
      <c r="R52" s="53" t="n">
        <f aca="false">IF($F52="","",COUNTIF($F49:$F52,N$21)+COUNTIF($F49:$F52,$A$3))</f>
        <v>0</v>
      </c>
      <c r="T52" s="65" t="n">
        <f aca="false">IF($B52="","",COUNTIF($B49:$B52,T$21)+COUNTIF($B49:$B52,$A$3))</f>
        <v>0</v>
      </c>
      <c r="U52" s="52" t="n">
        <f aca="false">IF($C52="","",COUNTIF($C49:$C52,T$21)+COUNTIF($C49:$C52,$A$3))</f>
        <v>0</v>
      </c>
      <c r="V52" s="52" t="n">
        <f aca="false">IF($D52="","",COUNTIF($D49:$D52,T$21)+COUNTIF($D49:$D52,$A$3))</f>
        <v>1</v>
      </c>
      <c r="W52" s="52" t="n">
        <f aca="false">IF($E52="","",COUNTIF($E49:$E52,T$21)+COUNTIF($E49:$E52,$A$3))</f>
        <v>0</v>
      </c>
      <c r="X52" s="53" t="n">
        <f aca="false">IF($F52="","",COUNTIF($F49:$F52,T$21)+COUNTIF($F49:$F52,$A$3))</f>
        <v>1</v>
      </c>
      <c r="Z52" s="65" t="n">
        <f aca="false">IF($B52="","",COUNTIF($B49:$B52,Z$21)+COUNTIF($B49:$B52,$A$3))</f>
        <v>2</v>
      </c>
      <c r="AA52" s="52" t="n">
        <f aca="false">IF($C52="","",COUNTIF($C49:$C52,Z$21)+COUNTIF($C49:$C52,$A$3))</f>
        <v>0</v>
      </c>
      <c r="AB52" s="52" t="n">
        <f aca="false">IF($D52="","",COUNTIF($D49:$D52,Z$21)+COUNTIF($D49:$D52,$A$3))</f>
        <v>0</v>
      </c>
      <c r="AC52" s="52" t="n">
        <f aca="false">IF($E52="","",COUNTIF($E49:$E52,Z$21)+COUNTIF($E49:$E52,$A$3))</f>
        <v>1</v>
      </c>
      <c r="AD52" s="53" t="n">
        <f aca="false">IF($F52="","",COUNTIF($F49:$F52,Z$21)+COUNTIF($F49:$F52,$A$3))</f>
        <v>0</v>
      </c>
      <c r="AF52" s="65" t="n">
        <f aca="false">IF($B52="","",COUNTIF($B49:$B52,AF$21)+COUNTIF($B49:$B52,$A$3))</f>
        <v>0</v>
      </c>
      <c r="AG52" s="52" t="n">
        <f aca="false">IF($C52="","",COUNTIF($C49:$C52,AF$21)+COUNTIF($C49:$C52,$A$3))</f>
        <v>0</v>
      </c>
      <c r="AH52" s="52" t="n">
        <f aca="false">IF($D52="","",COUNTIF($D49:$D52,AF$21)+COUNTIF($D49:$D52,$A$3))</f>
        <v>1</v>
      </c>
      <c r="AI52" s="52" t="n">
        <f aca="false">IF($E52="","",COUNTIF($E49:$E52,AF$21)+COUNTIF($E49:$E52,$A$3))</f>
        <v>0</v>
      </c>
      <c r="AJ52" s="53" t="n">
        <f aca="false">IF($F52="","",COUNTIF($F49:$F52,AF$21)+COUNTIF($F49:$F52,$A$3))</f>
        <v>0</v>
      </c>
      <c r="AL52" s="65" t="n">
        <f aca="false">IF($B52="","",COUNTIF($B49:$B52,AL$21)+COUNTIF($B49:$B52,$A$3))</f>
        <v>1</v>
      </c>
      <c r="AM52" s="52" t="n">
        <f aca="false">IF($C52="","",COUNTIF($C49:$C52,AL$21)+COUNTIF($C49:$C52,$A$3))</f>
        <v>0</v>
      </c>
      <c r="AN52" s="52" t="n">
        <f aca="false">IF($D52="","",COUNTIF($D49:$D52,AL$21)+COUNTIF($D49:$D52,$A$3))</f>
        <v>0</v>
      </c>
      <c r="AO52" s="52" t="n">
        <f aca="false">IF($E52="","",COUNTIF($E49:$E52,AL$21)+COUNTIF($E49:$E52,$A$3))</f>
        <v>1</v>
      </c>
      <c r="AP52" s="53" t="n">
        <f aca="false">IF($F52="","",COUNTIF($F49:$F52,AL$21)+COUNTIF($F49:$F52,$A$3))</f>
        <v>0</v>
      </c>
      <c r="AR52" s="65" t="n">
        <f aca="false">IF($B52="","",COUNTIF($B49:$B52,AR$21)+COUNTIF($B49:$B52,$A$3))</f>
        <v>0</v>
      </c>
      <c r="AS52" s="52" t="n">
        <f aca="false">IF($C52="","",COUNTIF($C49:$C52,AR$21)+COUNTIF($C49:$C52,$A$3))</f>
        <v>1</v>
      </c>
      <c r="AT52" s="52" t="n">
        <f aca="false">IF($D52="","",COUNTIF($D49:$D52,AR$21)+COUNTIF($D49:$D52,$A$3))</f>
        <v>1</v>
      </c>
      <c r="AU52" s="52" t="n">
        <f aca="false">IF($E52="","",COUNTIF($E49:$E52,AR$21)+COUNTIF($E49:$E52,$A$3))</f>
        <v>0</v>
      </c>
      <c r="AV52" s="53" t="n">
        <f aca="false">IF($F52="","",COUNTIF($F49:$F52,AR$21)+COUNTIF($F49:$F52,$A$3))</f>
        <v>0</v>
      </c>
      <c r="AX52" s="65" t="n">
        <f aca="false">IF($B52="","",COUNTIF($B49:$B52,AX$21)+COUNTIF($B49:$B52,$A$3))</f>
        <v>0</v>
      </c>
      <c r="AY52" s="52" t="n">
        <f aca="false">IF($C52="","",COUNTIF($C49:$C52,AX$21)+COUNTIF($C49:$C52,$A$3))</f>
        <v>0</v>
      </c>
      <c r="AZ52" s="52" t="n">
        <f aca="false">IF($D52="","",COUNTIF($D49:$D52,AX$21)+COUNTIF($D49:$D52,$A$3))</f>
        <v>0</v>
      </c>
      <c r="BA52" s="52" t="n">
        <f aca="false">IF($E52="","",COUNTIF($E49:$E52,AX$21)+COUNTIF($E49:$E52,$A$3))</f>
        <v>1</v>
      </c>
      <c r="BB52" s="53" t="n">
        <f aca="false">IF($F52="","",COUNTIF($F49:$F52,AX$21)+COUNTIF($F49:$F52,$A$3))</f>
        <v>1</v>
      </c>
      <c r="BD52" s="65" t="n">
        <f aca="false">IF($B52="","",COUNTIF($B49:$B52,BD$21)+COUNTIF($B49:$B52,$A$3))</f>
        <v>0</v>
      </c>
      <c r="BE52" s="52" t="n">
        <f aca="false">IF($C52="","",COUNTIF($C49:$C52,BD$21)+COUNTIF($C49:$C52,$A$3))</f>
        <v>1</v>
      </c>
      <c r="BF52" s="52" t="n">
        <f aca="false">IF($D52="","",COUNTIF($D49:$D52,BD$21)+COUNTIF($D49:$D52,$A$3))</f>
        <v>1</v>
      </c>
      <c r="BG52" s="52" t="n">
        <f aca="false">IF($E52="","",COUNTIF($E49:$E52,BD$21)+COUNTIF($E49:$E52,$A$3))</f>
        <v>1</v>
      </c>
      <c r="BH52" s="53" t="n">
        <f aca="false">IF($F52="","",COUNTIF($F49:$F52,BD$21)+COUNTIF($F49:$F52,$A$3))</f>
        <v>0</v>
      </c>
      <c r="BJ52" s="65" t="n">
        <f aca="false">IF($B52="","",COUNTIF($B49:$B52,BJ$21)+COUNTIF($B49:$B52,$A$3))</f>
        <v>0</v>
      </c>
      <c r="BK52" s="52" t="n">
        <f aca="false">IF($C52="","",COUNTIF($C49:$C52,BJ$21)+COUNTIF($C49:$C52,$A$3))</f>
        <v>0</v>
      </c>
      <c r="BL52" s="52" t="n">
        <f aca="false">IF($D52="","",COUNTIF($D49:$D52,BJ$21)+COUNTIF($D49:$D52,$A$3))</f>
        <v>0</v>
      </c>
      <c r="BM52" s="52" t="n">
        <f aca="false">IF($E52="","",COUNTIF($E49:$E52,BJ$21)+COUNTIF($E49:$E52,$A$3))</f>
        <v>0</v>
      </c>
      <c r="BN52" s="53" t="n">
        <f aca="false">IF($F52="","",COUNTIF($F49:$F52,BJ$21)+COUNTIF($F49:$F52,$A$3))</f>
        <v>1</v>
      </c>
      <c r="BP52" s="65" t="n">
        <f aca="false">IF($B52="","",COUNTIF($B49:$B52,BP$21)+COUNTIF($B49:$B52,$A$3))</f>
        <v>1</v>
      </c>
      <c r="BQ52" s="52" t="n">
        <f aca="false">IF($C52="","",COUNTIF($C49:$C52,BP$21)+COUNTIF($C49:$C52,$A$3))</f>
        <v>0</v>
      </c>
      <c r="BR52" s="52" t="n">
        <f aca="false">IF($D52="","",COUNTIF($D49:$D52,BP$21)+COUNTIF($D49:$D52,$A$3))</f>
        <v>0</v>
      </c>
      <c r="BS52" s="52" t="n">
        <f aca="false">IF($E52="","",COUNTIF($E49:$E52,BP$21)+COUNTIF($E49:$E52,$A$3))</f>
        <v>0</v>
      </c>
      <c r="BT52" s="53" t="n">
        <f aca="false">IF($F52="","",COUNTIF($F49:$F52,BP$21)+COUNTIF($F49:$F52,$A$3))</f>
        <v>0</v>
      </c>
    </row>
    <row r="53" customFormat="false" ht="15" hidden="false" customHeight="false" outlineLevel="0" collapsed="false">
      <c r="A53" s="13" t="n">
        <v>31</v>
      </c>
      <c r="B53" s="116" t="str">
        <f aca="false">IF('Game Info'!J36="","",'Game Info'!J36)</f>
        <v>SYM2</v>
      </c>
      <c r="C53" s="116" t="str">
        <f aca="false">IF('Game Info'!K36="","",'Game Info'!K36)</f>
        <v>SYM5</v>
      </c>
      <c r="D53" s="116" t="str">
        <f aca="false">IF('Game Info'!L36="","",'Game Info'!L36)</f>
        <v>Q</v>
      </c>
      <c r="E53" s="116" t="str">
        <f aca="false">IF('Game Info'!M36="","",'Game Info'!M36)</f>
        <v>SYM2</v>
      </c>
      <c r="F53" s="117" t="str">
        <f aca="false">IF('Game Info'!N36="","",'Game Info'!N36)</f>
        <v>K</v>
      </c>
      <c r="H53" s="65" t="n">
        <f aca="false">IF($B53="","",COUNTIF($B50:$B53,H$21)+COUNTIF($B50:$B53,$A$3))</f>
        <v>0</v>
      </c>
      <c r="I53" s="52" t="n">
        <f aca="false">IF($C53="","",COUNTIF($C50:$C53,H$21)+COUNTIF($C50:$C53,$A$3))</f>
        <v>0</v>
      </c>
      <c r="J53" s="52" t="n">
        <f aca="false">IF($D53="","",COUNTIF($D50:$D53,H$21)+COUNTIF($D50:$D53,$A$3))</f>
        <v>0</v>
      </c>
      <c r="K53" s="52" t="n">
        <f aca="false">IF($E53="","",COUNTIF($E50:$E53,H$21)+COUNTIF($E50:$E53,$A$3))</f>
        <v>0</v>
      </c>
      <c r="L53" s="53" t="n">
        <f aca="false">IF($F53="","",COUNTIF($F50:$F53,H$21)+COUNTIF($F50:$F53,$A$3))</f>
        <v>0</v>
      </c>
      <c r="N53" s="65" t="n">
        <f aca="false">IF($B53="","",COUNTIF($B50:$B53,N$21)+COUNTIF($B50:$B53,$A$3))</f>
        <v>1</v>
      </c>
      <c r="O53" s="52" t="n">
        <f aca="false">IF($C53="","",COUNTIF($C50:$C53,N$21)+COUNTIF($C50:$C53,$A$3))</f>
        <v>1</v>
      </c>
      <c r="P53" s="52" t="n">
        <f aca="false">IF($D53="","",COUNTIF($D50:$D53,N$21)+COUNTIF($D50:$D53,$A$3))</f>
        <v>0</v>
      </c>
      <c r="Q53" s="52" t="n">
        <f aca="false">IF($E53="","",COUNTIF($E50:$E53,N$21)+COUNTIF($E50:$E53,$A$3))</f>
        <v>1</v>
      </c>
      <c r="R53" s="53" t="n">
        <f aca="false">IF($F53="","",COUNTIF($F50:$F53,N$21)+COUNTIF($F50:$F53,$A$3))</f>
        <v>0</v>
      </c>
      <c r="T53" s="65" t="n">
        <f aca="false">IF($B53="","",COUNTIF($B50:$B53,T$21)+COUNTIF($B50:$B53,$A$3))</f>
        <v>0</v>
      </c>
      <c r="U53" s="52" t="n">
        <f aca="false">IF($C53="","",COUNTIF($C50:$C53,T$21)+COUNTIF($C50:$C53,$A$3))</f>
        <v>0</v>
      </c>
      <c r="V53" s="52" t="n">
        <f aca="false">IF($D53="","",COUNTIF($D50:$D53,T$21)+COUNTIF($D50:$D53,$A$3))</f>
        <v>1</v>
      </c>
      <c r="W53" s="52" t="n">
        <f aca="false">IF($E53="","",COUNTIF($E50:$E53,T$21)+COUNTIF($E50:$E53,$A$3))</f>
        <v>0</v>
      </c>
      <c r="X53" s="53" t="n">
        <f aca="false">IF($F53="","",COUNTIF($F50:$F53,T$21)+COUNTIF($F50:$F53,$A$3))</f>
        <v>1</v>
      </c>
      <c r="Z53" s="65" t="n">
        <f aca="false">IF($B53="","",COUNTIF($B50:$B53,Z$21)+COUNTIF($B50:$B53,$A$3))</f>
        <v>2</v>
      </c>
      <c r="AA53" s="52" t="n">
        <f aca="false">IF($C53="","",COUNTIF($C50:$C53,Z$21)+COUNTIF($C50:$C53,$A$3))</f>
        <v>0</v>
      </c>
      <c r="AB53" s="52" t="n">
        <f aca="false">IF($D53="","",COUNTIF($D50:$D53,Z$21)+COUNTIF($D50:$D53,$A$3))</f>
        <v>0</v>
      </c>
      <c r="AC53" s="52" t="n">
        <f aca="false">IF($E53="","",COUNTIF($E50:$E53,Z$21)+COUNTIF($E50:$E53,$A$3))</f>
        <v>1</v>
      </c>
      <c r="AD53" s="53" t="n">
        <f aca="false">IF($F53="","",COUNTIF($F50:$F53,Z$21)+COUNTIF($F50:$F53,$A$3))</f>
        <v>0</v>
      </c>
      <c r="AF53" s="65" t="n">
        <f aca="false">IF($B53="","",COUNTIF($B50:$B53,AF$21)+COUNTIF($B50:$B53,$A$3))</f>
        <v>0</v>
      </c>
      <c r="AG53" s="52" t="n">
        <f aca="false">IF($C53="","",COUNTIF($C50:$C53,AF$21)+COUNTIF($C50:$C53,$A$3))</f>
        <v>1</v>
      </c>
      <c r="AH53" s="52" t="n">
        <f aca="false">IF($D53="","",COUNTIF($D50:$D53,AF$21)+COUNTIF($D50:$D53,$A$3))</f>
        <v>1</v>
      </c>
      <c r="AI53" s="52" t="n">
        <f aca="false">IF($E53="","",COUNTIF($E50:$E53,AF$21)+COUNTIF($E50:$E53,$A$3))</f>
        <v>0</v>
      </c>
      <c r="AJ53" s="53" t="n">
        <f aca="false">IF($F53="","",COUNTIF($F50:$F53,AF$21)+COUNTIF($F50:$F53,$A$3))</f>
        <v>0</v>
      </c>
      <c r="AL53" s="65" t="n">
        <f aca="false">IF($B53="","",COUNTIF($B50:$B53,AL$21)+COUNTIF($B50:$B53,$A$3))</f>
        <v>0</v>
      </c>
      <c r="AM53" s="52" t="n">
        <f aca="false">IF($C53="","",COUNTIF($C50:$C53,AL$21)+COUNTIF($C50:$C53,$A$3))</f>
        <v>0</v>
      </c>
      <c r="AN53" s="52" t="n">
        <f aca="false">IF($D53="","",COUNTIF($D50:$D53,AL$21)+COUNTIF($D50:$D53,$A$3))</f>
        <v>0</v>
      </c>
      <c r="AO53" s="52" t="n">
        <f aca="false">IF($E53="","",COUNTIF($E50:$E53,AL$21)+COUNTIF($E50:$E53,$A$3))</f>
        <v>1</v>
      </c>
      <c r="AP53" s="53" t="n">
        <f aca="false">IF($F53="","",COUNTIF($F50:$F53,AL$21)+COUNTIF($F50:$F53,$A$3))</f>
        <v>0</v>
      </c>
      <c r="AR53" s="65" t="n">
        <f aca="false">IF($B53="","",COUNTIF($B50:$B53,AR$21)+COUNTIF($B50:$B53,$A$3))</f>
        <v>0</v>
      </c>
      <c r="AS53" s="52" t="n">
        <f aca="false">IF($C53="","",COUNTIF($C50:$C53,AR$21)+COUNTIF($C50:$C53,$A$3))</f>
        <v>1</v>
      </c>
      <c r="AT53" s="52" t="n">
        <f aca="false">IF($D53="","",COUNTIF($D50:$D53,AR$21)+COUNTIF($D50:$D53,$A$3))</f>
        <v>0</v>
      </c>
      <c r="AU53" s="52" t="n">
        <f aca="false">IF($E53="","",COUNTIF($E50:$E53,AR$21)+COUNTIF($E50:$E53,$A$3))</f>
        <v>0</v>
      </c>
      <c r="AV53" s="53" t="n">
        <f aca="false">IF($F53="","",COUNTIF($F50:$F53,AR$21)+COUNTIF($F50:$F53,$A$3))</f>
        <v>1</v>
      </c>
      <c r="AX53" s="65" t="n">
        <f aca="false">IF($B53="","",COUNTIF($B50:$B53,AX$21)+COUNTIF($B50:$B53,$A$3))</f>
        <v>0</v>
      </c>
      <c r="AY53" s="52" t="n">
        <f aca="false">IF($C53="","",COUNTIF($C50:$C53,AX$21)+COUNTIF($C50:$C53,$A$3))</f>
        <v>0</v>
      </c>
      <c r="AZ53" s="52" t="n">
        <f aca="false">IF($D53="","",COUNTIF($D50:$D53,AX$21)+COUNTIF($D50:$D53,$A$3))</f>
        <v>1</v>
      </c>
      <c r="BA53" s="52" t="n">
        <f aca="false">IF($E53="","",COUNTIF($E50:$E53,AX$21)+COUNTIF($E50:$E53,$A$3))</f>
        <v>1</v>
      </c>
      <c r="BB53" s="53" t="n">
        <f aca="false">IF($F53="","",COUNTIF($F50:$F53,AX$21)+COUNTIF($F50:$F53,$A$3))</f>
        <v>1</v>
      </c>
      <c r="BD53" s="65" t="n">
        <f aca="false">IF($B53="","",COUNTIF($B50:$B53,BD$21)+COUNTIF($B50:$B53,$A$3))</f>
        <v>0</v>
      </c>
      <c r="BE53" s="52" t="n">
        <f aca="false">IF($C53="","",COUNTIF($C50:$C53,BD$21)+COUNTIF($C50:$C53,$A$3))</f>
        <v>1</v>
      </c>
      <c r="BF53" s="52" t="n">
        <f aca="false">IF($D53="","",COUNTIF($D50:$D53,BD$21)+COUNTIF($D50:$D53,$A$3))</f>
        <v>1</v>
      </c>
      <c r="BG53" s="52" t="n">
        <f aca="false">IF($E53="","",COUNTIF($E50:$E53,BD$21)+COUNTIF($E50:$E53,$A$3))</f>
        <v>0</v>
      </c>
      <c r="BH53" s="53" t="n">
        <f aca="false">IF($F53="","",COUNTIF($F50:$F53,BD$21)+COUNTIF($F50:$F53,$A$3))</f>
        <v>0</v>
      </c>
      <c r="BJ53" s="65" t="n">
        <f aca="false">IF($B53="","",COUNTIF($B50:$B53,BJ$21)+COUNTIF($B50:$B53,$A$3))</f>
        <v>0</v>
      </c>
      <c r="BK53" s="52" t="n">
        <f aca="false">IF($C53="","",COUNTIF($C50:$C53,BJ$21)+COUNTIF($C50:$C53,$A$3))</f>
        <v>0</v>
      </c>
      <c r="BL53" s="52" t="n">
        <f aca="false">IF($D53="","",COUNTIF($D50:$D53,BJ$21)+COUNTIF($D50:$D53,$A$3))</f>
        <v>0</v>
      </c>
      <c r="BM53" s="52" t="n">
        <f aca="false">IF($E53="","",COUNTIF($E50:$E53,BJ$21)+COUNTIF($E50:$E53,$A$3))</f>
        <v>0</v>
      </c>
      <c r="BN53" s="53" t="n">
        <f aca="false">IF($F53="","",COUNTIF($F50:$F53,BJ$21)+COUNTIF($F50:$F53,$A$3))</f>
        <v>1</v>
      </c>
      <c r="BP53" s="65" t="n">
        <f aca="false">IF($B53="","",COUNTIF($B50:$B53,BP$21)+COUNTIF($B50:$B53,$A$3))</f>
        <v>1</v>
      </c>
      <c r="BQ53" s="52" t="n">
        <f aca="false">IF($C53="","",COUNTIF($C50:$C53,BP$21)+COUNTIF($C50:$C53,$A$3))</f>
        <v>0</v>
      </c>
      <c r="BR53" s="52" t="n">
        <f aca="false">IF($D53="","",COUNTIF($D50:$D53,BP$21)+COUNTIF($D50:$D53,$A$3))</f>
        <v>0</v>
      </c>
      <c r="BS53" s="52" t="n">
        <f aca="false">IF($E53="","",COUNTIF($E50:$E53,BP$21)+COUNTIF($E50:$E53,$A$3))</f>
        <v>0</v>
      </c>
      <c r="BT53" s="53" t="n">
        <f aca="false">IF($F53="","",COUNTIF($F50:$F53,BP$21)+COUNTIF($F50:$F53,$A$3))</f>
        <v>0</v>
      </c>
    </row>
    <row r="54" customFormat="false" ht="15" hidden="false" customHeight="false" outlineLevel="0" collapsed="false">
      <c r="A54" s="13" t="n">
        <v>32</v>
      </c>
      <c r="B54" s="116" t="str">
        <f aca="false">IF('Game Info'!J37="","",'Game Info'!J37)</f>
        <v>A</v>
      </c>
      <c r="C54" s="116" t="str">
        <f aca="false">IF('Game Info'!K37="","",'Game Info'!K37)</f>
        <v>K</v>
      </c>
      <c r="D54" s="116" t="str">
        <f aca="false">IF('Game Info'!L37="","",'Game Info'!L37)</f>
        <v>A</v>
      </c>
      <c r="E54" s="116" t="n">
        <f aca="false">IF('Game Info'!M37="","",'Game Info'!M37)</f>
        <v>10</v>
      </c>
      <c r="F54" s="117" t="str">
        <f aca="false">IF('Game Info'!N37="","",'Game Info'!N37)</f>
        <v>SYM3</v>
      </c>
      <c r="H54" s="65" t="n">
        <f aca="false">IF($B54="","",COUNTIF($B51:$B54,H$21)+COUNTIF($B51:$B54,$A$3))</f>
        <v>0</v>
      </c>
      <c r="I54" s="52" t="n">
        <f aca="false">IF($C54="","",COUNTIF($C51:$C54,H$21)+COUNTIF($C51:$C54,$A$3))</f>
        <v>0</v>
      </c>
      <c r="J54" s="52" t="n">
        <f aca="false">IF($D54="","",COUNTIF($D51:$D54,H$21)+COUNTIF($D51:$D54,$A$3))</f>
        <v>0</v>
      </c>
      <c r="K54" s="52" t="n">
        <f aca="false">IF($E54="","",COUNTIF($E51:$E54,H$21)+COUNTIF($E51:$E54,$A$3))</f>
        <v>0</v>
      </c>
      <c r="L54" s="53" t="n">
        <f aca="false">IF($F54="","",COUNTIF($F51:$F54,H$21)+COUNTIF($F51:$F54,$A$3))</f>
        <v>0</v>
      </c>
      <c r="N54" s="65" t="n">
        <f aca="false">IF($B54="","",COUNTIF($B51:$B54,N$21)+COUNTIF($B51:$B54,$A$3))</f>
        <v>1</v>
      </c>
      <c r="O54" s="52" t="n">
        <f aca="false">IF($C54="","",COUNTIF($C51:$C54,N$21)+COUNTIF($C51:$C54,$A$3))</f>
        <v>1</v>
      </c>
      <c r="P54" s="52" t="n">
        <f aca="false">IF($D54="","",COUNTIF($D51:$D54,N$21)+COUNTIF($D51:$D54,$A$3))</f>
        <v>0</v>
      </c>
      <c r="Q54" s="52" t="n">
        <f aca="false">IF($E54="","",COUNTIF($E51:$E54,N$21)+COUNTIF($E51:$E54,$A$3))</f>
        <v>1</v>
      </c>
      <c r="R54" s="53" t="n">
        <f aca="false">IF($F54="","",COUNTIF($F51:$F54,N$21)+COUNTIF($F51:$F54,$A$3))</f>
        <v>0</v>
      </c>
      <c r="T54" s="65" t="n">
        <f aca="false">IF($B54="","",COUNTIF($B51:$B54,T$21)+COUNTIF($B51:$B54,$A$3))</f>
        <v>0</v>
      </c>
      <c r="U54" s="52" t="n">
        <f aca="false">IF($C54="","",COUNTIF($C51:$C54,T$21)+COUNTIF($C51:$C54,$A$3))</f>
        <v>0</v>
      </c>
      <c r="V54" s="52" t="n">
        <f aca="false">IF($D54="","",COUNTIF($D51:$D54,T$21)+COUNTIF($D51:$D54,$A$3))</f>
        <v>1</v>
      </c>
      <c r="W54" s="52" t="n">
        <f aca="false">IF($E54="","",COUNTIF($E51:$E54,T$21)+COUNTIF($E51:$E54,$A$3))</f>
        <v>0</v>
      </c>
      <c r="X54" s="53" t="n">
        <f aca="false">IF($F54="","",COUNTIF($F51:$F54,T$21)+COUNTIF($F51:$F54,$A$3))</f>
        <v>2</v>
      </c>
      <c r="Z54" s="65" t="n">
        <f aca="false">IF($B54="","",COUNTIF($B51:$B54,Z$21)+COUNTIF($B51:$B54,$A$3))</f>
        <v>1</v>
      </c>
      <c r="AA54" s="52" t="n">
        <f aca="false">IF($C54="","",COUNTIF($C51:$C54,Z$21)+COUNTIF($C51:$C54,$A$3))</f>
        <v>0</v>
      </c>
      <c r="AB54" s="52" t="n">
        <f aca="false">IF($D54="","",COUNTIF($D51:$D54,Z$21)+COUNTIF($D51:$D54,$A$3))</f>
        <v>0</v>
      </c>
      <c r="AC54" s="52" t="n">
        <f aca="false">IF($E54="","",COUNTIF($E51:$E54,Z$21)+COUNTIF($E51:$E54,$A$3))</f>
        <v>1</v>
      </c>
      <c r="AD54" s="53" t="n">
        <f aca="false">IF($F54="","",COUNTIF($F51:$F54,Z$21)+COUNTIF($F51:$F54,$A$3))</f>
        <v>0</v>
      </c>
      <c r="AF54" s="65" t="n">
        <f aca="false">IF($B54="","",COUNTIF($B51:$B54,AF$21)+COUNTIF($B51:$B54,$A$3))</f>
        <v>0</v>
      </c>
      <c r="AG54" s="52" t="n">
        <f aca="false">IF($C54="","",COUNTIF($C51:$C54,AF$21)+COUNTIF($C51:$C54,$A$3))</f>
        <v>1</v>
      </c>
      <c r="AH54" s="52" t="n">
        <f aca="false">IF($D54="","",COUNTIF($D51:$D54,AF$21)+COUNTIF($D51:$D54,$A$3))</f>
        <v>1</v>
      </c>
      <c r="AI54" s="52" t="n">
        <f aca="false">IF($E54="","",COUNTIF($E51:$E54,AF$21)+COUNTIF($E51:$E54,$A$3))</f>
        <v>0</v>
      </c>
      <c r="AJ54" s="53" t="n">
        <f aca="false">IF($F54="","",COUNTIF($F51:$F54,AF$21)+COUNTIF($F51:$F54,$A$3))</f>
        <v>0</v>
      </c>
      <c r="AL54" s="65" t="n">
        <f aca="false">IF($B54="","",COUNTIF($B51:$B54,AL$21)+COUNTIF($B51:$B54,$A$3))</f>
        <v>1</v>
      </c>
      <c r="AM54" s="52" t="n">
        <f aca="false">IF($C54="","",COUNTIF($C51:$C54,AL$21)+COUNTIF($C51:$C54,$A$3))</f>
        <v>0</v>
      </c>
      <c r="AN54" s="52" t="n">
        <f aca="false">IF($D54="","",COUNTIF($D51:$D54,AL$21)+COUNTIF($D51:$D54,$A$3))</f>
        <v>1</v>
      </c>
      <c r="AO54" s="52" t="n">
        <f aca="false">IF($E54="","",COUNTIF($E51:$E54,AL$21)+COUNTIF($E51:$E54,$A$3))</f>
        <v>0</v>
      </c>
      <c r="AP54" s="53" t="n">
        <f aca="false">IF($F54="","",COUNTIF($F51:$F54,AL$21)+COUNTIF($F51:$F54,$A$3))</f>
        <v>0</v>
      </c>
      <c r="AR54" s="65" t="n">
        <f aca="false">IF($B54="","",COUNTIF($B51:$B54,AR$21)+COUNTIF($B51:$B54,$A$3))</f>
        <v>0</v>
      </c>
      <c r="AS54" s="52" t="n">
        <f aca="false">IF($C54="","",COUNTIF($C51:$C54,AR$21)+COUNTIF($C51:$C54,$A$3))</f>
        <v>1</v>
      </c>
      <c r="AT54" s="52" t="n">
        <f aca="false">IF($D54="","",COUNTIF($D51:$D54,AR$21)+COUNTIF($D51:$D54,$A$3))</f>
        <v>0</v>
      </c>
      <c r="AU54" s="52" t="n">
        <f aca="false">IF($E54="","",COUNTIF($E51:$E54,AR$21)+COUNTIF($E51:$E54,$A$3))</f>
        <v>0</v>
      </c>
      <c r="AV54" s="53" t="n">
        <f aca="false">IF($F54="","",COUNTIF($F51:$F54,AR$21)+COUNTIF($F51:$F54,$A$3))</f>
        <v>1</v>
      </c>
      <c r="AX54" s="65" t="n">
        <f aca="false">IF($B54="","",COUNTIF($B51:$B54,AX$21)+COUNTIF($B51:$B54,$A$3))</f>
        <v>0</v>
      </c>
      <c r="AY54" s="52" t="n">
        <f aca="false">IF($C54="","",COUNTIF($C51:$C54,AX$21)+COUNTIF($C51:$C54,$A$3))</f>
        <v>0</v>
      </c>
      <c r="AZ54" s="52" t="n">
        <f aca="false">IF($D54="","",COUNTIF($D51:$D54,AX$21)+COUNTIF($D51:$D54,$A$3))</f>
        <v>1</v>
      </c>
      <c r="BA54" s="52" t="n">
        <f aca="false">IF($E54="","",COUNTIF($E51:$E54,AX$21)+COUNTIF($E51:$E54,$A$3))</f>
        <v>1</v>
      </c>
      <c r="BB54" s="53" t="n">
        <f aca="false">IF($F54="","",COUNTIF($F51:$F54,AX$21)+COUNTIF($F51:$F54,$A$3))</f>
        <v>1</v>
      </c>
      <c r="BD54" s="65" t="n">
        <f aca="false">IF($B54="","",COUNTIF($B51:$B54,BD$21)+COUNTIF($B51:$B54,$A$3))</f>
        <v>0</v>
      </c>
      <c r="BE54" s="52" t="n">
        <f aca="false">IF($C54="","",COUNTIF($C51:$C54,BD$21)+COUNTIF($C51:$C54,$A$3))</f>
        <v>1</v>
      </c>
      <c r="BF54" s="52" t="n">
        <f aca="false">IF($D54="","",COUNTIF($D51:$D54,BD$21)+COUNTIF($D51:$D54,$A$3))</f>
        <v>0</v>
      </c>
      <c r="BG54" s="52" t="n">
        <f aca="false">IF($E54="","",COUNTIF($E51:$E54,BD$21)+COUNTIF($E51:$E54,$A$3))</f>
        <v>0</v>
      </c>
      <c r="BH54" s="53" t="n">
        <f aca="false">IF($F54="","",COUNTIF($F51:$F54,BD$21)+COUNTIF($F51:$F54,$A$3))</f>
        <v>0</v>
      </c>
      <c r="BJ54" s="65" t="n">
        <f aca="false">IF($B54="","",COUNTIF($B51:$B54,BJ$21)+COUNTIF($B51:$B54,$A$3))</f>
        <v>0</v>
      </c>
      <c r="BK54" s="52" t="n">
        <f aca="false">IF($C54="","",COUNTIF($C51:$C54,BJ$21)+COUNTIF($C51:$C54,$A$3))</f>
        <v>0</v>
      </c>
      <c r="BL54" s="52" t="n">
        <f aca="false">IF($D54="","",COUNTIF($D51:$D54,BJ$21)+COUNTIF($D51:$D54,$A$3))</f>
        <v>0</v>
      </c>
      <c r="BM54" s="52" t="n">
        <f aca="false">IF($E54="","",COUNTIF($E51:$E54,BJ$21)+COUNTIF($E51:$E54,$A$3))</f>
        <v>1</v>
      </c>
      <c r="BN54" s="53" t="n">
        <f aca="false">IF($F54="","",COUNTIF($F51:$F54,BJ$21)+COUNTIF($F51:$F54,$A$3))</f>
        <v>0</v>
      </c>
      <c r="BP54" s="65" t="n">
        <f aca="false">IF($B54="","",COUNTIF($B51:$B54,BP$21)+COUNTIF($B51:$B54,$A$3))</f>
        <v>1</v>
      </c>
      <c r="BQ54" s="52" t="n">
        <f aca="false">IF($C54="","",COUNTIF($C51:$C54,BP$21)+COUNTIF($C51:$C54,$A$3))</f>
        <v>0</v>
      </c>
      <c r="BR54" s="52" t="n">
        <f aca="false">IF($D54="","",COUNTIF($D51:$D54,BP$21)+COUNTIF($D51:$D54,$A$3))</f>
        <v>0</v>
      </c>
      <c r="BS54" s="52" t="n">
        <f aca="false">IF($E54="","",COUNTIF($E51:$E54,BP$21)+COUNTIF($E51:$E54,$A$3))</f>
        <v>0</v>
      </c>
      <c r="BT54" s="53" t="n">
        <f aca="false">IF($F54="","",COUNTIF($F51:$F54,BP$21)+COUNTIF($F51:$F54,$A$3))</f>
        <v>0</v>
      </c>
    </row>
    <row r="55" customFormat="false" ht="15" hidden="false" customHeight="false" outlineLevel="0" collapsed="false">
      <c r="A55" s="13" t="n">
        <v>33</v>
      </c>
      <c r="B55" s="116" t="str">
        <f aca="false">IF('Game Info'!J38="","",'Game Info'!J38)</f>
        <v>J</v>
      </c>
      <c r="C55" s="116" t="str">
        <f aca="false">IF('Game Info'!K38="","",'Game Info'!K38)</f>
        <v>FG</v>
      </c>
      <c r="D55" s="116" t="str">
        <f aca="false">IF('Game Info'!L38="","",'Game Info'!L38)</f>
        <v>SYM2</v>
      </c>
      <c r="E55" s="116" t="str">
        <f aca="false">IF('Game Info'!M38="","",'Game Info'!M38)</f>
        <v>SYM3</v>
      </c>
      <c r="F55" s="117" t="str">
        <f aca="false">IF('Game Info'!N38="","",'Game Info'!N38)</f>
        <v>A</v>
      </c>
      <c r="H55" s="65" t="n">
        <f aca="false">IF($B55="","",COUNTIF($B52:$B55,H$21)+COUNTIF($B52:$B55,$A$3))</f>
        <v>0</v>
      </c>
      <c r="I55" s="52" t="n">
        <f aca="false">IF($C55="","",COUNTIF($C52:$C55,H$21)+COUNTIF($C52:$C55,$A$3))</f>
        <v>0</v>
      </c>
      <c r="J55" s="52" t="n">
        <f aca="false">IF($D55="","",COUNTIF($D52:$D55,H$21)+COUNTIF($D52:$D55,$A$3))</f>
        <v>0</v>
      </c>
      <c r="K55" s="52" t="n">
        <f aca="false">IF($E55="","",COUNTIF($E52:$E55,H$21)+COUNTIF($E52:$E55,$A$3))</f>
        <v>0</v>
      </c>
      <c r="L55" s="53" t="n">
        <f aca="false">IF($F55="","",COUNTIF($F52:$F55,H$21)+COUNTIF($F52:$F55,$A$3))</f>
        <v>0</v>
      </c>
      <c r="N55" s="65" t="n">
        <f aca="false">IF($B55="","",COUNTIF($B52:$B55,N$21)+COUNTIF($B52:$B55,$A$3))</f>
        <v>1</v>
      </c>
      <c r="O55" s="52" t="n">
        <f aca="false">IF($C55="","",COUNTIF($C52:$C55,N$21)+COUNTIF($C52:$C55,$A$3))</f>
        <v>0</v>
      </c>
      <c r="P55" s="52" t="n">
        <f aca="false">IF($D55="","",COUNTIF($D52:$D55,N$21)+COUNTIF($D52:$D55,$A$3))</f>
        <v>1</v>
      </c>
      <c r="Q55" s="52" t="n">
        <f aca="false">IF($E55="","",COUNTIF($E52:$E55,N$21)+COUNTIF($E52:$E55,$A$3))</f>
        <v>1</v>
      </c>
      <c r="R55" s="53" t="n">
        <f aca="false">IF($F55="","",COUNTIF($F52:$F55,N$21)+COUNTIF($F52:$F55,$A$3))</f>
        <v>0</v>
      </c>
      <c r="T55" s="65" t="n">
        <f aca="false">IF($B55="","",COUNTIF($B52:$B55,T$21)+COUNTIF($B52:$B55,$A$3))</f>
        <v>0</v>
      </c>
      <c r="U55" s="52" t="n">
        <f aca="false">IF($C55="","",COUNTIF($C52:$C55,T$21)+COUNTIF($C52:$C55,$A$3))</f>
        <v>0</v>
      </c>
      <c r="V55" s="52" t="n">
        <f aca="false">IF($D55="","",COUNTIF($D52:$D55,T$21)+COUNTIF($D52:$D55,$A$3))</f>
        <v>0</v>
      </c>
      <c r="W55" s="52" t="n">
        <f aca="false">IF($E55="","",COUNTIF($E52:$E55,T$21)+COUNTIF($E52:$E55,$A$3))</f>
        <v>1</v>
      </c>
      <c r="X55" s="53" t="n">
        <f aca="false">IF($F55="","",COUNTIF($F52:$F55,T$21)+COUNTIF($F52:$F55,$A$3))</f>
        <v>1</v>
      </c>
      <c r="Z55" s="65" t="n">
        <f aca="false">IF($B55="","",COUNTIF($B52:$B55,Z$21)+COUNTIF($B52:$B55,$A$3))</f>
        <v>0</v>
      </c>
      <c r="AA55" s="52" t="n">
        <f aca="false">IF($C55="","",COUNTIF($C52:$C55,Z$21)+COUNTIF($C52:$C55,$A$3))</f>
        <v>0</v>
      </c>
      <c r="AB55" s="52" t="n">
        <f aca="false">IF($D55="","",COUNTIF($D52:$D55,Z$21)+COUNTIF($D52:$D55,$A$3))</f>
        <v>0</v>
      </c>
      <c r="AC55" s="52" t="n">
        <f aca="false">IF($E55="","",COUNTIF($E52:$E55,Z$21)+COUNTIF($E52:$E55,$A$3))</f>
        <v>0</v>
      </c>
      <c r="AD55" s="53" t="n">
        <f aca="false">IF($F55="","",COUNTIF($F52:$F55,Z$21)+COUNTIF($F52:$F55,$A$3))</f>
        <v>0</v>
      </c>
      <c r="AF55" s="65" t="n">
        <f aca="false">IF($B55="","",COUNTIF($B52:$B55,AF$21)+COUNTIF($B52:$B55,$A$3))</f>
        <v>0</v>
      </c>
      <c r="AG55" s="52" t="n">
        <f aca="false">IF($C55="","",COUNTIF($C52:$C55,AF$21)+COUNTIF($C52:$C55,$A$3))</f>
        <v>1</v>
      </c>
      <c r="AH55" s="52" t="n">
        <f aca="false">IF($D55="","",COUNTIF($D52:$D55,AF$21)+COUNTIF($D52:$D55,$A$3))</f>
        <v>1</v>
      </c>
      <c r="AI55" s="52" t="n">
        <f aca="false">IF($E55="","",COUNTIF($E52:$E55,AF$21)+COUNTIF($E52:$E55,$A$3))</f>
        <v>0</v>
      </c>
      <c r="AJ55" s="53" t="n">
        <f aca="false">IF($F55="","",COUNTIF($F52:$F55,AF$21)+COUNTIF($F52:$F55,$A$3))</f>
        <v>0</v>
      </c>
      <c r="AL55" s="65" t="n">
        <f aca="false">IF($B55="","",COUNTIF($B52:$B55,AL$21)+COUNTIF($B52:$B55,$A$3))</f>
        <v>1</v>
      </c>
      <c r="AM55" s="52" t="n">
        <f aca="false">IF($C55="","",COUNTIF($C52:$C55,AL$21)+COUNTIF($C52:$C55,$A$3))</f>
        <v>0</v>
      </c>
      <c r="AN55" s="52" t="n">
        <f aca="false">IF($D55="","",COUNTIF($D52:$D55,AL$21)+COUNTIF($D52:$D55,$A$3))</f>
        <v>1</v>
      </c>
      <c r="AO55" s="52" t="n">
        <f aca="false">IF($E55="","",COUNTIF($E52:$E55,AL$21)+COUNTIF($E52:$E55,$A$3))</f>
        <v>0</v>
      </c>
      <c r="AP55" s="53" t="n">
        <f aca="false">IF($F55="","",COUNTIF($F52:$F55,AL$21)+COUNTIF($F52:$F55,$A$3))</f>
        <v>1</v>
      </c>
      <c r="AR55" s="65" t="n">
        <f aca="false">IF($B55="","",COUNTIF($B52:$B55,AR$21)+COUNTIF($B52:$B55,$A$3))</f>
        <v>0</v>
      </c>
      <c r="AS55" s="52" t="n">
        <f aca="false">IF($C55="","",COUNTIF($C52:$C55,AR$21)+COUNTIF($C52:$C55,$A$3))</f>
        <v>1</v>
      </c>
      <c r="AT55" s="52" t="n">
        <f aca="false">IF($D55="","",COUNTIF($D52:$D55,AR$21)+COUNTIF($D52:$D55,$A$3))</f>
        <v>0</v>
      </c>
      <c r="AU55" s="52" t="n">
        <f aca="false">IF($E55="","",COUNTIF($E52:$E55,AR$21)+COUNTIF($E52:$E55,$A$3))</f>
        <v>0</v>
      </c>
      <c r="AV55" s="53" t="n">
        <f aca="false">IF($F55="","",COUNTIF($F52:$F55,AR$21)+COUNTIF($F52:$F55,$A$3))</f>
        <v>1</v>
      </c>
      <c r="AX55" s="65" t="n">
        <f aca="false">IF($B55="","",COUNTIF($B52:$B55,AX$21)+COUNTIF($B52:$B55,$A$3))</f>
        <v>0</v>
      </c>
      <c r="AY55" s="52" t="n">
        <f aca="false">IF($C55="","",COUNTIF($C52:$C55,AX$21)+COUNTIF($C52:$C55,$A$3))</f>
        <v>0</v>
      </c>
      <c r="AZ55" s="52" t="n">
        <f aca="false">IF($D55="","",COUNTIF($D52:$D55,AX$21)+COUNTIF($D52:$D55,$A$3))</f>
        <v>1</v>
      </c>
      <c r="BA55" s="52" t="n">
        <f aca="false">IF($E55="","",COUNTIF($E52:$E55,AX$21)+COUNTIF($E52:$E55,$A$3))</f>
        <v>1</v>
      </c>
      <c r="BB55" s="53" t="n">
        <f aca="false">IF($F55="","",COUNTIF($F52:$F55,AX$21)+COUNTIF($F52:$F55,$A$3))</f>
        <v>1</v>
      </c>
      <c r="BD55" s="65" t="n">
        <f aca="false">IF($B55="","",COUNTIF($B52:$B55,BD$21)+COUNTIF($B52:$B55,$A$3))</f>
        <v>1</v>
      </c>
      <c r="BE55" s="52" t="n">
        <f aca="false">IF($C55="","",COUNTIF($C52:$C55,BD$21)+COUNTIF($C52:$C55,$A$3))</f>
        <v>1</v>
      </c>
      <c r="BF55" s="52" t="n">
        <f aca="false">IF($D55="","",COUNTIF($D52:$D55,BD$21)+COUNTIF($D52:$D55,$A$3))</f>
        <v>0</v>
      </c>
      <c r="BG55" s="52" t="n">
        <f aca="false">IF($E55="","",COUNTIF($E52:$E55,BD$21)+COUNTIF($E52:$E55,$A$3))</f>
        <v>0</v>
      </c>
      <c r="BH55" s="53" t="n">
        <f aca="false">IF($F55="","",COUNTIF($F52:$F55,BD$21)+COUNTIF($F52:$F55,$A$3))</f>
        <v>0</v>
      </c>
      <c r="BJ55" s="65" t="n">
        <f aca="false">IF($B55="","",COUNTIF($B52:$B55,BJ$21)+COUNTIF($B52:$B55,$A$3))</f>
        <v>0</v>
      </c>
      <c r="BK55" s="52" t="n">
        <f aca="false">IF($C55="","",COUNTIF($C52:$C55,BJ$21)+COUNTIF($C52:$C55,$A$3))</f>
        <v>0</v>
      </c>
      <c r="BL55" s="52" t="n">
        <f aca="false">IF($D55="","",COUNTIF($D52:$D55,BJ$21)+COUNTIF($D52:$D55,$A$3))</f>
        <v>0</v>
      </c>
      <c r="BM55" s="52" t="n">
        <f aca="false">IF($E55="","",COUNTIF($E52:$E55,BJ$21)+COUNTIF($E52:$E55,$A$3))</f>
        <v>1</v>
      </c>
      <c r="BN55" s="53" t="n">
        <f aca="false">IF($F55="","",COUNTIF($F52:$F55,BJ$21)+COUNTIF($F52:$F55,$A$3))</f>
        <v>0</v>
      </c>
      <c r="BP55" s="65" t="n">
        <f aca="false">IF($B55="","",COUNTIF($B52:$B55,BP$21)+COUNTIF($B52:$B55,$A$3))</f>
        <v>1</v>
      </c>
      <c r="BQ55" s="52" t="n">
        <f aca="false">IF($C55="","",COUNTIF($C52:$C55,BP$21)+COUNTIF($C52:$C55,$A$3))</f>
        <v>0</v>
      </c>
      <c r="BR55" s="52" t="n">
        <f aca="false">IF($D55="","",COUNTIF($D52:$D55,BP$21)+COUNTIF($D52:$D55,$A$3))</f>
        <v>0</v>
      </c>
      <c r="BS55" s="52" t="n">
        <f aca="false">IF($E55="","",COUNTIF($E52:$E55,BP$21)+COUNTIF($E52:$E55,$A$3))</f>
        <v>0</v>
      </c>
      <c r="BT55" s="53" t="n">
        <f aca="false">IF($F55="","",COUNTIF($F52:$F55,BP$21)+COUNTIF($F52:$F55,$A$3))</f>
        <v>0</v>
      </c>
    </row>
    <row r="56" customFormat="false" ht="15" hidden="false" customHeight="false" outlineLevel="0" collapsed="false">
      <c r="A56" s="13" t="n">
        <v>34</v>
      </c>
      <c r="B56" s="116" t="str">
        <f aca="false">IF('Game Info'!J39="","",'Game Info'!J39)</f>
        <v>SYM3</v>
      </c>
      <c r="C56" s="116" t="str">
        <f aca="false">IF('Game Info'!K39="","",'Game Info'!K39)</f>
        <v>J</v>
      </c>
      <c r="D56" s="116" t="str">
        <f aca="false">IF('Game Info'!L39="","",'Game Info'!L39)</f>
        <v>K</v>
      </c>
      <c r="E56" s="116" t="str">
        <f aca="false">IF('Game Info'!M39="","",'Game Info'!M39)</f>
        <v>K</v>
      </c>
      <c r="F56" s="117" t="str">
        <f aca="false">IF('Game Info'!N39="","",'Game Info'!N39)</f>
        <v>SYM4</v>
      </c>
      <c r="H56" s="65" t="n">
        <f aca="false">IF($B56="","",COUNTIF($B53:$B56,H$21)+COUNTIF($B53:$B56,$A$3))</f>
        <v>0</v>
      </c>
      <c r="I56" s="52" t="n">
        <f aca="false">IF($C56="","",COUNTIF($C53:$C56,H$21)+COUNTIF($C53:$C56,$A$3))</f>
        <v>0</v>
      </c>
      <c r="J56" s="52" t="n">
        <f aca="false">IF($D56="","",COUNTIF($D53:$D56,H$21)+COUNTIF($D53:$D56,$A$3))</f>
        <v>0</v>
      </c>
      <c r="K56" s="52" t="n">
        <f aca="false">IF($E56="","",COUNTIF($E53:$E56,H$21)+COUNTIF($E53:$E56,$A$3))</f>
        <v>0</v>
      </c>
      <c r="L56" s="53" t="n">
        <f aca="false">IF($F56="","",COUNTIF($F53:$F56,H$21)+COUNTIF($F53:$F56,$A$3))</f>
        <v>0</v>
      </c>
      <c r="N56" s="65" t="n">
        <f aca="false">IF($B56="","",COUNTIF($B53:$B56,N$21)+COUNTIF($B53:$B56,$A$3))</f>
        <v>1</v>
      </c>
      <c r="O56" s="52" t="n">
        <f aca="false">IF($C56="","",COUNTIF($C53:$C56,N$21)+COUNTIF($C53:$C56,$A$3))</f>
        <v>0</v>
      </c>
      <c r="P56" s="52" t="n">
        <f aca="false">IF($D56="","",COUNTIF($D53:$D56,N$21)+COUNTIF($D53:$D56,$A$3))</f>
        <v>1</v>
      </c>
      <c r="Q56" s="52" t="n">
        <f aca="false">IF($E56="","",COUNTIF($E53:$E56,N$21)+COUNTIF($E53:$E56,$A$3))</f>
        <v>1</v>
      </c>
      <c r="R56" s="53" t="n">
        <f aca="false">IF($F56="","",COUNTIF($F53:$F56,N$21)+COUNTIF($F53:$F56,$A$3))</f>
        <v>0</v>
      </c>
      <c r="T56" s="65" t="n">
        <f aca="false">IF($B56="","",COUNTIF($B53:$B56,T$21)+COUNTIF($B53:$B56,$A$3))</f>
        <v>1</v>
      </c>
      <c r="U56" s="52" t="n">
        <f aca="false">IF($C56="","",COUNTIF($C53:$C56,T$21)+COUNTIF($C53:$C56,$A$3))</f>
        <v>0</v>
      </c>
      <c r="V56" s="52" t="n">
        <f aca="false">IF($D56="","",COUNTIF($D53:$D56,T$21)+COUNTIF($D53:$D56,$A$3))</f>
        <v>0</v>
      </c>
      <c r="W56" s="52" t="n">
        <f aca="false">IF($E56="","",COUNTIF($E53:$E56,T$21)+COUNTIF($E53:$E56,$A$3))</f>
        <v>1</v>
      </c>
      <c r="X56" s="53" t="n">
        <f aca="false">IF($F56="","",COUNTIF($F53:$F56,T$21)+COUNTIF($F53:$F56,$A$3))</f>
        <v>1</v>
      </c>
      <c r="Z56" s="65" t="n">
        <f aca="false">IF($B56="","",COUNTIF($B53:$B56,Z$21)+COUNTIF($B53:$B56,$A$3))</f>
        <v>0</v>
      </c>
      <c r="AA56" s="52" t="n">
        <f aca="false">IF($C56="","",COUNTIF($C53:$C56,Z$21)+COUNTIF($C53:$C56,$A$3))</f>
        <v>0</v>
      </c>
      <c r="AB56" s="52" t="n">
        <f aca="false">IF($D56="","",COUNTIF($D53:$D56,Z$21)+COUNTIF($D53:$D56,$A$3))</f>
        <v>0</v>
      </c>
      <c r="AC56" s="52" t="n">
        <f aca="false">IF($E56="","",COUNTIF($E53:$E56,Z$21)+COUNTIF($E53:$E56,$A$3))</f>
        <v>0</v>
      </c>
      <c r="AD56" s="53" t="n">
        <f aca="false">IF($F56="","",COUNTIF($F53:$F56,Z$21)+COUNTIF($F53:$F56,$A$3))</f>
        <v>1</v>
      </c>
      <c r="AF56" s="65" t="n">
        <f aca="false">IF($B56="","",COUNTIF($B53:$B56,AF$21)+COUNTIF($B53:$B56,$A$3))</f>
        <v>0</v>
      </c>
      <c r="AG56" s="52" t="n">
        <f aca="false">IF($C56="","",COUNTIF($C53:$C56,AF$21)+COUNTIF($C53:$C56,$A$3))</f>
        <v>1</v>
      </c>
      <c r="AH56" s="52" t="n">
        <f aca="false">IF($D56="","",COUNTIF($D53:$D56,AF$21)+COUNTIF($D53:$D56,$A$3))</f>
        <v>0</v>
      </c>
      <c r="AI56" s="52" t="n">
        <f aca="false">IF($E56="","",COUNTIF($E53:$E56,AF$21)+COUNTIF($E53:$E56,$A$3))</f>
        <v>0</v>
      </c>
      <c r="AJ56" s="53" t="n">
        <f aca="false">IF($F56="","",COUNTIF($F53:$F56,AF$21)+COUNTIF($F53:$F56,$A$3))</f>
        <v>0</v>
      </c>
      <c r="AL56" s="65" t="n">
        <f aca="false">IF($B56="","",COUNTIF($B53:$B56,AL$21)+COUNTIF($B53:$B56,$A$3))</f>
        <v>1</v>
      </c>
      <c r="AM56" s="52" t="n">
        <f aca="false">IF($C56="","",COUNTIF($C53:$C56,AL$21)+COUNTIF($C53:$C56,$A$3))</f>
        <v>0</v>
      </c>
      <c r="AN56" s="52" t="n">
        <f aca="false">IF($D56="","",COUNTIF($D53:$D56,AL$21)+COUNTIF($D53:$D56,$A$3))</f>
        <v>1</v>
      </c>
      <c r="AO56" s="52" t="n">
        <f aca="false">IF($E56="","",COUNTIF($E53:$E56,AL$21)+COUNTIF($E53:$E56,$A$3))</f>
        <v>0</v>
      </c>
      <c r="AP56" s="53" t="n">
        <f aca="false">IF($F56="","",COUNTIF($F53:$F56,AL$21)+COUNTIF($F53:$F56,$A$3))</f>
        <v>1</v>
      </c>
      <c r="AR56" s="65" t="n">
        <f aca="false">IF($B56="","",COUNTIF($B53:$B56,AR$21)+COUNTIF($B53:$B56,$A$3))</f>
        <v>0</v>
      </c>
      <c r="AS56" s="52" t="n">
        <f aca="false">IF($C56="","",COUNTIF($C53:$C56,AR$21)+COUNTIF($C53:$C56,$A$3))</f>
        <v>1</v>
      </c>
      <c r="AT56" s="52" t="n">
        <f aca="false">IF($D56="","",COUNTIF($D53:$D56,AR$21)+COUNTIF($D53:$D56,$A$3))</f>
        <v>1</v>
      </c>
      <c r="AU56" s="52" t="n">
        <f aca="false">IF($E56="","",COUNTIF($E53:$E56,AR$21)+COUNTIF($E53:$E56,$A$3))</f>
        <v>1</v>
      </c>
      <c r="AV56" s="53" t="n">
        <f aca="false">IF($F56="","",COUNTIF($F53:$F56,AR$21)+COUNTIF($F53:$F56,$A$3))</f>
        <v>1</v>
      </c>
      <c r="AX56" s="65" t="n">
        <f aca="false">IF($B56="","",COUNTIF($B53:$B56,AX$21)+COUNTIF($B53:$B56,$A$3))</f>
        <v>0</v>
      </c>
      <c r="AY56" s="52" t="n">
        <f aca="false">IF($C56="","",COUNTIF($C53:$C56,AX$21)+COUNTIF($C53:$C56,$A$3))</f>
        <v>0</v>
      </c>
      <c r="AZ56" s="52" t="n">
        <f aca="false">IF($D56="","",COUNTIF($D53:$D56,AX$21)+COUNTIF($D53:$D56,$A$3))</f>
        <v>1</v>
      </c>
      <c r="BA56" s="52" t="n">
        <f aca="false">IF($E56="","",COUNTIF($E53:$E56,AX$21)+COUNTIF($E53:$E56,$A$3))</f>
        <v>0</v>
      </c>
      <c r="BB56" s="53" t="n">
        <f aca="false">IF($F56="","",COUNTIF($F53:$F56,AX$21)+COUNTIF($F53:$F56,$A$3))</f>
        <v>0</v>
      </c>
      <c r="BD56" s="65" t="n">
        <f aca="false">IF($B56="","",COUNTIF($B53:$B56,BD$21)+COUNTIF($B53:$B56,$A$3))</f>
        <v>1</v>
      </c>
      <c r="BE56" s="52" t="n">
        <f aca="false">IF($C56="","",COUNTIF($C53:$C56,BD$21)+COUNTIF($C53:$C56,$A$3))</f>
        <v>1</v>
      </c>
      <c r="BF56" s="52" t="n">
        <f aca="false">IF($D56="","",COUNTIF($D53:$D56,BD$21)+COUNTIF($D53:$D56,$A$3))</f>
        <v>0</v>
      </c>
      <c r="BG56" s="52" t="n">
        <f aca="false">IF($E56="","",COUNTIF($E53:$E56,BD$21)+COUNTIF($E53:$E56,$A$3))</f>
        <v>0</v>
      </c>
      <c r="BH56" s="53" t="n">
        <f aca="false">IF($F56="","",COUNTIF($F53:$F56,BD$21)+COUNTIF($F53:$F56,$A$3))</f>
        <v>0</v>
      </c>
      <c r="BJ56" s="65" t="n">
        <f aca="false">IF($B56="","",COUNTIF($B53:$B56,BJ$21)+COUNTIF($B53:$B56,$A$3))</f>
        <v>0</v>
      </c>
      <c r="BK56" s="52" t="n">
        <f aca="false">IF($C56="","",COUNTIF($C53:$C56,BJ$21)+COUNTIF($C53:$C56,$A$3))</f>
        <v>0</v>
      </c>
      <c r="BL56" s="52" t="n">
        <f aca="false">IF($D56="","",COUNTIF($D53:$D56,BJ$21)+COUNTIF($D53:$D56,$A$3))</f>
        <v>0</v>
      </c>
      <c r="BM56" s="52" t="n">
        <f aca="false">IF($E56="","",COUNTIF($E53:$E56,BJ$21)+COUNTIF($E53:$E56,$A$3))</f>
        <v>1</v>
      </c>
      <c r="BN56" s="53" t="n">
        <f aca="false">IF($F56="","",COUNTIF($F53:$F56,BJ$21)+COUNTIF($F53:$F56,$A$3))</f>
        <v>0</v>
      </c>
      <c r="BP56" s="65" t="n">
        <f aca="false">IF($B56="","",COUNTIF($B53:$B56,BP$21)+COUNTIF($B53:$B56,$A$3))</f>
        <v>0</v>
      </c>
      <c r="BQ56" s="52" t="n">
        <f aca="false">IF($C56="","",COUNTIF($C53:$C56,BP$21)+COUNTIF($C53:$C56,$A$3))</f>
        <v>0</v>
      </c>
      <c r="BR56" s="52" t="n">
        <f aca="false">IF($D56="","",COUNTIF($D53:$D56,BP$21)+COUNTIF($D53:$D56,$A$3))</f>
        <v>0</v>
      </c>
      <c r="BS56" s="52" t="n">
        <f aca="false">IF($E56="","",COUNTIF($E53:$E56,BP$21)+COUNTIF($E53:$E56,$A$3))</f>
        <v>0</v>
      </c>
      <c r="BT56" s="53" t="n">
        <f aca="false">IF($F56="","",COUNTIF($F53:$F56,BP$21)+COUNTIF($F53:$F56,$A$3))</f>
        <v>0</v>
      </c>
    </row>
    <row r="57" customFormat="false" ht="15" hidden="false" customHeight="false" outlineLevel="0" collapsed="false">
      <c r="A57" s="13" t="n">
        <v>35</v>
      </c>
      <c r="B57" s="116" t="str">
        <f aca="false">IF('Game Info'!J40="","",'Game Info'!J40)</f>
        <v>J</v>
      </c>
      <c r="C57" s="116" t="str">
        <f aca="false">IF('Game Info'!K40="","",'Game Info'!K40)</f>
        <v>SYM2</v>
      </c>
      <c r="D57" s="116" t="str">
        <f aca="false">IF('Game Info'!L40="","",'Game Info'!L40)</f>
        <v>SYM3</v>
      </c>
      <c r="E57" s="116" t="str">
        <f aca="false">IF('Game Info'!M40="","",'Game Info'!M40)</f>
        <v>SYM5</v>
      </c>
      <c r="F57" s="117" t="str">
        <f aca="false">IF('Game Info'!N40="","",'Game Info'!N40)</f>
        <v>J</v>
      </c>
      <c r="H57" s="65" t="n">
        <f aca="false">IF($B57="","",COUNTIF($B54:$B57,H$21)+COUNTIF($B54:$B57,$A$3))</f>
        <v>0</v>
      </c>
      <c r="I57" s="52" t="n">
        <f aca="false">IF($C57="","",COUNTIF($C54:$C57,H$21)+COUNTIF($C54:$C57,$A$3))</f>
        <v>0</v>
      </c>
      <c r="J57" s="52" t="n">
        <f aca="false">IF($D57="","",COUNTIF($D54:$D57,H$21)+COUNTIF($D54:$D57,$A$3))</f>
        <v>0</v>
      </c>
      <c r="K57" s="52" t="n">
        <f aca="false">IF($E57="","",COUNTIF($E54:$E57,H$21)+COUNTIF($E54:$E57,$A$3))</f>
        <v>0</v>
      </c>
      <c r="L57" s="53" t="n">
        <f aca="false">IF($F57="","",COUNTIF($F54:$F57,H$21)+COUNTIF($F54:$F57,$A$3))</f>
        <v>0</v>
      </c>
      <c r="N57" s="65" t="n">
        <f aca="false">IF($B57="","",COUNTIF($B54:$B57,N$21)+COUNTIF($B54:$B57,$A$3))</f>
        <v>0</v>
      </c>
      <c r="O57" s="52" t="n">
        <f aca="false">IF($C57="","",COUNTIF($C54:$C57,N$21)+COUNTIF($C54:$C57,$A$3))</f>
        <v>1</v>
      </c>
      <c r="P57" s="52" t="n">
        <f aca="false">IF($D57="","",COUNTIF($D54:$D57,N$21)+COUNTIF($D54:$D57,$A$3))</f>
        <v>1</v>
      </c>
      <c r="Q57" s="52" t="n">
        <f aca="false">IF($E57="","",COUNTIF($E54:$E57,N$21)+COUNTIF($E54:$E57,$A$3))</f>
        <v>0</v>
      </c>
      <c r="R57" s="53" t="n">
        <f aca="false">IF($F57="","",COUNTIF($F54:$F57,N$21)+COUNTIF($F54:$F57,$A$3))</f>
        <v>0</v>
      </c>
      <c r="T57" s="65" t="n">
        <f aca="false">IF($B57="","",COUNTIF($B54:$B57,T$21)+COUNTIF($B54:$B57,$A$3))</f>
        <v>1</v>
      </c>
      <c r="U57" s="52" t="n">
        <f aca="false">IF($C57="","",COUNTIF($C54:$C57,T$21)+COUNTIF($C54:$C57,$A$3))</f>
        <v>0</v>
      </c>
      <c r="V57" s="52" t="n">
        <f aca="false">IF($D57="","",COUNTIF($D54:$D57,T$21)+COUNTIF($D54:$D57,$A$3))</f>
        <v>1</v>
      </c>
      <c r="W57" s="52" t="n">
        <f aca="false">IF($E57="","",COUNTIF($E54:$E57,T$21)+COUNTIF($E54:$E57,$A$3))</f>
        <v>1</v>
      </c>
      <c r="X57" s="53" t="n">
        <f aca="false">IF($F57="","",COUNTIF($F54:$F57,T$21)+COUNTIF($F54:$F57,$A$3))</f>
        <v>1</v>
      </c>
      <c r="Z57" s="65" t="n">
        <f aca="false">IF($B57="","",COUNTIF($B54:$B57,Z$21)+COUNTIF($B54:$B57,$A$3))</f>
        <v>0</v>
      </c>
      <c r="AA57" s="52" t="n">
        <f aca="false">IF($C57="","",COUNTIF($C54:$C57,Z$21)+COUNTIF($C54:$C57,$A$3))</f>
        <v>0</v>
      </c>
      <c r="AB57" s="52" t="n">
        <f aca="false">IF($D57="","",COUNTIF($D54:$D57,Z$21)+COUNTIF($D54:$D57,$A$3))</f>
        <v>0</v>
      </c>
      <c r="AC57" s="52" t="n">
        <f aca="false">IF($E57="","",COUNTIF($E54:$E57,Z$21)+COUNTIF($E54:$E57,$A$3))</f>
        <v>0</v>
      </c>
      <c r="AD57" s="53" t="n">
        <f aca="false">IF($F57="","",COUNTIF($F54:$F57,Z$21)+COUNTIF($F54:$F57,$A$3))</f>
        <v>1</v>
      </c>
      <c r="AF57" s="65" t="n">
        <f aca="false">IF($B57="","",COUNTIF($B54:$B57,AF$21)+COUNTIF($B54:$B57,$A$3))</f>
        <v>0</v>
      </c>
      <c r="AG57" s="52" t="n">
        <f aca="false">IF($C57="","",COUNTIF($C54:$C57,AF$21)+COUNTIF($C54:$C57,$A$3))</f>
        <v>0</v>
      </c>
      <c r="AH57" s="52" t="n">
        <f aca="false">IF($D57="","",COUNTIF($D54:$D57,AF$21)+COUNTIF($D54:$D57,$A$3))</f>
        <v>0</v>
      </c>
      <c r="AI57" s="52" t="n">
        <f aca="false">IF($E57="","",COUNTIF($E54:$E57,AF$21)+COUNTIF($E54:$E57,$A$3))</f>
        <v>1</v>
      </c>
      <c r="AJ57" s="53" t="n">
        <f aca="false">IF($F57="","",COUNTIF($F54:$F57,AF$21)+COUNTIF($F54:$F57,$A$3))</f>
        <v>0</v>
      </c>
      <c r="AL57" s="65" t="n">
        <f aca="false">IF($B57="","",COUNTIF($B54:$B57,AL$21)+COUNTIF($B54:$B57,$A$3))</f>
        <v>1</v>
      </c>
      <c r="AM57" s="52" t="n">
        <f aca="false">IF($C57="","",COUNTIF($C54:$C57,AL$21)+COUNTIF($C54:$C57,$A$3))</f>
        <v>0</v>
      </c>
      <c r="AN57" s="52" t="n">
        <f aca="false">IF($D57="","",COUNTIF($D54:$D57,AL$21)+COUNTIF($D54:$D57,$A$3))</f>
        <v>1</v>
      </c>
      <c r="AO57" s="52" t="n">
        <f aca="false">IF($E57="","",COUNTIF($E54:$E57,AL$21)+COUNTIF($E54:$E57,$A$3))</f>
        <v>0</v>
      </c>
      <c r="AP57" s="53" t="n">
        <f aca="false">IF($F57="","",COUNTIF($F54:$F57,AL$21)+COUNTIF($F54:$F57,$A$3))</f>
        <v>1</v>
      </c>
      <c r="AR57" s="65" t="n">
        <f aca="false">IF($B57="","",COUNTIF($B54:$B57,AR$21)+COUNTIF($B54:$B57,$A$3))</f>
        <v>0</v>
      </c>
      <c r="AS57" s="52" t="n">
        <f aca="false">IF($C57="","",COUNTIF($C54:$C57,AR$21)+COUNTIF($C54:$C57,$A$3))</f>
        <v>1</v>
      </c>
      <c r="AT57" s="52" t="n">
        <f aca="false">IF($D57="","",COUNTIF($D54:$D57,AR$21)+COUNTIF($D54:$D57,$A$3))</f>
        <v>1</v>
      </c>
      <c r="AU57" s="52" t="n">
        <f aca="false">IF($E57="","",COUNTIF($E54:$E57,AR$21)+COUNTIF($E54:$E57,$A$3))</f>
        <v>1</v>
      </c>
      <c r="AV57" s="53" t="n">
        <f aca="false">IF($F57="","",COUNTIF($F54:$F57,AR$21)+COUNTIF($F54:$F57,$A$3))</f>
        <v>0</v>
      </c>
      <c r="AX57" s="65" t="n">
        <f aca="false">IF($B57="","",COUNTIF($B54:$B57,AX$21)+COUNTIF($B54:$B57,$A$3))</f>
        <v>0</v>
      </c>
      <c r="AY57" s="52" t="n">
        <f aca="false">IF($C57="","",COUNTIF($C54:$C57,AX$21)+COUNTIF($C54:$C57,$A$3))</f>
        <v>0</v>
      </c>
      <c r="AZ57" s="52" t="n">
        <f aca="false">IF($D57="","",COUNTIF($D54:$D57,AX$21)+COUNTIF($D54:$D57,$A$3))</f>
        <v>0</v>
      </c>
      <c r="BA57" s="52" t="n">
        <f aca="false">IF($E57="","",COUNTIF($E54:$E57,AX$21)+COUNTIF($E54:$E57,$A$3))</f>
        <v>0</v>
      </c>
      <c r="BB57" s="53" t="n">
        <f aca="false">IF($F57="","",COUNTIF($F54:$F57,AX$21)+COUNTIF($F54:$F57,$A$3))</f>
        <v>0</v>
      </c>
      <c r="BD57" s="65" t="n">
        <f aca="false">IF($B57="","",COUNTIF($B54:$B57,BD$21)+COUNTIF($B54:$B57,$A$3))</f>
        <v>2</v>
      </c>
      <c r="BE57" s="52" t="n">
        <f aca="false">IF($C57="","",COUNTIF($C54:$C57,BD$21)+COUNTIF($C54:$C57,$A$3))</f>
        <v>1</v>
      </c>
      <c r="BF57" s="52" t="n">
        <f aca="false">IF($D57="","",COUNTIF($D54:$D57,BD$21)+COUNTIF($D54:$D57,$A$3))</f>
        <v>0</v>
      </c>
      <c r="BG57" s="52" t="n">
        <f aca="false">IF($E57="","",COUNTIF($E54:$E57,BD$21)+COUNTIF($E54:$E57,$A$3))</f>
        <v>0</v>
      </c>
      <c r="BH57" s="53" t="n">
        <f aca="false">IF($F57="","",COUNTIF($F54:$F57,BD$21)+COUNTIF($F54:$F57,$A$3))</f>
        <v>1</v>
      </c>
      <c r="BJ57" s="65" t="n">
        <f aca="false">IF($B57="","",COUNTIF($B54:$B57,BJ$21)+COUNTIF($B54:$B57,$A$3))</f>
        <v>0</v>
      </c>
      <c r="BK57" s="52" t="n">
        <f aca="false">IF($C57="","",COUNTIF($C54:$C57,BJ$21)+COUNTIF($C54:$C57,$A$3))</f>
        <v>0</v>
      </c>
      <c r="BL57" s="52" t="n">
        <f aca="false">IF($D57="","",COUNTIF($D54:$D57,BJ$21)+COUNTIF($D54:$D57,$A$3))</f>
        <v>0</v>
      </c>
      <c r="BM57" s="52" t="n">
        <f aca="false">IF($E57="","",COUNTIF($E54:$E57,BJ$21)+COUNTIF($E54:$E57,$A$3))</f>
        <v>1</v>
      </c>
      <c r="BN57" s="53" t="n">
        <f aca="false">IF($F57="","",COUNTIF($F54:$F57,BJ$21)+COUNTIF($F54:$F57,$A$3))</f>
        <v>0</v>
      </c>
      <c r="BP57" s="65" t="n">
        <f aca="false">IF($B57="","",COUNTIF($B54:$B57,BP$21)+COUNTIF($B54:$B57,$A$3))</f>
        <v>0</v>
      </c>
      <c r="BQ57" s="52" t="n">
        <f aca="false">IF($C57="","",COUNTIF($C54:$C57,BP$21)+COUNTIF($C54:$C57,$A$3))</f>
        <v>0</v>
      </c>
      <c r="BR57" s="52" t="n">
        <f aca="false">IF($D57="","",COUNTIF($D54:$D57,BP$21)+COUNTIF($D54:$D57,$A$3))</f>
        <v>0</v>
      </c>
      <c r="BS57" s="52" t="n">
        <f aca="false">IF($E57="","",COUNTIF($E54:$E57,BP$21)+COUNTIF($E54:$E57,$A$3))</f>
        <v>0</v>
      </c>
      <c r="BT57" s="53" t="n">
        <f aca="false">IF($F57="","",COUNTIF($F54:$F57,BP$21)+COUNTIF($F54:$F57,$A$3))</f>
        <v>0</v>
      </c>
    </row>
    <row r="58" customFormat="false" ht="15" hidden="false" customHeight="false" outlineLevel="0" collapsed="false">
      <c r="A58" s="13" t="n">
        <v>36</v>
      </c>
      <c r="B58" s="116" t="str">
        <f aca="false">IF('Game Info'!J41="","",'Game Info'!J41)</f>
        <v>SYM2</v>
      </c>
      <c r="C58" s="116" t="str">
        <f aca="false">IF('Game Info'!K41="","",'Game Info'!K41)</f>
        <v>SYM2</v>
      </c>
      <c r="D58" s="116" t="str">
        <f aca="false">IF('Game Info'!L41="","",'Game Info'!L41)</f>
        <v>SYM3</v>
      </c>
      <c r="E58" s="116" t="str">
        <f aca="false">IF('Game Info'!M41="","",'Game Info'!M41)</f>
        <v>Q</v>
      </c>
      <c r="F58" s="117" t="str">
        <f aca="false">IF('Game Info'!N41="","",'Game Info'!N41)</f>
        <v>SYM1</v>
      </c>
      <c r="H58" s="65" t="n">
        <f aca="false">IF($B58="","",COUNTIF($B55:$B58,H$21)+COUNTIF($B55:$B58,$A$3))</f>
        <v>0</v>
      </c>
      <c r="I58" s="52" t="n">
        <f aca="false">IF($C58="","",COUNTIF($C55:$C58,H$21)+COUNTIF($C55:$C58,$A$3))</f>
        <v>0</v>
      </c>
      <c r="J58" s="52" t="n">
        <f aca="false">IF($D58="","",COUNTIF($D55:$D58,H$21)+COUNTIF($D55:$D58,$A$3))</f>
        <v>0</v>
      </c>
      <c r="K58" s="52" t="n">
        <f aca="false">IF($E58="","",COUNTIF($E55:$E58,H$21)+COUNTIF($E55:$E58,$A$3))</f>
        <v>0</v>
      </c>
      <c r="L58" s="53" t="n">
        <f aca="false">IF($F58="","",COUNTIF($F55:$F58,H$21)+COUNTIF($F55:$F58,$A$3))</f>
        <v>1</v>
      </c>
      <c r="N58" s="65" t="n">
        <f aca="false">IF($B58="","",COUNTIF($B55:$B58,N$21)+COUNTIF($B55:$B58,$A$3))</f>
        <v>1</v>
      </c>
      <c r="O58" s="52" t="n">
        <f aca="false">IF($C58="","",COUNTIF($C55:$C58,N$21)+COUNTIF($C55:$C58,$A$3))</f>
        <v>2</v>
      </c>
      <c r="P58" s="52" t="n">
        <f aca="false">IF($D58="","",COUNTIF($D55:$D58,N$21)+COUNTIF($D55:$D58,$A$3))</f>
        <v>1</v>
      </c>
      <c r="Q58" s="52" t="n">
        <f aca="false">IF($E58="","",COUNTIF($E55:$E58,N$21)+COUNTIF($E55:$E58,$A$3))</f>
        <v>0</v>
      </c>
      <c r="R58" s="53" t="n">
        <f aca="false">IF($F58="","",COUNTIF($F55:$F58,N$21)+COUNTIF($F55:$F58,$A$3))</f>
        <v>0</v>
      </c>
      <c r="T58" s="65" t="n">
        <f aca="false">IF($B58="","",COUNTIF($B55:$B58,T$21)+COUNTIF($B55:$B58,$A$3))</f>
        <v>1</v>
      </c>
      <c r="U58" s="52" t="n">
        <f aca="false">IF($C58="","",COUNTIF($C55:$C58,T$21)+COUNTIF($C55:$C58,$A$3))</f>
        <v>0</v>
      </c>
      <c r="V58" s="52" t="n">
        <f aca="false">IF($D58="","",COUNTIF($D55:$D58,T$21)+COUNTIF($D55:$D58,$A$3))</f>
        <v>2</v>
      </c>
      <c r="W58" s="52" t="n">
        <f aca="false">IF($E58="","",COUNTIF($E55:$E58,T$21)+COUNTIF($E55:$E58,$A$3))</f>
        <v>1</v>
      </c>
      <c r="X58" s="53" t="n">
        <f aca="false">IF($F58="","",COUNTIF($F55:$F58,T$21)+COUNTIF($F55:$F58,$A$3))</f>
        <v>0</v>
      </c>
      <c r="Z58" s="65" t="n">
        <f aca="false">IF($B58="","",COUNTIF($B55:$B58,Z$21)+COUNTIF($B55:$B58,$A$3))</f>
        <v>0</v>
      </c>
      <c r="AA58" s="52" t="n">
        <f aca="false">IF($C58="","",COUNTIF($C55:$C58,Z$21)+COUNTIF($C55:$C58,$A$3))</f>
        <v>0</v>
      </c>
      <c r="AB58" s="52" t="n">
        <f aca="false">IF($D58="","",COUNTIF($D55:$D58,Z$21)+COUNTIF($D55:$D58,$A$3))</f>
        <v>0</v>
      </c>
      <c r="AC58" s="52" t="n">
        <f aca="false">IF($E58="","",COUNTIF($E55:$E58,Z$21)+COUNTIF($E55:$E58,$A$3))</f>
        <v>0</v>
      </c>
      <c r="AD58" s="53" t="n">
        <f aca="false">IF($F58="","",COUNTIF($F55:$F58,Z$21)+COUNTIF($F55:$F58,$A$3))</f>
        <v>1</v>
      </c>
      <c r="AF58" s="65" t="n">
        <f aca="false">IF($B58="","",COUNTIF($B55:$B58,AF$21)+COUNTIF($B55:$B58,$A$3))</f>
        <v>0</v>
      </c>
      <c r="AG58" s="52" t="n">
        <f aca="false">IF($C58="","",COUNTIF($C55:$C58,AF$21)+COUNTIF($C55:$C58,$A$3))</f>
        <v>0</v>
      </c>
      <c r="AH58" s="52" t="n">
        <f aca="false">IF($D58="","",COUNTIF($D55:$D58,AF$21)+COUNTIF($D55:$D58,$A$3))</f>
        <v>0</v>
      </c>
      <c r="AI58" s="52" t="n">
        <f aca="false">IF($E58="","",COUNTIF($E55:$E58,AF$21)+COUNTIF($E55:$E58,$A$3))</f>
        <v>1</v>
      </c>
      <c r="AJ58" s="53" t="n">
        <f aca="false">IF($F58="","",COUNTIF($F55:$F58,AF$21)+COUNTIF($F55:$F58,$A$3))</f>
        <v>0</v>
      </c>
      <c r="AL58" s="65" t="n">
        <f aca="false">IF($B58="","",COUNTIF($B55:$B58,AL$21)+COUNTIF($B55:$B58,$A$3))</f>
        <v>0</v>
      </c>
      <c r="AM58" s="52" t="n">
        <f aca="false">IF($C58="","",COUNTIF($C55:$C58,AL$21)+COUNTIF($C55:$C58,$A$3))</f>
        <v>0</v>
      </c>
      <c r="AN58" s="52" t="n">
        <f aca="false">IF($D58="","",COUNTIF($D55:$D58,AL$21)+COUNTIF($D55:$D58,$A$3))</f>
        <v>0</v>
      </c>
      <c r="AO58" s="52" t="n">
        <f aca="false">IF($E58="","",COUNTIF($E55:$E58,AL$21)+COUNTIF($E55:$E58,$A$3))</f>
        <v>0</v>
      </c>
      <c r="AP58" s="53" t="n">
        <f aca="false">IF($F58="","",COUNTIF($F55:$F58,AL$21)+COUNTIF($F55:$F58,$A$3))</f>
        <v>1</v>
      </c>
      <c r="AR58" s="65" t="n">
        <f aca="false">IF($B58="","",COUNTIF($B55:$B58,AR$21)+COUNTIF($B55:$B58,$A$3))</f>
        <v>0</v>
      </c>
      <c r="AS58" s="52" t="n">
        <f aca="false">IF($C58="","",COUNTIF($C55:$C58,AR$21)+COUNTIF($C55:$C58,$A$3))</f>
        <v>0</v>
      </c>
      <c r="AT58" s="52" t="n">
        <f aca="false">IF($D58="","",COUNTIF($D55:$D58,AR$21)+COUNTIF($D55:$D58,$A$3))</f>
        <v>1</v>
      </c>
      <c r="AU58" s="52" t="n">
        <f aca="false">IF($E58="","",COUNTIF($E55:$E58,AR$21)+COUNTIF($E55:$E58,$A$3))</f>
        <v>1</v>
      </c>
      <c r="AV58" s="53" t="n">
        <f aca="false">IF($F58="","",COUNTIF($F55:$F58,AR$21)+COUNTIF($F55:$F58,$A$3))</f>
        <v>0</v>
      </c>
      <c r="AX58" s="65" t="n">
        <f aca="false">IF($B58="","",COUNTIF($B55:$B58,AX$21)+COUNTIF($B55:$B58,$A$3))</f>
        <v>0</v>
      </c>
      <c r="AY58" s="52" t="n">
        <f aca="false">IF($C58="","",COUNTIF($C55:$C58,AX$21)+COUNTIF($C55:$C58,$A$3))</f>
        <v>0</v>
      </c>
      <c r="AZ58" s="52" t="n">
        <f aca="false">IF($D58="","",COUNTIF($D55:$D58,AX$21)+COUNTIF($D55:$D58,$A$3))</f>
        <v>0</v>
      </c>
      <c r="BA58" s="52" t="n">
        <f aca="false">IF($E58="","",COUNTIF($E55:$E58,AX$21)+COUNTIF($E55:$E58,$A$3))</f>
        <v>1</v>
      </c>
      <c r="BB58" s="53" t="n">
        <f aca="false">IF($F58="","",COUNTIF($F55:$F58,AX$21)+COUNTIF($F55:$F58,$A$3))</f>
        <v>0</v>
      </c>
      <c r="BD58" s="65" t="n">
        <f aca="false">IF($B58="","",COUNTIF($B55:$B58,BD$21)+COUNTIF($B55:$B58,$A$3))</f>
        <v>2</v>
      </c>
      <c r="BE58" s="52" t="n">
        <f aca="false">IF($C58="","",COUNTIF($C55:$C58,BD$21)+COUNTIF($C55:$C58,$A$3))</f>
        <v>1</v>
      </c>
      <c r="BF58" s="52" t="n">
        <f aca="false">IF($D58="","",COUNTIF($D55:$D58,BD$21)+COUNTIF($D55:$D58,$A$3))</f>
        <v>0</v>
      </c>
      <c r="BG58" s="52" t="n">
        <f aca="false">IF($E58="","",COUNTIF($E55:$E58,BD$21)+COUNTIF($E55:$E58,$A$3))</f>
        <v>0</v>
      </c>
      <c r="BH58" s="53" t="n">
        <f aca="false">IF($F58="","",COUNTIF($F55:$F58,BD$21)+COUNTIF($F55:$F58,$A$3))</f>
        <v>1</v>
      </c>
      <c r="BJ58" s="65" t="n">
        <f aca="false">IF($B58="","",COUNTIF($B55:$B58,BJ$21)+COUNTIF($B55:$B58,$A$3))</f>
        <v>0</v>
      </c>
      <c r="BK58" s="52" t="n">
        <f aca="false">IF($C58="","",COUNTIF($C55:$C58,BJ$21)+COUNTIF($C55:$C58,$A$3))</f>
        <v>0</v>
      </c>
      <c r="BL58" s="52" t="n">
        <f aca="false">IF($D58="","",COUNTIF($D55:$D58,BJ$21)+COUNTIF($D55:$D58,$A$3))</f>
        <v>0</v>
      </c>
      <c r="BM58" s="52" t="n">
        <f aca="false">IF($E58="","",COUNTIF($E55:$E58,BJ$21)+COUNTIF($E55:$E58,$A$3))</f>
        <v>0</v>
      </c>
      <c r="BN58" s="53" t="n">
        <f aca="false">IF($F58="","",COUNTIF($F55:$F58,BJ$21)+COUNTIF($F55:$F58,$A$3))</f>
        <v>0</v>
      </c>
      <c r="BP58" s="65" t="n">
        <f aca="false">IF($B58="","",COUNTIF($B55:$B58,BP$21)+COUNTIF($B55:$B58,$A$3))</f>
        <v>0</v>
      </c>
      <c r="BQ58" s="52" t="n">
        <f aca="false">IF($C58="","",COUNTIF($C55:$C58,BP$21)+COUNTIF($C55:$C58,$A$3))</f>
        <v>0</v>
      </c>
      <c r="BR58" s="52" t="n">
        <f aca="false">IF($D58="","",COUNTIF($D55:$D58,BP$21)+COUNTIF($D55:$D58,$A$3))</f>
        <v>0</v>
      </c>
      <c r="BS58" s="52" t="n">
        <f aca="false">IF($E58="","",COUNTIF($E55:$E58,BP$21)+COUNTIF($E55:$E58,$A$3))</f>
        <v>0</v>
      </c>
      <c r="BT58" s="53" t="n">
        <f aca="false">IF($F58="","",COUNTIF($F55:$F58,BP$21)+COUNTIF($F55:$F58,$A$3))</f>
        <v>0</v>
      </c>
    </row>
    <row r="59" customFormat="false" ht="15" hidden="false" customHeight="false" outlineLevel="0" collapsed="false">
      <c r="A59" s="13" t="n">
        <v>37</v>
      </c>
      <c r="B59" s="116" t="str">
        <f aca="false">IF('Game Info'!J42="","",'Game Info'!J42)</f>
        <v>SYM2</v>
      </c>
      <c r="C59" s="116" t="str">
        <f aca="false">IF('Game Info'!K42="","",'Game Info'!K42)</f>
        <v>SYM2</v>
      </c>
      <c r="D59" s="116" t="str">
        <f aca="false">IF('Game Info'!L42="","",'Game Info'!L42)</f>
        <v>SYM3</v>
      </c>
      <c r="E59" s="116" t="str">
        <f aca="false">IF('Game Info'!M42="","",'Game Info'!M42)</f>
        <v>SYM2</v>
      </c>
      <c r="F59" s="117" t="str">
        <f aca="false">IF('Game Info'!N42="","",'Game Info'!N42)</f>
        <v>K</v>
      </c>
      <c r="H59" s="65" t="n">
        <f aca="false">IF($B59="","",COUNTIF($B56:$B59,H$21)+COUNTIF($B56:$B59,$A$3))</f>
        <v>0</v>
      </c>
      <c r="I59" s="52" t="n">
        <f aca="false">IF($C59="","",COUNTIF($C56:$C59,H$21)+COUNTIF($C56:$C59,$A$3))</f>
        <v>0</v>
      </c>
      <c r="J59" s="52" t="n">
        <f aca="false">IF($D59="","",COUNTIF($D56:$D59,H$21)+COUNTIF($D56:$D59,$A$3))</f>
        <v>0</v>
      </c>
      <c r="K59" s="52" t="n">
        <f aca="false">IF($E59="","",COUNTIF($E56:$E59,H$21)+COUNTIF($E56:$E59,$A$3))</f>
        <v>0</v>
      </c>
      <c r="L59" s="53" t="n">
        <f aca="false">IF($F59="","",COUNTIF($F56:$F59,H$21)+COUNTIF($F56:$F59,$A$3))</f>
        <v>1</v>
      </c>
      <c r="N59" s="65" t="n">
        <f aca="false">IF($B59="","",COUNTIF($B56:$B59,N$21)+COUNTIF($B56:$B59,$A$3))</f>
        <v>2</v>
      </c>
      <c r="O59" s="52" t="n">
        <f aca="false">IF($C59="","",COUNTIF($C56:$C59,N$21)+COUNTIF($C56:$C59,$A$3))</f>
        <v>3</v>
      </c>
      <c r="P59" s="52" t="n">
        <f aca="false">IF($D59="","",COUNTIF($D56:$D59,N$21)+COUNTIF($D56:$D59,$A$3))</f>
        <v>0</v>
      </c>
      <c r="Q59" s="52" t="n">
        <f aca="false">IF($E59="","",COUNTIF($E56:$E59,N$21)+COUNTIF($E56:$E59,$A$3))</f>
        <v>1</v>
      </c>
      <c r="R59" s="53" t="n">
        <f aca="false">IF($F59="","",COUNTIF($F56:$F59,N$21)+COUNTIF($F56:$F59,$A$3))</f>
        <v>0</v>
      </c>
      <c r="T59" s="65" t="n">
        <f aca="false">IF($B59="","",COUNTIF($B56:$B59,T$21)+COUNTIF($B56:$B59,$A$3))</f>
        <v>1</v>
      </c>
      <c r="U59" s="52" t="n">
        <f aca="false">IF($C59="","",COUNTIF($C56:$C59,T$21)+COUNTIF($C56:$C59,$A$3))</f>
        <v>0</v>
      </c>
      <c r="V59" s="52" t="n">
        <f aca="false">IF($D59="","",COUNTIF($D56:$D59,T$21)+COUNTIF($D56:$D59,$A$3))</f>
        <v>3</v>
      </c>
      <c r="W59" s="52" t="n">
        <f aca="false">IF($E59="","",COUNTIF($E56:$E59,T$21)+COUNTIF($E56:$E59,$A$3))</f>
        <v>0</v>
      </c>
      <c r="X59" s="53" t="n">
        <f aca="false">IF($F59="","",COUNTIF($F56:$F59,T$21)+COUNTIF($F56:$F59,$A$3))</f>
        <v>0</v>
      </c>
      <c r="Z59" s="65" t="n">
        <f aca="false">IF($B59="","",COUNTIF($B56:$B59,Z$21)+COUNTIF($B56:$B59,$A$3))</f>
        <v>0</v>
      </c>
      <c r="AA59" s="52" t="n">
        <f aca="false">IF($C59="","",COUNTIF($C56:$C59,Z$21)+COUNTIF($C56:$C59,$A$3))</f>
        <v>0</v>
      </c>
      <c r="AB59" s="52" t="n">
        <f aca="false">IF($D59="","",COUNTIF($D56:$D59,Z$21)+COUNTIF($D56:$D59,$A$3))</f>
        <v>0</v>
      </c>
      <c r="AC59" s="52" t="n">
        <f aca="false">IF($E59="","",COUNTIF($E56:$E59,Z$21)+COUNTIF($E56:$E59,$A$3))</f>
        <v>0</v>
      </c>
      <c r="AD59" s="53" t="n">
        <f aca="false">IF($F59="","",COUNTIF($F56:$F59,Z$21)+COUNTIF($F56:$F59,$A$3))</f>
        <v>1</v>
      </c>
      <c r="AF59" s="65" t="n">
        <f aca="false">IF($B59="","",COUNTIF($B56:$B59,AF$21)+COUNTIF($B56:$B59,$A$3))</f>
        <v>0</v>
      </c>
      <c r="AG59" s="52" t="n">
        <f aca="false">IF($C59="","",COUNTIF($C56:$C59,AF$21)+COUNTIF($C56:$C59,$A$3))</f>
        <v>0</v>
      </c>
      <c r="AH59" s="52" t="n">
        <f aca="false">IF($D59="","",COUNTIF($D56:$D59,AF$21)+COUNTIF($D56:$D59,$A$3))</f>
        <v>0</v>
      </c>
      <c r="AI59" s="52" t="n">
        <f aca="false">IF($E59="","",COUNTIF($E56:$E59,AF$21)+COUNTIF($E56:$E59,$A$3))</f>
        <v>1</v>
      </c>
      <c r="AJ59" s="53" t="n">
        <f aca="false">IF($F59="","",COUNTIF($F56:$F59,AF$21)+COUNTIF($F56:$F59,$A$3))</f>
        <v>0</v>
      </c>
      <c r="AL59" s="65" t="n">
        <f aca="false">IF($B59="","",COUNTIF($B56:$B59,AL$21)+COUNTIF($B56:$B59,$A$3))</f>
        <v>0</v>
      </c>
      <c r="AM59" s="52" t="n">
        <f aca="false">IF($C59="","",COUNTIF($C56:$C59,AL$21)+COUNTIF($C56:$C59,$A$3))</f>
        <v>0</v>
      </c>
      <c r="AN59" s="52" t="n">
        <f aca="false">IF($D59="","",COUNTIF($D56:$D59,AL$21)+COUNTIF($D56:$D59,$A$3))</f>
        <v>0</v>
      </c>
      <c r="AO59" s="52" t="n">
        <f aca="false">IF($E59="","",COUNTIF($E56:$E59,AL$21)+COUNTIF($E56:$E59,$A$3))</f>
        <v>0</v>
      </c>
      <c r="AP59" s="53" t="n">
        <f aca="false">IF($F59="","",COUNTIF($F56:$F59,AL$21)+COUNTIF($F56:$F59,$A$3))</f>
        <v>0</v>
      </c>
      <c r="AR59" s="65" t="n">
        <f aca="false">IF($B59="","",COUNTIF($B56:$B59,AR$21)+COUNTIF($B56:$B59,$A$3))</f>
        <v>0</v>
      </c>
      <c r="AS59" s="52" t="n">
        <f aca="false">IF($C59="","",COUNTIF($C56:$C59,AR$21)+COUNTIF($C56:$C59,$A$3))</f>
        <v>0</v>
      </c>
      <c r="AT59" s="52" t="n">
        <f aca="false">IF($D59="","",COUNTIF($D56:$D59,AR$21)+COUNTIF($D56:$D59,$A$3))</f>
        <v>1</v>
      </c>
      <c r="AU59" s="52" t="n">
        <f aca="false">IF($E59="","",COUNTIF($E56:$E59,AR$21)+COUNTIF($E56:$E59,$A$3))</f>
        <v>1</v>
      </c>
      <c r="AV59" s="53" t="n">
        <f aca="false">IF($F59="","",COUNTIF($F56:$F59,AR$21)+COUNTIF($F56:$F59,$A$3))</f>
        <v>1</v>
      </c>
      <c r="AX59" s="65" t="n">
        <f aca="false">IF($B59="","",COUNTIF($B56:$B59,AX$21)+COUNTIF($B56:$B59,$A$3))</f>
        <v>0</v>
      </c>
      <c r="AY59" s="52" t="n">
        <f aca="false">IF($C59="","",COUNTIF($C56:$C59,AX$21)+COUNTIF($C56:$C59,$A$3))</f>
        <v>0</v>
      </c>
      <c r="AZ59" s="52" t="n">
        <f aca="false">IF($D59="","",COUNTIF($D56:$D59,AX$21)+COUNTIF($D56:$D59,$A$3))</f>
        <v>0</v>
      </c>
      <c r="BA59" s="52" t="n">
        <f aca="false">IF($E59="","",COUNTIF($E56:$E59,AX$21)+COUNTIF($E56:$E59,$A$3))</f>
        <v>1</v>
      </c>
      <c r="BB59" s="53" t="n">
        <f aca="false">IF($F59="","",COUNTIF($F56:$F59,AX$21)+COUNTIF($F56:$F59,$A$3))</f>
        <v>0</v>
      </c>
      <c r="BD59" s="65" t="n">
        <f aca="false">IF($B59="","",COUNTIF($B56:$B59,BD$21)+COUNTIF($B56:$B59,$A$3))</f>
        <v>1</v>
      </c>
      <c r="BE59" s="52" t="n">
        <f aca="false">IF($C59="","",COUNTIF($C56:$C59,BD$21)+COUNTIF($C56:$C59,$A$3))</f>
        <v>1</v>
      </c>
      <c r="BF59" s="52" t="n">
        <f aca="false">IF($D59="","",COUNTIF($D56:$D59,BD$21)+COUNTIF($D56:$D59,$A$3))</f>
        <v>0</v>
      </c>
      <c r="BG59" s="52" t="n">
        <f aca="false">IF($E59="","",COUNTIF($E56:$E59,BD$21)+COUNTIF($E56:$E59,$A$3))</f>
        <v>0</v>
      </c>
      <c r="BH59" s="53" t="n">
        <f aca="false">IF($F59="","",COUNTIF($F56:$F59,BD$21)+COUNTIF($F56:$F59,$A$3))</f>
        <v>1</v>
      </c>
      <c r="BJ59" s="65" t="n">
        <f aca="false">IF($B59="","",COUNTIF($B56:$B59,BJ$21)+COUNTIF($B56:$B59,$A$3))</f>
        <v>0</v>
      </c>
      <c r="BK59" s="52" t="n">
        <f aca="false">IF($C59="","",COUNTIF($C56:$C59,BJ$21)+COUNTIF($C56:$C59,$A$3))</f>
        <v>0</v>
      </c>
      <c r="BL59" s="52" t="n">
        <f aca="false">IF($D59="","",COUNTIF($D56:$D59,BJ$21)+COUNTIF($D56:$D59,$A$3))</f>
        <v>0</v>
      </c>
      <c r="BM59" s="52" t="n">
        <f aca="false">IF($E59="","",COUNTIF($E56:$E59,BJ$21)+COUNTIF($E56:$E59,$A$3))</f>
        <v>0</v>
      </c>
      <c r="BN59" s="53" t="n">
        <f aca="false">IF($F59="","",COUNTIF($F56:$F59,BJ$21)+COUNTIF($F56:$F59,$A$3))</f>
        <v>0</v>
      </c>
      <c r="BP59" s="65" t="n">
        <f aca="false">IF($B59="","",COUNTIF($B56:$B59,BP$21)+COUNTIF($B56:$B59,$A$3))</f>
        <v>0</v>
      </c>
      <c r="BQ59" s="52" t="n">
        <f aca="false">IF($C59="","",COUNTIF($C56:$C59,BP$21)+COUNTIF($C56:$C59,$A$3))</f>
        <v>0</v>
      </c>
      <c r="BR59" s="52" t="n">
        <f aca="false">IF($D59="","",COUNTIF($D56:$D59,BP$21)+COUNTIF($D56:$D59,$A$3))</f>
        <v>0</v>
      </c>
      <c r="BS59" s="52" t="n">
        <f aca="false">IF($E59="","",COUNTIF($E56:$E59,BP$21)+COUNTIF($E56:$E59,$A$3))</f>
        <v>0</v>
      </c>
      <c r="BT59" s="53" t="n">
        <f aca="false">IF($F59="","",COUNTIF($F56:$F59,BP$21)+COUNTIF($F56:$F59,$A$3))</f>
        <v>0</v>
      </c>
    </row>
    <row r="60" customFormat="false" ht="15" hidden="false" customHeight="false" outlineLevel="0" collapsed="false">
      <c r="A60" s="13" t="n">
        <v>38</v>
      </c>
      <c r="B60" s="116" t="n">
        <f aca="false">IF('Game Info'!J43="","",'Game Info'!J43)</f>
        <v>9</v>
      </c>
      <c r="C60" s="116" t="str">
        <f aca="false">IF('Game Info'!K43="","",'Game Info'!K43)</f>
        <v>Q</v>
      </c>
      <c r="D60" s="116" t="n">
        <f aca="false">IF('Game Info'!L43="","",'Game Info'!L43)</f>
        <v>10</v>
      </c>
      <c r="E60" s="116" t="n">
        <f aca="false">IF('Game Info'!M43="","",'Game Info'!M43)</f>
        <v>9</v>
      </c>
      <c r="F60" s="117" t="str">
        <f aca="false">IF('Game Info'!N43="","",'Game Info'!N43)</f>
        <v>SYM3</v>
      </c>
      <c r="H60" s="65" t="n">
        <f aca="false">IF($B60="","",COUNTIF($B57:$B60,H$21)+COUNTIF($B57:$B60,$A$3))</f>
        <v>0</v>
      </c>
      <c r="I60" s="52" t="n">
        <f aca="false">IF($C60="","",COUNTIF($C57:$C60,H$21)+COUNTIF($C57:$C60,$A$3))</f>
        <v>0</v>
      </c>
      <c r="J60" s="52" t="n">
        <f aca="false">IF($D60="","",COUNTIF($D57:$D60,H$21)+COUNTIF($D57:$D60,$A$3))</f>
        <v>0</v>
      </c>
      <c r="K60" s="52" t="n">
        <f aca="false">IF($E60="","",COUNTIF($E57:$E60,H$21)+COUNTIF($E57:$E60,$A$3))</f>
        <v>0</v>
      </c>
      <c r="L60" s="53" t="n">
        <f aca="false">IF($F60="","",COUNTIF($F57:$F60,H$21)+COUNTIF($F57:$F60,$A$3))</f>
        <v>1</v>
      </c>
      <c r="N60" s="65" t="n">
        <f aca="false">IF($B60="","",COUNTIF($B57:$B60,N$21)+COUNTIF($B57:$B60,$A$3))</f>
        <v>2</v>
      </c>
      <c r="O60" s="52" t="n">
        <f aca="false">IF($C60="","",COUNTIF($C57:$C60,N$21)+COUNTIF($C57:$C60,$A$3))</f>
        <v>3</v>
      </c>
      <c r="P60" s="52" t="n">
        <f aca="false">IF($D60="","",COUNTIF($D57:$D60,N$21)+COUNTIF($D57:$D60,$A$3))</f>
        <v>0</v>
      </c>
      <c r="Q60" s="52" t="n">
        <f aca="false">IF($E60="","",COUNTIF($E57:$E60,N$21)+COUNTIF($E57:$E60,$A$3))</f>
        <v>1</v>
      </c>
      <c r="R60" s="53" t="n">
        <f aca="false">IF($F60="","",COUNTIF($F57:$F60,N$21)+COUNTIF($F57:$F60,$A$3))</f>
        <v>0</v>
      </c>
      <c r="T60" s="65" t="n">
        <f aca="false">IF($B60="","",COUNTIF($B57:$B60,T$21)+COUNTIF($B57:$B60,$A$3))</f>
        <v>0</v>
      </c>
      <c r="U60" s="52" t="n">
        <f aca="false">IF($C60="","",COUNTIF($C57:$C60,T$21)+COUNTIF($C57:$C60,$A$3))</f>
        <v>0</v>
      </c>
      <c r="V60" s="52" t="n">
        <f aca="false">IF($D60="","",COUNTIF($D57:$D60,T$21)+COUNTIF($D57:$D60,$A$3))</f>
        <v>3</v>
      </c>
      <c r="W60" s="52" t="n">
        <f aca="false">IF($E60="","",COUNTIF($E57:$E60,T$21)+COUNTIF($E57:$E60,$A$3))</f>
        <v>0</v>
      </c>
      <c r="X60" s="53" t="n">
        <f aca="false">IF($F60="","",COUNTIF($F57:$F60,T$21)+COUNTIF($F57:$F60,$A$3))</f>
        <v>1</v>
      </c>
      <c r="Z60" s="65" t="n">
        <f aca="false">IF($B60="","",COUNTIF($B57:$B60,Z$21)+COUNTIF($B57:$B60,$A$3))</f>
        <v>0</v>
      </c>
      <c r="AA60" s="52" t="n">
        <f aca="false">IF($C60="","",COUNTIF($C57:$C60,Z$21)+COUNTIF($C57:$C60,$A$3))</f>
        <v>0</v>
      </c>
      <c r="AB60" s="52" t="n">
        <f aca="false">IF($D60="","",COUNTIF($D57:$D60,Z$21)+COUNTIF($D57:$D60,$A$3))</f>
        <v>0</v>
      </c>
      <c r="AC60" s="52" t="n">
        <f aca="false">IF($E60="","",COUNTIF($E57:$E60,Z$21)+COUNTIF($E57:$E60,$A$3))</f>
        <v>0</v>
      </c>
      <c r="AD60" s="53" t="n">
        <f aca="false">IF($F60="","",COUNTIF($F57:$F60,Z$21)+COUNTIF($F57:$F60,$A$3))</f>
        <v>0</v>
      </c>
      <c r="AF60" s="65" t="n">
        <f aca="false">IF($B60="","",COUNTIF($B57:$B60,AF$21)+COUNTIF($B57:$B60,$A$3))</f>
        <v>0</v>
      </c>
      <c r="AG60" s="52" t="n">
        <f aca="false">IF($C60="","",COUNTIF($C57:$C60,AF$21)+COUNTIF($C57:$C60,$A$3))</f>
        <v>0</v>
      </c>
      <c r="AH60" s="52" t="n">
        <f aca="false">IF($D60="","",COUNTIF($D57:$D60,AF$21)+COUNTIF($D57:$D60,$A$3))</f>
        <v>0</v>
      </c>
      <c r="AI60" s="52" t="n">
        <f aca="false">IF($E60="","",COUNTIF($E57:$E60,AF$21)+COUNTIF($E57:$E60,$A$3))</f>
        <v>1</v>
      </c>
      <c r="AJ60" s="53" t="n">
        <f aca="false">IF($F60="","",COUNTIF($F57:$F60,AF$21)+COUNTIF($F57:$F60,$A$3))</f>
        <v>0</v>
      </c>
      <c r="AL60" s="65" t="n">
        <f aca="false">IF($B60="","",COUNTIF($B57:$B60,AL$21)+COUNTIF($B57:$B60,$A$3))</f>
        <v>0</v>
      </c>
      <c r="AM60" s="52" t="n">
        <f aca="false">IF($C60="","",COUNTIF($C57:$C60,AL$21)+COUNTIF($C57:$C60,$A$3))</f>
        <v>0</v>
      </c>
      <c r="AN60" s="52" t="n">
        <f aca="false">IF($D60="","",COUNTIF($D57:$D60,AL$21)+COUNTIF($D57:$D60,$A$3))</f>
        <v>0</v>
      </c>
      <c r="AO60" s="52" t="n">
        <f aca="false">IF($E60="","",COUNTIF($E57:$E60,AL$21)+COUNTIF($E57:$E60,$A$3))</f>
        <v>0</v>
      </c>
      <c r="AP60" s="53" t="n">
        <f aca="false">IF($F60="","",COUNTIF($F57:$F60,AL$21)+COUNTIF($F57:$F60,$A$3))</f>
        <v>0</v>
      </c>
      <c r="AR60" s="65" t="n">
        <f aca="false">IF($B60="","",COUNTIF($B57:$B60,AR$21)+COUNTIF($B57:$B60,$A$3))</f>
        <v>0</v>
      </c>
      <c r="AS60" s="52" t="n">
        <f aca="false">IF($C60="","",COUNTIF($C57:$C60,AR$21)+COUNTIF($C57:$C60,$A$3))</f>
        <v>0</v>
      </c>
      <c r="AT60" s="52" t="n">
        <f aca="false">IF($D60="","",COUNTIF($D57:$D60,AR$21)+COUNTIF($D57:$D60,$A$3))</f>
        <v>0</v>
      </c>
      <c r="AU60" s="52" t="n">
        <f aca="false">IF($E60="","",COUNTIF($E57:$E60,AR$21)+COUNTIF($E57:$E60,$A$3))</f>
        <v>0</v>
      </c>
      <c r="AV60" s="53" t="n">
        <f aca="false">IF($F60="","",COUNTIF($F57:$F60,AR$21)+COUNTIF($F57:$F60,$A$3))</f>
        <v>1</v>
      </c>
      <c r="AX60" s="65" t="n">
        <f aca="false">IF($B60="","",COUNTIF($B57:$B60,AX$21)+COUNTIF($B57:$B60,$A$3))</f>
        <v>0</v>
      </c>
      <c r="AY60" s="52" t="n">
        <f aca="false">IF($C60="","",COUNTIF($C57:$C60,AX$21)+COUNTIF($C57:$C60,$A$3))</f>
        <v>1</v>
      </c>
      <c r="AZ60" s="52" t="n">
        <f aca="false">IF($D60="","",COUNTIF($D57:$D60,AX$21)+COUNTIF($D57:$D60,$A$3))</f>
        <v>0</v>
      </c>
      <c r="BA60" s="52" t="n">
        <f aca="false">IF($E60="","",COUNTIF($E57:$E60,AX$21)+COUNTIF($E57:$E60,$A$3))</f>
        <v>1</v>
      </c>
      <c r="BB60" s="53" t="n">
        <f aca="false">IF($F60="","",COUNTIF($F57:$F60,AX$21)+COUNTIF($F57:$F60,$A$3))</f>
        <v>0</v>
      </c>
      <c r="BD60" s="65" t="n">
        <f aca="false">IF($B60="","",COUNTIF($B57:$B60,BD$21)+COUNTIF($B57:$B60,$A$3))</f>
        <v>1</v>
      </c>
      <c r="BE60" s="52" t="n">
        <f aca="false">IF($C60="","",COUNTIF($C57:$C60,BD$21)+COUNTIF($C57:$C60,$A$3))</f>
        <v>0</v>
      </c>
      <c r="BF60" s="52" t="n">
        <f aca="false">IF($D60="","",COUNTIF($D57:$D60,BD$21)+COUNTIF($D57:$D60,$A$3))</f>
        <v>0</v>
      </c>
      <c r="BG60" s="52" t="n">
        <f aca="false">IF($E60="","",COUNTIF($E57:$E60,BD$21)+COUNTIF($E57:$E60,$A$3))</f>
        <v>0</v>
      </c>
      <c r="BH60" s="53" t="n">
        <f aca="false">IF($F60="","",COUNTIF($F57:$F60,BD$21)+COUNTIF($F57:$F60,$A$3))</f>
        <v>1</v>
      </c>
      <c r="BJ60" s="65" t="n">
        <f aca="false">IF($B60="","",COUNTIF($B57:$B60,BJ$21)+COUNTIF($B57:$B60,$A$3))</f>
        <v>0</v>
      </c>
      <c r="BK60" s="52" t="n">
        <f aca="false">IF($C60="","",COUNTIF($C57:$C60,BJ$21)+COUNTIF($C57:$C60,$A$3))</f>
        <v>0</v>
      </c>
      <c r="BL60" s="52" t="n">
        <f aca="false">IF($D60="","",COUNTIF($D57:$D60,BJ$21)+COUNTIF($D57:$D60,$A$3))</f>
        <v>1</v>
      </c>
      <c r="BM60" s="52" t="n">
        <f aca="false">IF($E60="","",COUNTIF($E57:$E60,BJ$21)+COUNTIF($E57:$E60,$A$3))</f>
        <v>0</v>
      </c>
      <c r="BN60" s="53" t="n">
        <f aca="false">IF($F60="","",COUNTIF($F57:$F60,BJ$21)+COUNTIF($F57:$F60,$A$3))</f>
        <v>0</v>
      </c>
      <c r="BP60" s="65" t="n">
        <f aca="false">IF($B60="","",COUNTIF($B57:$B60,BP$21)+COUNTIF($B57:$B60,$A$3))</f>
        <v>1</v>
      </c>
      <c r="BQ60" s="52" t="n">
        <f aca="false">IF($C60="","",COUNTIF($C57:$C60,BP$21)+COUNTIF($C57:$C60,$A$3))</f>
        <v>0</v>
      </c>
      <c r="BR60" s="52" t="n">
        <f aca="false">IF($D60="","",COUNTIF($D57:$D60,BP$21)+COUNTIF($D57:$D60,$A$3))</f>
        <v>0</v>
      </c>
      <c r="BS60" s="52" t="n">
        <f aca="false">IF($E60="","",COUNTIF($E57:$E60,BP$21)+COUNTIF($E57:$E60,$A$3))</f>
        <v>1</v>
      </c>
      <c r="BT60" s="53" t="n">
        <f aca="false">IF($F60="","",COUNTIF($F57:$F60,BP$21)+COUNTIF($F57:$F60,$A$3))</f>
        <v>0</v>
      </c>
    </row>
    <row r="61" customFormat="false" ht="15" hidden="false" customHeight="false" outlineLevel="0" collapsed="false">
      <c r="A61" s="13" t="n">
        <v>39</v>
      </c>
      <c r="B61" s="116" t="str">
        <f aca="false">IF('Game Info'!J44="","",'Game Info'!J44)</f>
        <v>K</v>
      </c>
      <c r="C61" s="116" t="str">
        <f aca="false">IF('Game Info'!K44="","",'Game Info'!K44)</f>
        <v>FG</v>
      </c>
      <c r="D61" s="116" t="str">
        <f aca="false">IF('Game Info'!L44="","",'Game Info'!L44)</f>
        <v>SYM1</v>
      </c>
      <c r="E61" s="116" t="str">
        <f aca="false">IF('Game Info'!M44="","",'Game Info'!M44)</f>
        <v>SYM1</v>
      </c>
      <c r="F61" s="117" t="n">
        <f aca="false">IF('Game Info'!N44="","",'Game Info'!N44)</f>
        <v>10</v>
      </c>
      <c r="H61" s="65" t="n">
        <f aca="false">IF($B61="","",COUNTIF($B58:$B61,H$21)+COUNTIF($B58:$B61,$A$3))</f>
        <v>0</v>
      </c>
      <c r="I61" s="52" t="n">
        <f aca="false">IF($C61="","",COUNTIF($C58:$C61,H$21)+COUNTIF($C58:$C61,$A$3))</f>
        <v>0</v>
      </c>
      <c r="J61" s="52" t="n">
        <f aca="false">IF($D61="","",COUNTIF($D58:$D61,H$21)+COUNTIF($D58:$D61,$A$3))</f>
        <v>1</v>
      </c>
      <c r="K61" s="52" t="n">
        <f aca="false">IF($E61="","",COUNTIF($E58:$E61,H$21)+COUNTIF($E58:$E61,$A$3))</f>
        <v>1</v>
      </c>
      <c r="L61" s="53" t="n">
        <f aca="false">IF($F61="","",COUNTIF($F58:$F61,H$21)+COUNTIF($F58:$F61,$A$3))</f>
        <v>1</v>
      </c>
      <c r="N61" s="65" t="n">
        <f aca="false">IF($B61="","",COUNTIF($B58:$B61,N$21)+COUNTIF($B58:$B61,$A$3))</f>
        <v>2</v>
      </c>
      <c r="O61" s="52" t="n">
        <f aca="false">IF($C61="","",COUNTIF($C58:$C61,N$21)+COUNTIF($C58:$C61,$A$3))</f>
        <v>2</v>
      </c>
      <c r="P61" s="52" t="n">
        <f aca="false">IF($D61="","",COUNTIF($D58:$D61,N$21)+COUNTIF($D58:$D61,$A$3))</f>
        <v>0</v>
      </c>
      <c r="Q61" s="52" t="n">
        <f aca="false">IF($E61="","",COUNTIF($E58:$E61,N$21)+COUNTIF($E58:$E61,$A$3))</f>
        <v>1</v>
      </c>
      <c r="R61" s="53" t="n">
        <f aca="false">IF($F61="","",COUNTIF($F58:$F61,N$21)+COUNTIF($F58:$F61,$A$3))</f>
        <v>0</v>
      </c>
      <c r="T61" s="65" t="n">
        <f aca="false">IF($B61="","",COUNTIF($B58:$B61,T$21)+COUNTIF($B58:$B61,$A$3))</f>
        <v>0</v>
      </c>
      <c r="U61" s="52" t="n">
        <f aca="false">IF($C61="","",COUNTIF($C58:$C61,T$21)+COUNTIF($C58:$C61,$A$3))</f>
        <v>0</v>
      </c>
      <c r="V61" s="52" t="n">
        <f aca="false">IF($D61="","",COUNTIF($D58:$D61,T$21)+COUNTIF($D58:$D61,$A$3))</f>
        <v>2</v>
      </c>
      <c r="W61" s="52" t="n">
        <f aca="false">IF($E61="","",COUNTIF($E58:$E61,T$21)+COUNTIF($E58:$E61,$A$3))</f>
        <v>0</v>
      </c>
      <c r="X61" s="53" t="n">
        <f aca="false">IF($F61="","",COUNTIF($F58:$F61,T$21)+COUNTIF($F58:$F61,$A$3))</f>
        <v>1</v>
      </c>
      <c r="Z61" s="65" t="n">
        <f aca="false">IF($B61="","",COUNTIF($B58:$B61,Z$21)+COUNTIF($B58:$B61,$A$3))</f>
        <v>0</v>
      </c>
      <c r="AA61" s="52" t="n">
        <f aca="false">IF($C61="","",COUNTIF($C58:$C61,Z$21)+COUNTIF($C58:$C61,$A$3))</f>
        <v>0</v>
      </c>
      <c r="AB61" s="52" t="n">
        <f aca="false">IF($D61="","",COUNTIF($D58:$D61,Z$21)+COUNTIF($D58:$D61,$A$3))</f>
        <v>0</v>
      </c>
      <c r="AC61" s="52" t="n">
        <f aca="false">IF($E61="","",COUNTIF($E58:$E61,Z$21)+COUNTIF($E58:$E61,$A$3))</f>
        <v>0</v>
      </c>
      <c r="AD61" s="53" t="n">
        <f aca="false">IF($F61="","",COUNTIF($F58:$F61,Z$21)+COUNTIF($F58:$F61,$A$3))</f>
        <v>0</v>
      </c>
      <c r="AF61" s="65" t="n">
        <f aca="false">IF($B61="","",COUNTIF($B58:$B61,AF$21)+COUNTIF($B58:$B61,$A$3))</f>
        <v>0</v>
      </c>
      <c r="AG61" s="52" t="n">
        <f aca="false">IF($C61="","",COUNTIF($C58:$C61,AF$21)+COUNTIF($C58:$C61,$A$3))</f>
        <v>0</v>
      </c>
      <c r="AH61" s="52" t="n">
        <f aca="false">IF($D61="","",COUNTIF($D58:$D61,AF$21)+COUNTIF($D58:$D61,$A$3))</f>
        <v>0</v>
      </c>
      <c r="AI61" s="52" t="n">
        <f aca="false">IF($E61="","",COUNTIF($E58:$E61,AF$21)+COUNTIF($E58:$E61,$A$3))</f>
        <v>0</v>
      </c>
      <c r="AJ61" s="53" t="n">
        <f aca="false">IF($F61="","",COUNTIF($F58:$F61,AF$21)+COUNTIF($F58:$F61,$A$3))</f>
        <v>0</v>
      </c>
      <c r="AL61" s="65" t="n">
        <f aca="false">IF($B61="","",COUNTIF($B58:$B61,AL$21)+COUNTIF($B58:$B61,$A$3))</f>
        <v>0</v>
      </c>
      <c r="AM61" s="52" t="n">
        <f aca="false">IF($C61="","",COUNTIF($C58:$C61,AL$21)+COUNTIF($C58:$C61,$A$3))</f>
        <v>0</v>
      </c>
      <c r="AN61" s="52" t="n">
        <f aca="false">IF($D61="","",COUNTIF($D58:$D61,AL$21)+COUNTIF($D58:$D61,$A$3))</f>
        <v>0</v>
      </c>
      <c r="AO61" s="52" t="n">
        <f aca="false">IF($E61="","",COUNTIF($E58:$E61,AL$21)+COUNTIF($E58:$E61,$A$3))</f>
        <v>0</v>
      </c>
      <c r="AP61" s="53" t="n">
        <f aca="false">IF($F61="","",COUNTIF($F58:$F61,AL$21)+COUNTIF($F58:$F61,$A$3))</f>
        <v>0</v>
      </c>
      <c r="AR61" s="65" t="n">
        <f aca="false">IF($B61="","",COUNTIF($B58:$B61,AR$21)+COUNTIF($B58:$B61,$A$3))</f>
        <v>1</v>
      </c>
      <c r="AS61" s="52" t="n">
        <f aca="false">IF($C61="","",COUNTIF($C58:$C61,AR$21)+COUNTIF($C58:$C61,$A$3))</f>
        <v>0</v>
      </c>
      <c r="AT61" s="52" t="n">
        <f aca="false">IF($D61="","",COUNTIF($D58:$D61,AR$21)+COUNTIF($D58:$D61,$A$3))</f>
        <v>0</v>
      </c>
      <c r="AU61" s="52" t="n">
        <f aca="false">IF($E61="","",COUNTIF($E58:$E61,AR$21)+COUNTIF($E58:$E61,$A$3))</f>
        <v>0</v>
      </c>
      <c r="AV61" s="53" t="n">
        <f aca="false">IF($F61="","",COUNTIF($F58:$F61,AR$21)+COUNTIF($F58:$F61,$A$3))</f>
        <v>1</v>
      </c>
      <c r="AX61" s="65" t="n">
        <f aca="false">IF($B61="","",COUNTIF($B58:$B61,AX$21)+COUNTIF($B58:$B61,$A$3))</f>
        <v>0</v>
      </c>
      <c r="AY61" s="52" t="n">
        <f aca="false">IF($C61="","",COUNTIF($C58:$C61,AX$21)+COUNTIF($C58:$C61,$A$3))</f>
        <v>1</v>
      </c>
      <c r="AZ61" s="52" t="n">
        <f aca="false">IF($D61="","",COUNTIF($D58:$D61,AX$21)+COUNTIF($D58:$D61,$A$3))</f>
        <v>0</v>
      </c>
      <c r="BA61" s="52" t="n">
        <f aca="false">IF($E61="","",COUNTIF($E58:$E61,AX$21)+COUNTIF($E58:$E61,$A$3))</f>
        <v>1</v>
      </c>
      <c r="BB61" s="53" t="n">
        <f aca="false">IF($F61="","",COUNTIF($F58:$F61,AX$21)+COUNTIF($F58:$F61,$A$3))</f>
        <v>0</v>
      </c>
      <c r="BD61" s="65" t="n">
        <f aca="false">IF($B61="","",COUNTIF($B58:$B61,BD$21)+COUNTIF($B58:$B61,$A$3))</f>
        <v>0</v>
      </c>
      <c r="BE61" s="52" t="n">
        <f aca="false">IF($C61="","",COUNTIF($C58:$C61,BD$21)+COUNTIF($C58:$C61,$A$3))</f>
        <v>0</v>
      </c>
      <c r="BF61" s="52" t="n">
        <f aca="false">IF($D61="","",COUNTIF($D58:$D61,BD$21)+COUNTIF($D58:$D61,$A$3))</f>
        <v>0</v>
      </c>
      <c r="BG61" s="52" t="n">
        <f aca="false">IF($E61="","",COUNTIF($E58:$E61,BD$21)+COUNTIF($E58:$E61,$A$3))</f>
        <v>0</v>
      </c>
      <c r="BH61" s="53" t="n">
        <f aca="false">IF($F61="","",COUNTIF($F58:$F61,BD$21)+COUNTIF($F58:$F61,$A$3))</f>
        <v>0</v>
      </c>
      <c r="BJ61" s="65" t="n">
        <f aca="false">IF($B61="","",COUNTIF($B58:$B61,BJ$21)+COUNTIF($B58:$B61,$A$3))</f>
        <v>0</v>
      </c>
      <c r="BK61" s="52" t="n">
        <f aca="false">IF($C61="","",COUNTIF($C58:$C61,BJ$21)+COUNTIF($C58:$C61,$A$3))</f>
        <v>0</v>
      </c>
      <c r="BL61" s="52" t="n">
        <f aca="false">IF($D61="","",COUNTIF($D58:$D61,BJ$21)+COUNTIF($D58:$D61,$A$3))</f>
        <v>1</v>
      </c>
      <c r="BM61" s="52" t="n">
        <f aca="false">IF($E61="","",COUNTIF($E58:$E61,BJ$21)+COUNTIF($E58:$E61,$A$3))</f>
        <v>0</v>
      </c>
      <c r="BN61" s="53" t="n">
        <f aca="false">IF($F61="","",COUNTIF($F58:$F61,BJ$21)+COUNTIF($F58:$F61,$A$3))</f>
        <v>1</v>
      </c>
      <c r="BP61" s="65" t="n">
        <f aca="false">IF($B61="","",COUNTIF($B58:$B61,BP$21)+COUNTIF($B58:$B61,$A$3))</f>
        <v>1</v>
      </c>
      <c r="BQ61" s="52" t="n">
        <f aca="false">IF($C61="","",COUNTIF($C58:$C61,BP$21)+COUNTIF($C58:$C61,$A$3))</f>
        <v>0</v>
      </c>
      <c r="BR61" s="52" t="n">
        <f aca="false">IF($D61="","",COUNTIF($D58:$D61,BP$21)+COUNTIF($D58:$D61,$A$3))</f>
        <v>0</v>
      </c>
      <c r="BS61" s="52" t="n">
        <f aca="false">IF($E61="","",COUNTIF($E58:$E61,BP$21)+COUNTIF($E58:$E61,$A$3))</f>
        <v>1</v>
      </c>
      <c r="BT61" s="53" t="n">
        <f aca="false">IF($F61="","",COUNTIF($F58:$F61,BP$21)+COUNTIF($F58:$F61,$A$3))</f>
        <v>0</v>
      </c>
    </row>
    <row r="62" customFormat="false" ht="15" hidden="false" customHeight="false" outlineLevel="0" collapsed="false">
      <c r="A62" s="13" t="n">
        <v>40</v>
      </c>
      <c r="B62" s="116" t="str">
        <f aca="false">IF('Game Info'!J45="","",'Game Info'!J45)</f>
        <v>SYM3</v>
      </c>
      <c r="C62" s="116" t="str">
        <f aca="false">IF('Game Info'!K45="","",'Game Info'!K45)</f>
        <v>A</v>
      </c>
      <c r="D62" s="116" t="str">
        <f aca="false">IF('Game Info'!L45="","",'Game Info'!L45)</f>
        <v>J</v>
      </c>
      <c r="E62" s="116" t="str">
        <f aca="false">IF('Game Info'!M45="","",'Game Info'!M45)</f>
        <v>Q</v>
      </c>
      <c r="F62" s="117" t="str">
        <f aca="false">IF('Game Info'!N45="","",'Game Info'!N45)</f>
        <v>K</v>
      </c>
      <c r="H62" s="65" t="n">
        <f aca="false">IF($B62="","",COUNTIF($B59:$B62,H$21)+COUNTIF($B59:$B62,$A$3))</f>
        <v>0</v>
      </c>
      <c r="I62" s="52" t="n">
        <f aca="false">IF($C62="","",COUNTIF($C59:$C62,H$21)+COUNTIF($C59:$C62,$A$3))</f>
        <v>0</v>
      </c>
      <c r="J62" s="52" t="n">
        <f aca="false">IF($D62="","",COUNTIF($D59:$D62,H$21)+COUNTIF($D59:$D62,$A$3))</f>
        <v>1</v>
      </c>
      <c r="K62" s="52" t="n">
        <f aca="false">IF($E62="","",COUNTIF($E59:$E62,H$21)+COUNTIF($E59:$E62,$A$3))</f>
        <v>1</v>
      </c>
      <c r="L62" s="53" t="n">
        <f aca="false">IF($F62="","",COUNTIF($F59:$F62,H$21)+COUNTIF($F59:$F62,$A$3))</f>
        <v>0</v>
      </c>
      <c r="N62" s="65" t="n">
        <f aca="false">IF($B62="","",COUNTIF($B59:$B62,N$21)+COUNTIF($B59:$B62,$A$3))</f>
        <v>1</v>
      </c>
      <c r="O62" s="52" t="n">
        <f aca="false">IF($C62="","",COUNTIF($C59:$C62,N$21)+COUNTIF($C59:$C62,$A$3))</f>
        <v>1</v>
      </c>
      <c r="P62" s="52" t="n">
        <f aca="false">IF($D62="","",COUNTIF($D59:$D62,N$21)+COUNTIF($D59:$D62,$A$3))</f>
        <v>0</v>
      </c>
      <c r="Q62" s="52" t="n">
        <f aca="false">IF($E62="","",COUNTIF($E59:$E62,N$21)+COUNTIF($E59:$E62,$A$3))</f>
        <v>1</v>
      </c>
      <c r="R62" s="53" t="n">
        <f aca="false">IF($F62="","",COUNTIF($F59:$F62,N$21)+COUNTIF($F59:$F62,$A$3))</f>
        <v>0</v>
      </c>
      <c r="T62" s="65" t="n">
        <f aca="false">IF($B62="","",COUNTIF($B59:$B62,T$21)+COUNTIF($B59:$B62,$A$3))</f>
        <v>1</v>
      </c>
      <c r="U62" s="52" t="n">
        <f aca="false">IF($C62="","",COUNTIF($C59:$C62,T$21)+COUNTIF($C59:$C62,$A$3))</f>
        <v>0</v>
      </c>
      <c r="V62" s="52" t="n">
        <f aca="false">IF($D62="","",COUNTIF($D59:$D62,T$21)+COUNTIF($D59:$D62,$A$3))</f>
        <v>1</v>
      </c>
      <c r="W62" s="52" t="n">
        <f aca="false">IF($E62="","",COUNTIF($E59:$E62,T$21)+COUNTIF($E59:$E62,$A$3))</f>
        <v>0</v>
      </c>
      <c r="X62" s="53" t="n">
        <f aca="false">IF($F62="","",COUNTIF($F59:$F62,T$21)+COUNTIF($F59:$F62,$A$3))</f>
        <v>1</v>
      </c>
      <c r="Z62" s="65" t="n">
        <f aca="false">IF($B62="","",COUNTIF($B59:$B62,Z$21)+COUNTIF($B59:$B62,$A$3))</f>
        <v>0</v>
      </c>
      <c r="AA62" s="52" t="n">
        <f aca="false">IF($C62="","",COUNTIF($C59:$C62,Z$21)+COUNTIF($C59:$C62,$A$3))</f>
        <v>0</v>
      </c>
      <c r="AB62" s="52" t="n">
        <f aca="false">IF($D62="","",COUNTIF($D59:$D62,Z$21)+COUNTIF($D59:$D62,$A$3))</f>
        <v>0</v>
      </c>
      <c r="AC62" s="52" t="n">
        <f aca="false">IF($E62="","",COUNTIF($E59:$E62,Z$21)+COUNTIF($E59:$E62,$A$3))</f>
        <v>0</v>
      </c>
      <c r="AD62" s="53" t="n">
        <f aca="false">IF($F62="","",COUNTIF($F59:$F62,Z$21)+COUNTIF($F59:$F62,$A$3))</f>
        <v>0</v>
      </c>
      <c r="AF62" s="65" t="n">
        <f aca="false">IF($B62="","",COUNTIF($B59:$B62,AF$21)+COUNTIF($B59:$B62,$A$3))</f>
        <v>0</v>
      </c>
      <c r="AG62" s="52" t="n">
        <f aca="false">IF($C62="","",COUNTIF($C59:$C62,AF$21)+COUNTIF($C59:$C62,$A$3))</f>
        <v>0</v>
      </c>
      <c r="AH62" s="52" t="n">
        <f aca="false">IF($D62="","",COUNTIF($D59:$D62,AF$21)+COUNTIF($D59:$D62,$A$3))</f>
        <v>0</v>
      </c>
      <c r="AI62" s="52" t="n">
        <f aca="false">IF($E62="","",COUNTIF($E59:$E62,AF$21)+COUNTIF($E59:$E62,$A$3))</f>
        <v>0</v>
      </c>
      <c r="AJ62" s="53" t="n">
        <f aca="false">IF($F62="","",COUNTIF($F59:$F62,AF$21)+COUNTIF($F59:$F62,$A$3))</f>
        <v>0</v>
      </c>
      <c r="AL62" s="65" t="n">
        <f aca="false">IF($B62="","",COUNTIF($B59:$B62,AL$21)+COUNTIF($B59:$B62,$A$3))</f>
        <v>0</v>
      </c>
      <c r="AM62" s="52" t="n">
        <f aca="false">IF($C62="","",COUNTIF($C59:$C62,AL$21)+COUNTIF($C59:$C62,$A$3))</f>
        <v>1</v>
      </c>
      <c r="AN62" s="52" t="n">
        <f aca="false">IF($D62="","",COUNTIF($D59:$D62,AL$21)+COUNTIF($D59:$D62,$A$3))</f>
        <v>0</v>
      </c>
      <c r="AO62" s="52" t="n">
        <f aca="false">IF($E62="","",COUNTIF($E59:$E62,AL$21)+COUNTIF($E59:$E62,$A$3))</f>
        <v>0</v>
      </c>
      <c r="AP62" s="53" t="n">
        <f aca="false">IF($F62="","",COUNTIF($F59:$F62,AL$21)+COUNTIF($F59:$F62,$A$3))</f>
        <v>0</v>
      </c>
      <c r="AR62" s="65" t="n">
        <f aca="false">IF($B62="","",COUNTIF($B59:$B62,AR$21)+COUNTIF($B59:$B62,$A$3))</f>
        <v>1</v>
      </c>
      <c r="AS62" s="52" t="n">
        <f aca="false">IF($C62="","",COUNTIF($C59:$C62,AR$21)+COUNTIF($C59:$C62,$A$3))</f>
        <v>0</v>
      </c>
      <c r="AT62" s="52" t="n">
        <f aca="false">IF($D62="","",COUNTIF($D59:$D62,AR$21)+COUNTIF($D59:$D62,$A$3))</f>
        <v>0</v>
      </c>
      <c r="AU62" s="52" t="n">
        <f aca="false">IF($E62="","",COUNTIF($E59:$E62,AR$21)+COUNTIF($E59:$E62,$A$3))</f>
        <v>0</v>
      </c>
      <c r="AV62" s="53" t="n">
        <f aca="false">IF($F62="","",COUNTIF($F59:$F62,AR$21)+COUNTIF($F59:$F62,$A$3))</f>
        <v>2</v>
      </c>
      <c r="AX62" s="65" t="n">
        <f aca="false">IF($B62="","",COUNTIF($B59:$B62,AX$21)+COUNTIF($B59:$B62,$A$3))</f>
        <v>0</v>
      </c>
      <c r="AY62" s="52" t="n">
        <f aca="false">IF($C62="","",COUNTIF($C59:$C62,AX$21)+COUNTIF($C59:$C62,$A$3))</f>
        <v>1</v>
      </c>
      <c r="AZ62" s="52" t="n">
        <f aca="false">IF($D62="","",COUNTIF($D59:$D62,AX$21)+COUNTIF($D59:$D62,$A$3))</f>
        <v>0</v>
      </c>
      <c r="BA62" s="52" t="n">
        <f aca="false">IF($E62="","",COUNTIF($E59:$E62,AX$21)+COUNTIF($E59:$E62,$A$3))</f>
        <v>1</v>
      </c>
      <c r="BB62" s="53" t="n">
        <f aca="false">IF($F62="","",COUNTIF($F59:$F62,AX$21)+COUNTIF($F59:$F62,$A$3))</f>
        <v>0</v>
      </c>
      <c r="BD62" s="65" t="n">
        <f aca="false">IF($B62="","",COUNTIF($B59:$B62,BD$21)+COUNTIF($B59:$B62,$A$3))</f>
        <v>0</v>
      </c>
      <c r="BE62" s="52" t="n">
        <f aca="false">IF($C62="","",COUNTIF($C59:$C62,BD$21)+COUNTIF($C59:$C62,$A$3))</f>
        <v>0</v>
      </c>
      <c r="BF62" s="52" t="n">
        <f aca="false">IF($D62="","",COUNTIF($D59:$D62,BD$21)+COUNTIF($D59:$D62,$A$3))</f>
        <v>1</v>
      </c>
      <c r="BG62" s="52" t="n">
        <f aca="false">IF($E62="","",COUNTIF($E59:$E62,BD$21)+COUNTIF($E59:$E62,$A$3))</f>
        <v>0</v>
      </c>
      <c r="BH62" s="53" t="n">
        <f aca="false">IF($F62="","",COUNTIF($F59:$F62,BD$21)+COUNTIF($F59:$F62,$A$3))</f>
        <v>0</v>
      </c>
      <c r="BJ62" s="65" t="n">
        <f aca="false">IF($B62="","",COUNTIF($B59:$B62,BJ$21)+COUNTIF($B59:$B62,$A$3))</f>
        <v>0</v>
      </c>
      <c r="BK62" s="52" t="n">
        <f aca="false">IF($C62="","",COUNTIF($C59:$C62,BJ$21)+COUNTIF($C59:$C62,$A$3))</f>
        <v>0</v>
      </c>
      <c r="BL62" s="52" t="n">
        <f aca="false">IF($D62="","",COUNTIF($D59:$D62,BJ$21)+COUNTIF($D59:$D62,$A$3))</f>
        <v>1</v>
      </c>
      <c r="BM62" s="52" t="n">
        <f aca="false">IF($E62="","",COUNTIF($E59:$E62,BJ$21)+COUNTIF($E59:$E62,$A$3))</f>
        <v>0</v>
      </c>
      <c r="BN62" s="53" t="n">
        <f aca="false">IF($F62="","",COUNTIF($F59:$F62,BJ$21)+COUNTIF($F59:$F62,$A$3))</f>
        <v>1</v>
      </c>
      <c r="BP62" s="65" t="n">
        <f aca="false">IF($B62="","",COUNTIF($B59:$B62,BP$21)+COUNTIF($B59:$B62,$A$3))</f>
        <v>1</v>
      </c>
      <c r="BQ62" s="52" t="n">
        <f aca="false">IF($C62="","",COUNTIF($C59:$C62,BP$21)+COUNTIF($C59:$C62,$A$3))</f>
        <v>0</v>
      </c>
      <c r="BR62" s="52" t="n">
        <f aca="false">IF($D62="","",COUNTIF($D59:$D62,BP$21)+COUNTIF($D59:$D62,$A$3))</f>
        <v>0</v>
      </c>
      <c r="BS62" s="52" t="n">
        <f aca="false">IF($E62="","",COUNTIF($E59:$E62,BP$21)+COUNTIF($E59:$E62,$A$3))</f>
        <v>1</v>
      </c>
      <c r="BT62" s="53" t="n">
        <f aca="false">IF($F62="","",COUNTIF($F59:$F62,BP$21)+COUNTIF($F59:$F62,$A$3))</f>
        <v>0</v>
      </c>
    </row>
    <row r="63" customFormat="false" ht="15" hidden="false" customHeight="false" outlineLevel="0" collapsed="false">
      <c r="A63" s="13" t="n">
        <v>41</v>
      </c>
      <c r="B63" s="116" t="str">
        <f aca="false">IF('Game Info'!J46="","",'Game Info'!J46)</f>
        <v>SYM3</v>
      </c>
      <c r="C63" s="116" t="str">
        <f aca="false">IF('Game Info'!K46="","",'Game Info'!K46)</f>
        <v>Q</v>
      </c>
      <c r="D63" s="116" t="str">
        <f aca="false">IF('Game Info'!L46="","",'Game Info'!L46)</f>
        <v>WILD</v>
      </c>
      <c r="E63" s="116" t="str">
        <f aca="false">IF('Game Info'!M46="","",'Game Info'!M46)</f>
        <v>SYM4</v>
      </c>
      <c r="F63" s="117" t="str">
        <f aca="false">IF('Game Info'!N46="","",'Game Info'!N46)</f>
        <v>SYM1</v>
      </c>
      <c r="H63" s="65" t="n">
        <f aca="false">IF($B63="","",COUNTIF($B60:$B63,H$21)+COUNTIF($B60:$B63,$A$3))</f>
        <v>0</v>
      </c>
      <c r="I63" s="52" t="n">
        <f aca="false">IF($C63="","",COUNTIF($C60:$C63,H$21)+COUNTIF($C60:$C63,$A$3))</f>
        <v>0</v>
      </c>
      <c r="J63" s="52" t="n">
        <f aca="false">IF($D63="","",COUNTIF($D60:$D63,H$21)+COUNTIF($D60:$D63,$A$3))</f>
        <v>2</v>
      </c>
      <c r="K63" s="52" t="n">
        <f aca="false">IF($E63="","",COUNTIF($E60:$E63,H$21)+COUNTIF($E60:$E63,$A$3))</f>
        <v>1</v>
      </c>
      <c r="L63" s="53" t="n">
        <f aca="false">IF($F63="","",COUNTIF($F60:$F63,H$21)+COUNTIF($F60:$F63,$A$3))</f>
        <v>1</v>
      </c>
      <c r="N63" s="65" t="n">
        <f aca="false">IF($B63="","",COUNTIF($B60:$B63,N$21)+COUNTIF($B60:$B63,$A$3))</f>
        <v>0</v>
      </c>
      <c r="O63" s="52" t="n">
        <f aca="false">IF($C63="","",COUNTIF($C60:$C63,N$21)+COUNTIF($C60:$C63,$A$3))</f>
        <v>0</v>
      </c>
      <c r="P63" s="52" t="n">
        <f aca="false">IF($D63="","",COUNTIF($D60:$D63,N$21)+COUNTIF($D60:$D63,$A$3))</f>
        <v>1</v>
      </c>
      <c r="Q63" s="52" t="n">
        <f aca="false">IF($E63="","",COUNTIF($E60:$E63,N$21)+COUNTIF($E60:$E63,$A$3))</f>
        <v>0</v>
      </c>
      <c r="R63" s="53" t="n">
        <f aca="false">IF($F63="","",COUNTIF($F60:$F63,N$21)+COUNTIF($F60:$F63,$A$3))</f>
        <v>0</v>
      </c>
      <c r="T63" s="65" t="n">
        <f aca="false">IF($B63="","",COUNTIF($B60:$B63,T$21)+COUNTIF($B60:$B63,$A$3))</f>
        <v>2</v>
      </c>
      <c r="U63" s="52" t="n">
        <f aca="false">IF($C63="","",COUNTIF($C60:$C63,T$21)+COUNTIF($C60:$C63,$A$3))</f>
        <v>0</v>
      </c>
      <c r="V63" s="52" t="n">
        <f aca="false">IF($D63="","",COUNTIF($D60:$D63,T$21)+COUNTIF($D60:$D63,$A$3))</f>
        <v>1</v>
      </c>
      <c r="W63" s="52" t="n">
        <f aca="false">IF($E63="","",COUNTIF($E60:$E63,T$21)+COUNTIF($E60:$E63,$A$3))</f>
        <v>0</v>
      </c>
      <c r="X63" s="53" t="n">
        <f aca="false">IF($F63="","",COUNTIF($F60:$F63,T$21)+COUNTIF($F60:$F63,$A$3))</f>
        <v>1</v>
      </c>
      <c r="Z63" s="65" t="n">
        <f aca="false">IF($B63="","",COUNTIF($B60:$B63,Z$21)+COUNTIF($B60:$B63,$A$3))</f>
        <v>0</v>
      </c>
      <c r="AA63" s="52" t="n">
        <f aca="false">IF($C63="","",COUNTIF($C60:$C63,Z$21)+COUNTIF($C60:$C63,$A$3))</f>
        <v>0</v>
      </c>
      <c r="AB63" s="52" t="n">
        <f aca="false">IF($D63="","",COUNTIF($D60:$D63,Z$21)+COUNTIF($D60:$D63,$A$3))</f>
        <v>1</v>
      </c>
      <c r="AC63" s="52" t="n">
        <f aca="false">IF($E63="","",COUNTIF($E60:$E63,Z$21)+COUNTIF($E60:$E63,$A$3))</f>
        <v>1</v>
      </c>
      <c r="AD63" s="53" t="n">
        <f aca="false">IF($F63="","",COUNTIF($F60:$F63,Z$21)+COUNTIF($F60:$F63,$A$3))</f>
        <v>0</v>
      </c>
      <c r="AF63" s="65" t="n">
        <f aca="false">IF($B63="","",COUNTIF($B60:$B63,AF$21)+COUNTIF($B60:$B63,$A$3))</f>
        <v>0</v>
      </c>
      <c r="AG63" s="52" t="n">
        <f aca="false">IF($C63="","",COUNTIF($C60:$C63,AF$21)+COUNTIF($C60:$C63,$A$3))</f>
        <v>0</v>
      </c>
      <c r="AH63" s="52" t="n">
        <f aca="false">IF($D63="","",COUNTIF($D60:$D63,AF$21)+COUNTIF($D60:$D63,$A$3))</f>
        <v>1</v>
      </c>
      <c r="AI63" s="52" t="n">
        <f aca="false">IF($E63="","",COUNTIF($E60:$E63,AF$21)+COUNTIF($E60:$E63,$A$3))</f>
        <v>0</v>
      </c>
      <c r="AJ63" s="53" t="n">
        <f aca="false">IF($F63="","",COUNTIF($F60:$F63,AF$21)+COUNTIF($F60:$F63,$A$3))</f>
        <v>0</v>
      </c>
      <c r="AL63" s="65" t="n">
        <f aca="false">IF($B63="","",COUNTIF($B60:$B63,AL$21)+COUNTIF($B60:$B63,$A$3))</f>
        <v>0</v>
      </c>
      <c r="AM63" s="52" t="n">
        <f aca="false">IF($C63="","",COUNTIF($C60:$C63,AL$21)+COUNTIF($C60:$C63,$A$3))</f>
        <v>1</v>
      </c>
      <c r="AN63" s="52" t="n">
        <f aca="false">IF($D63="","",COUNTIF($D60:$D63,AL$21)+COUNTIF($D60:$D63,$A$3))</f>
        <v>1</v>
      </c>
      <c r="AO63" s="52" t="n">
        <f aca="false">IF($E63="","",COUNTIF($E60:$E63,AL$21)+COUNTIF($E60:$E63,$A$3))</f>
        <v>0</v>
      </c>
      <c r="AP63" s="53" t="n">
        <f aca="false">IF($F63="","",COUNTIF($F60:$F63,AL$21)+COUNTIF($F60:$F63,$A$3))</f>
        <v>0</v>
      </c>
      <c r="AR63" s="65" t="n">
        <f aca="false">IF($B63="","",COUNTIF($B60:$B63,AR$21)+COUNTIF($B60:$B63,$A$3))</f>
        <v>1</v>
      </c>
      <c r="AS63" s="52" t="n">
        <f aca="false">IF($C63="","",COUNTIF($C60:$C63,AR$21)+COUNTIF($C60:$C63,$A$3))</f>
        <v>0</v>
      </c>
      <c r="AT63" s="52" t="n">
        <f aca="false">IF($D63="","",COUNTIF($D60:$D63,AR$21)+COUNTIF($D60:$D63,$A$3))</f>
        <v>1</v>
      </c>
      <c r="AU63" s="52" t="n">
        <f aca="false">IF($E63="","",COUNTIF($E60:$E63,AR$21)+COUNTIF($E60:$E63,$A$3))</f>
        <v>0</v>
      </c>
      <c r="AV63" s="53" t="n">
        <f aca="false">IF($F63="","",COUNTIF($F60:$F63,AR$21)+COUNTIF($F60:$F63,$A$3))</f>
        <v>1</v>
      </c>
      <c r="AX63" s="65" t="n">
        <f aca="false">IF($B63="","",COUNTIF($B60:$B63,AX$21)+COUNTIF($B60:$B63,$A$3))</f>
        <v>0</v>
      </c>
      <c r="AY63" s="52" t="n">
        <f aca="false">IF($C63="","",COUNTIF($C60:$C63,AX$21)+COUNTIF($C60:$C63,$A$3))</f>
        <v>2</v>
      </c>
      <c r="AZ63" s="52" t="n">
        <f aca="false">IF($D63="","",COUNTIF($D60:$D63,AX$21)+COUNTIF($D60:$D63,$A$3))</f>
        <v>1</v>
      </c>
      <c r="BA63" s="52" t="n">
        <f aca="false">IF($E63="","",COUNTIF($E60:$E63,AX$21)+COUNTIF($E60:$E63,$A$3))</f>
        <v>1</v>
      </c>
      <c r="BB63" s="53" t="n">
        <f aca="false">IF($F63="","",COUNTIF($F60:$F63,AX$21)+COUNTIF($F60:$F63,$A$3))</f>
        <v>0</v>
      </c>
      <c r="BD63" s="65" t="n">
        <f aca="false">IF($B63="","",COUNTIF($B60:$B63,BD$21)+COUNTIF($B60:$B63,$A$3))</f>
        <v>0</v>
      </c>
      <c r="BE63" s="52" t="n">
        <f aca="false">IF($C63="","",COUNTIF($C60:$C63,BD$21)+COUNTIF($C60:$C63,$A$3))</f>
        <v>0</v>
      </c>
      <c r="BF63" s="52" t="n">
        <f aca="false">IF($D63="","",COUNTIF($D60:$D63,BD$21)+COUNTIF($D60:$D63,$A$3))</f>
        <v>2</v>
      </c>
      <c r="BG63" s="52" t="n">
        <f aca="false">IF($E63="","",COUNTIF($E60:$E63,BD$21)+COUNTIF($E60:$E63,$A$3))</f>
        <v>0</v>
      </c>
      <c r="BH63" s="53" t="n">
        <f aca="false">IF($F63="","",COUNTIF($F60:$F63,BD$21)+COUNTIF($F60:$F63,$A$3))</f>
        <v>0</v>
      </c>
      <c r="BJ63" s="65" t="n">
        <f aca="false">IF($B63="","",COUNTIF($B60:$B63,BJ$21)+COUNTIF($B60:$B63,$A$3))</f>
        <v>0</v>
      </c>
      <c r="BK63" s="52" t="n">
        <f aca="false">IF($C63="","",COUNTIF($C60:$C63,BJ$21)+COUNTIF($C60:$C63,$A$3))</f>
        <v>0</v>
      </c>
      <c r="BL63" s="52" t="n">
        <f aca="false">IF($D63="","",COUNTIF($D60:$D63,BJ$21)+COUNTIF($D60:$D63,$A$3))</f>
        <v>2</v>
      </c>
      <c r="BM63" s="52" t="n">
        <f aca="false">IF($E63="","",COUNTIF($E60:$E63,BJ$21)+COUNTIF($E60:$E63,$A$3))</f>
        <v>0</v>
      </c>
      <c r="BN63" s="53" t="n">
        <f aca="false">IF($F63="","",COUNTIF($F60:$F63,BJ$21)+COUNTIF($F60:$F63,$A$3))</f>
        <v>1</v>
      </c>
      <c r="BP63" s="65" t="n">
        <f aca="false">IF($B63="","",COUNTIF($B60:$B63,BP$21)+COUNTIF($B60:$B63,$A$3))</f>
        <v>1</v>
      </c>
      <c r="BQ63" s="52" t="n">
        <f aca="false">IF($C63="","",COUNTIF($C60:$C63,BP$21)+COUNTIF($C60:$C63,$A$3))</f>
        <v>0</v>
      </c>
      <c r="BR63" s="52" t="n">
        <f aca="false">IF($D63="","",COUNTIF($D60:$D63,BP$21)+COUNTIF($D60:$D63,$A$3))</f>
        <v>1</v>
      </c>
      <c r="BS63" s="52" t="n">
        <f aca="false">IF($E63="","",COUNTIF($E60:$E63,BP$21)+COUNTIF($E60:$E63,$A$3))</f>
        <v>1</v>
      </c>
      <c r="BT63" s="53" t="n">
        <f aca="false">IF($F63="","",COUNTIF($F60:$F63,BP$21)+COUNTIF($F60:$F63,$A$3))</f>
        <v>0</v>
      </c>
    </row>
    <row r="64" customFormat="false" ht="15" hidden="false" customHeight="false" outlineLevel="0" collapsed="false">
      <c r="A64" s="13" t="n">
        <v>42</v>
      </c>
      <c r="B64" s="116" t="n">
        <f aca="false">IF('Game Info'!J47="","",'Game Info'!J47)</f>
        <v>10</v>
      </c>
      <c r="C64" s="116" t="str">
        <f aca="false">IF('Game Info'!K47="","",'Game Info'!K47)</f>
        <v>SYM4</v>
      </c>
      <c r="D64" s="116" t="n">
        <f aca="false">IF('Game Info'!L47="","",'Game Info'!L47)</f>
        <v>10</v>
      </c>
      <c r="E64" s="116" t="str">
        <f aca="false">IF('Game Info'!M47="","",'Game Info'!M47)</f>
        <v>J</v>
      </c>
      <c r="F64" s="117" t="n">
        <f aca="false">IF('Game Info'!N47="","",'Game Info'!N47)</f>
        <v>10</v>
      </c>
      <c r="H64" s="65" t="n">
        <f aca="false">IF($B64="","",COUNTIF($B61:$B64,H$21)+COUNTIF($B61:$B64,$A$3))</f>
        <v>0</v>
      </c>
      <c r="I64" s="52" t="n">
        <f aca="false">IF($C64="","",COUNTIF($C61:$C64,H$21)+COUNTIF($C61:$C64,$A$3))</f>
        <v>0</v>
      </c>
      <c r="J64" s="52" t="n">
        <f aca="false">IF($D64="","",COUNTIF($D61:$D64,H$21)+COUNTIF($D61:$D64,$A$3))</f>
        <v>2</v>
      </c>
      <c r="K64" s="52" t="n">
        <f aca="false">IF($E64="","",COUNTIF($E61:$E64,H$21)+COUNTIF($E61:$E64,$A$3))</f>
        <v>1</v>
      </c>
      <c r="L64" s="53" t="n">
        <f aca="false">IF($F64="","",COUNTIF($F61:$F64,H$21)+COUNTIF($F61:$F64,$A$3))</f>
        <v>1</v>
      </c>
      <c r="N64" s="65" t="n">
        <f aca="false">IF($B64="","",COUNTIF($B61:$B64,N$21)+COUNTIF($B61:$B64,$A$3))</f>
        <v>0</v>
      </c>
      <c r="O64" s="52" t="n">
        <f aca="false">IF($C64="","",COUNTIF($C61:$C64,N$21)+COUNTIF($C61:$C64,$A$3))</f>
        <v>0</v>
      </c>
      <c r="P64" s="52" t="n">
        <f aca="false">IF($D64="","",COUNTIF($D61:$D64,N$21)+COUNTIF($D61:$D64,$A$3))</f>
        <v>1</v>
      </c>
      <c r="Q64" s="52" t="n">
        <f aca="false">IF($E64="","",COUNTIF($E61:$E64,N$21)+COUNTIF($E61:$E64,$A$3))</f>
        <v>0</v>
      </c>
      <c r="R64" s="53" t="n">
        <f aca="false">IF($F64="","",COUNTIF($F61:$F64,N$21)+COUNTIF($F61:$F64,$A$3))</f>
        <v>0</v>
      </c>
      <c r="T64" s="65" t="n">
        <f aca="false">IF($B64="","",COUNTIF($B61:$B64,T$21)+COUNTIF($B61:$B64,$A$3))</f>
        <v>2</v>
      </c>
      <c r="U64" s="52" t="n">
        <f aca="false">IF($C64="","",COUNTIF($C61:$C64,T$21)+COUNTIF($C61:$C64,$A$3))</f>
        <v>0</v>
      </c>
      <c r="V64" s="52" t="n">
        <f aca="false">IF($D64="","",COUNTIF($D61:$D64,T$21)+COUNTIF($D61:$D64,$A$3))</f>
        <v>1</v>
      </c>
      <c r="W64" s="52" t="n">
        <f aca="false">IF($E64="","",COUNTIF($E61:$E64,T$21)+COUNTIF($E61:$E64,$A$3))</f>
        <v>0</v>
      </c>
      <c r="X64" s="53" t="n">
        <f aca="false">IF($F64="","",COUNTIF($F61:$F64,T$21)+COUNTIF($F61:$F64,$A$3))</f>
        <v>0</v>
      </c>
      <c r="Z64" s="65" t="n">
        <f aca="false">IF($B64="","",COUNTIF($B61:$B64,Z$21)+COUNTIF($B61:$B64,$A$3))</f>
        <v>0</v>
      </c>
      <c r="AA64" s="52" t="n">
        <f aca="false">IF($C64="","",COUNTIF($C61:$C64,Z$21)+COUNTIF($C61:$C64,$A$3))</f>
        <v>1</v>
      </c>
      <c r="AB64" s="52" t="n">
        <f aca="false">IF($D64="","",COUNTIF($D61:$D64,Z$21)+COUNTIF($D61:$D64,$A$3))</f>
        <v>1</v>
      </c>
      <c r="AC64" s="52" t="n">
        <f aca="false">IF($E64="","",COUNTIF($E61:$E64,Z$21)+COUNTIF($E61:$E64,$A$3))</f>
        <v>1</v>
      </c>
      <c r="AD64" s="53" t="n">
        <f aca="false">IF($F64="","",COUNTIF($F61:$F64,Z$21)+COUNTIF($F61:$F64,$A$3))</f>
        <v>0</v>
      </c>
      <c r="AF64" s="65" t="n">
        <f aca="false">IF($B64="","",COUNTIF($B61:$B64,AF$21)+COUNTIF($B61:$B64,$A$3))</f>
        <v>0</v>
      </c>
      <c r="AG64" s="52" t="n">
        <f aca="false">IF($C64="","",COUNTIF($C61:$C64,AF$21)+COUNTIF($C61:$C64,$A$3))</f>
        <v>0</v>
      </c>
      <c r="AH64" s="52" t="n">
        <f aca="false">IF($D64="","",COUNTIF($D61:$D64,AF$21)+COUNTIF($D61:$D64,$A$3))</f>
        <v>1</v>
      </c>
      <c r="AI64" s="52" t="n">
        <f aca="false">IF($E64="","",COUNTIF($E61:$E64,AF$21)+COUNTIF($E61:$E64,$A$3))</f>
        <v>0</v>
      </c>
      <c r="AJ64" s="53" t="n">
        <f aca="false">IF($F64="","",COUNTIF($F61:$F64,AF$21)+COUNTIF($F61:$F64,$A$3))</f>
        <v>0</v>
      </c>
      <c r="AL64" s="65" t="n">
        <f aca="false">IF($B64="","",COUNTIF($B61:$B64,AL$21)+COUNTIF($B61:$B64,$A$3))</f>
        <v>0</v>
      </c>
      <c r="AM64" s="52" t="n">
        <f aca="false">IF($C64="","",COUNTIF($C61:$C64,AL$21)+COUNTIF($C61:$C64,$A$3))</f>
        <v>1</v>
      </c>
      <c r="AN64" s="52" t="n">
        <f aca="false">IF($D64="","",COUNTIF($D61:$D64,AL$21)+COUNTIF($D61:$D64,$A$3))</f>
        <v>1</v>
      </c>
      <c r="AO64" s="52" t="n">
        <f aca="false">IF($E64="","",COUNTIF($E61:$E64,AL$21)+COUNTIF($E61:$E64,$A$3))</f>
        <v>0</v>
      </c>
      <c r="AP64" s="53" t="n">
        <f aca="false">IF($F64="","",COUNTIF($F61:$F64,AL$21)+COUNTIF($F61:$F64,$A$3))</f>
        <v>0</v>
      </c>
      <c r="AR64" s="65" t="n">
        <f aca="false">IF($B64="","",COUNTIF($B61:$B64,AR$21)+COUNTIF($B61:$B64,$A$3))</f>
        <v>1</v>
      </c>
      <c r="AS64" s="52" t="n">
        <f aca="false">IF($C64="","",COUNTIF($C61:$C64,AR$21)+COUNTIF($C61:$C64,$A$3))</f>
        <v>0</v>
      </c>
      <c r="AT64" s="52" t="n">
        <f aca="false">IF($D64="","",COUNTIF($D61:$D64,AR$21)+COUNTIF($D61:$D64,$A$3))</f>
        <v>1</v>
      </c>
      <c r="AU64" s="52" t="n">
        <f aca="false">IF($E64="","",COUNTIF($E61:$E64,AR$21)+COUNTIF($E61:$E64,$A$3))</f>
        <v>0</v>
      </c>
      <c r="AV64" s="53" t="n">
        <f aca="false">IF($F64="","",COUNTIF($F61:$F64,AR$21)+COUNTIF($F61:$F64,$A$3))</f>
        <v>1</v>
      </c>
      <c r="AX64" s="65" t="n">
        <f aca="false">IF($B64="","",COUNTIF($B61:$B64,AX$21)+COUNTIF($B61:$B64,$A$3))</f>
        <v>0</v>
      </c>
      <c r="AY64" s="52" t="n">
        <f aca="false">IF($C64="","",COUNTIF($C61:$C64,AX$21)+COUNTIF($C61:$C64,$A$3))</f>
        <v>1</v>
      </c>
      <c r="AZ64" s="52" t="n">
        <f aca="false">IF($D64="","",COUNTIF($D61:$D64,AX$21)+COUNTIF($D61:$D64,$A$3))</f>
        <v>1</v>
      </c>
      <c r="BA64" s="52" t="n">
        <f aca="false">IF($E64="","",COUNTIF($E61:$E64,AX$21)+COUNTIF($E61:$E64,$A$3))</f>
        <v>1</v>
      </c>
      <c r="BB64" s="53" t="n">
        <f aca="false">IF($F64="","",COUNTIF($F61:$F64,AX$21)+COUNTIF($F61:$F64,$A$3))</f>
        <v>0</v>
      </c>
      <c r="BD64" s="65" t="n">
        <f aca="false">IF($B64="","",COUNTIF($B61:$B64,BD$21)+COUNTIF($B61:$B64,$A$3))</f>
        <v>0</v>
      </c>
      <c r="BE64" s="52" t="n">
        <f aca="false">IF($C64="","",COUNTIF($C61:$C64,BD$21)+COUNTIF($C61:$C64,$A$3))</f>
        <v>0</v>
      </c>
      <c r="BF64" s="52" t="n">
        <f aca="false">IF($D64="","",COUNTIF($D61:$D64,BD$21)+COUNTIF($D61:$D64,$A$3))</f>
        <v>2</v>
      </c>
      <c r="BG64" s="52" t="n">
        <f aca="false">IF($E64="","",COUNTIF($E61:$E64,BD$21)+COUNTIF($E61:$E64,$A$3))</f>
        <v>1</v>
      </c>
      <c r="BH64" s="53" t="n">
        <f aca="false">IF($F64="","",COUNTIF($F61:$F64,BD$21)+COUNTIF($F61:$F64,$A$3))</f>
        <v>0</v>
      </c>
      <c r="BJ64" s="65" t="n">
        <f aca="false">IF($B64="","",COUNTIF($B61:$B64,BJ$21)+COUNTIF($B61:$B64,$A$3))</f>
        <v>1</v>
      </c>
      <c r="BK64" s="52" t="n">
        <f aca="false">IF($C64="","",COUNTIF($C61:$C64,BJ$21)+COUNTIF($C61:$C64,$A$3))</f>
        <v>0</v>
      </c>
      <c r="BL64" s="52" t="n">
        <f aca="false">IF($D64="","",COUNTIF($D61:$D64,BJ$21)+COUNTIF($D61:$D64,$A$3))</f>
        <v>2</v>
      </c>
      <c r="BM64" s="52" t="n">
        <f aca="false">IF($E64="","",COUNTIF($E61:$E64,BJ$21)+COUNTIF($E61:$E64,$A$3))</f>
        <v>0</v>
      </c>
      <c r="BN64" s="53" t="n">
        <f aca="false">IF($F64="","",COUNTIF($F61:$F64,BJ$21)+COUNTIF($F61:$F64,$A$3))</f>
        <v>2</v>
      </c>
      <c r="BP64" s="65" t="n">
        <f aca="false">IF($B64="","",COUNTIF($B61:$B64,BP$21)+COUNTIF($B61:$B64,$A$3))</f>
        <v>0</v>
      </c>
      <c r="BQ64" s="52" t="n">
        <f aca="false">IF($C64="","",COUNTIF($C61:$C64,BP$21)+COUNTIF($C61:$C64,$A$3))</f>
        <v>0</v>
      </c>
      <c r="BR64" s="52" t="n">
        <f aca="false">IF($D64="","",COUNTIF($D61:$D64,BP$21)+COUNTIF($D61:$D64,$A$3))</f>
        <v>1</v>
      </c>
      <c r="BS64" s="52" t="n">
        <f aca="false">IF($E64="","",COUNTIF($E61:$E64,BP$21)+COUNTIF($E61:$E64,$A$3))</f>
        <v>0</v>
      </c>
      <c r="BT64" s="53" t="n">
        <f aca="false">IF($F64="","",COUNTIF($F61:$F64,BP$21)+COUNTIF($F61:$F64,$A$3))</f>
        <v>0</v>
      </c>
    </row>
    <row r="65" customFormat="false" ht="15" hidden="false" customHeight="false" outlineLevel="0" collapsed="false">
      <c r="A65" s="13" t="n">
        <v>43</v>
      </c>
      <c r="B65" s="116" t="str">
        <f aca="false">IF('Game Info'!J48="","",'Game Info'!J48)</f>
        <v>FG</v>
      </c>
      <c r="C65" s="116" t="str">
        <f aca="false">IF('Game Info'!K48="","",'Game Info'!K48)</f>
        <v>J</v>
      </c>
      <c r="D65" s="116" t="str">
        <f aca="false">IF('Game Info'!L48="","",'Game Info'!L48)</f>
        <v>SYM4</v>
      </c>
      <c r="E65" s="116" t="str">
        <f aca="false">IF('Game Info'!M48="","",'Game Info'!M48)</f>
        <v>SYM3</v>
      </c>
      <c r="F65" s="117" t="str">
        <f aca="false">IF('Game Info'!N48="","",'Game Info'!N48)</f>
        <v>SYM3</v>
      </c>
      <c r="H65" s="65" t="n">
        <f aca="false">IF($B65="","",COUNTIF($B62:$B65,H$21)+COUNTIF($B62:$B65,$A$3))</f>
        <v>0</v>
      </c>
      <c r="I65" s="52" t="n">
        <f aca="false">IF($C65="","",COUNTIF($C62:$C65,H$21)+COUNTIF($C62:$C65,$A$3))</f>
        <v>0</v>
      </c>
      <c r="J65" s="52" t="n">
        <f aca="false">IF($D65="","",COUNTIF($D62:$D65,H$21)+COUNTIF($D62:$D65,$A$3))</f>
        <v>1</v>
      </c>
      <c r="K65" s="52" t="n">
        <f aca="false">IF($E65="","",COUNTIF($E62:$E65,H$21)+COUNTIF($E62:$E65,$A$3))</f>
        <v>0</v>
      </c>
      <c r="L65" s="53" t="n">
        <f aca="false">IF($F65="","",COUNTIF($F62:$F65,H$21)+COUNTIF($F62:$F65,$A$3))</f>
        <v>1</v>
      </c>
      <c r="N65" s="65" t="n">
        <f aca="false">IF($B65="","",COUNTIF($B62:$B65,N$21)+COUNTIF($B62:$B65,$A$3))</f>
        <v>0</v>
      </c>
      <c r="O65" s="52" t="n">
        <f aca="false">IF($C65="","",COUNTIF($C62:$C65,N$21)+COUNTIF($C62:$C65,$A$3))</f>
        <v>0</v>
      </c>
      <c r="P65" s="52" t="n">
        <f aca="false">IF($D65="","",COUNTIF($D62:$D65,N$21)+COUNTIF($D62:$D65,$A$3))</f>
        <v>1</v>
      </c>
      <c r="Q65" s="52" t="n">
        <f aca="false">IF($E65="","",COUNTIF($E62:$E65,N$21)+COUNTIF($E62:$E65,$A$3))</f>
        <v>0</v>
      </c>
      <c r="R65" s="53" t="n">
        <f aca="false">IF($F65="","",COUNTIF($F62:$F65,N$21)+COUNTIF($F62:$F65,$A$3))</f>
        <v>0</v>
      </c>
      <c r="T65" s="65" t="n">
        <f aca="false">IF($B65="","",COUNTIF($B62:$B65,T$21)+COUNTIF($B62:$B65,$A$3))</f>
        <v>2</v>
      </c>
      <c r="U65" s="52" t="n">
        <f aca="false">IF($C65="","",COUNTIF($C62:$C65,T$21)+COUNTIF($C62:$C65,$A$3))</f>
        <v>0</v>
      </c>
      <c r="V65" s="52" t="n">
        <f aca="false">IF($D65="","",COUNTIF($D62:$D65,T$21)+COUNTIF($D62:$D65,$A$3))</f>
        <v>1</v>
      </c>
      <c r="W65" s="52" t="n">
        <f aca="false">IF($E65="","",COUNTIF($E62:$E65,T$21)+COUNTIF($E62:$E65,$A$3))</f>
        <v>1</v>
      </c>
      <c r="X65" s="53" t="n">
        <f aca="false">IF($F65="","",COUNTIF($F62:$F65,T$21)+COUNTIF($F62:$F65,$A$3))</f>
        <v>1</v>
      </c>
      <c r="Z65" s="65" t="n">
        <f aca="false">IF($B65="","",COUNTIF($B62:$B65,Z$21)+COUNTIF($B62:$B65,$A$3))</f>
        <v>0</v>
      </c>
      <c r="AA65" s="52" t="n">
        <f aca="false">IF($C65="","",COUNTIF($C62:$C65,Z$21)+COUNTIF($C62:$C65,$A$3))</f>
        <v>1</v>
      </c>
      <c r="AB65" s="52" t="n">
        <f aca="false">IF($D65="","",COUNTIF($D62:$D65,Z$21)+COUNTIF($D62:$D65,$A$3))</f>
        <v>2</v>
      </c>
      <c r="AC65" s="52" t="n">
        <f aca="false">IF($E65="","",COUNTIF($E62:$E65,Z$21)+COUNTIF($E62:$E65,$A$3))</f>
        <v>1</v>
      </c>
      <c r="AD65" s="53" t="n">
        <f aca="false">IF($F65="","",COUNTIF($F62:$F65,Z$21)+COUNTIF($F62:$F65,$A$3))</f>
        <v>0</v>
      </c>
      <c r="AF65" s="65" t="n">
        <f aca="false">IF($B65="","",COUNTIF($B62:$B65,AF$21)+COUNTIF($B62:$B65,$A$3))</f>
        <v>0</v>
      </c>
      <c r="AG65" s="52" t="n">
        <f aca="false">IF($C65="","",COUNTIF($C62:$C65,AF$21)+COUNTIF($C62:$C65,$A$3))</f>
        <v>0</v>
      </c>
      <c r="AH65" s="52" t="n">
        <f aca="false">IF($D65="","",COUNTIF($D62:$D65,AF$21)+COUNTIF($D62:$D65,$A$3))</f>
        <v>1</v>
      </c>
      <c r="AI65" s="52" t="n">
        <f aca="false">IF($E65="","",COUNTIF($E62:$E65,AF$21)+COUNTIF($E62:$E65,$A$3))</f>
        <v>0</v>
      </c>
      <c r="AJ65" s="53" t="n">
        <f aca="false">IF($F65="","",COUNTIF($F62:$F65,AF$21)+COUNTIF($F62:$F65,$A$3))</f>
        <v>0</v>
      </c>
      <c r="AL65" s="65" t="n">
        <f aca="false">IF($B65="","",COUNTIF($B62:$B65,AL$21)+COUNTIF($B62:$B65,$A$3))</f>
        <v>0</v>
      </c>
      <c r="AM65" s="52" t="n">
        <f aca="false">IF($C65="","",COUNTIF($C62:$C65,AL$21)+COUNTIF($C62:$C65,$A$3))</f>
        <v>1</v>
      </c>
      <c r="AN65" s="52" t="n">
        <f aca="false">IF($D65="","",COUNTIF($D62:$D65,AL$21)+COUNTIF($D62:$D65,$A$3))</f>
        <v>1</v>
      </c>
      <c r="AO65" s="52" t="n">
        <f aca="false">IF($E65="","",COUNTIF($E62:$E65,AL$21)+COUNTIF($E62:$E65,$A$3))</f>
        <v>0</v>
      </c>
      <c r="AP65" s="53" t="n">
        <f aca="false">IF($F65="","",COUNTIF($F62:$F65,AL$21)+COUNTIF($F62:$F65,$A$3))</f>
        <v>0</v>
      </c>
      <c r="AR65" s="65" t="n">
        <f aca="false">IF($B65="","",COUNTIF($B62:$B65,AR$21)+COUNTIF($B62:$B65,$A$3))</f>
        <v>0</v>
      </c>
      <c r="AS65" s="52" t="n">
        <f aca="false">IF($C65="","",COUNTIF($C62:$C65,AR$21)+COUNTIF($C62:$C65,$A$3))</f>
        <v>0</v>
      </c>
      <c r="AT65" s="52" t="n">
        <f aca="false">IF($D65="","",COUNTIF($D62:$D65,AR$21)+COUNTIF($D62:$D65,$A$3))</f>
        <v>1</v>
      </c>
      <c r="AU65" s="52" t="n">
        <f aca="false">IF($E65="","",COUNTIF($E62:$E65,AR$21)+COUNTIF($E62:$E65,$A$3))</f>
        <v>0</v>
      </c>
      <c r="AV65" s="53" t="n">
        <f aca="false">IF($F65="","",COUNTIF($F62:$F65,AR$21)+COUNTIF($F62:$F65,$A$3))</f>
        <v>1</v>
      </c>
      <c r="AX65" s="65" t="n">
        <f aca="false">IF($B65="","",COUNTIF($B62:$B65,AX$21)+COUNTIF($B62:$B65,$A$3))</f>
        <v>0</v>
      </c>
      <c r="AY65" s="52" t="n">
        <f aca="false">IF($C65="","",COUNTIF($C62:$C65,AX$21)+COUNTIF($C62:$C65,$A$3))</f>
        <v>1</v>
      </c>
      <c r="AZ65" s="52" t="n">
        <f aca="false">IF($D65="","",COUNTIF($D62:$D65,AX$21)+COUNTIF($D62:$D65,$A$3))</f>
        <v>1</v>
      </c>
      <c r="BA65" s="52" t="n">
        <f aca="false">IF($E65="","",COUNTIF($E62:$E65,AX$21)+COUNTIF($E62:$E65,$A$3))</f>
        <v>1</v>
      </c>
      <c r="BB65" s="53" t="n">
        <f aca="false">IF($F65="","",COUNTIF($F62:$F65,AX$21)+COUNTIF($F62:$F65,$A$3))</f>
        <v>0</v>
      </c>
      <c r="BD65" s="65" t="n">
        <f aca="false">IF($B65="","",COUNTIF($B62:$B65,BD$21)+COUNTIF($B62:$B65,$A$3))</f>
        <v>0</v>
      </c>
      <c r="BE65" s="52" t="n">
        <f aca="false">IF($C65="","",COUNTIF($C62:$C65,BD$21)+COUNTIF($C62:$C65,$A$3))</f>
        <v>1</v>
      </c>
      <c r="BF65" s="52" t="n">
        <f aca="false">IF($D65="","",COUNTIF($D62:$D65,BD$21)+COUNTIF($D62:$D65,$A$3))</f>
        <v>2</v>
      </c>
      <c r="BG65" s="52" t="n">
        <f aca="false">IF($E65="","",COUNTIF($E62:$E65,BD$21)+COUNTIF($E62:$E65,$A$3))</f>
        <v>1</v>
      </c>
      <c r="BH65" s="53" t="n">
        <f aca="false">IF($F65="","",COUNTIF($F62:$F65,BD$21)+COUNTIF($F62:$F65,$A$3))</f>
        <v>0</v>
      </c>
      <c r="BJ65" s="65" t="n">
        <f aca="false">IF($B65="","",COUNTIF($B62:$B65,BJ$21)+COUNTIF($B62:$B65,$A$3))</f>
        <v>1</v>
      </c>
      <c r="BK65" s="52" t="n">
        <f aca="false">IF($C65="","",COUNTIF($C62:$C65,BJ$21)+COUNTIF($C62:$C65,$A$3))</f>
        <v>0</v>
      </c>
      <c r="BL65" s="52" t="n">
        <f aca="false">IF($D65="","",COUNTIF($D62:$D65,BJ$21)+COUNTIF($D62:$D65,$A$3))</f>
        <v>2</v>
      </c>
      <c r="BM65" s="52" t="n">
        <f aca="false">IF($E65="","",COUNTIF($E62:$E65,BJ$21)+COUNTIF($E62:$E65,$A$3))</f>
        <v>0</v>
      </c>
      <c r="BN65" s="53" t="n">
        <f aca="false">IF($F65="","",COUNTIF($F62:$F65,BJ$21)+COUNTIF($F62:$F65,$A$3))</f>
        <v>1</v>
      </c>
      <c r="BP65" s="65" t="n">
        <f aca="false">IF($B65="","",COUNTIF($B62:$B65,BP$21)+COUNTIF($B62:$B65,$A$3))</f>
        <v>0</v>
      </c>
      <c r="BQ65" s="52" t="n">
        <f aca="false">IF($C65="","",COUNTIF($C62:$C65,BP$21)+COUNTIF($C62:$C65,$A$3))</f>
        <v>0</v>
      </c>
      <c r="BR65" s="52" t="n">
        <f aca="false">IF($D65="","",COUNTIF($D62:$D65,BP$21)+COUNTIF($D62:$D65,$A$3))</f>
        <v>1</v>
      </c>
      <c r="BS65" s="52" t="n">
        <f aca="false">IF($E65="","",COUNTIF($E62:$E65,BP$21)+COUNTIF($E62:$E65,$A$3))</f>
        <v>0</v>
      </c>
      <c r="BT65" s="53" t="n">
        <f aca="false">IF($F65="","",COUNTIF($F62:$F65,BP$21)+COUNTIF($F62:$F65,$A$3))</f>
        <v>0</v>
      </c>
    </row>
    <row r="66" customFormat="false" ht="15" hidden="false" customHeight="false" outlineLevel="0" collapsed="false">
      <c r="A66" s="13" t="n">
        <v>44</v>
      </c>
      <c r="B66" s="116" t="str">
        <f aca="false">IF('Game Info'!J49="","",'Game Info'!J49)</f>
        <v>A</v>
      </c>
      <c r="C66" s="116" t="str">
        <f aca="false">IF('Game Info'!K49="","",'Game Info'!K49)</f>
        <v>SYM3</v>
      </c>
      <c r="D66" s="116" t="str">
        <f aca="false">IF('Game Info'!L49="","",'Game Info'!L49)</f>
        <v>SYM4</v>
      </c>
      <c r="E66" s="116" t="str">
        <f aca="false">IF('Game Info'!M49="","",'Game Info'!M49)</f>
        <v>SYM3</v>
      </c>
      <c r="F66" s="117" t="str">
        <f aca="false">IF('Game Info'!N49="","",'Game Info'!N49)</f>
        <v>Q</v>
      </c>
      <c r="H66" s="65" t="n">
        <f aca="false">IF($B66="","",COUNTIF($B63:$B66,H$21)+COUNTIF($B63:$B66,$A$3))</f>
        <v>0</v>
      </c>
      <c r="I66" s="52" t="n">
        <f aca="false">IF($C66="","",COUNTIF($C63:$C66,H$21)+COUNTIF($C63:$C66,$A$3))</f>
        <v>0</v>
      </c>
      <c r="J66" s="52" t="n">
        <f aca="false">IF($D66="","",COUNTIF($D63:$D66,H$21)+COUNTIF($D63:$D66,$A$3))</f>
        <v>1</v>
      </c>
      <c r="K66" s="52" t="n">
        <f aca="false">IF($E66="","",COUNTIF($E63:$E66,H$21)+COUNTIF($E63:$E66,$A$3))</f>
        <v>0</v>
      </c>
      <c r="L66" s="53" t="n">
        <f aca="false">IF($F66="","",COUNTIF($F63:$F66,H$21)+COUNTIF($F63:$F66,$A$3))</f>
        <v>1</v>
      </c>
      <c r="N66" s="65" t="n">
        <f aca="false">IF($B66="","",COUNTIF($B63:$B66,N$21)+COUNTIF($B63:$B66,$A$3))</f>
        <v>0</v>
      </c>
      <c r="O66" s="52" t="n">
        <f aca="false">IF($C66="","",COUNTIF($C63:$C66,N$21)+COUNTIF($C63:$C66,$A$3))</f>
        <v>0</v>
      </c>
      <c r="P66" s="52" t="n">
        <f aca="false">IF($D66="","",COUNTIF($D63:$D66,N$21)+COUNTIF($D63:$D66,$A$3))</f>
        <v>1</v>
      </c>
      <c r="Q66" s="52" t="n">
        <f aca="false">IF($E66="","",COUNTIF($E63:$E66,N$21)+COUNTIF($E63:$E66,$A$3))</f>
        <v>0</v>
      </c>
      <c r="R66" s="53" t="n">
        <f aca="false">IF($F66="","",COUNTIF($F63:$F66,N$21)+COUNTIF($F63:$F66,$A$3))</f>
        <v>0</v>
      </c>
      <c r="T66" s="65" t="n">
        <f aca="false">IF($B66="","",COUNTIF($B63:$B66,T$21)+COUNTIF($B63:$B66,$A$3))</f>
        <v>1</v>
      </c>
      <c r="U66" s="52" t="n">
        <f aca="false">IF($C66="","",COUNTIF($C63:$C66,T$21)+COUNTIF($C63:$C66,$A$3))</f>
        <v>1</v>
      </c>
      <c r="V66" s="52" t="n">
        <f aca="false">IF($D66="","",COUNTIF($D63:$D66,T$21)+COUNTIF($D63:$D66,$A$3))</f>
        <v>1</v>
      </c>
      <c r="W66" s="52" t="n">
        <f aca="false">IF($E66="","",COUNTIF($E63:$E66,T$21)+COUNTIF($E63:$E66,$A$3))</f>
        <v>2</v>
      </c>
      <c r="X66" s="53" t="n">
        <f aca="false">IF($F66="","",COUNTIF($F63:$F66,T$21)+COUNTIF($F63:$F66,$A$3))</f>
        <v>1</v>
      </c>
      <c r="Z66" s="65" t="n">
        <f aca="false">IF($B66="","",COUNTIF($B63:$B66,Z$21)+COUNTIF($B63:$B66,$A$3))</f>
        <v>0</v>
      </c>
      <c r="AA66" s="52" t="n">
        <f aca="false">IF($C66="","",COUNTIF($C63:$C66,Z$21)+COUNTIF($C63:$C66,$A$3))</f>
        <v>1</v>
      </c>
      <c r="AB66" s="52" t="n">
        <f aca="false">IF($D66="","",COUNTIF($D63:$D66,Z$21)+COUNTIF($D63:$D66,$A$3))</f>
        <v>3</v>
      </c>
      <c r="AC66" s="52" t="n">
        <f aca="false">IF($E66="","",COUNTIF($E63:$E66,Z$21)+COUNTIF($E63:$E66,$A$3))</f>
        <v>1</v>
      </c>
      <c r="AD66" s="53" t="n">
        <f aca="false">IF($F66="","",COUNTIF($F63:$F66,Z$21)+COUNTIF($F63:$F66,$A$3))</f>
        <v>0</v>
      </c>
      <c r="AF66" s="65" t="n">
        <f aca="false">IF($B66="","",COUNTIF($B63:$B66,AF$21)+COUNTIF($B63:$B66,$A$3))</f>
        <v>0</v>
      </c>
      <c r="AG66" s="52" t="n">
        <f aca="false">IF($C66="","",COUNTIF($C63:$C66,AF$21)+COUNTIF($C63:$C66,$A$3))</f>
        <v>0</v>
      </c>
      <c r="AH66" s="52" t="n">
        <f aca="false">IF($D66="","",COUNTIF($D63:$D66,AF$21)+COUNTIF($D63:$D66,$A$3))</f>
        <v>1</v>
      </c>
      <c r="AI66" s="52" t="n">
        <f aca="false">IF($E66="","",COUNTIF($E63:$E66,AF$21)+COUNTIF($E63:$E66,$A$3))</f>
        <v>0</v>
      </c>
      <c r="AJ66" s="53" t="n">
        <f aca="false">IF($F66="","",COUNTIF($F63:$F66,AF$21)+COUNTIF($F63:$F66,$A$3))</f>
        <v>0</v>
      </c>
      <c r="AL66" s="65" t="n">
        <f aca="false">IF($B66="","",COUNTIF($B63:$B66,AL$21)+COUNTIF($B63:$B66,$A$3))</f>
        <v>1</v>
      </c>
      <c r="AM66" s="52" t="n">
        <f aca="false">IF($C66="","",COUNTIF($C63:$C66,AL$21)+COUNTIF($C63:$C66,$A$3))</f>
        <v>0</v>
      </c>
      <c r="AN66" s="52" t="n">
        <f aca="false">IF($D66="","",COUNTIF($D63:$D66,AL$21)+COUNTIF($D63:$D66,$A$3))</f>
        <v>1</v>
      </c>
      <c r="AO66" s="52" t="n">
        <f aca="false">IF($E66="","",COUNTIF($E63:$E66,AL$21)+COUNTIF($E63:$E66,$A$3))</f>
        <v>0</v>
      </c>
      <c r="AP66" s="53" t="n">
        <f aca="false">IF($F66="","",COUNTIF($F63:$F66,AL$21)+COUNTIF($F63:$F66,$A$3))</f>
        <v>0</v>
      </c>
      <c r="AR66" s="65" t="n">
        <f aca="false">IF($B66="","",COUNTIF($B63:$B66,AR$21)+COUNTIF($B63:$B66,$A$3))</f>
        <v>0</v>
      </c>
      <c r="AS66" s="52" t="n">
        <f aca="false">IF($C66="","",COUNTIF($C63:$C66,AR$21)+COUNTIF($C63:$C66,$A$3))</f>
        <v>0</v>
      </c>
      <c r="AT66" s="52" t="n">
        <f aca="false">IF($D66="","",COUNTIF($D63:$D66,AR$21)+COUNTIF($D63:$D66,$A$3))</f>
        <v>1</v>
      </c>
      <c r="AU66" s="52" t="n">
        <f aca="false">IF($E66="","",COUNTIF($E63:$E66,AR$21)+COUNTIF($E63:$E66,$A$3))</f>
        <v>0</v>
      </c>
      <c r="AV66" s="53" t="n">
        <f aca="false">IF($F66="","",COUNTIF($F63:$F66,AR$21)+COUNTIF($F63:$F66,$A$3))</f>
        <v>0</v>
      </c>
      <c r="AX66" s="65" t="n">
        <f aca="false">IF($B66="","",COUNTIF($B63:$B66,AX$21)+COUNTIF($B63:$B66,$A$3))</f>
        <v>0</v>
      </c>
      <c r="AY66" s="52" t="n">
        <f aca="false">IF($C66="","",COUNTIF($C63:$C66,AX$21)+COUNTIF($C63:$C66,$A$3))</f>
        <v>1</v>
      </c>
      <c r="AZ66" s="52" t="n">
        <f aca="false">IF($D66="","",COUNTIF($D63:$D66,AX$21)+COUNTIF($D63:$D66,$A$3))</f>
        <v>1</v>
      </c>
      <c r="BA66" s="52" t="n">
        <f aca="false">IF($E66="","",COUNTIF($E63:$E66,AX$21)+COUNTIF($E63:$E66,$A$3))</f>
        <v>0</v>
      </c>
      <c r="BB66" s="53" t="n">
        <f aca="false">IF($F66="","",COUNTIF($F63:$F66,AX$21)+COUNTIF($F63:$F66,$A$3))</f>
        <v>1</v>
      </c>
      <c r="BD66" s="65" t="n">
        <f aca="false">IF($B66="","",COUNTIF($B63:$B66,BD$21)+COUNTIF($B63:$B66,$A$3))</f>
        <v>0</v>
      </c>
      <c r="BE66" s="52" t="n">
        <f aca="false">IF($C66="","",COUNTIF($C63:$C66,BD$21)+COUNTIF($C63:$C66,$A$3))</f>
        <v>1</v>
      </c>
      <c r="BF66" s="52" t="n">
        <f aca="false">IF($D66="","",COUNTIF($D63:$D66,BD$21)+COUNTIF($D63:$D66,$A$3))</f>
        <v>1</v>
      </c>
      <c r="BG66" s="52" t="n">
        <f aca="false">IF($E66="","",COUNTIF($E63:$E66,BD$21)+COUNTIF($E63:$E66,$A$3))</f>
        <v>1</v>
      </c>
      <c r="BH66" s="53" t="n">
        <f aca="false">IF($F66="","",COUNTIF($F63:$F66,BD$21)+COUNTIF($F63:$F66,$A$3))</f>
        <v>0</v>
      </c>
      <c r="BJ66" s="65" t="n">
        <f aca="false">IF($B66="","",COUNTIF($B63:$B66,BJ$21)+COUNTIF($B63:$B66,$A$3))</f>
        <v>1</v>
      </c>
      <c r="BK66" s="52" t="n">
        <f aca="false">IF($C66="","",COUNTIF($C63:$C66,BJ$21)+COUNTIF($C63:$C66,$A$3))</f>
        <v>0</v>
      </c>
      <c r="BL66" s="52" t="n">
        <f aca="false">IF($D66="","",COUNTIF($D63:$D66,BJ$21)+COUNTIF($D63:$D66,$A$3))</f>
        <v>2</v>
      </c>
      <c r="BM66" s="52" t="n">
        <f aca="false">IF($E66="","",COUNTIF($E63:$E66,BJ$21)+COUNTIF($E63:$E66,$A$3))</f>
        <v>0</v>
      </c>
      <c r="BN66" s="53" t="n">
        <f aca="false">IF($F66="","",COUNTIF($F63:$F66,BJ$21)+COUNTIF($F63:$F66,$A$3))</f>
        <v>1</v>
      </c>
      <c r="BP66" s="65" t="n">
        <f aca="false">IF($B66="","",COUNTIF($B63:$B66,BP$21)+COUNTIF($B63:$B66,$A$3))</f>
        <v>0</v>
      </c>
      <c r="BQ66" s="52" t="n">
        <f aca="false">IF($C66="","",COUNTIF($C63:$C66,BP$21)+COUNTIF($C63:$C66,$A$3))</f>
        <v>0</v>
      </c>
      <c r="BR66" s="52" t="n">
        <f aca="false">IF($D66="","",COUNTIF($D63:$D66,BP$21)+COUNTIF($D63:$D66,$A$3))</f>
        <v>1</v>
      </c>
      <c r="BS66" s="52" t="n">
        <f aca="false">IF($E66="","",COUNTIF($E63:$E66,BP$21)+COUNTIF($E63:$E66,$A$3))</f>
        <v>0</v>
      </c>
      <c r="BT66" s="53" t="n">
        <f aca="false">IF($F66="","",COUNTIF($F63:$F66,BP$21)+COUNTIF($F63:$F66,$A$3))</f>
        <v>0</v>
      </c>
    </row>
    <row r="67" customFormat="false" ht="15" hidden="false" customHeight="false" outlineLevel="0" collapsed="false">
      <c r="A67" s="13" t="n">
        <v>45</v>
      </c>
      <c r="B67" s="116" t="str">
        <f aca="false">IF('Game Info'!J50="","",'Game Info'!J50)</f>
        <v>J</v>
      </c>
      <c r="C67" s="116" t="str">
        <f aca="false">IF('Game Info'!K50="","",'Game Info'!K50)</f>
        <v>K</v>
      </c>
      <c r="D67" s="116" t="str">
        <f aca="false">IF('Game Info'!L50="","",'Game Info'!L50)</f>
        <v>SYM4</v>
      </c>
      <c r="E67" s="116" t="str">
        <f aca="false">IF('Game Info'!M50="","",'Game Info'!M50)</f>
        <v>SYM3</v>
      </c>
      <c r="F67" s="117" t="str">
        <f aca="false">IF('Game Info'!N50="","",'Game Info'!N50)</f>
        <v>A</v>
      </c>
      <c r="H67" s="65" t="n">
        <f aca="false">IF($B67="","",COUNTIF($B64:$B67,H$21)+COUNTIF($B64:$B67,$A$3))</f>
        <v>0</v>
      </c>
      <c r="I67" s="52" t="n">
        <f aca="false">IF($C67="","",COUNTIF($C64:$C67,H$21)+COUNTIF($C64:$C67,$A$3))</f>
        <v>0</v>
      </c>
      <c r="J67" s="52" t="n">
        <f aca="false">IF($D67="","",COUNTIF($D64:$D67,H$21)+COUNTIF($D64:$D67,$A$3))</f>
        <v>0</v>
      </c>
      <c r="K67" s="52" t="n">
        <f aca="false">IF($E67="","",COUNTIF($E64:$E67,H$21)+COUNTIF($E64:$E67,$A$3))</f>
        <v>0</v>
      </c>
      <c r="L67" s="53" t="n">
        <f aca="false">IF($F67="","",COUNTIF($F64:$F67,H$21)+COUNTIF($F64:$F67,$A$3))</f>
        <v>0</v>
      </c>
      <c r="N67" s="65" t="n">
        <f aca="false">IF($B67="","",COUNTIF($B64:$B67,N$21)+COUNTIF($B64:$B67,$A$3))</f>
        <v>0</v>
      </c>
      <c r="O67" s="52" t="n">
        <f aca="false">IF($C67="","",COUNTIF($C64:$C67,N$21)+COUNTIF($C64:$C67,$A$3))</f>
        <v>0</v>
      </c>
      <c r="P67" s="52" t="n">
        <f aca="false">IF($D67="","",COUNTIF($D64:$D67,N$21)+COUNTIF($D64:$D67,$A$3))</f>
        <v>0</v>
      </c>
      <c r="Q67" s="52" t="n">
        <f aca="false">IF($E67="","",COUNTIF($E64:$E67,N$21)+COUNTIF($E64:$E67,$A$3))</f>
        <v>0</v>
      </c>
      <c r="R67" s="53" t="n">
        <f aca="false">IF($F67="","",COUNTIF($F64:$F67,N$21)+COUNTIF($F64:$F67,$A$3))</f>
        <v>0</v>
      </c>
      <c r="T67" s="65" t="n">
        <f aca="false">IF($B67="","",COUNTIF($B64:$B67,T$21)+COUNTIF($B64:$B67,$A$3))</f>
        <v>0</v>
      </c>
      <c r="U67" s="52" t="n">
        <f aca="false">IF($C67="","",COUNTIF($C64:$C67,T$21)+COUNTIF($C64:$C67,$A$3))</f>
        <v>1</v>
      </c>
      <c r="V67" s="52" t="n">
        <f aca="false">IF($D67="","",COUNTIF($D64:$D67,T$21)+COUNTIF($D64:$D67,$A$3))</f>
        <v>0</v>
      </c>
      <c r="W67" s="52" t="n">
        <f aca="false">IF($E67="","",COUNTIF($E64:$E67,T$21)+COUNTIF($E64:$E67,$A$3))</f>
        <v>3</v>
      </c>
      <c r="X67" s="53" t="n">
        <f aca="false">IF($F67="","",COUNTIF($F64:$F67,T$21)+COUNTIF($F64:$F67,$A$3))</f>
        <v>1</v>
      </c>
      <c r="Z67" s="65" t="n">
        <f aca="false">IF($B67="","",COUNTIF($B64:$B67,Z$21)+COUNTIF($B64:$B67,$A$3))</f>
        <v>0</v>
      </c>
      <c r="AA67" s="52" t="n">
        <f aca="false">IF($C67="","",COUNTIF($C64:$C67,Z$21)+COUNTIF($C64:$C67,$A$3))</f>
        <v>1</v>
      </c>
      <c r="AB67" s="52" t="n">
        <f aca="false">IF($D67="","",COUNTIF($D64:$D67,Z$21)+COUNTIF($D64:$D67,$A$3))</f>
        <v>3</v>
      </c>
      <c r="AC67" s="52" t="n">
        <f aca="false">IF($E67="","",COUNTIF($E64:$E67,Z$21)+COUNTIF($E64:$E67,$A$3))</f>
        <v>0</v>
      </c>
      <c r="AD67" s="53" t="n">
        <f aca="false">IF($F67="","",COUNTIF($F64:$F67,Z$21)+COUNTIF($F64:$F67,$A$3))</f>
        <v>0</v>
      </c>
      <c r="AF67" s="65" t="n">
        <f aca="false">IF($B67="","",COUNTIF($B64:$B67,AF$21)+COUNTIF($B64:$B67,$A$3))</f>
        <v>0</v>
      </c>
      <c r="AG67" s="52" t="n">
        <f aca="false">IF($C67="","",COUNTIF($C64:$C67,AF$21)+COUNTIF($C64:$C67,$A$3))</f>
        <v>0</v>
      </c>
      <c r="AH67" s="52" t="n">
        <f aca="false">IF($D67="","",COUNTIF($D64:$D67,AF$21)+COUNTIF($D64:$D67,$A$3))</f>
        <v>0</v>
      </c>
      <c r="AI67" s="52" t="n">
        <f aca="false">IF($E67="","",COUNTIF($E64:$E67,AF$21)+COUNTIF($E64:$E67,$A$3))</f>
        <v>0</v>
      </c>
      <c r="AJ67" s="53" t="n">
        <f aca="false">IF($F67="","",COUNTIF($F64:$F67,AF$21)+COUNTIF($F64:$F67,$A$3))</f>
        <v>0</v>
      </c>
      <c r="AL67" s="65" t="n">
        <f aca="false">IF($B67="","",COUNTIF($B64:$B67,AL$21)+COUNTIF($B64:$B67,$A$3))</f>
        <v>1</v>
      </c>
      <c r="AM67" s="52" t="n">
        <f aca="false">IF($C67="","",COUNTIF($C64:$C67,AL$21)+COUNTIF($C64:$C67,$A$3))</f>
        <v>0</v>
      </c>
      <c r="AN67" s="52" t="n">
        <f aca="false">IF($D67="","",COUNTIF($D64:$D67,AL$21)+COUNTIF($D64:$D67,$A$3))</f>
        <v>0</v>
      </c>
      <c r="AO67" s="52" t="n">
        <f aca="false">IF($E67="","",COUNTIF($E64:$E67,AL$21)+COUNTIF($E64:$E67,$A$3))</f>
        <v>0</v>
      </c>
      <c r="AP67" s="53" t="n">
        <f aca="false">IF($F67="","",COUNTIF($F64:$F67,AL$21)+COUNTIF($F64:$F67,$A$3))</f>
        <v>1</v>
      </c>
      <c r="AR67" s="65" t="n">
        <f aca="false">IF($B67="","",COUNTIF($B64:$B67,AR$21)+COUNTIF($B64:$B67,$A$3))</f>
        <v>0</v>
      </c>
      <c r="AS67" s="52" t="n">
        <f aca="false">IF($C67="","",COUNTIF($C64:$C67,AR$21)+COUNTIF($C64:$C67,$A$3))</f>
        <v>1</v>
      </c>
      <c r="AT67" s="52" t="n">
        <f aca="false">IF($D67="","",COUNTIF($D64:$D67,AR$21)+COUNTIF($D64:$D67,$A$3))</f>
        <v>0</v>
      </c>
      <c r="AU67" s="52" t="n">
        <f aca="false">IF($E67="","",COUNTIF($E64:$E67,AR$21)+COUNTIF($E64:$E67,$A$3))</f>
        <v>0</v>
      </c>
      <c r="AV67" s="53" t="n">
        <f aca="false">IF($F67="","",COUNTIF($F64:$F67,AR$21)+COUNTIF($F64:$F67,$A$3))</f>
        <v>0</v>
      </c>
      <c r="AX67" s="65" t="n">
        <f aca="false">IF($B67="","",COUNTIF($B64:$B67,AX$21)+COUNTIF($B64:$B67,$A$3))</f>
        <v>0</v>
      </c>
      <c r="AY67" s="52" t="n">
        <f aca="false">IF($C67="","",COUNTIF($C64:$C67,AX$21)+COUNTIF($C64:$C67,$A$3))</f>
        <v>0</v>
      </c>
      <c r="AZ67" s="52" t="n">
        <f aca="false">IF($D67="","",COUNTIF($D64:$D67,AX$21)+COUNTIF($D64:$D67,$A$3))</f>
        <v>0</v>
      </c>
      <c r="BA67" s="52" t="n">
        <f aca="false">IF($E67="","",COUNTIF($E64:$E67,AX$21)+COUNTIF($E64:$E67,$A$3))</f>
        <v>0</v>
      </c>
      <c r="BB67" s="53" t="n">
        <f aca="false">IF($F67="","",COUNTIF($F64:$F67,AX$21)+COUNTIF($F64:$F67,$A$3))</f>
        <v>1</v>
      </c>
      <c r="BD67" s="65" t="n">
        <f aca="false">IF($B67="","",COUNTIF($B64:$B67,BD$21)+COUNTIF($B64:$B67,$A$3))</f>
        <v>1</v>
      </c>
      <c r="BE67" s="52" t="n">
        <f aca="false">IF($C67="","",COUNTIF($C64:$C67,BD$21)+COUNTIF($C64:$C67,$A$3))</f>
        <v>1</v>
      </c>
      <c r="BF67" s="52" t="n">
        <f aca="false">IF($D67="","",COUNTIF($D64:$D67,BD$21)+COUNTIF($D64:$D67,$A$3))</f>
        <v>0</v>
      </c>
      <c r="BG67" s="52" t="n">
        <f aca="false">IF($E67="","",COUNTIF($E64:$E67,BD$21)+COUNTIF($E64:$E67,$A$3))</f>
        <v>1</v>
      </c>
      <c r="BH67" s="53" t="n">
        <f aca="false">IF($F67="","",COUNTIF($F64:$F67,BD$21)+COUNTIF($F64:$F67,$A$3))</f>
        <v>0</v>
      </c>
      <c r="BJ67" s="65" t="n">
        <f aca="false">IF($B67="","",COUNTIF($B64:$B67,BJ$21)+COUNTIF($B64:$B67,$A$3))</f>
        <v>1</v>
      </c>
      <c r="BK67" s="52" t="n">
        <f aca="false">IF($C67="","",COUNTIF($C64:$C67,BJ$21)+COUNTIF($C64:$C67,$A$3))</f>
        <v>0</v>
      </c>
      <c r="BL67" s="52" t="n">
        <f aca="false">IF($D67="","",COUNTIF($D64:$D67,BJ$21)+COUNTIF($D64:$D67,$A$3))</f>
        <v>1</v>
      </c>
      <c r="BM67" s="52" t="n">
        <f aca="false">IF($E67="","",COUNTIF($E64:$E67,BJ$21)+COUNTIF($E64:$E67,$A$3))</f>
        <v>0</v>
      </c>
      <c r="BN67" s="53" t="n">
        <f aca="false">IF($F67="","",COUNTIF($F64:$F67,BJ$21)+COUNTIF($F64:$F67,$A$3))</f>
        <v>1</v>
      </c>
      <c r="BP67" s="65" t="n">
        <f aca="false">IF($B67="","",COUNTIF($B64:$B67,BP$21)+COUNTIF($B64:$B67,$A$3))</f>
        <v>0</v>
      </c>
      <c r="BQ67" s="52" t="n">
        <f aca="false">IF($C67="","",COUNTIF($C64:$C67,BP$21)+COUNTIF($C64:$C67,$A$3))</f>
        <v>0</v>
      </c>
      <c r="BR67" s="52" t="n">
        <f aca="false">IF($D67="","",COUNTIF($D64:$D67,BP$21)+COUNTIF($D64:$D67,$A$3))</f>
        <v>0</v>
      </c>
      <c r="BS67" s="52" t="n">
        <f aca="false">IF($E67="","",COUNTIF($E64:$E67,BP$21)+COUNTIF($E64:$E67,$A$3))</f>
        <v>0</v>
      </c>
      <c r="BT67" s="53" t="n">
        <f aca="false">IF($F67="","",COUNTIF($F64:$F67,BP$21)+COUNTIF($F64:$F67,$A$3))</f>
        <v>0</v>
      </c>
    </row>
    <row r="68" customFormat="false" ht="15" hidden="false" customHeight="false" outlineLevel="0" collapsed="false">
      <c r="A68" s="13" t="n">
        <v>46</v>
      </c>
      <c r="B68" s="116" t="n">
        <f aca="false">IF('Game Info'!J51="","",'Game Info'!J51)</f>
        <v>10</v>
      </c>
      <c r="C68" s="116" t="str">
        <f aca="false">IF('Game Info'!K51="","",'Game Info'!K51)</f>
        <v>SYM2</v>
      </c>
      <c r="D68" s="116" t="str">
        <f aca="false">IF('Game Info'!L51="","",'Game Info'!L51)</f>
        <v>K</v>
      </c>
      <c r="E68" s="116" t="n">
        <f aca="false">IF('Game Info'!M51="","",'Game Info'!M51)</f>
        <v>9</v>
      </c>
      <c r="F68" s="117" t="str">
        <f aca="false">IF('Game Info'!N51="","",'Game Info'!N51)</f>
        <v>SYM4</v>
      </c>
      <c r="H68" s="65" t="n">
        <f aca="false">IF($B68="","",COUNTIF($B65:$B68,H$21)+COUNTIF($B65:$B68,$A$3))</f>
        <v>0</v>
      </c>
      <c r="I68" s="52" t="n">
        <f aca="false">IF($C68="","",COUNTIF($C65:$C68,H$21)+COUNTIF($C65:$C68,$A$3))</f>
        <v>0</v>
      </c>
      <c r="J68" s="52" t="n">
        <f aca="false">IF($D68="","",COUNTIF($D65:$D68,H$21)+COUNTIF($D65:$D68,$A$3))</f>
        <v>0</v>
      </c>
      <c r="K68" s="52" t="n">
        <f aca="false">IF($E68="","",COUNTIF($E65:$E68,H$21)+COUNTIF($E65:$E68,$A$3))</f>
        <v>0</v>
      </c>
      <c r="L68" s="53" t="n">
        <f aca="false">IF($F68="","",COUNTIF($F65:$F68,H$21)+COUNTIF($F65:$F68,$A$3))</f>
        <v>0</v>
      </c>
      <c r="N68" s="65" t="n">
        <f aca="false">IF($B68="","",COUNTIF($B65:$B68,N$21)+COUNTIF($B65:$B68,$A$3))</f>
        <v>0</v>
      </c>
      <c r="O68" s="52" t="n">
        <f aca="false">IF($C68="","",COUNTIF($C65:$C68,N$21)+COUNTIF($C65:$C68,$A$3))</f>
        <v>1</v>
      </c>
      <c r="P68" s="52" t="n">
        <f aca="false">IF($D68="","",COUNTIF($D65:$D68,N$21)+COUNTIF($D65:$D68,$A$3))</f>
        <v>0</v>
      </c>
      <c r="Q68" s="52" t="n">
        <f aca="false">IF($E68="","",COUNTIF($E65:$E68,N$21)+COUNTIF($E65:$E68,$A$3))</f>
        <v>0</v>
      </c>
      <c r="R68" s="53" t="n">
        <f aca="false">IF($F68="","",COUNTIF($F65:$F68,N$21)+COUNTIF($F65:$F68,$A$3))</f>
        <v>0</v>
      </c>
      <c r="T68" s="65" t="n">
        <f aca="false">IF($B68="","",COUNTIF($B65:$B68,T$21)+COUNTIF($B65:$B68,$A$3))</f>
        <v>0</v>
      </c>
      <c r="U68" s="52" t="n">
        <f aca="false">IF($C68="","",COUNTIF($C65:$C68,T$21)+COUNTIF($C65:$C68,$A$3))</f>
        <v>1</v>
      </c>
      <c r="V68" s="52" t="n">
        <f aca="false">IF($D68="","",COUNTIF($D65:$D68,T$21)+COUNTIF($D65:$D68,$A$3))</f>
        <v>0</v>
      </c>
      <c r="W68" s="52" t="n">
        <f aca="false">IF($E68="","",COUNTIF($E65:$E68,T$21)+COUNTIF($E65:$E68,$A$3))</f>
        <v>3</v>
      </c>
      <c r="X68" s="53" t="n">
        <f aca="false">IF($F68="","",COUNTIF($F65:$F68,T$21)+COUNTIF($F65:$F68,$A$3))</f>
        <v>1</v>
      </c>
      <c r="Z68" s="65" t="n">
        <f aca="false">IF($B68="","",COUNTIF($B65:$B68,Z$21)+COUNTIF($B65:$B68,$A$3))</f>
        <v>0</v>
      </c>
      <c r="AA68" s="52" t="n">
        <f aca="false">IF($C68="","",COUNTIF($C65:$C68,Z$21)+COUNTIF($C65:$C68,$A$3))</f>
        <v>0</v>
      </c>
      <c r="AB68" s="52" t="n">
        <f aca="false">IF($D68="","",COUNTIF($D65:$D68,Z$21)+COUNTIF($D65:$D68,$A$3))</f>
        <v>3</v>
      </c>
      <c r="AC68" s="52" t="n">
        <f aca="false">IF($E68="","",COUNTIF($E65:$E68,Z$21)+COUNTIF($E65:$E68,$A$3))</f>
        <v>0</v>
      </c>
      <c r="AD68" s="53" t="n">
        <f aca="false">IF($F68="","",COUNTIF($F65:$F68,Z$21)+COUNTIF($F65:$F68,$A$3))</f>
        <v>1</v>
      </c>
      <c r="AF68" s="65" t="n">
        <f aca="false">IF($B68="","",COUNTIF($B65:$B68,AF$21)+COUNTIF($B65:$B68,$A$3))</f>
        <v>0</v>
      </c>
      <c r="AG68" s="52" t="n">
        <f aca="false">IF($C68="","",COUNTIF($C65:$C68,AF$21)+COUNTIF($C65:$C68,$A$3))</f>
        <v>0</v>
      </c>
      <c r="AH68" s="52" t="n">
        <f aca="false">IF($D68="","",COUNTIF($D65:$D68,AF$21)+COUNTIF($D65:$D68,$A$3))</f>
        <v>0</v>
      </c>
      <c r="AI68" s="52" t="n">
        <f aca="false">IF($E68="","",COUNTIF($E65:$E68,AF$21)+COUNTIF($E65:$E68,$A$3))</f>
        <v>0</v>
      </c>
      <c r="AJ68" s="53" t="n">
        <f aca="false">IF($F68="","",COUNTIF($F65:$F68,AF$21)+COUNTIF($F65:$F68,$A$3))</f>
        <v>0</v>
      </c>
      <c r="AL68" s="65" t="n">
        <f aca="false">IF($B68="","",COUNTIF($B65:$B68,AL$21)+COUNTIF($B65:$B68,$A$3))</f>
        <v>1</v>
      </c>
      <c r="AM68" s="52" t="n">
        <f aca="false">IF($C68="","",COUNTIF($C65:$C68,AL$21)+COUNTIF($C65:$C68,$A$3))</f>
        <v>0</v>
      </c>
      <c r="AN68" s="52" t="n">
        <f aca="false">IF($D68="","",COUNTIF($D65:$D68,AL$21)+COUNTIF($D65:$D68,$A$3))</f>
        <v>0</v>
      </c>
      <c r="AO68" s="52" t="n">
        <f aca="false">IF($E68="","",COUNTIF($E65:$E68,AL$21)+COUNTIF($E65:$E68,$A$3))</f>
        <v>0</v>
      </c>
      <c r="AP68" s="53" t="n">
        <f aca="false">IF($F68="","",COUNTIF($F65:$F68,AL$21)+COUNTIF($F65:$F68,$A$3))</f>
        <v>1</v>
      </c>
      <c r="AR68" s="65" t="n">
        <f aca="false">IF($B68="","",COUNTIF($B65:$B68,AR$21)+COUNTIF($B65:$B68,$A$3))</f>
        <v>0</v>
      </c>
      <c r="AS68" s="52" t="n">
        <f aca="false">IF($C68="","",COUNTIF($C65:$C68,AR$21)+COUNTIF($C65:$C68,$A$3))</f>
        <v>1</v>
      </c>
      <c r="AT68" s="52" t="n">
        <f aca="false">IF($D68="","",COUNTIF($D65:$D68,AR$21)+COUNTIF($D65:$D68,$A$3))</f>
        <v>1</v>
      </c>
      <c r="AU68" s="52" t="n">
        <f aca="false">IF($E68="","",COUNTIF($E65:$E68,AR$21)+COUNTIF($E65:$E68,$A$3))</f>
        <v>0</v>
      </c>
      <c r="AV68" s="53" t="n">
        <f aca="false">IF($F68="","",COUNTIF($F65:$F68,AR$21)+COUNTIF($F65:$F68,$A$3))</f>
        <v>0</v>
      </c>
      <c r="AX68" s="65" t="n">
        <f aca="false">IF($B68="","",COUNTIF($B65:$B68,AX$21)+COUNTIF($B65:$B68,$A$3))</f>
        <v>0</v>
      </c>
      <c r="AY68" s="52" t="n">
        <f aca="false">IF($C68="","",COUNTIF($C65:$C68,AX$21)+COUNTIF($C65:$C68,$A$3))</f>
        <v>0</v>
      </c>
      <c r="AZ68" s="52" t="n">
        <f aca="false">IF($D68="","",COUNTIF($D65:$D68,AX$21)+COUNTIF($D65:$D68,$A$3))</f>
        <v>0</v>
      </c>
      <c r="BA68" s="52" t="n">
        <f aca="false">IF($E68="","",COUNTIF($E65:$E68,AX$21)+COUNTIF($E65:$E68,$A$3))</f>
        <v>0</v>
      </c>
      <c r="BB68" s="53" t="n">
        <f aca="false">IF($F68="","",COUNTIF($F65:$F68,AX$21)+COUNTIF($F65:$F68,$A$3))</f>
        <v>1</v>
      </c>
      <c r="BD68" s="65" t="n">
        <f aca="false">IF($B68="","",COUNTIF($B65:$B68,BD$21)+COUNTIF($B65:$B68,$A$3))</f>
        <v>1</v>
      </c>
      <c r="BE68" s="52" t="n">
        <f aca="false">IF($C68="","",COUNTIF($C65:$C68,BD$21)+COUNTIF($C65:$C68,$A$3))</f>
        <v>1</v>
      </c>
      <c r="BF68" s="52" t="n">
        <f aca="false">IF($D68="","",COUNTIF($D65:$D68,BD$21)+COUNTIF($D65:$D68,$A$3))</f>
        <v>0</v>
      </c>
      <c r="BG68" s="52" t="n">
        <f aca="false">IF($E68="","",COUNTIF($E65:$E68,BD$21)+COUNTIF($E65:$E68,$A$3))</f>
        <v>0</v>
      </c>
      <c r="BH68" s="53" t="n">
        <f aca="false">IF($F68="","",COUNTIF($F65:$F68,BD$21)+COUNTIF($F65:$F68,$A$3))</f>
        <v>0</v>
      </c>
      <c r="BJ68" s="65" t="n">
        <f aca="false">IF($B68="","",COUNTIF($B65:$B68,BJ$21)+COUNTIF($B65:$B68,$A$3))</f>
        <v>1</v>
      </c>
      <c r="BK68" s="52" t="n">
        <f aca="false">IF($C68="","",COUNTIF($C65:$C68,BJ$21)+COUNTIF($C65:$C68,$A$3))</f>
        <v>0</v>
      </c>
      <c r="BL68" s="52" t="n">
        <f aca="false">IF($D68="","",COUNTIF($D65:$D68,BJ$21)+COUNTIF($D65:$D68,$A$3))</f>
        <v>0</v>
      </c>
      <c r="BM68" s="52" t="n">
        <f aca="false">IF($E68="","",COUNTIF($E65:$E68,BJ$21)+COUNTIF($E65:$E68,$A$3))</f>
        <v>0</v>
      </c>
      <c r="BN68" s="53" t="n">
        <f aca="false">IF($F68="","",COUNTIF($F65:$F68,BJ$21)+COUNTIF($F65:$F68,$A$3))</f>
        <v>0</v>
      </c>
      <c r="BP68" s="65" t="n">
        <f aca="false">IF($B68="","",COUNTIF($B65:$B68,BP$21)+COUNTIF($B65:$B68,$A$3))</f>
        <v>0</v>
      </c>
      <c r="BQ68" s="52" t="n">
        <f aca="false">IF($C68="","",COUNTIF($C65:$C68,BP$21)+COUNTIF($C65:$C68,$A$3))</f>
        <v>0</v>
      </c>
      <c r="BR68" s="52" t="n">
        <f aca="false">IF($D68="","",COUNTIF($D65:$D68,BP$21)+COUNTIF($D65:$D68,$A$3))</f>
        <v>0</v>
      </c>
      <c r="BS68" s="52" t="n">
        <f aca="false">IF($E68="","",COUNTIF($E65:$E68,BP$21)+COUNTIF($E65:$E68,$A$3))</f>
        <v>1</v>
      </c>
      <c r="BT68" s="53" t="n">
        <f aca="false">IF($F68="","",COUNTIF($F65:$F68,BP$21)+COUNTIF($F65:$F68,$A$3))</f>
        <v>0</v>
      </c>
    </row>
    <row r="69" customFormat="false" ht="15" hidden="false" customHeight="false" outlineLevel="0" collapsed="false">
      <c r="A69" s="13" t="n">
        <v>47</v>
      </c>
      <c r="B69" s="116" t="str">
        <f aca="false">IF('Game Info'!J52="","",'Game Info'!J52)</f>
        <v>SYM2</v>
      </c>
      <c r="C69" s="116" t="str">
        <f aca="false">IF('Game Info'!K52="","",'Game Info'!K52)</f>
        <v>SYM2</v>
      </c>
      <c r="D69" s="116" t="str">
        <f aca="false">IF('Game Info'!L52="","",'Game Info'!L52)</f>
        <v>SYM5</v>
      </c>
      <c r="E69" s="116" t="str">
        <f aca="false">IF('Game Info'!M52="","",'Game Info'!M52)</f>
        <v>K</v>
      </c>
      <c r="F69" s="117" t="str">
        <f aca="false">IF('Game Info'!N52="","",'Game Info'!N52)</f>
        <v>K</v>
      </c>
      <c r="H69" s="65" t="n">
        <f aca="false">IF($B69="","",COUNTIF($B66:$B69,H$21)+COUNTIF($B66:$B69,$A$3))</f>
        <v>0</v>
      </c>
      <c r="I69" s="52" t="n">
        <f aca="false">IF($C69="","",COUNTIF($C66:$C69,H$21)+COUNTIF($C66:$C69,$A$3))</f>
        <v>0</v>
      </c>
      <c r="J69" s="52" t="n">
        <f aca="false">IF($D69="","",COUNTIF($D66:$D69,H$21)+COUNTIF($D66:$D69,$A$3))</f>
        <v>0</v>
      </c>
      <c r="K69" s="52" t="n">
        <f aca="false">IF($E69="","",COUNTIF($E66:$E69,H$21)+COUNTIF($E66:$E69,$A$3))</f>
        <v>0</v>
      </c>
      <c r="L69" s="53" t="n">
        <f aca="false">IF($F69="","",COUNTIF($F66:$F69,H$21)+COUNTIF($F66:$F69,$A$3))</f>
        <v>0</v>
      </c>
      <c r="N69" s="65" t="n">
        <f aca="false">IF($B69="","",COUNTIF($B66:$B69,N$21)+COUNTIF($B66:$B69,$A$3))</f>
        <v>1</v>
      </c>
      <c r="O69" s="52" t="n">
        <f aca="false">IF($C69="","",COUNTIF($C66:$C69,N$21)+COUNTIF($C66:$C69,$A$3))</f>
        <v>2</v>
      </c>
      <c r="P69" s="52" t="n">
        <f aca="false">IF($D69="","",COUNTIF($D66:$D69,N$21)+COUNTIF($D66:$D69,$A$3))</f>
        <v>0</v>
      </c>
      <c r="Q69" s="52" t="n">
        <f aca="false">IF($E69="","",COUNTIF($E66:$E69,N$21)+COUNTIF($E66:$E69,$A$3))</f>
        <v>0</v>
      </c>
      <c r="R69" s="53" t="n">
        <f aca="false">IF($F69="","",COUNTIF($F66:$F69,N$21)+COUNTIF($F66:$F69,$A$3))</f>
        <v>0</v>
      </c>
      <c r="T69" s="65" t="n">
        <f aca="false">IF($B69="","",COUNTIF($B66:$B69,T$21)+COUNTIF($B66:$B69,$A$3))</f>
        <v>0</v>
      </c>
      <c r="U69" s="52" t="n">
        <f aca="false">IF($C69="","",COUNTIF($C66:$C69,T$21)+COUNTIF($C66:$C69,$A$3))</f>
        <v>1</v>
      </c>
      <c r="V69" s="52" t="n">
        <f aca="false">IF($D69="","",COUNTIF($D66:$D69,T$21)+COUNTIF($D66:$D69,$A$3))</f>
        <v>0</v>
      </c>
      <c r="W69" s="52" t="n">
        <f aca="false">IF($E69="","",COUNTIF($E66:$E69,T$21)+COUNTIF($E66:$E69,$A$3))</f>
        <v>2</v>
      </c>
      <c r="X69" s="53" t="n">
        <f aca="false">IF($F69="","",COUNTIF($F66:$F69,T$21)+COUNTIF($F66:$F69,$A$3))</f>
        <v>0</v>
      </c>
      <c r="Z69" s="65" t="n">
        <f aca="false">IF($B69="","",COUNTIF($B66:$B69,Z$21)+COUNTIF($B66:$B69,$A$3))</f>
        <v>0</v>
      </c>
      <c r="AA69" s="52" t="n">
        <f aca="false">IF($C69="","",COUNTIF($C66:$C69,Z$21)+COUNTIF($C66:$C69,$A$3))</f>
        <v>0</v>
      </c>
      <c r="AB69" s="52" t="n">
        <f aca="false">IF($D69="","",COUNTIF($D66:$D69,Z$21)+COUNTIF($D66:$D69,$A$3))</f>
        <v>2</v>
      </c>
      <c r="AC69" s="52" t="n">
        <f aca="false">IF($E69="","",COUNTIF($E66:$E69,Z$21)+COUNTIF($E66:$E69,$A$3))</f>
        <v>0</v>
      </c>
      <c r="AD69" s="53" t="n">
        <f aca="false">IF($F69="","",COUNTIF($F66:$F69,Z$21)+COUNTIF($F66:$F69,$A$3))</f>
        <v>1</v>
      </c>
      <c r="AF69" s="65" t="n">
        <f aca="false">IF($B69="","",COUNTIF($B66:$B69,AF$21)+COUNTIF($B66:$B69,$A$3))</f>
        <v>0</v>
      </c>
      <c r="AG69" s="52" t="n">
        <f aca="false">IF($C69="","",COUNTIF($C66:$C69,AF$21)+COUNTIF($C66:$C69,$A$3))</f>
        <v>0</v>
      </c>
      <c r="AH69" s="52" t="n">
        <f aca="false">IF($D69="","",COUNTIF($D66:$D69,AF$21)+COUNTIF($D66:$D69,$A$3))</f>
        <v>1</v>
      </c>
      <c r="AI69" s="52" t="n">
        <f aca="false">IF($E69="","",COUNTIF($E66:$E69,AF$21)+COUNTIF($E66:$E69,$A$3))</f>
        <v>0</v>
      </c>
      <c r="AJ69" s="53" t="n">
        <f aca="false">IF($F69="","",COUNTIF($F66:$F69,AF$21)+COUNTIF($F66:$F69,$A$3))</f>
        <v>0</v>
      </c>
      <c r="AL69" s="65" t="n">
        <f aca="false">IF($B69="","",COUNTIF($B66:$B69,AL$21)+COUNTIF($B66:$B69,$A$3))</f>
        <v>1</v>
      </c>
      <c r="AM69" s="52" t="n">
        <f aca="false">IF($C69="","",COUNTIF($C66:$C69,AL$21)+COUNTIF($C66:$C69,$A$3))</f>
        <v>0</v>
      </c>
      <c r="AN69" s="52" t="n">
        <f aca="false">IF($D69="","",COUNTIF($D66:$D69,AL$21)+COUNTIF($D66:$D69,$A$3))</f>
        <v>0</v>
      </c>
      <c r="AO69" s="52" t="n">
        <f aca="false">IF($E69="","",COUNTIF($E66:$E69,AL$21)+COUNTIF($E66:$E69,$A$3))</f>
        <v>0</v>
      </c>
      <c r="AP69" s="53" t="n">
        <f aca="false">IF($F69="","",COUNTIF($F66:$F69,AL$21)+COUNTIF($F66:$F69,$A$3))</f>
        <v>1</v>
      </c>
      <c r="AR69" s="65" t="n">
        <f aca="false">IF($B69="","",COUNTIF($B66:$B69,AR$21)+COUNTIF($B66:$B69,$A$3))</f>
        <v>0</v>
      </c>
      <c r="AS69" s="52" t="n">
        <f aca="false">IF($C69="","",COUNTIF($C66:$C69,AR$21)+COUNTIF($C66:$C69,$A$3))</f>
        <v>1</v>
      </c>
      <c r="AT69" s="52" t="n">
        <f aca="false">IF($D69="","",COUNTIF($D66:$D69,AR$21)+COUNTIF($D66:$D69,$A$3))</f>
        <v>1</v>
      </c>
      <c r="AU69" s="52" t="n">
        <f aca="false">IF($E69="","",COUNTIF($E66:$E69,AR$21)+COUNTIF($E66:$E69,$A$3))</f>
        <v>1</v>
      </c>
      <c r="AV69" s="53" t="n">
        <f aca="false">IF($F69="","",COUNTIF($F66:$F69,AR$21)+COUNTIF($F66:$F69,$A$3))</f>
        <v>1</v>
      </c>
      <c r="AX69" s="65" t="n">
        <f aca="false">IF($B69="","",COUNTIF($B66:$B69,AX$21)+COUNTIF($B66:$B69,$A$3))</f>
        <v>0</v>
      </c>
      <c r="AY69" s="52" t="n">
        <f aca="false">IF($C69="","",COUNTIF($C66:$C69,AX$21)+COUNTIF($C66:$C69,$A$3))</f>
        <v>0</v>
      </c>
      <c r="AZ69" s="52" t="n">
        <f aca="false">IF($D69="","",COUNTIF($D66:$D69,AX$21)+COUNTIF($D66:$D69,$A$3))</f>
        <v>0</v>
      </c>
      <c r="BA69" s="52" t="n">
        <f aca="false">IF($E69="","",COUNTIF($E66:$E69,AX$21)+COUNTIF($E66:$E69,$A$3))</f>
        <v>0</v>
      </c>
      <c r="BB69" s="53" t="n">
        <f aca="false">IF($F69="","",COUNTIF($F66:$F69,AX$21)+COUNTIF($F66:$F69,$A$3))</f>
        <v>1</v>
      </c>
      <c r="BD69" s="65" t="n">
        <f aca="false">IF($B69="","",COUNTIF($B66:$B69,BD$21)+COUNTIF($B66:$B69,$A$3))</f>
        <v>1</v>
      </c>
      <c r="BE69" s="52" t="n">
        <f aca="false">IF($C69="","",COUNTIF($C66:$C69,BD$21)+COUNTIF($C66:$C69,$A$3))</f>
        <v>0</v>
      </c>
      <c r="BF69" s="52" t="n">
        <f aca="false">IF($D69="","",COUNTIF($D66:$D69,BD$21)+COUNTIF($D66:$D69,$A$3))</f>
        <v>0</v>
      </c>
      <c r="BG69" s="52" t="n">
        <f aca="false">IF($E69="","",COUNTIF($E66:$E69,BD$21)+COUNTIF($E66:$E69,$A$3))</f>
        <v>0</v>
      </c>
      <c r="BH69" s="53" t="n">
        <f aca="false">IF($F69="","",COUNTIF($F66:$F69,BD$21)+COUNTIF($F66:$F69,$A$3))</f>
        <v>0</v>
      </c>
      <c r="BJ69" s="65" t="n">
        <f aca="false">IF($B69="","",COUNTIF($B66:$B69,BJ$21)+COUNTIF($B66:$B69,$A$3))</f>
        <v>1</v>
      </c>
      <c r="BK69" s="52" t="n">
        <f aca="false">IF($C69="","",COUNTIF($C66:$C69,BJ$21)+COUNTIF($C66:$C69,$A$3))</f>
        <v>0</v>
      </c>
      <c r="BL69" s="52" t="n">
        <f aca="false">IF($D69="","",COUNTIF($D66:$D69,BJ$21)+COUNTIF($D66:$D69,$A$3))</f>
        <v>0</v>
      </c>
      <c r="BM69" s="52" t="n">
        <f aca="false">IF($E69="","",COUNTIF($E66:$E69,BJ$21)+COUNTIF($E66:$E69,$A$3))</f>
        <v>0</v>
      </c>
      <c r="BN69" s="53" t="n">
        <f aca="false">IF($F69="","",COUNTIF($F66:$F69,BJ$21)+COUNTIF($F66:$F69,$A$3))</f>
        <v>0</v>
      </c>
      <c r="BP69" s="65" t="n">
        <f aca="false">IF($B69="","",COUNTIF($B66:$B69,BP$21)+COUNTIF($B66:$B69,$A$3))</f>
        <v>0</v>
      </c>
      <c r="BQ69" s="52" t="n">
        <f aca="false">IF($C69="","",COUNTIF($C66:$C69,BP$21)+COUNTIF($C66:$C69,$A$3))</f>
        <v>0</v>
      </c>
      <c r="BR69" s="52" t="n">
        <f aca="false">IF($D69="","",COUNTIF($D66:$D69,BP$21)+COUNTIF($D66:$D69,$A$3))</f>
        <v>0</v>
      </c>
      <c r="BS69" s="52" t="n">
        <f aca="false">IF($E69="","",COUNTIF($E66:$E69,BP$21)+COUNTIF($E66:$E69,$A$3))</f>
        <v>1</v>
      </c>
      <c r="BT69" s="53" t="n">
        <f aca="false">IF($F69="","",COUNTIF($F66:$F69,BP$21)+COUNTIF($F66:$F69,$A$3))</f>
        <v>0</v>
      </c>
    </row>
    <row r="70" customFormat="false" ht="15" hidden="false" customHeight="false" outlineLevel="0" collapsed="false">
      <c r="A70" s="13" t="n">
        <v>48</v>
      </c>
      <c r="B70" s="116" t="n">
        <f aca="false">IF('Game Info'!J53="","",'Game Info'!J53)</f>
        <v>9</v>
      </c>
      <c r="C70" s="116" t="str">
        <f aca="false">IF('Game Info'!K53="","",'Game Info'!K53)</f>
        <v>Q</v>
      </c>
      <c r="D70" s="116" t="str">
        <f aca="false">IF('Game Info'!L53="","",'Game Info'!L53)</f>
        <v>J</v>
      </c>
      <c r="E70" s="116" t="str">
        <f aca="false">IF('Game Info'!M53="","",'Game Info'!M53)</f>
        <v>SYM5</v>
      </c>
      <c r="F70" s="117" t="str">
        <f aca="false">IF('Game Info'!N53="","",'Game Info'!N53)</f>
        <v>SYM3</v>
      </c>
      <c r="H70" s="65" t="n">
        <f aca="false">IF($B70="","",COUNTIF($B67:$B70,H$21)+COUNTIF($B67:$B70,$A$3))</f>
        <v>0</v>
      </c>
      <c r="I70" s="52" t="n">
        <f aca="false">IF($C70="","",COUNTIF($C67:$C70,H$21)+COUNTIF($C67:$C70,$A$3))</f>
        <v>0</v>
      </c>
      <c r="J70" s="52" t="n">
        <f aca="false">IF($D70="","",COUNTIF($D67:$D70,H$21)+COUNTIF($D67:$D70,$A$3))</f>
        <v>0</v>
      </c>
      <c r="K70" s="52" t="n">
        <f aca="false">IF($E70="","",COUNTIF($E67:$E70,H$21)+COUNTIF($E67:$E70,$A$3))</f>
        <v>0</v>
      </c>
      <c r="L70" s="53" t="n">
        <f aca="false">IF($F70="","",COUNTIF($F67:$F70,H$21)+COUNTIF($F67:$F70,$A$3))</f>
        <v>0</v>
      </c>
      <c r="N70" s="65" t="n">
        <f aca="false">IF($B70="","",COUNTIF($B67:$B70,N$21)+COUNTIF($B67:$B70,$A$3))</f>
        <v>1</v>
      </c>
      <c r="O70" s="52" t="n">
        <f aca="false">IF($C70="","",COUNTIF($C67:$C70,N$21)+COUNTIF($C67:$C70,$A$3))</f>
        <v>2</v>
      </c>
      <c r="P70" s="52" t="n">
        <f aca="false">IF($D70="","",COUNTIF($D67:$D70,N$21)+COUNTIF($D67:$D70,$A$3))</f>
        <v>0</v>
      </c>
      <c r="Q70" s="52" t="n">
        <f aca="false">IF($E70="","",COUNTIF($E67:$E70,N$21)+COUNTIF($E67:$E70,$A$3))</f>
        <v>0</v>
      </c>
      <c r="R70" s="53" t="n">
        <f aca="false">IF($F70="","",COUNTIF($F67:$F70,N$21)+COUNTIF($F67:$F70,$A$3))</f>
        <v>0</v>
      </c>
      <c r="T70" s="65" t="n">
        <f aca="false">IF($B70="","",COUNTIF($B67:$B70,T$21)+COUNTIF($B67:$B70,$A$3))</f>
        <v>0</v>
      </c>
      <c r="U70" s="52" t="n">
        <f aca="false">IF($C70="","",COUNTIF($C67:$C70,T$21)+COUNTIF($C67:$C70,$A$3))</f>
        <v>0</v>
      </c>
      <c r="V70" s="52" t="n">
        <f aca="false">IF($D70="","",COUNTIF($D67:$D70,T$21)+COUNTIF($D67:$D70,$A$3))</f>
        <v>0</v>
      </c>
      <c r="W70" s="52" t="n">
        <f aca="false">IF($E70="","",COUNTIF($E67:$E70,T$21)+COUNTIF($E67:$E70,$A$3))</f>
        <v>1</v>
      </c>
      <c r="X70" s="53" t="n">
        <f aca="false">IF($F70="","",COUNTIF($F67:$F70,T$21)+COUNTIF($F67:$F70,$A$3))</f>
        <v>1</v>
      </c>
      <c r="Z70" s="65" t="n">
        <f aca="false">IF($B70="","",COUNTIF($B67:$B70,Z$21)+COUNTIF($B67:$B70,$A$3))</f>
        <v>0</v>
      </c>
      <c r="AA70" s="52" t="n">
        <f aca="false">IF($C70="","",COUNTIF($C67:$C70,Z$21)+COUNTIF($C67:$C70,$A$3))</f>
        <v>0</v>
      </c>
      <c r="AB70" s="52" t="n">
        <f aca="false">IF($D70="","",COUNTIF($D67:$D70,Z$21)+COUNTIF($D67:$D70,$A$3))</f>
        <v>1</v>
      </c>
      <c r="AC70" s="52" t="n">
        <f aca="false">IF($E70="","",COUNTIF($E67:$E70,Z$21)+COUNTIF($E67:$E70,$A$3))</f>
        <v>0</v>
      </c>
      <c r="AD70" s="53" t="n">
        <f aca="false">IF($F70="","",COUNTIF($F67:$F70,Z$21)+COUNTIF($F67:$F70,$A$3))</f>
        <v>1</v>
      </c>
      <c r="AF70" s="65" t="n">
        <f aca="false">IF($B70="","",COUNTIF($B67:$B70,AF$21)+COUNTIF($B67:$B70,$A$3))</f>
        <v>0</v>
      </c>
      <c r="AG70" s="52" t="n">
        <f aca="false">IF($C70="","",COUNTIF($C67:$C70,AF$21)+COUNTIF($C67:$C70,$A$3))</f>
        <v>0</v>
      </c>
      <c r="AH70" s="52" t="n">
        <f aca="false">IF($D70="","",COUNTIF($D67:$D70,AF$21)+COUNTIF($D67:$D70,$A$3))</f>
        <v>1</v>
      </c>
      <c r="AI70" s="52" t="n">
        <f aca="false">IF($E70="","",COUNTIF($E67:$E70,AF$21)+COUNTIF($E67:$E70,$A$3))</f>
        <v>1</v>
      </c>
      <c r="AJ70" s="53" t="n">
        <f aca="false">IF($F70="","",COUNTIF($F67:$F70,AF$21)+COUNTIF($F67:$F70,$A$3))</f>
        <v>0</v>
      </c>
      <c r="AL70" s="65" t="n">
        <f aca="false">IF($B70="","",COUNTIF($B67:$B70,AL$21)+COUNTIF($B67:$B70,$A$3))</f>
        <v>0</v>
      </c>
      <c r="AM70" s="52" t="n">
        <f aca="false">IF($C70="","",COUNTIF($C67:$C70,AL$21)+COUNTIF($C67:$C70,$A$3))</f>
        <v>0</v>
      </c>
      <c r="AN70" s="52" t="n">
        <f aca="false">IF($D70="","",COUNTIF($D67:$D70,AL$21)+COUNTIF($D67:$D70,$A$3))</f>
        <v>0</v>
      </c>
      <c r="AO70" s="52" t="n">
        <f aca="false">IF($E70="","",COUNTIF($E67:$E70,AL$21)+COUNTIF($E67:$E70,$A$3))</f>
        <v>0</v>
      </c>
      <c r="AP70" s="53" t="n">
        <f aca="false">IF($F70="","",COUNTIF($F67:$F70,AL$21)+COUNTIF($F67:$F70,$A$3))</f>
        <v>1</v>
      </c>
      <c r="AR70" s="65" t="n">
        <f aca="false">IF($B70="","",COUNTIF($B67:$B70,AR$21)+COUNTIF($B67:$B70,$A$3))</f>
        <v>0</v>
      </c>
      <c r="AS70" s="52" t="n">
        <f aca="false">IF($C70="","",COUNTIF($C67:$C70,AR$21)+COUNTIF($C67:$C70,$A$3))</f>
        <v>1</v>
      </c>
      <c r="AT70" s="52" t="n">
        <f aca="false">IF($D70="","",COUNTIF($D67:$D70,AR$21)+COUNTIF($D67:$D70,$A$3))</f>
        <v>1</v>
      </c>
      <c r="AU70" s="52" t="n">
        <f aca="false">IF($E70="","",COUNTIF($E67:$E70,AR$21)+COUNTIF($E67:$E70,$A$3))</f>
        <v>1</v>
      </c>
      <c r="AV70" s="53" t="n">
        <f aca="false">IF($F70="","",COUNTIF($F67:$F70,AR$21)+COUNTIF($F67:$F70,$A$3))</f>
        <v>1</v>
      </c>
      <c r="AX70" s="65" t="n">
        <f aca="false">IF($B70="","",COUNTIF($B67:$B70,AX$21)+COUNTIF($B67:$B70,$A$3))</f>
        <v>0</v>
      </c>
      <c r="AY70" s="52" t="n">
        <f aca="false">IF($C70="","",COUNTIF($C67:$C70,AX$21)+COUNTIF($C67:$C70,$A$3))</f>
        <v>1</v>
      </c>
      <c r="AZ70" s="52" t="n">
        <f aca="false">IF($D70="","",COUNTIF($D67:$D70,AX$21)+COUNTIF($D67:$D70,$A$3))</f>
        <v>0</v>
      </c>
      <c r="BA70" s="52" t="n">
        <f aca="false">IF($E70="","",COUNTIF($E67:$E70,AX$21)+COUNTIF($E67:$E70,$A$3))</f>
        <v>0</v>
      </c>
      <c r="BB70" s="53" t="n">
        <f aca="false">IF($F70="","",COUNTIF($F67:$F70,AX$21)+COUNTIF($F67:$F70,$A$3))</f>
        <v>0</v>
      </c>
      <c r="BD70" s="65" t="n">
        <f aca="false">IF($B70="","",COUNTIF($B67:$B70,BD$21)+COUNTIF($B67:$B70,$A$3))</f>
        <v>1</v>
      </c>
      <c r="BE70" s="52" t="n">
        <f aca="false">IF($C70="","",COUNTIF($C67:$C70,BD$21)+COUNTIF($C67:$C70,$A$3))</f>
        <v>0</v>
      </c>
      <c r="BF70" s="52" t="n">
        <f aca="false">IF($D70="","",COUNTIF($D67:$D70,BD$21)+COUNTIF($D67:$D70,$A$3))</f>
        <v>1</v>
      </c>
      <c r="BG70" s="52" t="n">
        <f aca="false">IF($E70="","",COUNTIF($E67:$E70,BD$21)+COUNTIF($E67:$E70,$A$3))</f>
        <v>0</v>
      </c>
      <c r="BH70" s="53" t="n">
        <f aca="false">IF($F70="","",COUNTIF($F67:$F70,BD$21)+COUNTIF($F67:$F70,$A$3))</f>
        <v>0</v>
      </c>
      <c r="BJ70" s="65" t="n">
        <f aca="false">IF($B70="","",COUNTIF($B67:$B70,BJ$21)+COUNTIF($B67:$B70,$A$3))</f>
        <v>1</v>
      </c>
      <c r="BK70" s="52" t="n">
        <f aca="false">IF($C70="","",COUNTIF($C67:$C70,BJ$21)+COUNTIF($C67:$C70,$A$3))</f>
        <v>0</v>
      </c>
      <c r="BL70" s="52" t="n">
        <f aca="false">IF($D70="","",COUNTIF($D67:$D70,BJ$21)+COUNTIF($D67:$D70,$A$3))</f>
        <v>0</v>
      </c>
      <c r="BM70" s="52" t="n">
        <f aca="false">IF($E70="","",COUNTIF($E67:$E70,BJ$21)+COUNTIF($E67:$E70,$A$3))</f>
        <v>0</v>
      </c>
      <c r="BN70" s="53" t="n">
        <f aca="false">IF($F70="","",COUNTIF($F67:$F70,BJ$21)+COUNTIF($F67:$F70,$A$3))</f>
        <v>0</v>
      </c>
      <c r="BP70" s="65" t="n">
        <f aca="false">IF($B70="","",COUNTIF($B67:$B70,BP$21)+COUNTIF($B67:$B70,$A$3))</f>
        <v>1</v>
      </c>
      <c r="BQ70" s="52" t="n">
        <f aca="false">IF($C70="","",COUNTIF($C67:$C70,BP$21)+COUNTIF($C67:$C70,$A$3))</f>
        <v>0</v>
      </c>
      <c r="BR70" s="52" t="n">
        <f aca="false">IF($D70="","",COUNTIF($D67:$D70,BP$21)+COUNTIF($D67:$D70,$A$3))</f>
        <v>0</v>
      </c>
      <c r="BS70" s="52" t="n">
        <f aca="false">IF($E70="","",COUNTIF($E67:$E70,BP$21)+COUNTIF($E67:$E70,$A$3))</f>
        <v>1</v>
      </c>
      <c r="BT70" s="53" t="n">
        <f aca="false">IF($F70="","",COUNTIF($F67:$F70,BP$21)+COUNTIF($F67:$F70,$A$3))</f>
        <v>0</v>
      </c>
    </row>
    <row r="71" customFormat="false" ht="15" hidden="false" customHeight="false" outlineLevel="0" collapsed="false">
      <c r="A71" s="13" t="n">
        <v>49</v>
      </c>
      <c r="B71" s="116" t="str">
        <f aca="false">IF('Game Info'!J54="","",'Game Info'!J54)</f>
        <v>SYM4</v>
      </c>
      <c r="C71" s="116" t="str">
        <f aca="false">IF('Game Info'!K54="","",'Game Info'!K54)</f>
        <v>SYM5</v>
      </c>
      <c r="D71" s="116" t="str">
        <f aca="false">IF('Game Info'!L54="","",'Game Info'!L54)</f>
        <v>SYM1</v>
      </c>
      <c r="E71" s="116" t="str">
        <f aca="false">IF('Game Info'!M54="","",'Game Info'!M54)</f>
        <v>J</v>
      </c>
      <c r="F71" s="117" t="str">
        <f aca="false">IF('Game Info'!N54="","",'Game Info'!N54)</f>
        <v>SYM3</v>
      </c>
      <c r="H71" s="65" t="n">
        <f aca="false">IF($B71="","",COUNTIF($B68:$B71,H$21)+COUNTIF($B68:$B71,$A$3))</f>
        <v>0</v>
      </c>
      <c r="I71" s="52" t="n">
        <f aca="false">IF($C71="","",COUNTIF($C68:$C71,H$21)+COUNTIF($C68:$C71,$A$3))</f>
        <v>0</v>
      </c>
      <c r="J71" s="52" t="n">
        <f aca="false">IF($D71="","",COUNTIF($D68:$D71,H$21)+COUNTIF($D68:$D71,$A$3))</f>
        <v>1</v>
      </c>
      <c r="K71" s="52" t="n">
        <f aca="false">IF($E71="","",COUNTIF($E68:$E71,H$21)+COUNTIF($E68:$E71,$A$3))</f>
        <v>0</v>
      </c>
      <c r="L71" s="53" t="n">
        <f aca="false">IF($F71="","",COUNTIF($F68:$F71,H$21)+COUNTIF($F68:$F71,$A$3))</f>
        <v>0</v>
      </c>
      <c r="N71" s="65" t="n">
        <f aca="false">IF($B71="","",COUNTIF($B68:$B71,N$21)+COUNTIF($B68:$B71,$A$3))</f>
        <v>1</v>
      </c>
      <c r="O71" s="52" t="n">
        <f aca="false">IF($C71="","",COUNTIF($C68:$C71,N$21)+COUNTIF($C68:$C71,$A$3))</f>
        <v>2</v>
      </c>
      <c r="P71" s="52" t="n">
        <f aca="false">IF($D71="","",COUNTIF($D68:$D71,N$21)+COUNTIF($D68:$D71,$A$3))</f>
        <v>0</v>
      </c>
      <c r="Q71" s="52" t="n">
        <f aca="false">IF($E71="","",COUNTIF($E68:$E71,N$21)+COUNTIF($E68:$E71,$A$3))</f>
        <v>0</v>
      </c>
      <c r="R71" s="53" t="n">
        <f aca="false">IF($F71="","",COUNTIF($F68:$F71,N$21)+COUNTIF($F68:$F71,$A$3))</f>
        <v>0</v>
      </c>
      <c r="T71" s="65" t="n">
        <f aca="false">IF($B71="","",COUNTIF($B68:$B71,T$21)+COUNTIF($B68:$B71,$A$3))</f>
        <v>0</v>
      </c>
      <c r="U71" s="52" t="n">
        <f aca="false">IF($C71="","",COUNTIF($C68:$C71,T$21)+COUNTIF($C68:$C71,$A$3))</f>
        <v>0</v>
      </c>
      <c r="V71" s="52" t="n">
        <f aca="false">IF($D71="","",COUNTIF($D68:$D71,T$21)+COUNTIF($D68:$D71,$A$3))</f>
        <v>0</v>
      </c>
      <c r="W71" s="52" t="n">
        <f aca="false">IF($E71="","",COUNTIF($E68:$E71,T$21)+COUNTIF($E68:$E71,$A$3))</f>
        <v>0</v>
      </c>
      <c r="X71" s="53" t="n">
        <f aca="false">IF($F71="","",COUNTIF($F68:$F71,T$21)+COUNTIF($F68:$F71,$A$3))</f>
        <v>2</v>
      </c>
      <c r="Z71" s="65" t="n">
        <f aca="false">IF($B71="","",COUNTIF($B68:$B71,Z$21)+COUNTIF($B68:$B71,$A$3))</f>
        <v>1</v>
      </c>
      <c r="AA71" s="52" t="n">
        <f aca="false">IF($C71="","",COUNTIF($C68:$C71,Z$21)+COUNTIF($C68:$C71,$A$3))</f>
        <v>0</v>
      </c>
      <c r="AB71" s="52" t="n">
        <f aca="false">IF($D71="","",COUNTIF($D68:$D71,Z$21)+COUNTIF($D68:$D71,$A$3))</f>
        <v>0</v>
      </c>
      <c r="AC71" s="52" t="n">
        <f aca="false">IF($E71="","",COUNTIF($E68:$E71,Z$21)+COUNTIF($E68:$E71,$A$3))</f>
        <v>0</v>
      </c>
      <c r="AD71" s="53" t="n">
        <f aca="false">IF($F71="","",COUNTIF($F68:$F71,Z$21)+COUNTIF($F68:$F71,$A$3))</f>
        <v>1</v>
      </c>
      <c r="AF71" s="65" t="n">
        <f aca="false">IF($B71="","",COUNTIF($B68:$B71,AF$21)+COUNTIF($B68:$B71,$A$3))</f>
        <v>0</v>
      </c>
      <c r="AG71" s="52" t="n">
        <f aca="false">IF($C71="","",COUNTIF($C68:$C71,AF$21)+COUNTIF($C68:$C71,$A$3))</f>
        <v>1</v>
      </c>
      <c r="AH71" s="52" t="n">
        <f aca="false">IF($D71="","",COUNTIF($D68:$D71,AF$21)+COUNTIF($D68:$D71,$A$3))</f>
        <v>1</v>
      </c>
      <c r="AI71" s="52" t="n">
        <f aca="false">IF($E71="","",COUNTIF($E68:$E71,AF$21)+COUNTIF($E68:$E71,$A$3))</f>
        <v>1</v>
      </c>
      <c r="AJ71" s="53" t="n">
        <f aca="false">IF($F71="","",COUNTIF($F68:$F71,AF$21)+COUNTIF($F68:$F71,$A$3))</f>
        <v>0</v>
      </c>
      <c r="AL71" s="65" t="n">
        <f aca="false">IF($B71="","",COUNTIF($B68:$B71,AL$21)+COUNTIF($B68:$B71,$A$3))</f>
        <v>0</v>
      </c>
      <c r="AM71" s="52" t="n">
        <f aca="false">IF($C71="","",COUNTIF($C68:$C71,AL$21)+COUNTIF($C68:$C71,$A$3))</f>
        <v>0</v>
      </c>
      <c r="AN71" s="52" t="n">
        <f aca="false">IF($D71="","",COUNTIF($D68:$D71,AL$21)+COUNTIF($D68:$D71,$A$3))</f>
        <v>0</v>
      </c>
      <c r="AO71" s="52" t="n">
        <f aca="false">IF($E71="","",COUNTIF($E68:$E71,AL$21)+COUNTIF($E68:$E71,$A$3))</f>
        <v>0</v>
      </c>
      <c r="AP71" s="53" t="n">
        <f aca="false">IF($F71="","",COUNTIF($F68:$F71,AL$21)+COUNTIF($F68:$F71,$A$3))</f>
        <v>0</v>
      </c>
      <c r="AR71" s="65" t="n">
        <f aca="false">IF($B71="","",COUNTIF($B68:$B71,AR$21)+COUNTIF($B68:$B71,$A$3))</f>
        <v>0</v>
      </c>
      <c r="AS71" s="52" t="n">
        <f aca="false">IF($C71="","",COUNTIF($C68:$C71,AR$21)+COUNTIF($C68:$C71,$A$3))</f>
        <v>0</v>
      </c>
      <c r="AT71" s="52" t="n">
        <f aca="false">IF($D71="","",COUNTIF($D68:$D71,AR$21)+COUNTIF($D68:$D71,$A$3))</f>
        <v>1</v>
      </c>
      <c r="AU71" s="52" t="n">
        <f aca="false">IF($E71="","",COUNTIF($E68:$E71,AR$21)+COUNTIF($E68:$E71,$A$3))</f>
        <v>1</v>
      </c>
      <c r="AV71" s="53" t="n">
        <f aca="false">IF($F71="","",COUNTIF($F68:$F71,AR$21)+COUNTIF($F68:$F71,$A$3))</f>
        <v>1</v>
      </c>
      <c r="AX71" s="65" t="n">
        <f aca="false">IF($B71="","",COUNTIF($B68:$B71,AX$21)+COUNTIF($B68:$B71,$A$3))</f>
        <v>0</v>
      </c>
      <c r="AY71" s="52" t="n">
        <f aca="false">IF($C71="","",COUNTIF($C68:$C71,AX$21)+COUNTIF($C68:$C71,$A$3))</f>
        <v>1</v>
      </c>
      <c r="AZ71" s="52" t="n">
        <f aca="false">IF($D71="","",COUNTIF($D68:$D71,AX$21)+COUNTIF($D68:$D71,$A$3))</f>
        <v>0</v>
      </c>
      <c r="BA71" s="52" t="n">
        <f aca="false">IF($E71="","",COUNTIF($E68:$E71,AX$21)+COUNTIF($E68:$E71,$A$3))</f>
        <v>0</v>
      </c>
      <c r="BB71" s="53" t="n">
        <f aca="false">IF($F71="","",COUNTIF($F68:$F71,AX$21)+COUNTIF($F68:$F71,$A$3))</f>
        <v>0</v>
      </c>
      <c r="BD71" s="65" t="n">
        <f aca="false">IF($B71="","",COUNTIF($B68:$B71,BD$21)+COUNTIF($B68:$B71,$A$3))</f>
        <v>0</v>
      </c>
      <c r="BE71" s="52" t="n">
        <f aca="false">IF($C71="","",COUNTIF($C68:$C71,BD$21)+COUNTIF($C68:$C71,$A$3))</f>
        <v>0</v>
      </c>
      <c r="BF71" s="52" t="n">
        <f aca="false">IF($D71="","",COUNTIF($D68:$D71,BD$21)+COUNTIF($D68:$D71,$A$3))</f>
        <v>1</v>
      </c>
      <c r="BG71" s="52" t="n">
        <f aca="false">IF($E71="","",COUNTIF($E68:$E71,BD$21)+COUNTIF($E68:$E71,$A$3))</f>
        <v>1</v>
      </c>
      <c r="BH71" s="53" t="n">
        <f aca="false">IF($F71="","",COUNTIF($F68:$F71,BD$21)+COUNTIF($F68:$F71,$A$3))</f>
        <v>0</v>
      </c>
      <c r="BJ71" s="65" t="n">
        <f aca="false">IF($B71="","",COUNTIF($B68:$B71,BJ$21)+COUNTIF($B68:$B71,$A$3))</f>
        <v>1</v>
      </c>
      <c r="BK71" s="52" t="n">
        <f aca="false">IF($C71="","",COUNTIF($C68:$C71,BJ$21)+COUNTIF($C68:$C71,$A$3))</f>
        <v>0</v>
      </c>
      <c r="BL71" s="52" t="n">
        <f aca="false">IF($D71="","",COUNTIF($D68:$D71,BJ$21)+COUNTIF($D68:$D71,$A$3))</f>
        <v>0</v>
      </c>
      <c r="BM71" s="52" t="n">
        <f aca="false">IF($E71="","",COUNTIF($E68:$E71,BJ$21)+COUNTIF($E68:$E71,$A$3))</f>
        <v>0</v>
      </c>
      <c r="BN71" s="53" t="n">
        <f aca="false">IF($F71="","",COUNTIF($F68:$F71,BJ$21)+COUNTIF($F68:$F71,$A$3))</f>
        <v>0</v>
      </c>
      <c r="BP71" s="65" t="n">
        <f aca="false">IF($B71="","",COUNTIF($B68:$B71,BP$21)+COUNTIF($B68:$B71,$A$3))</f>
        <v>1</v>
      </c>
      <c r="BQ71" s="52" t="n">
        <f aca="false">IF($C71="","",COUNTIF($C68:$C71,BP$21)+COUNTIF($C68:$C71,$A$3))</f>
        <v>0</v>
      </c>
      <c r="BR71" s="52" t="n">
        <f aca="false">IF($D71="","",COUNTIF($D68:$D71,BP$21)+COUNTIF($D68:$D71,$A$3))</f>
        <v>0</v>
      </c>
      <c r="BS71" s="52" t="n">
        <f aca="false">IF($E71="","",COUNTIF($E68:$E71,BP$21)+COUNTIF($E68:$E71,$A$3))</f>
        <v>1</v>
      </c>
      <c r="BT71" s="53" t="n">
        <f aca="false">IF($F71="","",COUNTIF($F68:$F71,BP$21)+COUNTIF($F68:$F71,$A$3))</f>
        <v>0</v>
      </c>
    </row>
    <row r="72" customFormat="false" ht="15" hidden="false" customHeight="false" outlineLevel="0" collapsed="false">
      <c r="A72" s="13" t="n">
        <v>50</v>
      </c>
      <c r="B72" s="116" t="str">
        <f aca="false">IF('Game Info'!J55="","",'Game Info'!J55)</f>
        <v>J</v>
      </c>
      <c r="C72" s="116" t="str">
        <f aca="false">IF('Game Info'!K55="","",'Game Info'!K55)</f>
        <v>Q</v>
      </c>
      <c r="D72" s="116" t="str">
        <f aca="false">IF('Game Info'!L55="","",'Game Info'!L55)</f>
        <v>SYM1</v>
      </c>
      <c r="E72" s="116" t="str">
        <f aca="false">IF('Game Info'!M55="","",'Game Info'!M55)</f>
        <v>A</v>
      </c>
      <c r="F72" s="117" t="str">
        <f aca="false">IF('Game Info'!N55="","",'Game Info'!N55)</f>
        <v>SYM3</v>
      </c>
      <c r="H72" s="65" t="n">
        <f aca="false">IF($B72="","",COUNTIF($B69:$B72,H$21)+COUNTIF($B69:$B72,$A$3))</f>
        <v>0</v>
      </c>
      <c r="I72" s="52" t="n">
        <f aca="false">IF($C72="","",COUNTIF($C69:$C72,H$21)+COUNTIF($C69:$C72,$A$3))</f>
        <v>0</v>
      </c>
      <c r="J72" s="52" t="n">
        <f aca="false">IF($D72="","",COUNTIF($D69:$D72,H$21)+COUNTIF($D69:$D72,$A$3))</f>
        <v>2</v>
      </c>
      <c r="K72" s="52" t="n">
        <f aca="false">IF($E72="","",COUNTIF($E69:$E72,H$21)+COUNTIF($E69:$E72,$A$3))</f>
        <v>0</v>
      </c>
      <c r="L72" s="53" t="n">
        <f aca="false">IF($F72="","",COUNTIF($F69:$F72,H$21)+COUNTIF($F69:$F72,$A$3))</f>
        <v>0</v>
      </c>
      <c r="N72" s="65" t="n">
        <f aca="false">IF($B72="","",COUNTIF($B69:$B72,N$21)+COUNTIF($B69:$B72,$A$3))</f>
        <v>1</v>
      </c>
      <c r="O72" s="52" t="n">
        <f aca="false">IF($C72="","",COUNTIF($C69:$C72,N$21)+COUNTIF($C69:$C72,$A$3))</f>
        <v>1</v>
      </c>
      <c r="P72" s="52" t="n">
        <f aca="false">IF($D72="","",COUNTIF($D69:$D72,N$21)+COUNTIF($D69:$D72,$A$3))</f>
        <v>0</v>
      </c>
      <c r="Q72" s="52" t="n">
        <f aca="false">IF($E72="","",COUNTIF($E69:$E72,N$21)+COUNTIF($E69:$E72,$A$3))</f>
        <v>0</v>
      </c>
      <c r="R72" s="53" t="n">
        <f aca="false">IF($F72="","",COUNTIF($F69:$F72,N$21)+COUNTIF($F69:$F72,$A$3))</f>
        <v>0</v>
      </c>
      <c r="T72" s="65" t="n">
        <f aca="false">IF($B72="","",COUNTIF($B69:$B72,T$21)+COUNTIF($B69:$B72,$A$3))</f>
        <v>0</v>
      </c>
      <c r="U72" s="52" t="n">
        <f aca="false">IF($C72="","",COUNTIF($C69:$C72,T$21)+COUNTIF($C69:$C72,$A$3))</f>
        <v>0</v>
      </c>
      <c r="V72" s="52" t="n">
        <f aca="false">IF($D72="","",COUNTIF($D69:$D72,T$21)+COUNTIF($D69:$D72,$A$3))</f>
        <v>0</v>
      </c>
      <c r="W72" s="52" t="n">
        <f aca="false">IF($E72="","",COUNTIF($E69:$E72,T$21)+COUNTIF($E69:$E72,$A$3))</f>
        <v>0</v>
      </c>
      <c r="X72" s="53" t="n">
        <f aca="false">IF($F72="","",COUNTIF($F69:$F72,T$21)+COUNTIF($F69:$F72,$A$3))</f>
        <v>3</v>
      </c>
      <c r="Z72" s="65" t="n">
        <f aca="false">IF($B72="","",COUNTIF($B69:$B72,Z$21)+COUNTIF($B69:$B72,$A$3))</f>
        <v>1</v>
      </c>
      <c r="AA72" s="52" t="n">
        <f aca="false">IF($C72="","",COUNTIF($C69:$C72,Z$21)+COUNTIF($C69:$C72,$A$3))</f>
        <v>0</v>
      </c>
      <c r="AB72" s="52" t="n">
        <f aca="false">IF($D72="","",COUNTIF($D69:$D72,Z$21)+COUNTIF($D69:$D72,$A$3))</f>
        <v>0</v>
      </c>
      <c r="AC72" s="52" t="n">
        <f aca="false">IF($E72="","",COUNTIF($E69:$E72,Z$21)+COUNTIF($E69:$E72,$A$3))</f>
        <v>0</v>
      </c>
      <c r="AD72" s="53" t="n">
        <f aca="false">IF($F72="","",COUNTIF($F69:$F72,Z$21)+COUNTIF($F69:$F72,$A$3))</f>
        <v>0</v>
      </c>
      <c r="AF72" s="65" t="n">
        <f aca="false">IF($B72="","",COUNTIF($B69:$B72,AF$21)+COUNTIF($B69:$B72,$A$3))</f>
        <v>0</v>
      </c>
      <c r="AG72" s="52" t="n">
        <f aca="false">IF($C72="","",COUNTIF($C69:$C72,AF$21)+COUNTIF($C69:$C72,$A$3))</f>
        <v>1</v>
      </c>
      <c r="AH72" s="52" t="n">
        <f aca="false">IF($D72="","",COUNTIF($D69:$D72,AF$21)+COUNTIF($D69:$D72,$A$3))</f>
        <v>1</v>
      </c>
      <c r="AI72" s="52" t="n">
        <f aca="false">IF($E72="","",COUNTIF($E69:$E72,AF$21)+COUNTIF($E69:$E72,$A$3))</f>
        <v>1</v>
      </c>
      <c r="AJ72" s="53" t="n">
        <f aca="false">IF($F72="","",COUNTIF($F69:$F72,AF$21)+COUNTIF($F69:$F72,$A$3))</f>
        <v>0</v>
      </c>
      <c r="AL72" s="65" t="n">
        <f aca="false">IF($B72="","",COUNTIF($B69:$B72,AL$21)+COUNTIF($B69:$B72,$A$3))</f>
        <v>0</v>
      </c>
      <c r="AM72" s="52" t="n">
        <f aca="false">IF($C72="","",COUNTIF($C69:$C72,AL$21)+COUNTIF($C69:$C72,$A$3))</f>
        <v>0</v>
      </c>
      <c r="AN72" s="52" t="n">
        <f aca="false">IF($D72="","",COUNTIF($D69:$D72,AL$21)+COUNTIF($D69:$D72,$A$3))</f>
        <v>0</v>
      </c>
      <c r="AO72" s="52" t="n">
        <f aca="false">IF($E72="","",COUNTIF($E69:$E72,AL$21)+COUNTIF($E69:$E72,$A$3))</f>
        <v>1</v>
      </c>
      <c r="AP72" s="53" t="n">
        <f aca="false">IF($F72="","",COUNTIF($F69:$F72,AL$21)+COUNTIF($F69:$F72,$A$3))</f>
        <v>0</v>
      </c>
      <c r="AR72" s="65" t="n">
        <f aca="false">IF($B72="","",COUNTIF($B69:$B72,AR$21)+COUNTIF($B69:$B72,$A$3))</f>
        <v>0</v>
      </c>
      <c r="AS72" s="52" t="n">
        <f aca="false">IF($C72="","",COUNTIF($C69:$C72,AR$21)+COUNTIF($C69:$C72,$A$3))</f>
        <v>0</v>
      </c>
      <c r="AT72" s="52" t="n">
        <f aca="false">IF($D72="","",COUNTIF($D69:$D72,AR$21)+COUNTIF($D69:$D72,$A$3))</f>
        <v>0</v>
      </c>
      <c r="AU72" s="52" t="n">
        <f aca="false">IF($E72="","",COUNTIF($E69:$E72,AR$21)+COUNTIF($E69:$E72,$A$3))</f>
        <v>1</v>
      </c>
      <c r="AV72" s="53" t="n">
        <f aca="false">IF($F72="","",COUNTIF($F69:$F72,AR$21)+COUNTIF($F69:$F72,$A$3))</f>
        <v>1</v>
      </c>
      <c r="AX72" s="65" t="n">
        <f aca="false">IF($B72="","",COUNTIF($B69:$B72,AX$21)+COUNTIF($B69:$B72,$A$3))</f>
        <v>0</v>
      </c>
      <c r="AY72" s="52" t="n">
        <f aca="false">IF($C72="","",COUNTIF($C69:$C72,AX$21)+COUNTIF($C69:$C72,$A$3))</f>
        <v>2</v>
      </c>
      <c r="AZ72" s="52" t="n">
        <f aca="false">IF($D72="","",COUNTIF($D69:$D72,AX$21)+COUNTIF($D69:$D72,$A$3))</f>
        <v>0</v>
      </c>
      <c r="BA72" s="52" t="n">
        <f aca="false">IF($E72="","",COUNTIF($E69:$E72,AX$21)+COUNTIF($E69:$E72,$A$3))</f>
        <v>0</v>
      </c>
      <c r="BB72" s="53" t="n">
        <f aca="false">IF($F72="","",COUNTIF($F69:$F72,AX$21)+COUNTIF($F69:$F72,$A$3))</f>
        <v>0</v>
      </c>
      <c r="BD72" s="65" t="n">
        <f aca="false">IF($B72="","",COUNTIF($B69:$B72,BD$21)+COUNTIF($B69:$B72,$A$3))</f>
        <v>1</v>
      </c>
      <c r="BE72" s="52" t="n">
        <f aca="false">IF($C72="","",COUNTIF($C69:$C72,BD$21)+COUNTIF($C69:$C72,$A$3))</f>
        <v>0</v>
      </c>
      <c r="BF72" s="52" t="n">
        <f aca="false">IF($D72="","",COUNTIF($D69:$D72,BD$21)+COUNTIF($D69:$D72,$A$3))</f>
        <v>1</v>
      </c>
      <c r="BG72" s="52" t="n">
        <f aca="false">IF($E72="","",COUNTIF($E69:$E72,BD$21)+COUNTIF($E69:$E72,$A$3))</f>
        <v>1</v>
      </c>
      <c r="BH72" s="53" t="n">
        <f aca="false">IF($F72="","",COUNTIF($F69:$F72,BD$21)+COUNTIF($F69:$F72,$A$3))</f>
        <v>0</v>
      </c>
      <c r="BJ72" s="65" t="n">
        <f aca="false">IF($B72="","",COUNTIF($B69:$B72,BJ$21)+COUNTIF($B69:$B72,$A$3))</f>
        <v>0</v>
      </c>
      <c r="BK72" s="52" t="n">
        <f aca="false">IF($C72="","",COUNTIF($C69:$C72,BJ$21)+COUNTIF($C69:$C72,$A$3))</f>
        <v>0</v>
      </c>
      <c r="BL72" s="52" t="n">
        <f aca="false">IF($D72="","",COUNTIF($D69:$D72,BJ$21)+COUNTIF($D69:$D72,$A$3))</f>
        <v>0</v>
      </c>
      <c r="BM72" s="52" t="n">
        <f aca="false">IF($E72="","",COUNTIF($E69:$E72,BJ$21)+COUNTIF($E69:$E72,$A$3))</f>
        <v>0</v>
      </c>
      <c r="BN72" s="53" t="n">
        <f aca="false">IF($F72="","",COUNTIF($F69:$F72,BJ$21)+COUNTIF($F69:$F72,$A$3))</f>
        <v>0</v>
      </c>
      <c r="BP72" s="65" t="n">
        <f aca="false">IF($B72="","",COUNTIF($B69:$B72,BP$21)+COUNTIF($B69:$B72,$A$3))</f>
        <v>1</v>
      </c>
      <c r="BQ72" s="52" t="n">
        <f aca="false">IF($C72="","",COUNTIF($C69:$C72,BP$21)+COUNTIF($C69:$C72,$A$3))</f>
        <v>0</v>
      </c>
      <c r="BR72" s="52" t="n">
        <f aca="false">IF($D72="","",COUNTIF($D69:$D72,BP$21)+COUNTIF($D69:$D72,$A$3))</f>
        <v>0</v>
      </c>
      <c r="BS72" s="52" t="n">
        <f aca="false">IF($E72="","",COUNTIF($E69:$E72,BP$21)+COUNTIF($E69:$E72,$A$3))</f>
        <v>0</v>
      </c>
      <c r="BT72" s="53" t="n">
        <f aca="false">IF($F72="","",COUNTIF($F69:$F72,BP$21)+COUNTIF($F69:$F72,$A$3))</f>
        <v>0</v>
      </c>
    </row>
    <row r="73" customFormat="false" ht="15" hidden="false" customHeight="false" outlineLevel="0" collapsed="false">
      <c r="A73" s="13" t="n">
        <v>51</v>
      </c>
      <c r="B73" s="116" t="str">
        <f aca="false">IF('Game Info'!J56="","",'Game Info'!J56)</f>
        <v>SYM3</v>
      </c>
      <c r="C73" s="116" t="str">
        <f aca="false">IF('Game Info'!K56="","",'Game Info'!K56)</f>
        <v>SYM4</v>
      </c>
      <c r="D73" s="116" t="str">
        <f aca="false">IF('Game Info'!L56="","",'Game Info'!L56)</f>
        <v>Q</v>
      </c>
      <c r="E73" s="116" t="str">
        <f aca="false">IF('Game Info'!M56="","",'Game Info'!M56)</f>
        <v>SYM4</v>
      </c>
      <c r="F73" s="117" t="str">
        <f aca="false">IF('Game Info'!N56="","",'Game Info'!N56)</f>
        <v>Q</v>
      </c>
      <c r="H73" s="65" t="n">
        <f aca="false">IF($B73="","",COUNTIF($B70:$B73,H$21)+COUNTIF($B70:$B73,$A$3))</f>
        <v>0</v>
      </c>
      <c r="I73" s="52" t="n">
        <f aca="false">IF($C73="","",COUNTIF($C70:$C73,H$21)+COUNTIF($C70:$C73,$A$3))</f>
        <v>0</v>
      </c>
      <c r="J73" s="52" t="n">
        <f aca="false">IF($D73="","",COUNTIF($D70:$D73,H$21)+COUNTIF($D70:$D73,$A$3))</f>
        <v>2</v>
      </c>
      <c r="K73" s="52" t="n">
        <f aca="false">IF($E73="","",COUNTIF($E70:$E73,H$21)+COUNTIF($E70:$E73,$A$3))</f>
        <v>0</v>
      </c>
      <c r="L73" s="53" t="n">
        <f aca="false">IF($F73="","",COUNTIF($F70:$F73,H$21)+COUNTIF($F70:$F73,$A$3))</f>
        <v>0</v>
      </c>
      <c r="N73" s="65" t="n">
        <f aca="false">IF($B73="","",COUNTIF($B70:$B73,N$21)+COUNTIF($B70:$B73,$A$3))</f>
        <v>0</v>
      </c>
      <c r="O73" s="52" t="n">
        <f aca="false">IF($C73="","",COUNTIF($C70:$C73,N$21)+COUNTIF($C70:$C73,$A$3))</f>
        <v>0</v>
      </c>
      <c r="P73" s="52" t="n">
        <f aca="false">IF($D73="","",COUNTIF($D70:$D73,N$21)+COUNTIF($D70:$D73,$A$3))</f>
        <v>0</v>
      </c>
      <c r="Q73" s="52" t="n">
        <f aca="false">IF($E73="","",COUNTIF($E70:$E73,N$21)+COUNTIF($E70:$E73,$A$3))</f>
        <v>0</v>
      </c>
      <c r="R73" s="53" t="n">
        <f aca="false">IF($F73="","",COUNTIF($F70:$F73,N$21)+COUNTIF($F70:$F73,$A$3))</f>
        <v>0</v>
      </c>
      <c r="T73" s="65" t="n">
        <f aca="false">IF($B73="","",COUNTIF($B70:$B73,T$21)+COUNTIF($B70:$B73,$A$3))</f>
        <v>1</v>
      </c>
      <c r="U73" s="52" t="n">
        <f aca="false">IF($C73="","",COUNTIF($C70:$C73,T$21)+COUNTIF($C70:$C73,$A$3))</f>
        <v>0</v>
      </c>
      <c r="V73" s="52" t="n">
        <f aca="false">IF($D73="","",COUNTIF($D70:$D73,T$21)+COUNTIF($D70:$D73,$A$3))</f>
        <v>0</v>
      </c>
      <c r="W73" s="52" t="n">
        <f aca="false">IF($E73="","",COUNTIF($E70:$E73,T$21)+COUNTIF($E70:$E73,$A$3))</f>
        <v>0</v>
      </c>
      <c r="X73" s="53" t="n">
        <f aca="false">IF($F73="","",COUNTIF($F70:$F73,T$21)+COUNTIF($F70:$F73,$A$3))</f>
        <v>3</v>
      </c>
      <c r="Z73" s="65" t="n">
        <f aca="false">IF($B73="","",COUNTIF($B70:$B73,Z$21)+COUNTIF($B70:$B73,$A$3))</f>
        <v>1</v>
      </c>
      <c r="AA73" s="52" t="n">
        <f aca="false">IF($C73="","",COUNTIF($C70:$C73,Z$21)+COUNTIF($C70:$C73,$A$3))</f>
        <v>1</v>
      </c>
      <c r="AB73" s="52" t="n">
        <f aca="false">IF($D73="","",COUNTIF($D70:$D73,Z$21)+COUNTIF($D70:$D73,$A$3))</f>
        <v>0</v>
      </c>
      <c r="AC73" s="52" t="n">
        <f aca="false">IF($E73="","",COUNTIF($E70:$E73,Z$21)+COUNTIF($E70:$E73,$A$3))</f>
        <v>1</v>
      </c>
      <c r="AD73" s="53" t="n">
        <f aca="false">IF($F73="","",COUNTIF($F70:$F73,Z$21)+COUNTIF($F70:$F73,$A$3))</f>
        <v>0</v>
      </c>
      <c r="AF73" s="65" t="n">
        <f aca="false">IF($B73="","",COUNTIF($B70:$B73,AF$21)+COUNTIF($B70:$B73,$A$3))</f>
        <v>0</v>
      </c>
      <c r="AG73" s="52" t="n">
        <f aca="false">IF($C73="","",COUNTIF($C70:$C73,AF$21)+COUNTIF($C70:$C73,$A$3))</f>
        <v>1</v>
      </c>
      <c r="AH73" s="52" t="n">
        <f aca="false">IF($D73="","",COUNTIF($D70:$D73,AF$21)+COUNTIF($D70:$D73,$A$3))</f>
        <v>0</v>
      </c>
      <c r="AI73" s="52" t="n">
        <f aca="false">IF($E73="","",COUNTIF($E70:$E73,AF$21)+COUNTIF($E70:$E73,$A$3))</f>
        <v>1</v>
      </c>
      <c r="AJ73" s="53" t="n">
        <f aca="false">IF($F73="","",COUNTIF($F70:$F73,AF$21)+COUNTIF($F70:$F73,$A$3))</f>
        <v>0</v>
      </c>
      <c r="AL73" s="65" t="n">
        <f aca="false">IF($B73="","",COUNTIF($B70:$B73,AL$21)+COUNTIF($B70:$B73,$A$3))</f>
        <v>0</v>
      </c>
      <c r="AM73" s="52" t="n">
        <f aca="false">IF($C73="","",COUNTIF($C70:$C73,AL$21)+COUNTIF($C70:$C73,$A$3))</f>
        <v>0</v>
      </c>
      <c r="AN73" s="52" t="n">
        <f aca="false">IF($D73="","",COUNTIF($D70:$D73,AL$21)+COUNTIF($D70:$D73,$A$3))</f>
        <v>0</v>
      </c>
      <c r="AO73" s="52" t="n">
        <f aca="false">IF($E73="","",COUNTIF($E70:$E73,AL$21)+COUNTIF($E70:$E73,$A$3))</f>
        <v>1</v>
      </c>
      <c r="AP73" s="53" t="n">
        <f aca="false">IF($F73="","",COUNTIF($F70:$F73,AL$21)+COUNTIF($F70:$F73,$A$3))</f>
        <v>0</v>
      </c>
      <c r="AR73" s="65" t="n">
        <f aca="false">IF($B73="","",COUNTIF($B70:$B73,AR$21)+COUNTIF($B70:$B73,$A$3))</f>
        <v>0</v>
      </c>
      <c r="AS73" s="52" t="n">
        <f aca="false">IF($C73="","",COUNTIF($C70:$C73,AR$21)+COUNTIF($C70:$C73,$A$3))</f>
        <v>0</v>
      </c>
      <c r="AT73" s="52" t="n">
        <f aca="false">IF($D73="","",COUNTIF($D70:$D73,AR$21)+COUNTIF($D70:$D73,$A$3))</f>
        <v>0</v>
      </c>
      <c r="AU73" s="52" t="n">
        <f aca="false">IF($E73="","",COUNTIF($E70:$E73,AR$21)+COUNTIF($E70:$E73,$A$3))</f>
        <v>0</v>
      </c>
      <c r="AV73" s="53" t="n">
        <f aca="false">IF($F73="","",COUNTIF($F70:$F73,AR$21)+COUNTIF($F70:$F73,$A$3))</f>
        <v>0</v>
      </c>
      <c r="AX73" s="65" t="n">
        <f aca="false">IF($B73="","",COUNTIF($B70:$B73,AX$21)+COUNTIF($B70:$B73,$A$3))</f>
        <v>0</v>
      </c>
      <c r="AY73" s="52" t="n">
        <f aca="false">IF($C73="","",COUNTIF($C70:$C73,AX$21)+COUNTIF($C70:$C73,$A$3))</f>
        <v>2</v>
      </c>
      <c r="AZ73" s="52" t="n">
        <f aca="false">IF($D73="","",COUNTIF($D70:$D73,AX$21)+COUNTIF($D70:$D73,$A$3))</f>
        <v>1</v>
      </c>
      <c r="BA73" s="52" t="n">
        <f aca="false">IF($E73="","",COUNTIF($E70:$E73,AX$21)+COUNTIF($E70:$E73,$A$3))</f>
        <v>0</v>
      </c>
      <c r="BB73" s="53" t="n">
        <f aca="false">IF($F73="","",COUNTIF($F70:$F73,AX$21)+COUNTIF($F70:$F73,$A$3))</f>
        <v>1</v>
      </c>
      <c r="BD73" s="65" t="n">
        <f aca="false">IF($B73="","",COUNTIF($B70:$B73,BD$21)+COUNTIF($B70:$B73,$A$3))</f>
        <v>1</v>
      </c>
      <c r="BE73" s="52" t="n">
        <f aca="false">IF($C73="","",COUNTIF($C70:$C73,BD$21)+COUNTIF($C70:$C73,$A$3))</f>
        <v>0</v>
      </c>
      <c r="BF73" s="52" t="n">
        <f aca="false">IF($D73="","",COUNTIF($D70:$D73,BD$21)+COUNTIF($D70:$D73,$A$3))</f>
        <v>1</v>
      </c>
      <c r="BG73" s="52" t="n">
        <f aca="false">IF($E73="","",COUNTIF($E70:$E73,BD$21)+COUNTIF($E70:$E73,$A$3))</f>
        <v>1</v>
      </c>
      <c r="BH73" s="53" t="n">
        <f aca="false">IF($F73="","",COUNTIF($F70:$F73,BD$21)+COUNTIF($F70:$F73,$A$3))</f>
        <v>0</v>
      </c>
      <c r="BJ73" s="65" t="n">
        <f aca="false">IF($B73="","",COUNTIF($B70:$B73,BJ$21)+COUNTIF($B70:$B73,$A$3))</f>
        <v>0</v>
      </c>
      <c r="BK73" s="52" t="n">
        <f aca="false">IF($C73="","",COUNTIF($C70:$C73,BJ$21)+COUNTIF($C70:$C73,$A$3))</f>
        <v>0</v>
      </c>
      <c r="BL73" s="52" t="n">
        <f aca="false">IF($D73="","",COUNTIF($D70:$D73,BJ$21)+COUNTIF($D70:$D73,$A$3))</f>
        <v>0</v>
      </c>
      <c r="BM73" s="52" t="n">
        <f aca="false">IF($E73="","",COUNTIF($E70:$E73,BJ$21)+COUNTIF($E70:$E73,$A$3))</f>
        <v>0</v>
      </c>
      <c r="BN73" s="53" t="n">
        <f aca="false">IF($F73="","",COUNTIF($F70:$F73,BJ$21)+COUNTIF($F70:$F73,$A$3))</f>
        <v>0</v>
      </c>
      <c r="BP73" s="65" t="n">
        <f aca="false">IF($B73="","",COUNTIF($B70:$B73,BP$21)+COUNTIF($B70:$B73,$A$3))</f>
        <v>1</v>
      </c>
      <c r="BQ73" s="52" t="n">
        <f aca="false">IF($C73="","",COUNTIF($C70:$C73,BP$21)+COUNTIF($C70:$C73,$A$3))</f>
        <v>0</v>
      </c>
      <c r="BR73" s="52" t="n">
        <f aca="false">IF($D73="","",COUNTIF($D70:$D73,BP$21)+COUNTIF($D70:$D73,$A$3))</f>
        <v>0</v>
      </c>
      <c r="BS73" s="52" t="n">
        <f aca="false">IF($E73="","",COUNTIF($E70:$E73,BP$21)+COUNTIF($E70:$E73,$A$3))</f>
        <v>0</v>
      </c>
      <c r="BT73" s="53" t="n">
        <f aca="false">IF($F73="","",COUNTIF($F70:$F73,BP$21)+COUNTIF($F70:$F73,$A$3))</f>
        <v>0</v>
      </c>
    </row>
    <row r="74" customFormat="false" ht="15" hidden="false" customHeight="false" outlineLevel="0" collapsed="false">
      <c r="A74" s="13" t="n">
        <v>52</v>
      </c>
      <c r="B74" s="116" t="str">
        <f aca="false">IF('Game Info'!J57="","",'Game Info'!J57)</f>
        <v>K</v>
      </c>
      <c r="C74" s="116" t="str">
        <f aca="false">IF('Game Info'!K57="","",'Game Info'!K57)</f>
        <v>SYM4</v>
      </c>
      <c r="D74" s="116" t="str">
        <f aca="false">IF('Game Info'!L57="","",'Game Info'!L57)</f>
        <v>K</v>
      </c>
      <c r="E74" s="116" t="str">
        <f aca="false">IF('Game Info'!M57="","",'Game Info'!M57)</f>
        <v>SYM4</v>
      </c>
      <c r="F74" s="117" t="str">
        <f aca="false">IF('Game Info'!N57="","",'Game Info'!N57)</f>
        <v>K</v>
      </c>
      <c r="H74" s="65" t="n">
        <f aca="false">IF($B74="","",COUNTIF($B71:$B74,H$21)+COUNTIF($B71:$B74,$A$3))</f>
        <v>0</v>
      </c>
      <c r="I74" s="52" t="n">
        <f aca="false">IF($C74="","",COUNTIF($C71:$C74,H$21)+COUNTIF($C71:$C74,$A$3))</f>
        <v>0</v>
      </c>
      <c r="J74" s="52" t="n">
        <f aca="false">IF($D74="","",COUNTIF($D71:$D74,H$21)+COUNTIF($D71:$D74,$A$3))</f>
        <v>2</v>
      </c>
      <c r="K74" s="52" t="n">
        <f aca="false">IF($E74="","",COUNTIF($E71:$E74,H$21)+COUNTIF($E71:$E74,$A$3))</f>
        <v>0</v>
      </c>
      <c r="L74" s="53" t="n">
        <f aca="false">IF($F74="","",COUNTIF($F71:$F74,H$21)+COUNTIF($F71:$F74,$A$3))</f>
        <v>0</v>
      </c>
      <c r="N74" s="65" t="n">
        <f aca="false">IF($B74="","",COUNTIF($B71:$B74,N$21)+COUNTIF($B71:$B74,$A$3))</f>
        <v>0</v>
      </c>
      <c r="O74" s="52" t="n">
        <f aca="false">IF($C74="","",COUNTIF($C71:$C74,N$21)+COUNTIF($C71:$C74,$A$3))</f>
        <v>0</v>
      </c>
      <c r="P74" s="52" t="n">
        <f aca="false">IF($D74="","",COUNTIF($D71:$D74,N$21)+COUNTIF($D71:$D74,$A$3))</f>
        <v>0</v>
      </c>
      <c r="Q74" s="52" t="n">
        <f aca="false">IF($E74="","",COUNTIF($E71:$E74,N$21)+COUNTIF($E71:$E74,$A$3))</f>
        <v>0</v>
      </c>
      <c r="R74" s="53" t="n">
        <f aca="false">IF($F74="","",COUNTIF($F71:$F74,N$21)+COUNTIF($F71:$F74,$A$3))</f>
        <v>0</v>
      </c>
      <c r="T74" s="65" t="n">
        <f aca="false">IF($B74="","",COUNTIF($B71:$B74,T$21)+COUNTIF($B71:$B74,$A$3))</f>
        <v>1</v>
      </c>
      <c r="U74" s="52" t="n">
        <f aca="false">IF($C74="","",COUNTIF($C71:$C74,T$21)+COUNTIF($C71:$C74,$A$3))</f>
        <v>0</v>
      </c>
      <c r="V74" s="52" t="n">
        <f aca="false">IF($D74="","",COUNTIF($D71:$D74,T$21)+COUNTIF($D71:$D74,$A$3))</f>
        <v>0</v>
      </c>
      <c r="W74" s="52" t="n">
        <f aca="false">IF($E74="","",COUNTIF($E71:$E74,T$21)+COUNTIF($E71:$E74,$A$3))</f>
        <v>0</v>
      </c>
      <c r="X74" s="53" t="n">
        <f aca="false">IF($F74="","",COUNTIF($F71:$F74,T$21)+COUNTIF($F71:$F74,$A$3))</f>
        <v>2</v>
      </c>
      <c r="Z74" s="65" t="n">
        <f aca="false">IF($B74="","",COUNTIF($B71:$B74,Z$21)+COUNTIF($B71:$B74,$A$3))</f>
        <v>1</v>
      </c>
      <c r="AA74" s="52" t="n">
        <f aca="false">IF($C74="","",COUNTIF($C71:$C74,Z$21)+COUNTIF($C71:$C74,$A$3))</f>
        <v>2</v>
      </c>
      <c r="AB74" s="52" t="n">
        <f aca="false">IF($D74="","",COUNTIF($D71:$D74,Z$21)+COUNTIF($D71:$D74,$A$3))</f>
        <v>0</v>
      </c>
      <c r="AC74" s="52" t="n">
        <f aca="false">IF($E74="","",COUNTIF($E71:$E74,Z$21)+COUNTIF($E71:$E74,$A$3))</f>
        <v>2</v>
      </c>
      <c r="AD74" s="53" t="n">
        <f aca="false">IF($F74="","",COUNTIF($F71:$F74,Z$21)+COUNTIF($F71:$F74,$A$3))</f>
        <v>0</v>
      </c>
      <c r="AF74" s="65" t="n">
        <f aca="false">IF($B74="","",COUNTIF($B71:$B74,AF$21)+COUNTIF($B71:$B74,$A$3))</f>
        <v>0</v>
      </c>
      <c r="AG74" s="52" t="n">
        <f aca="false">IF($C74="","",COUNTIF($C71:$C74,AF$21)+COUNTIF($C71:$C74,$A$3))</f>
        <v>1</v>
      </c>
      <c r="AH74" s="52" t="n">
        <f aca="false">IF($D74="","",COUNTIF($D71:$D74,AF$21)+COUNTIF($D71:$D74,$A$3))</f>
        <v>0</v>
      </c>
      <c r="AI74" s="52" t="n">
        <f aca="false">IF($E74="","",COUNTIF($E71:$E74,AF$21)+COUNTIF($E71:$E74,$A$3))</f>
        <v>0</v>
      </c>
      <c r="AJ74" s="53" t="n">
        <f aca="false">IF($F74="","",COUNTIF($F71:$F74,AF$21)+COUNTIF($F71:$F74,$A$3))</f>
        <v>0</v>
      </c>
      <c r="AL74" s="65" t="n">
        <f aca="false">IF($B74="","",COUNTIF($B71:$B74,AL$21)+COUNTIF($B71:$B74,$A$3))</f>
        <v>0</v>
      </c>
      <c r="AM74" s="52" t="n">
        <f aca="false">IF($C74="","",COUNTIF($C71:$C74,AL$21)+COUNTIF($C71:$C74,$A$3))</f>
        <v>0</v>
      </c>
      <c r="AN74" s="52" t="n">
        <f aca="false">IF($D74="","",COUNTIF($D71:$D74,AL$21)+COUNTIF($D71:$D74,$A$3))</f>
        <v>0</v>
      </c>
      <c r="AO74" s="52" t="n">
        <f aca="false">IF($E74="","",COUNTIF($E71:$E74,AL$21)+COUNTIF($E71:$E74,$A$3))</f>
        <v>1</v>
      </c>
      <c r="AP74" s="53" t="n">
        <f aca="false">IF($F74="","",COUNTIF($F71:$F74,AL$21)+COUNTIF($F71:$F74,$A$3))</f>
        <v>0</v>
      </c>
      <c r="AR74" s="65" t="n">
        <f aca="false">IF($B74="","",COUNTIF($B71:$B74,AR$21)+COUNTIF($B71:$B74,$A$3))</f>
        <v>1</v>
      </c>
      <c r="AS74" s="52" t="n">
        <f aca="false">IF($C74="","",COUNTIF($C71:$C74,AR$21)+COUNTIF($C71:$C74,$A$3))</f>
        <v>0</v>
      </c>
      <c r="AT74" s="52" t="n">
        <f aca="false">IF($D74="","",COUNTIF($D71:$D74,AR$21)+COUNTIF($D71:$D74,$A$3))</f>
        <v>1</v>
      </c>
      <c r="AU74" s="52" t="n">
        <f aca="false">IF($E74="","",COUNTIF($E71:$E74,AR$21)+COUNTIF($E71:$E74,$A$3))</f>
        <v>0</v>
      </c>
      <c r="AV74" s="53" t="n">
        <f aca="false">IF($F74="","",COUNTIF($F71:$F74,AR$21)+COUNTIF($F71:$F74,$A$3))</f>
        <v>1</v>
      </c>
      <c r="AX74" s="65" t="n">
        <f aca="false">IF($B74="","",COUNTIF($B71:$B74,AX$21)+COUNTIF($B71:$B74,$A$3))</f>
        <v>0</v>
      </c>
      <c r="AY74" s="52" t="n">
        <f aca="false">IF($C74="","",COUNTIF($C71:$C74,AX$21)+COUNTIF($C71:$C74,$A$3))</f>
        <v>1</v>
      </c>
      <c r="AZ74" s="52" t="n">
        <f aca="false">IF($D74="","",COUNTIF($D71:$D74,AX$21)+COUNTIF($D71:$D74,$A$3))</f>
        <v>1</v>
      </c>
      <c r="BA74" s="52" t="n">
        <f aca="false">IF($E74="","",COUNTIF($E71:$E74,AX$21)+COUNTIF($E71:$E74,$A$3))</f>
        <v>0</v>
      </c>
      <c r="BB74" s="53" t="n">
        <f aca="false">IF($F74="","",COUNTIF($F71:$F74,AX$21)+COUNTIF($F71:$F74,$A$3))</f>
        <v>1</v>
      </c>
      <c r="BD74" s="65" t="n">
        <f aca="false">IF($B74="","",COUNTIF($B71:$B74,BD$21)+COUNTIF($B71:$B74,$A$3))</f>
        <v>1</v>
      </c>
      <c r="BE74" s="52" t="n">
        <f aca="false">IF($C74="","",COUNTIF($C71:$C74,BD$21)+COUNTIF($C71:$C74,$A$3))</f>
        <v>0</v>
      </c>
      <c r="BF74" s="52" t="n">
        <f aca="false">IF($D74="","",COUNTIF($D71:$D74,BD$21)+COUNTIF($D71:$D74,$A$3))</f>
        <v>0</v>
      </c>
      <c r="BG74" s="52" t="n">
        <f aca="false">IF($E74="","",COUNTIF($E71:$E74,BD$21)+COUNTIF($E71:$E74,$A$3))</f>
        <v>1</v>
      </c>
      <c r="BH74" s="53" t="n">
        <f aca="false">IF($F74="","",COUNTIF($F71:$F74,BD$21)+COUNTIF($F71:$F74,$A$3))</f>
        <v>0</v>
      </c>
      <c r="BJ74" s="65" t="n">
        <f aca="false">IF($B74="","",COUNTIF($B71:$B74,BJ$21)+COUNTIF($B71:$B74,$A$3))</f>
        <v>0</v>
      </c>
      <c r="BK74" s="52" t="n">
        <f aca="false">IF($C74="","",COUNTIF($C71:$C74,BJ$21)+COUNTIF($C71:$C74,$A$3))</f>
        <v>0</v>
      </c>
      <c r="BL74" s="52" t="n">
        <f aca="false">IF($D74="","",COUNTIF($D71:$D74,BJ$21)+COUNTIF($D71:$D74,$A$3))</f>
        <v>0</v>
      </c>
      <c r="BM74" s="52" t="n">
        <f aca="false">IF($E74="","",COUNTIF($E71:$E74,BJ$21)+COUNTIF($E71:$E74,$A$3))</f>
        <v>0</v>
      </c>
      <c r="BN74" s="53" t="n">
        <f aca="false">IF($F74="","",COUNTIF($F71:$F74,BJ$21)+COUNTIF($F71:$F74,$A$3))</f>
        <v>0</v>
      </c>
      <c r="BP74" s="65" t="n">
        <f aca="false">IF($B74="","",COUNTIF($B71:$B74,BP$21)+COUNTIF($B71:$B74,$A$3))</f>
        <v>0</v>
      </c>
      <c r="BQ74" s="52" t="n">
        <f aca="false">IF($C74="","",COUNTIF($C71:$C74,BP$21)+COUNTIF($C71:$C74,$A$3))</f>
        <v>0</v>
      </c>
      <c r="BR74" s="52" t="n">
        <f aca="false">IF($D74="","",COUNTIF($D71:$D74,BP$21)+COUNTIF($D71:$D74,$A$3))</f>
        <v>0</v>
      </c>
      <c r="BS74" s="52" t="n">
        <f aca="false">IF($E74="","",COUNTIF($E71:$E74,BP$21)+COUNTIF($E71:$E74,$A$3))</f>
        <v>0</v>
      </c>
      <c r="BT74" s="53" t="n">
        <f aca="false">IF($F74="","",COUNTIF($F71:$F74,BP$21)+COUNTIF($F71:$F74,$A$3))</f>
        <v>0</v>
      </c>
    </row>
    <row r="75" customFormat="false" ht="15" hidden="false" customHeight="false" outlineLevel="0" collapsed="false">
      <c r="A75" s="13" t="n">
        <v>53</v>
      </c>
      <c r="B75" s="116" t="n">
        <f aca="false">IF('Game Info'!J58="","",'Game Info'!J58)</f>
        <v>9</v>
      </c>
      <c r="C75" s="116" t="str">
        <f aca="false">IF('Game Info'!K58="","",'Game Info'!K58)</f>
        <v>SYM4</v>
      </c>
      <c r="D75" s="116" t="str">
        <f aca="false">IF('Game Info'!L58="","",'Game Info'!L58)</f>
        <v>J</v>
      </c>
      <c r="E75" s="116" t="str">
        <f aca="false">IF('Game Info'!M58="","",'Game Info'!M58)</f>
        <v>SYM4</v>
      </c>
      <c r="F75" s="117" t="str">
        <f aca="false">IF('Game Info'!N58="","",'Game Info'!N58)</f>
        <v>SYM2</v>
      </c>
      <c r="H75" s="65" t="n">
        <f aca="false">IF($B75="","",COUNTIF($B72:$B75,H$21)+COUNTIF($B72:$B75,$A$3))</f>
        <v>0</v>
      </c>
      <c r="I75" s="52" t="n">
        <f aca="false">IF($C75="","",COUNTIF($C72:$C75,H$21)+COUNTIF($C72:$C75,$A$3))</f>
        <v>0</v>
      </c>
      <c r="J75" s="52" t="n">
        <f aca="false">IF($D75="","",COUNTIF($D72:$D75,H$21)+COUNTIF($D72:$D75,$A$3))</f>
        <v>1</v>
      </c>
      <c r="K75" s="52" t="n">
        <f aca="false">IF($E75="","",COUNTIF($E72:$E75,H$21)+COUNTIF($E72:$E75,$A$3))</f>
        <v>0</v>
      </c>
      <c r="L75" s="53" t="n">
        <f aca="false">IF($F75="","",COUNTIF($F72:$F75,H$21)+COUNTIF($F72:$F75,$A$3))</f>
        <v>0</v>
      </c>
      <c r="N75" s="65" t="n">
        <f aca="false">IF($B75="","",COUNTIF($B72:$B75,N$21)+COUNTIF($B72:$B75,$A$3))</f>
        <v>0</v>
      </c>
      <c r="O75" s="52" t="n">
        <f aca="false">IF($C75="","",COUNTIF($C72:$C75,N$21)+COUNTIF($C72:$C75,$A$3))</f>
        <v>0</v>
      </c>
      <c r="P75" s="52" t="n">
        <f aca="false">IF($D75="","",COUNTIF($D72:$D75,N$21)+COUNTIF($D72:$D75,$A$3))</f>
        <v>0</v>
      </c>
      <c r="Q75" s="52" t="n">
        <f aca="false">IF($E75="","",COUNTIF($E72:$E75,N$21)+COUNTIF($E72:$E75,$A$3))</f>
        <v>0</v>
      </c>
      <c r="R75" s="53" t="n">
        <f aca="false">IF($F75="","",COUNTIF($F72:$F75,N$21)+COUNTIF($F72:$F75,$A$3))</f>
        <v>1</v>
      </c>
      <c r="T75" s="65" t="n">
        <f aca="false">IF($B75="","",COUNTIF($B72:$B75,T$21)+COUNTIF($B72:$B75,$A$3))</f>
        <v>1</v>
      </c>
      <c r="U75" s="52" t="n">
        <f aca="false">IF($C75="","",COUNTIF($C72:$C75,T$21)+COUNTIF($C72:$C75,$A$3))</f>
        <v>0</v>
      </c>
      <c r="V75" s="52" t="n">
        <f aca="false">IF($D75="","",COUNTIF($D72:$D75,T$21)+COUNTIF($D72:$D75,$A$3))</f>
        <v>0</v>
      </c>
      <c r="W75" s="52" t="n">
        <f aca="false">IF($E75="","",COUNTIF($E72:$E75,T$21)+COUNTIF($E72:$E75,$A$3))</f>
        <v>0</v>
      </c>
      <c r="X75" s="53" t="n">
        <f aca="false">IF($F75="","",COUNTIF($F72:$F75,T$21)+COUNTIF($F72:$F75,$A$3))</f>
        <v>1</v>
      </c>
      <c r="Z75" s="65" t="n">
        <f aca="false">IF($B75="","",COUNTIF($B72:$B75,Z$21)+COUNTIF($B72:$B75,$A$3))</f>
        <v>0</v>
      </c>
      <c r="AA75" s="52" t="n">
        <f aca="false">IF($C75="","",COUNTIF($C72:$C75,Z$21)+COUNTIF($C72:$C75,$A$3))</f>
        <v>3</v>
      </c>
      <c r="AB75" s="52" t="n">
        <f aca="false">IF($D75="","",COUNTIF($D72:$D75,Z$21)+COUNTIF($D72:$D75,$A$3))</f>
        <v>0</v>
      </c>
      <c r="AC75" s="52" t="n">
        <f aca="false">IF($E75="","",COUNTIF($E72:$E75,Z$21)+COUNTIF($E72:$E75,$A$3))</f>
        <v>3</v>
      </c>
      <c r="AD75" s="53" t="n">
        <f aca="false">IF($F75="","",COUNTIF($F72:$F75,Z$21)+COUNTIF($F72:$F75,$A$3))</f>
        <v>0</v>
      </c>
      <c r="AF75" s="65" t="n">
        <f aca="false">IF($B75="","",COUNTIF($B72:$B75,AF$21)+COUNTIF($B72:$B75,$A$3))</f>
        <v>0</v>
      </c>
      <c r="AG75" s="52" t="n">
        <f aca="false">IF($C75="","",COUNTIF($C72:$C75,AF$21)+COUNTIF($C72:$C75,$A$3))</f>
        <v>0</v>
      </c>
      <c r="AH75" s="52" t="n">
        <f aca="false">IF($D75="","",COUNTIF($D72:$D75,AF$21)+COUNTIF($D72:$D75,$A$3))</f>
        <v>0</v>
      </c>
      <c r="AI75" s="52" t="n">
        <f aca="false">IF($E75="","",COUNTIF($E72:$E75,AF$21)+COUNTIF($E72:$E75,$A$3))</f>
        <v>0</v>
      </c>
      <c r="AJ75" s="53" t="n">
        <f aca="false">IF($F75="","",COUNTIF($F72:$F75,AF$21)+COUNTIF($F72:$F75,$A$3))</f>
        <v>0</v>
      </c>
      <c r="AL75" s="65" t="n">
        <f aca="false">IF($B75="","",COUNTIF($B72:$B75,AL$21)+COUNTIF($B72:$B75,$A$3))</f>
        <v>0</v>
      </c>
      <c r="AM75" s="52" t="n">
        <f aca="false">IF($C75="","",COUNTIF($C72:$C75,AL$21)+COUNTIF($C72:$C75,$A$3))</f>
        <v>0</v>
      </c>
      <c r="AN75" s="52" t="n">
        <f aca="false">IF($D75="","",COUNTIF($D72:$D75,AL$21)+COUNTIF($D72:$D75,$A$3))</f>
        <v>0</v>
      </c>
      <c r="AO75" s="52" t="n">
        <f aca="false">IF($E75="","",COUNTIF($E72:$E75,AL$21)+COUNTIF($E72:$E75,$A$3))</f>
        <v>1</v>
      </c>
      <c r="AP75" s="53" t="n">
        <f aca="false">IF($F75="","",COUNTIF($F72:$F75,AL$21)+COUNTIF($F72:$F75,$A$3))</f>
        <v>0</v>
      </c>
      <c r="AR75" s="65" t="n">
        <f aca="false">IF($B75="","",COUNTIF($B72:$B75,AR$21)+COUNTIF($B72:$B75,$A$3))</f>
        <v>1</v>
      </c>
      <c r="AS75" s="52" t="n">
        <f aca="false">IF($C75="","",COUNTIF($C72:$C75,AR$21)+COUNTIF($C72:$C75,$A$3))</f>
        <v>0</v>
      </c>
      <c r="AT75" s="52" t="n">
        <f aca="false">IF($D75="","",COUNTIF($D72:$D75,AR$21)+COUNTIF($D72:$D75,$A$3))</f>
        <v>1</v>
      </c>
      <c r="AU75" s="52" t="n">
        <f aca="false">IF($E75="","",COUNTIF($E72:$E75,AR$21)+COUNTIF($E72:$E75,$A$3))</f>
        <v>0</v>
      </c>
      <c r="AV75" s="53" t="n">
        <f aca="false">IF($F75="","",COUNTIF($F72:$F75,AR$21)+COUNTIF($F72:$F75,$A$3))</f>
        <v>1</v>
      </c>
      <c r="AX75" s="65" t="n">
        <f aca="false">IF($B75="","",COUNTIF($B72:$B75,AX$21)+COUNTIF($B72:$B75,$A$3))</f>
        <v>0</v>
      </c>
      <c r="AY75" s="52" t="n">
        <f aca="false">IF($C75="","",COUNTIF($C72:$C75,AX$21)+COUNTIF($C72:$C75,$A$3))</f>
        <v>1</v>
      </c>
      <c r="AZ75" s="52" t="n">
        <f aca="false">IF($D75="","",COUNTIF($D72:$D75,AX$21)+COUNTIF($D72:$D75,$A$3))</f>
        <v>1</v>
      </c>
      <c r="BA75" s="52" t="n">
        <f aca="false">IF($E75="","",COUNTIF($E72:$E75,AX$21)+COUNTIF($E72:$E75,$A$3))</f>
        <v>0</v>
      </c>
      <c r="BB75" s="53" t="n">
        <f aca="false">IF($F75="","",COUNTIF($F72:$F75,AX$21)+COUNTIF($F72:$F75,$A$3))</f>
        <v>1</v>
      </c>
      <c r="BD75" s="65" t="n">
        <f aca="false">IF($B75="","",COUNTIF($B72:$B75,BD$21)+COUNTIF($B72:$B75,$A$3))</f>
        <v>1</v>
      </c>
      <c r="BE75" s="52" t="n">
        <f aca="false">IF($C75="","",COUNTIF($C72:$C75,BD$21)+COUNTIF($C72:$C75,$A$3))</f>
        <v>0</v>
      </c>
      <c r="BF75" s="52" t="n">
        <f aca="false">IF($D75="","",COUNTIF($D72:$D75,BD$21)+COUNTIF($D72:$D75,$A$3))</f>
        <v>1</v>
      </c>
      <c r="BG75" s="52" t="n">
        <f aca="false">IF($E75="","",COUNTIF($E72:$E75,BD$21)+COUNTIF($E72:$E75,$A$3))</f>
        <v>0</v>
      </c>
      <c r="BH75" s="53" t="n">
        <f aca="false">IF($F75="","",COUNTIF($F72:$F75,BD$21)+COUNTIF($F72:$F75,$A$3))</f>
        <v>0</v>
      </c>
      <c r="BJ75" s="65" t="n">
        <f aca="false">IF($B75="","",COUNTIF($B72:$B75,BJ$21)+COUNTIF($B72:$B75,$A$3))</f>
        <v>0</v>
      </c>
      <c r="BK75" s="52" t="n">
        <f aca="false">IF($C75="","",COUNTIF($C72:$C75,BJ$21)+COUNTIF($C72:$C75,$A$3))</f>
        <v>0</v>
      </c>
      <c r="BL75" s="52" t="n">
        <f aca="false">IF($D75="","",COUNTIF($D72:$D75,BJ$21)+COUNTIF($D72:$D75,$A$3))</f>
        <v>0</v>
      </c>
      <c r="BM75" s="52" t="n">
        <f aca="false">IF($E75="","",COUNTIF($E72:$E75,BJ$21)+COUNTIF($E72:$E75,$A$3))</f>
        <v>0</v>
      </c>
      <c r="BN75" s="53" t="n">
        <f aca="false">IF($F75="","",COUNTIF($F72:$F75,BJ$21)+COUNTIF($F72:$F75,$A$3))</f>
        <v>0</v>
      </c>
      <c r="BP75" s="65" t="n">
        <f aca="false">IF($B75="","",COUNTIF($B72:$B75,BP$21)+COUNTIF($B72:$B75,$A$3))</f>
        <v>1</v>
      </c>
      <c r="BQ75" s="52" t="n">
        <f aca="false">IF($C75="","",COUNTIF($C72:$C75,BP$21)+COUNTIF($C72:$C75,$A$3))</f>
        <v>0</v>
      </c>
      <c r="BR75" s="52" t="n">
        <f aca="false">IF($D75="","",COUNTIF($D72:$D75,BP$21)+COUNTIF($D72:$D75,$A$3))</f>
        <v>0</v>
      </c>
      <c r="BS75" s="52" t="n">
        <f aca="false">IF($E75="","",COUNTIF($E72:$E75,BP$21)+COUNTIF($E72:$E75,$A$3))</f>
        <v>0</v>
      </c>
      <c r="BT75" s="53" t="n">
        <f aca="false">IF($F75="","",COUNTIF($F72:$F75,BP$21)+COUNTIF($F72:$F75,$A$3))</f>
        <v>0</v>
      </c>
    </row>
    <row r="76" customFormat="false" ht="15" hidden="false" customHeight="false" outlineLevel="0" collapsed="false">
      <c r="A76" s="13" t="n">
        <v>54</v>
      </c>
      <c r="B76" s="116" t="str">
        <f aca="false">IF('Game Info'!J59="","",'Game Info'!J59)</f>
        <v>SYM1</v>
      </c>
      <c r="C76" s="116" t="n">
        <f aca="false">IF('Game Info'!K59="","",'Game Info'!K59)</f>
        <v>9</v>
      </c>
      <c r="D76" s="116" t="str">
        <f aca="false">IF('Game Info'!L59="","",'Game Info'!L59)</f>
        <v>SYM2</v>
      </c>
      <c r="E76" s="116" t="n">
        <f aca="false">IF('Game Info'!M59="","",'Game Info'!M59)</f>
        <v>10</v>
      </c>
      <c r="F76" s="117" t="str">
        <f aca="false">IF('Game Info'!N59="","",'Game Info'!N59)</f>
        <v>A</v>
      </c>
      <c r="H76" s="65" t="n">
        <f aca="false">IF($B76="","",COUNTIF($B73:$B76,H$21)+COUNTIF($B73:$B76,$A$3))</f>
        <v>1</v>
      </c>
      <c r="I76" s="52" t="n">
        <f aca="false">IF($C76="","",COUNTIF($C73:$C76,H$21)+COUNTIF($C73:$C76,$A$3))</f>
        <v>0</v>
      </c>
      <c r="J76" s="52" t="n">
        <f aca="false">IF($D76="","",COUNTIF($D73:$D76,H$21)+COUNTIF($D73:$D76,$A$3))</f>
        <v>0</v>
      </c>
      <c r="K76" s="52" t="n">
        <f aca="false">IF($E76="","",COUNTIF($E73:$E76,H$21)+COUNTIF($E73:$E76,$A$3))</f>
        <v>0</v>
      </c>
      <c r="L76" s="53" t="n">
        <f aca="false">IF($F76="","",COUNTIF($F73:$F76,H$21)+COUNTIF($F73:$F76,$A$3))</f>
        <v>0</v>
      </c>
      <c r="N76" s="65" t="n">
        <f aca="false">IF($B76="","",COUNTIF($B73:$B76,N$21)+COUNTIF($B73:$B76,$A$3))</f>
        <v>0</v>
      </c>
      <c r="O76" s="52" t="n">
        <f aca="false">IF($C76="","",COUNTIF($C73:$C76,N$21)+COUNTIF($C73:$C76,$A$3))</f>
        <v>0</v>
      </c>
      <c r="P76" s="52" t="n">
        <f aca="false">IF($D76="","",COUNTIF($D73:$D76,N$21)+COUNTIF($D73:$D76,$A$3))</f>
        <v>1</v>
      </c>
      <c r="Q76" s="52" t="n">
        <f aca="false">IF($E76="","",COUNTIF($E73:$E76,N$21)+COUNTIF($E73:$E76,$A$3))</f>
        <v>0</v>
      </c>
      <c r="R76" s="53" t="n">
        <f aca="false">IF($F76="","",COUNTIF($F73:$F76,N$21)+COUNTIF($F73:$F76,$A$3))</f>
        <v>1</v>
      </c>
      <c r="T76" s="65" t="n">
        <f aca="false">IF($B76="","",COUNTIF($B73:$B76,T$21)+COUNTIF($B73:$B76,$A$3))</f>
        <v>1</v>
      </c>
      <c r="U76" s="52" t="n">
        <f aca="false">IF($C76="","",COUNTIF($C73:$C76,T$21)+COUNTIF($C73:$C76,$A$3))</f>
        <v>0</v>
      </c>
      <c r="V76" s="52" t="n">
        <f aca="false">IF($D76="","",COUNTIF($D73:$D76,T$21)+COUNTIF($D73:$D76,$A$3))</f>
        <v>0</v>
      </c>
      <c r="W76" s="52" t="n">
        <f aca="false">IF($E76="","",COUNTIF($E73:$E76,T$21)+COUNTIF($E73:$E76,$A$3))</f>
        <v>0</v>
      </c>
      <c r="X76" s="53" t="n">
        <f aca="false">IF($F76="","",COUNTIF($F73:$F76,T$21)+COUNTIF($F73:$F76,$A$3))</f>
        <v>0</v>
      </c>
      <c r="Z76" s="65" t="n">
        <f aca="false">IF($B76="","",COUNTIF($B73:$B76,Z$21)+COUNTIF($B73:$B76,$A$3))</f>
        <v>0</v>
      </c>
      <c r="AA76" s="52" t="n">
        <f aca="false">IF($C76="","",COUNTIF($C73:$C76,Z$21)+COUNTIF($C73:$C76,$A$3))</f>
        <v>3</v>
      </c>
      <c r="AB76" s="52" t="n">
        <f aca="false">IF($D76="","",COUNTIF($D73:$D76,Z$21)+COUNTIF($D73:$D76,$A$3))</f>
        <v>0</v>
      </c>
      <c r="AC76" s="52" t="n">
        <f aca="false">IF($E76="","",COUNTIF($E73:$E76,Z$21)+COUNTIF($E73:$E76,$A$3))</f>
        <v>3</v>
      </c>
      <c r="AD76" s="53" t="n">
        <f aca="false">IF($F76="","",COUNTIF($F73:$F76,Z$21)+COUNTIF($F73:$F76,$A$3))</f>
        <v>0</v>
      </c>
      <c r="AF76" s="65" t="n">
        <f aca="false">IF($B76="","",COUNTIF($B73:$B76,AF$21)+COUNTIF($B73:$B76,$A$3))</f>
        <v>0</v>
      </c>
      <c r="AG76" s="52" t="n">
        <f aca="false">IF($C76="","",COUNTIF($C73:$C76,AF$21)+COUNTIF($C73:$C76,$A$3))</f>
        <v>0</v>
      </c>
      <c r="AH76" s="52" t="n">
        <f aca="false">IF($D76="","",COUNTIF($D73:$D76,AF$21)+COUNTIF($D73:$D76,$A$3))</f>
        <v>0</v>
      </c>
      <c r="AI76" s="52" t="n">
        <f aca="false">IF($E76="","",COUNTIF($E73:$E76,AF$21)+COUNTIF($E73:$E76,$A$3))</f>
        <v>0</v>
      </c>
      <c r="AJ76" s="53" t="n">
        <f aca="false">IF($F76="","",COUNTIF($F73:$F76,AF$21)+COUNTIF($F73:$F76,$A$3))</f>
        <v>0</v>
      </c>
      <c r="AL76" s="65" t="n">
        <f aca="false">IF($B76="","",COUNTIF($B73:$B76,AL$21)+COUNTIF($B73:$B76,$A$3))</f>
        <v>0</v>
      </c>
      <c r="AM76" s="52" t="n">
        <f aca="false">IF($C76="","",COUNTIF($C73:$C76,AL$21)+COUNTIF($C73:$C76,$A$3))</f>
        <v>0</v>
      </c>
      <c r="AN76" s="52" t="n">
        <f aca="false">IF($D76="","",COUNTIF($D73:$D76,AL$21)+COUNTIF($D73:$D76,$A$3))</f>
        <v>0</v>
      </c>
      <c r="AO76" s="52" t="n">
        <f aca="false">IF($E76="","",COUNTIF($E73:$E76,AL$21)+COUNTIF($E73:$E76,$A$3))</f>
        <v>0</v>
      </c>
      <c r="AP76" s="53" t="n">
        <f aca="false">IF($F76="","",COUNTIF($F73:$F76,AL$21)+COUNTIF($F73:$F76,$A$3))</f>
        <v>1</v>
      </c>
      <c r="AR76" s="65" t="n">
        <f aca="false">IF($B76="","",COUNTIF($B73:$B76,AR$21)+COUNTIF($B73:$B76,$A$3))</f>
        <v>1</v>
      </c>
      <c r="AS76" s="52" t="n">
        <f aca="false">IF($C76="","",COUNTIF($C73:$C76,AR$21)+COUNTIF($C73:$C76,$A$3))</f>
        <v>0</v>
      </c>
      <c r="AT76" s="52" t="n">
        <f aca="false">IF($D76="","",COUNTIF($D73:$D76,AR$21)+COUNTIF($D73:$D76,$A$3))</f>
        <v>1</v>
      </c>
      <c r="AU76" s="52" t="n">
        <f aca="false">IF($E76="","",COUNTIF($E73:$E76,AR$21)+COUNTIF($E73:$E76,$A$3))</f>
        <v>0</v>
      </c>
      <c r="AV76" s="53" t="n">
        <f aca="false">IF($F76="","",COUNTIF($F73:$F76,AR$21)+COUNTIF($F73:$F76,$A$3))</f>
        <v>1</v>
      </c>
      <c r="AX76" s="65" t="n">
        <f aca="false">IF($B76="","",COUNTIF($B73:$B76,AX$21)+COUNTIF($B73:$B76,$A$3))</f>
        <v>0</v>
      </c>
      <c r="AY76" s="52" t="n">
        <f aca="false">IF($C76="","",COUNTIF($C73:$C76,AX$21)+COUNTIF($C73:$C76,$A$3))</f>
        <v>0</v>
      </c>
      <c r="AZ76" s="52" t="n">
        <f aca="false">IF($D76="","",COUNTIF($D73:$D76,AX$21)+COUNTIF($D73:$D76,$A$3))</f>
        <v>1</v>
      </c>
      <c r="BA76" s="52" t="n">
        <f aca="false">IF($E76="","",COUNTIF($E73:$E76,AX$21)+COUNTIF($E73:$E76,$A$3))</f>
        <v>0</v>
      </c>
      <c r="BB76" s="53" t="n">
        <f aca="false">IF($F76="","",COUNTIF($F73:$F76,AX$21)+COUNTIF($F73:$F76,$A$3))</f>
        <v>1</v>
      </c>
      <c r="BD76" s="65" t="n">
        <f aca="false">IF($B76="","",COUNTIF($B73:$B76,BD$21)+COUNTIF($B73:$B76,$A$3))</f>
        <v>0</v>
      </c>
      <c r="BE76" s="52" t="n">
        <f aca="false">IF($C76="","",COUNTIF($C73:$C76,BD$21)+COUNTIF($C73:$C76,$A$3))</f>
        <v>0</v>
      </c>
      <c r="BF76" s="52" t="n">
        <f aca="false">IF($D76="","",COUNTIF($D73:$D76,BD$21)+COUNTIF($D73:$D76,$A$3))</f>
        <v>1</v>
      </c>
      <c r="BG76" s="52" t="n">
        <f aca="false">IF($E76="","",COUNTIF($E73:$E76,BD$21)+COUNTIF($E73:$E76,$A$3))</f>
        <v>0</v>
      </c>
      <c r="BH76" s="53" t="n">
        <f aca="false">IF($F76="","",COUNTIF($F73:$F76,BD$21)+COUNTIF($F73:$F76,$A$3))</f>
        <v>0</v>
      </c>
      <c r="BJ76" s="65" t="n">
        <f aca="false">IF($B76="","",COUNTIF($B73:$B76,BJ$21)+COUNTIF($B73:$B76,$A$3))</f>
        <v>0</v>
      </c>
      <c r="BK76" s="52" t="n">
        <f aca="false">IF($C76="","",COUNTIF($C73:$C76,BJ$21)+COUNTIF($C73:$C76,$A$3))</f>
        <v>0</v>
      </c>
      <c r="BL76" s="52" t="n">
        <f aca="false">IF($D76="","",COUNTIF($D73:$D76,BJ$21)+COUNTIF($D73:$D76,$A$3))</f>
        <v>0</v>
      </c>
      <c r="BM76" s="52" t="n">
        <f aca="false">IF($E76="","",COUNTIF($E73:$E76,BJ$21)+COUNTIF($E73:$E76,$A$3))</f>
        <v>1</v>
      </c>
      <c r="BN76" s="53" t="n">
        <f aca="false">IF($F76="","",COUNTIF($F73:$F76,BJ$21)+COUNTIF($F73:$F76,$A$3))</f>
        <v>0</v>
      </c>
      <c r="BP76" s="65" t="n">
        <f aca="false">IF($B76="","",COUNTIF($B73:$B76,BP$21)+COUNTIF($B73:$B76,$A$3))</f>
        <v>1</v>
      </c>
      <c r="BQ76" s="52" t="n">
        <f aca="false">IF($C76="","",COUNTIF($C73:$C76,BP$21)+COUNTIF($C73:$C76,$A$3))</f>
        <v>1</v>
      </c>
      <c r="BR76" s="52" t="n">
        <f aca="false">IF($D76="","",COUNTIF($D73:$D76,BP$21)+COUNTIF($D73:$D76,$A$3))</f>
        <v>0</v>
      </c>
      <c r="BS76" s="52" t="n">
        <f aca="false">IF($E76="","",COUNTIF($E73:$E76,BP$21)+COUNTIF($E73:$E76,$A$3))</f>
        <v>0</v>
      </c>
      <c r="BT76" s="53" t="n">
        <f aca="false">IF($F76="","",COUNTIF($F73:$F76,BP$21)+COUNTIF($F73:$F76,$A$3))</f>
        <v>0</v>
      </c>
    </row>
    <row r="77" customFormat="false" ht="15" hidden="false" customHeight="false" outlineLevel="0" collapsed="false">
      <c r="A77" s="13" t="n">
        <v>55</v>
      </c>
      <c r="B77" s="116" t="str">
        <f aca="false">IF('Game Info'!J60="","",'Game Info'!J60)</f>
        <v>SYM1</v>
      </c>
      <c r="C77" s="116" t="n">
        <f aca="false">IF('Game Info'!K60="","",'Game Info'!K60)</f>
        <v>10</v>
      </c>
      <c r="D77" s="116" t="str">
        <f aca="false">IF('Game Info'!L60="","",'Game Info'!L60)</f>
        <v>SYM2</v>
      </c>
      <c r="E77" s="116" t="str">
        <f aca="false">IF('Game Info'!M60="","",'Game Info'!M60)</f>
        <v>SYM3</v>
      </c>
      <c r="F77" s="117" t="str">
        <f aca="false">IF('Game Info'!N60="","",'Game Info'!N60)</f>
        <v>SYM5</v>
      </c>
      <c r="H77" s="65" t="n">
        <f aca="false">IF($B77="","",COUNTIF($B74:$B77,H$21)+COUNTIF($B74:$B77,$A$3))</f>
        <v>2</v>
      </c>
      <c r="I77" s="52" t="n">
        <f aca="false">IF($C77="","",COUNTIF($C74:$C77,H$21)+COUNTIF($C74:$C77,$A$3))</f>
        <v>0</v>
      </c>
      <c r="J77" s="52" t="n">
        <f aca="false">IF($D77="","",COUNTIF($D74:$D77,H$21)+COUNTIF($D74:$D77,$A$3))</f>
        <v>0</v>
      </c>
      <c r="K77" s="52" t="n">
        <f aca="false">IF($E77="","",COUNTIF($E74:$E77,H$21)+COUNTIF($E74:$E77,$A$3))</f>
        <v>0</v>
      </c>
      <c r="L77" s="53" t="n">
        <f aca="false">IF($F77="","",COUNTIF($F74:$F77,H$21)+COUNTIF($F74:$F77,$A$3))</f>
        <v>0</v>
      </c>
      <c r="N77" s="65" t="n">
        <f aca="false">IF($B77="","",COUNTIF($B74:$B77,N$21)+COUNTIF($B74:$B77,$A$3))</f>
        <v>0</v>
      </c>
      <c r="O77" s="52" t="n">
        <f aca="false">IF($C77="","",COUNTIF($C74:$C77,N$21)+COUNTIF($C74:$C77,$A$3))</f>
        <v>0</v>
      </c>
      <c r="P77" s="52" t="n">
        <f aca="false">IF($D77="","",COUNTIF($D74:$D77,N$21)+COUNTIF($D74:$D77,$A$3))</f>
        <v>2</v>
      </c>
      <c r="Q77" s="52" t="n">
        <f aca="false">IF($E77="","",COUNTIF($E74:$E77,N$21)+COUNTIF($E74:$E77,$A$3))</f>
        <v>0</v>
      </c>
      <c r="R77" s="53" t="n">
        <f aca="false">IF($F77="","",COUNTIF($F74:$F77,N$21)+COUNTIF($F74:$F77,$A$3))</f>
        <v>1</v>
      </c>
      <c r="T77" s="65" t="n">
        <f aca="false">IF($B77="","",COUNTIF($B74:$B77,T$21)+COUNTIF($B74:$B77,$A$3))</f>
        <v>0</v>
      </c>
      <c r="U77" s="52" t="n">
        <f aca="false">IF($C77="","",COUNTIF($C74:$C77,T$21)+COUNTIF($C74:$C77,$A$3))</f>
        <v>0</v>
      </c>
      <c r="V77" s="52" t="n">
        <f aca="false">IF($D77="","",COUNTIF($D74:$D77,T$21)+COUNTIF($D74:$D77,$A$3))</f>
        <v>0</v>
      </c>
      <c r="W77" s="52" t="n">
        <f aca="false">IF($E77="","",COUNTIF($E74:$E77,T$21)+COUNTIF($E74:$E77,$A$3))</f>
        <v>1</v>
      </c>
      <c r="X77" s="53" t="n">
        <f aca="false">IF($F77="","",COUNTIF($F74:$F77,T$21)+COUNTIF($F74:$F77,$A$3))</f>
        <v>0</v>
      </c>
      <c r="Z77" s="65" t="n">
        <f aca="false">IF($B77="","",COUNTIF($B74:$B77,Z$21)+COUNTIF($B74:$B77,$A$3))</f>
        <v>0</v>
      </c>
      <c r="AA77" s="52" t="n">
        <f aca="false">IF($C77="","",COUNTIF($C74:$C77,Z$21)+COUNTIF($C74:$C77,$A$3))</f>
        <v>2</v>
      </c>
      <c r="AB77" s="52" t="n">
        <f aca="false">IF($D77="","",COUNTIF($D74:$D77,Z$21)+COUNTIF($D74:$D77,$A$3))</f>
        <v>0</v>
      </c>
      <c r="AC77" s="52" t="n">
        <f aca="false">IF($E77="","",COUNTIF($E74:$E77,Z$21)+COUNTIF($E74:$E77,$A$3))</f>
        <v>2</v>
      </c>
      <c r="AD77" s="53" t="n">
        <f aca="false">IF($F77="","",COUNTIF($F74:$F77,Z$21)+COUNTIF($F74:$F77,$A$3))</f>
        <v>0</v>
      </c>
      <c r="AF77" s="65" t="n">
        <f aca="false">IF($B77="","",COUNTIF($B74:$B77,AF$21)+COUNTIF($B74:$B77,$A$3))</f>
        <v>0</v>
      </c>
      <c r="AG77" s="52" t="n">
        <f aca="false">IF($C77="","",COUNTIF($C74:$C77,AF$21)+COUNTIF($C74:$C77,$A$3))</f>
        <v>0</v>
      </c>
      <c r="AH77" s="52" t="n">
        <f aca="false">IF($D77="","",COUNTIF($D74:$D77,AF$21)+COUNTIF($D74:$D77,$A$3))</f>
        <v>0</v>
      </c>
      <c r="AI77" s="52" t="n">
        <f aca="false">IF($E77="","",COUNTIF($E74:$E77,AF$21)+COUNTIF($E74:$E77,$A$3))</f>
        <v>0</v>
      </c>
      <c r="AJ77" s="53" t="n">
        <f aca="false">IF($F77="","",COUNTIF($F74:$F77,AF$21)+COUNTIF($F74:$F77,$A$3))</f>
        <v>1</v>
      </c>
      <c r="AL77" s="65" t="n">
        <f aca="false">IF($B77="","",COUNTIF($B74:$B77,AL$21)+COUNTIF($B74:$B77,$A$3))</f>
        <v>0</v>
      </c>
      <c r="AM77" s="52" t="n">
        <f aca="false">IF($C77="","",COUNTIF($C74:$C77,AL$21)+COUNTIF($C74:$C77,$A$3))</f>
        <v>0</v>
      </c>
      <c r="AN77" s="52" t="n">
        <f aca="false">IF($D77="","",COUNTIF($D74:$D77,AL$21)+COUNTIF($D74:$D77,$A$3))</f>
        <v>0</v>
      </c>
      <c r="AO77" s="52" t="n">
        <f aca="false">IF($E77="","",COUNTIF($E74:$E77,AL$21)+COUNTIF($E74:$E77,$A$3))</f>
        <v>0</v>
      </c>
      <c r="AP77" s="53" t="n">
        <f aca="false">IF($F77="","",COUNTIF($F74:$F77,AL$21)+COUNTIF($F74:$F77,$A$3))</f>
        <v>1</v>
      </c>
      <c r="AR77" s="65" t="n">
        <f aca="false">IF($B77="","",COUNTIF($B74:$B77,AR$21)+COUNTIF($B74:$B77,$A$3))</f>
        <v>1</v>
      </c>
      <c r="AS77" s="52" t="n">
        <f aca="false">IF($C77="","",COUNTIF($C74:$C77,AR$21)+COUNTIF($C74:$C77,$A$3))</f>
        <v>0</v>
      </c>
      <c r="AT77" s="52" t="n">
        <f aca="false">IF($D77="","",COUNTIF($D74:$D77,AR$21)+COUNTIF($D74:$D77,$A$3))</f>
        <v>1</v>
      </c>
      <c r="AU77" s="52" t="n">
        <f aca="false">IF($E77="","",COUNTIF($E74:$E77,AR$21)+COUNTIF($E74:$E77,$A$3))</f>
        <v>0</v>
      </c>
      <c r="AV77" s="53" t="n">
        <f aca="false">IF($F77="","",COUNTIF($F74:$F77,AR$21)+COUNTIF($F74:$F77,$A$3))</f>
        <v>1</v>
      </c>
      <c r="AX77" s="65" t="n">
        <f aca="false">IF($B77="","",COUNTIF($B74:$B77,AX$21)+COUNTIF($B74:$B77,$A$3))</f>
        <v>0</v>
      </c>
      <c r="AY77" s="52" t="n">
        <f aca="false">IF($C77="","",COUNTIF($C74:$C77,AX$21)+COUNTIF($C74:$C77,$A$3))</f>
        <v>0</v>
      </c>
      <c r="AZ77" s="52" t="n">
        <f aca="false">IF($D77="","",COUNTIF($D74:$D77,AX$21)+COUNTIF($D74:$D77,$A$3))</f>
        <v>0</v>
      </c>
      <c r="BA77" s="52" t="n">
        <f aca="false">IF($E77="","",COUNTIF($E74:$E77,AX$21)+COUNTIF($E74:$E77,$A$3))</f>
        <v>0</v>
      </c>
      <c r="BB77" s="53" t="n">
        <f aca="false">IF($F77="","",COUNTIF($F74:$F77,AX$21)+COUNTIF($F74:$F77,$A$3))</f>
        <v>0</v>
      </c>
      <c r="BD77" s="65" t="n">
        <f aca="false">IF($B77="","",COUNTIF($B74:$B77,BD$21)+COUNTIF($B74:$B77,$A$3))</f>
        <v>0</v>
      </c>
      <c r="BE77" s="52" t="n">
        <f aca="false">IF($C77="","",COUNTIF($C74:$C77,BD$21)+COUNTIF($C74:$C77,$A$3))</f>
        <v>0</v>
      </c>
      <c r="BF77" s="52" t="n">
        <f aca="false">IF($D77="","",COUNTIF($D74:$D77,BD$21)+COUNTIF($D74:$D77,$A$3))</f>
        <v>1</v>
      </c>
      <c r="BG77" s="52" t="n">
        <f aca="false">IF($E77="","",COUNTIF($E74:$E77,BD$21)+COUNTIF($E74:$E77,$A$3))</f>
        <v>0</v>
      </c>
      <c r="BH77" s="53" t="n">
        <f aca="false">IF($F77="","",COUNTIF($F74:$F77,BD$21)+COUNTIF($F74:$F77,$A$3))</f>
        <v>0</v>
      </c>
      <c r="BJ77" s="65" t="n">
        <f aca="false">IF($B77="","",COUNTIF($B74:$B77,BJ$21)+COUNTIF($B74:$B77,$A$3))</f>
        <v>0</v>
      </c>
      <c r="BK77" s="52" t="n">
        <f aca="false">IF($C77="","",COUNTIF($C74:$C77,BJ$21)+COUNTIF($C74:$C77,$A$3))</f>
        <v>1</v>
      </c>
      <c r="BL77" s="52" t="n">
        <f aca="false">IF($D77="","",COUNTIF($D74:$D77,BJ$21)+COUNTIF($D74:$D77,$A$3))</f>
        <v>0</v>
      </c>
      <c r="BM77" s="52" t="n">
        <f aca="false">IF($E77="","",COUNTIF($E74:$E77,BJ$21)+COUNTIF($E74:$E77,$A$3))</f>
        <v>1</v>
      </c>
      <c r="BN77" s="53" t="n">
        <f aca="false">IF($F77="","",COUNTIF($F74:$F77,BJ$21)+COUNTIF($F74:$F77,$A$3))</f>
        <v>0</v>
      </c>
      <c r="BP77" s="65" t="n">
        <f aca="false">IF($B77="","",COUNTIF($B74:$B77,BP$21)+COUNTIF($B74:$B77,$A$3))</f>
        <v>1</v>
      </c>
      <c r="BQ77" s="52" t="n">
        <f aca="false">IF($C77="","",COUNTIF($C74:$C77,BP$21)+COUNTIF($C74:$C77,$A$3))</f>
        <v>1</v>
      </c>
      <c r="BR77" s="52" t="n">
        <f aca="false">IF($D77="","",COUNTIF($D74:$D77,BP$21)+COUNTIF($D74:$D77,$A$3))</f>
        <v>0</v>
      </c>
      <c r="BS77" s="52" t="n">
        <f aca="false">IF($E77="","",COUNTIF($E74:$E77,BP$21)+COUNTIF($E74:$E77,$A$3))</f>
        <v>0</v>
      </c>
      <c r="BT77" s="53" t="n">
        <f aca="false">IF($F77="","",COUNTIF($F74:$F77,BP$21)+COUNTIF($F74:$F77,$A$3))</f>
        <v>0</v>
      </c>
    </row>
    <row r="78" customFormat="false" ht="15" hidden="false" customHeight="false" outlineLevel="0" collapsed="false">
      <c r="A78" s="13" t="n">
        <v>56</v>
      </c>
      <c r="B78" s="116" t="n">
        <f aca="false">IF('Game Info'!J61="","",'Game Info'!J61)</f>
        <v>10</v>
      </c>
      <c r="C78" s="116" t="str">
        <f aca="false">IF('Game Info'!K61="","",'Game Info'!K61)</f>
        <v>SYM2</v>
      </c>
      <c r="D78" s="116" t="str">
        <f aca="false">IF('Game Info'!L61="","",'Game Info'!L61)</f>
        <v>SYM2</v>
      </c>
      <c r="E78" s="116" t="str">
        <f aca="false">IF('Game Info'!M61="","",'Game Info'!M61)</f>
        <v>K</v>
      </c>
      <c r="F78" s="117" t="str">
        <f aca="false">IF('Game Info'!N61="","",'Game Info'!N61)</f>
        <v>J</v>
      </c>
      <c r="H78" s="65" t="n">
        <f aca="false">IF($B78="","",COUNTIF($B75:$B78,H$21)+COUNTIF($B75:$B78,$A$3))</f>
        <v>2</v>
      </c>
      <c r="I78" s="52" t="n">
        <f aca="false">IF($C78="","",COUNTIF($C75:$C78,H$21)+COUNTIF($C75:$C78,$A$3))</f>
        <v>0</v>
      </c>
      <c r="J78" s="52" t="n">
        <f aca="false">IF($D78="","",COUNTIF($D75:$D78,H$21)+COUNTIF($D75:$D78,$A$3))</f>
        <v>0</v>
      </c>
      <c r="K78" s="52" t="n">
        <f aca="false">IF($E78="","",COUNTIF($E75:$E78,H$21)+COUNTIF($E75:$E78,$A$3))</f>
        <v>0</v>
      </c>
      <c r="L78" s="53" t="n">
        <f aca="false">IF($F78="","",COUNTIF($F75:$F78,H$21)+COUNTIF($F75:$F78,$A$3))</f>
        <v>0</v>
      </c>
      <c r="N78" s="65" t="n">
        <f aca="false">IF($B78="","",COUNTIF($B75:$B78,N$21)+COUNTIF($B75:$B78,$A$3))</f>
        <v>0</v>
      </c>
      <c r="O78" s="52" t="n">
        <f aca="false">IF($C78="","",COUNTIF($C75:$C78,N$21)+COUNTIF($C75:$C78,$A$3))</f>
        <v>1</v>
      </c>
      <c r="P78" s="52" t="n">
        <f aca="false">IF($D78="","",COUNTIF($D75:$D78,N$21)+COUNTIF($D75:$D78,$A$3))</f>
        <v>3</v>
      </c>
      <c r="Q78" s="52" t="n">
        <f aca="false">IF($E78="","",COUNTIF($E75:$E78,N$21)+COUNTIF($E75:$E78,$A$3))</f>
        <v>0</v>
      </c>
      <c r="R78" s="53" t="n">
        <f aca="false">IF($F78="","",COUNTIF($F75:$F78,N$21)+COUNTIF($F75:$F78,$A$3))</f>
        <v>1</v>
      </c>
      <c r="T78" s="65" t="n">
        <f aca="false">IF($B78="","",COUNTIF($B75:$B78,T$21)+COUNTIF($B75:$B78,$A$3))</f>
        <v>0</v>
      </c>
      <c r="U78" s="52" t="n">
        <f aca="false">IF($C78="","",COUNTIF($C75:$C78,T$21)+COUNTIF($C75:$C78,$A$3))</f>
        <v>0</v>
      </c>
      <c r="V78" s="52" t="n">
        <f aca="false">IF($D78="","",COUNTIF($D75:$D78,T$21)+COUNTIF($D75:$D78,$A$3))</f>
        <v>0</v>
      </c>
      <c r="W78" s="52" t="n">
        <f aca="false">IF($E78="","",COUNTIF($E75:$E78,T$21)+COUNTIF($E75:$E78,$A$3))</f>
        <v>1</v>
      </c>
      <c r="X78" s="53" t="n">
        <f aca="false">IF($F78="","",COUNTIF($F75:$F78,T$21)+COUNTIF($F75:$F78,$A$3))</f>
        <v>0</v>
      </c>
      <c r="Z78" s="65" t="n">
        <f aca="false">IF($B78="","",COUNTIF($B75:$B78,Z$21)+COUNTIF($B75:$B78,$A$3))</f>
        <v>0</v>
      </c>
      <c r="AA78" s="52" t="n">
        <f aca="false">IF($C78="","",COUNTIF($C75:$C78,Z$21)+COUNTIF($C75:$C78,$A$3))</f>
        <v>1</v>
      </c>
      <c r="AB78" s="52" t="n">
        <f aca="false">IF($D78="","",COUNTIF($D75:$D78,Z$21)+COUNTIF($D75:$D78,$A$3))</f>
        <v>0</v>
      </c>
      <c r="AC78" s="52" t="n">
        <f aca="false">IF($E78="","",COUNTIF($E75:$E78,Z$21)+COUNTIF($E75:$E78,$A$3))</f>
        <v>1</v>
      </c>
      <c r="AD78" s="53" t="n">
        <f aca="false">IF($F78="","",COUNTIF($F75:$F78,Z$21)+COUNTIF($F75:$F78,$A$3))</f>
        <v>0</v>
      </c>
      <c r="AF78" s="65" t="n">
        <f aca="false">IF($B78="","",COUNTIF($B75:$B78,AF$21)+COUNTIF($B75:$B78,$A$3))</f>
        <v>0</v>
      </c>
      <c r="AG78" s="52" t="n">
        <f aca="false">IF($C78="","",COUNTIF($C75:$C78,AF$21)+COUNTIF($C75:$C78,$A$3))</f>
        <v>0</v>
      </c>
      <c r="AH78" s="52" t="n">
        <f aca="false">IF($D78="","",COUNTIF($D75:$D78,AF$21)+COUNTIF($D75:$D78,$A$3))</f>
        <v>0</v>
      </c>
      <c r="AI78" s="52" t="n">
        <f aca="false">IF($E78="","",COUNTIF($E75:$E78,AF$21)+COUNTIF($E75:$E78,$A$3))</f>
        <v>0</v>
      </c>
      <c r="AJ78" s="53" t="n">
        <f aca="false">IF($F78="","",COUNTIF($F75:$F78,AF$21)+COUNTIF($F75:$F78,$A$3))</f>
        <v>1</v>
      </c>
      <c r="AL78" s="65" t="n">
        <f aca="false">IF($B78="","",COUNTIF($B75:$B78,AL$21)+COUNTIF($B75:$B78,$A$3))</f>
        <v>0</v>
      </c>
      <c r="AM78" s="52" t="n">
        <f aca="false">IF($C78="","",COUNTIF($C75:$C78,AL$21)+COUNTIF($C75:$C78,$A$3))</f>
        <v>0</v>
      </c>
      <c r="AN78" s="52" t="n">
        <f aca="false">IF($D78="","",COUNTIF($D75:$D78,AL$21)+COUNTIF($D75:$D78,$A$3))</f>
        <v>0</v>
      </c>
      <c r="AO78" s="52" t="n">
        <f aca="false">IF($E78="","",COUNTIF($E75:$E78,AL$21)+COUNTIF($E75:$E78,$A$3))</f>
        <v>0</v>
      </c>
      <c r="AP78" s="53" t="n">
        <f aca="false">IF($F78="","",COUNTIF($F75:$F78,AL$21)+COUNTIF($F75:$F78,$A$3))</f>
        <v>1</v>
      </c>
      <c r="AR78" s="65" t="n">
        <f aca="false">IF($B78="","",COUNTIF($B75:$B78,AR$21)+COUNTIF($B75:$B78,$A$3))</f>
        <v>0</v>
      </c>
      <c r="AS78" s="52" t="n">
        <f aca="false">IF($C78="","",COUNTIF($C75:$C78,AR$21)+COUNTIF($C75:$C78,$A$3))</f>
        <v>0</v>
      </c>
      <c r="AT78" s="52" t="n">
        <f aca="false">IF($D78="","",COUNTIF($D75:$D78,AR$21)+COUNTIF($D75:$D78,$A$3))</f>
        <v>0</v>
      </c>
      <c r="AU78" s="52" t="n">
        <f aca="false">IF($E78="","",COUNTIF($E75:$E78,AR$21)+COUNTIF($E75:$E78,$A$3))</f>
        <v>1</v>
      </c>
      <c r="AV78" s="53" t="n">
        <f aca="false">IF($F78="","",COUNTIF($F75:$F78,AR$21)+COUNTIF($F75:$F78,$A$3))</f>
        <v>0</v>
      </c>
      <c r="AX78" s="65" t="n">
        <f aca="false">IF($B78="","",COUNTIF($B75:$B78,AX$21)+COUNTIF($B75:$B78,$A$3))</f>
        <v>0</v>
      </c>
      <c r="AY78" s="52" t="n">
        <f aca="false">IF($C78="","",COUNTIF($C75:$C78,AX$21)+COUNTIF($C75:$C78,$A$3))</f>
        <v>0</v>
      </c>
      <c r="AZ78" s="52" t="n">
        <f aca="false">IF($D78="","",COUNTIF($D75:$D78,AX$21)+COUNTIF($D75:$D78,$A$3))</f>
        <v>0</v>
      </c>
      <c r="BA78" s="52" t="n">
        <f aca="false">IF($E78="","",COUNTIF($E75:$E78,AX$21)+COUNTIF($E75:$E78,$A$3))</f>
        <v>0</v>
      </c>
      <c r="BB78" s="53" t="n">
        <f aca="false">IF($F78="","",COUNTIF($F75:$F78,AX$21)+COUNTIF($F75:$F78,$A$3))</f>
        <v>0</v>
      </c>
      <c r="BD78" s="65" t="n">
        <f aca="false">IF($B78="","",COUNTIF($B75:$B78,BD$21)+COUNTIF($B75:$B78,$A$3))</f>
        <v>0</v>
      </c>
      <c r="BE78" s="52" t="n">
        <f aca="false">IF($C78="","",COUNTIF($C75:$C78,BD$21)+COUNTIF($C75:$C78,$A$3))</f>
        <v>0</v>
      </c>
      <c r="BF78" s="52" t="n">
        <f aca="false">IF($D78="","",COUNTIF($D75:$D78,BD$21)+COUNTIF($D75:$D78,$A$3))</f>
        <v>1</v>
      </c>
      <c r="BG78" s="52" t="n">
        <f aca="false">IF($E78="","",COUNTIF($E75:$E78,BD$21)+COUNTIF($E75:$E78,$A$3))</f>
        <v>0</v>
      </c>
      <c r="BH78" s="53" t="n">
        <f aca="false">IF($F78="","",COUNTIF($F75:$F78,BD$21)+COUNTIF($F75:$F78,$A$3))</f>
        <v>1</v>
      </c>
      <c r="BJ78" s="65" t="n">
        <f aca="false">IF($B78="","",COUNTIF($B75:$B78,BJ$21)+COUNTIF($B75:$B78,$A$3))</f>
        <v>1</v>
      </c>
      <c r="BK78" s="52" t="n">
        <f aca="false">IF($C78="","",COUNTIF($C75:$C78,BJ$21)+COUNTIF($C75:$C78,$A$3))</f>
        <v>1</v>
      </c>
      <c r="BL78" s="52" t="n">
        <f aca="false">IF($D78="","",COUNTIF($D75:$D78,BJ$21)+COUNTIF($D75:$D78,$A$3))</f>
        <v>0</v>
      </c>
      <c r="BM78" s="52" t="n">
        <f aca="false">IF($E78="","",COUNTIF($E75:$E78,BJ$21)+COUNTIF($E75:$E78,$A$3))</f>
        <v>1</v>
      </c>
      <c r="BN78" s="53" t="n">
        <f aca="false">IF($F78="","",COUNTIF($F75:$F78,BJ$21)+COUNTIF($F75:$F78,$A$3))</f>
        <v>0</v>
      </c>
      <c r="BP78" s="65" t="n">
        <f aca="false">IF($B78="","",COUNTIF($B75:$B78,BP$21)+COUNTIF($B75:$B78,$A$3))</f>
        <v>1</v>
      </c>
      <c r="BQ78" s="52" t="n">
        <f aca="false">IF($C78="","",COUNTIF($C75:$C78,BP$21)+COUNTIF($C75:$C78,$A$3))</f>
        <v>1</v>
      </c>
      <c r="BR78" s="52" t="n">
        <f aca="false">IF($D78="","",COUNTIF($D75:$D78,BP$21)+COUNTIF($D75:$D78,$A$3))</f>
        <v>0</v>
      </c>
      <c r="BS78" s="52" t="n">
        <f aca="false">IF($E78="","",COUNTIF($E75:$E78,BP$21)+COUNTIF($E75:$E78,$A$3))</f>
        <v>0</v>
      </c>
      <c r="BT78" s="53" t="n">
        <f aca="false">IF($F78="","",COUNTIF($F75:$F78,BP$21)+COUNTIF($F75:$F78,$A$3))</f>
        <v>0</v>
      </c>
    </row>
    <row r="79" customFormat="false" ht="15" hidden="false" customHeight="false" outlineLevel="0" collapsed="false">
      <c r="A79" s="13" t="n">
        <v>57</v>
      </c>
      <c r="B79" s="116" t="str">
        <f aca="false">IF('Game Info'!J62="","",'Game Info'!J62)</f>
        <v>Q</v>
      </c>
      <c r="C79" s="116" t="str">
        <f aca="false">IF('Game Info'!K62="","",'Game Info'!K62)</f>
        <v>J</v>
      </c>
      <c r="D79" s="116" t="str">
        <f aca="false">IF('Game Info'!L62="","",'Game Info'!L62)</f>
        <v>Q</v>
      </c>
      <c r="E79" s="116" t="str">
        <f aca="false">IF('Game Info'!M62="","",'Game Info'!M62)</f>
        <v>SYM5</v>
      </c>
      <c r="F79" s="117" t="str">
        <f aca="false">IF('Game Info'!N62="","",'Game Info'!N62)</f>
        <v>SYM1</v>
      </c>
      <c r="H79" s="65" t="n">
        <f aca="false">IF($B79="","",COUNTIF($B76:$B79,H$21)+COUNTIF($B76:$B79,$A$3))</f>
        <v>2</v>
      </c>
      <c r="I79" s="52" t="n">
        <f aca="false">IF($C79="","",COUNTIF($C76:$C79,H$21)+COUNTIF($C76:$C79,$A$3))</f>
        <v>0</v>
      </c>
      <c r="J79" s="52" t="n">
        <f aca="false">IF($D79="","",COUNTIF($D76:$D79,H$21)+COUNTIF($D76:$D79,$A$3))</f>
        <v>0</v>
      </c>
      <c r="K79" s="52" t="n">
        <f aca="false">IF($E79="","",COUNTIF($E76:$E79,H$21)+COUNTIF($E76:$E79,$A$3))</f>
        <v>0</v>
      </c>
      <c r="L79" s="53" t="n">
        <f aca="false">IF($F79="","",COUNTIF($F76:$F79,H$21)+COUNTIF($F76:$F79,$A$3))</f>
        <v>1</v>
      </c>
      <c r="N79" s="65" t="n">
        <f aca="false">IF($B79="","",COUNTIF($B76:$B79,N$21)+COUNTIF($B76:$B79,$A$3))</f>
        <v>0</v>
      </c>
      <c r="O79" s="52" t="n">
        <f aca="false">IF($C79="","",COUNTIF($C76:$C79,N$21)+COUNTIF($C76:$C79,$A$3))</f>
        <v>1</v>
      </c>
      <c r="P79" s="52" t="n">
        <f aca="false">IF($D79="","",COUNTIF($D76:$D79,N$21)+COUNTIF($D76:$D79,$A$3))</f>
        <v>3</v>
      </c>
      <c r="Q79" s="52" t="n">
        <f aca="false">IF($E79="","",COUNTIF($E76:$E79,N$21)+COUNTIF($E76:$E79,$A$3))</f>
        <v>0</v>
      </c>
      <c r="R79" s="53" t="n">
        <f aca="false">IF($F79="","",COUNTIF($F76:$F79,N$21)+COUNTIF($F76:$F79,$A$3))</f>
        <v>0</v>
      </c>
      <c r="T79" s="65" t="n">
        <f aca="false">IF($B79="","",COUNTIF($B76:$B79,T$21)+COUNTIF($B76:$B79,$A$3))</f>
        <v>0</v>
      </c>
      <c r="U79" s="52" t="n">
        <f aca="false">IF($C79="","",COUNTIF($C76:$C79,T$21)+COUNTIF($C76:$C79,$A$3))</f>
        <v>0</v>
      </c>
      <c r="V79" s="52" t="n">
        <f aca="false">IF($D79="","",COUNTIF($D76:$D79,T$21)+COUNTIF($D76:$D79,$A$3))</f>
        <v>0</v>
      </c>
      <c r="W79" s="52" t="n">
        <f aca="false">IF($E79="","",COUNTIF($E76:$E79,T$21)+COUNTIF($E76:$E79,$A$3))</f>
        <v>1</v>
      </c>
      <c r="X79" s="53" t="n">
        <f aca="false">IF($F79="","",COUNTIF($F76:$F79,T$21)+COUNTIF($F76:$F79,$A$3))</f>
        <v>0</v>
      </c>
      <c r="Z79" s="65" t="n">
        <f aca="false">IF($B79="","",COUNTIF($B76:$B79,Z$21)+COUNTIF($B76:$B79,$A$3))</f>
        <v>0</v>
      </c>
      <c r="AA79" s="52" t="n">
        <f aca="false">IF($C79="","",COUNTIF($C76:$C79,Z$21)+COUNTIF($C76:$C79,$A$3))</f>
        <v>0</v>
      </c>
      <c r="AB79" s="52" t="n">
        <f aca="false">IF($D79="","",COUNTIF($D76:$D79,Z$21)+COUNTIF($D76:$D79,$A$3))</f>
        <v>0</v>
      </c>
      <c r="AC79" s="52" t="n">
        <f aca="false">IF($E79="","",COUNTIF($E76:$E79,Z$21)+COUNTIF($E76:$E79,$A$3))</f>
        <v>0</v>
      </c>
      <c r="AD79" s="53" t="n">
        <f aca="false">IF($F79="","",COUNTIF($F76:$F79,Z$21)+COUNTIF($F76:$F79,$A$3))</f>
        <v>0</v>
      </c>
      <c r="AF79" s="65" t="n">
        <f aca="false">IF($B79="","",COUNTIF($B76:$B79,AF$21)+COUNTIF($B76:$B79,$A$3))</f>
        <v>0</v>
      </c>
      <c r="AG79" s="52" t="n">
        <f aca="false">IF($C79="","",COUNTIF($C76:$C79,AF$21)+COUNTIF($C76:$C79,$A$3))</f>
        <v>0</v>
      </c>
      <c r="AH79" s="52" t="n">
        <f aca="false">IF($D79="","",COUNTIF($D76:$D79,AF$21)+COUNTIF($D76:$D79,$A$3))</f>
        <v>0</v>
      </c>
      <c r="AI79" s="52" t="n">
        <f aca="false">IF($E79="","",COUNTIF($E76:$E79,AF$21)+COUNTIF($E76:$E79,$A$3))</f>
        <v>1</v>
      </c>
      <c r="AJ79" s="53" t="n">
        <f aca="false">IF($F79="","",COUNTIF($F76:$F79,AF$21)+COUNTIF($F76:$F79,$A$3))</f>
        <v>1</v>
      </c>
      <c r="AL79" s="65" t="n">
        <f aca="false">IF($B79="","",COUNTIF($B76:$B79,AL$21)+COUNTIF($B76:$B79,$A$3))</f>
        <v>0</v>
      </c>
      <c r="AM79" s="52" t="n">
        <f aca="false">IF($C79="","",COUNTIF($C76:$C79,AL$21)+COUNTIF($C76:$C79,$A$3))</f>
        <v>0</v>
      </c>
      <c r="AN79" s="52" t="n">
        <f aca="false">IF($D79="","",COUNTIF($D76:$D79,AL$21)+COUNTIF($D76:$D79,$A$3))</f>
        <v>0</v>
      </c>
      <c r="AO79" s="52" t="n">
        <f aca="false">IF($E79="","",COUNTIF($E76:$E79,AL$21)+COUNTIF($E76:$E79,$A$3))</f>
        <v>0</v>
      </c>
      <c r="AP79" s="53" t="n">
        <f aca="false">IF($F79="","",COUNTIF($F76:$F79,AL$21)+COUNTIF($F76:$F79,$A$3))</f>
        <v>1</v>
      </c>
      <c r="AR79" s="65" t="n">
        <f aca="false">IF($B79="","",COUNTIF($B76:$B79,AR$21)+COUNTIF($B76:$B79,$A$3))</f>
        <v>0</v>
      </c>
      <c r="AS79" s="52" t="n">
        <f aca="false">IF($C79="","",COUNTIF($C76:$C79,AR$21)+COUNTIF($C76:$C79,$A$3))</f>
        <v>0</v>
      </c>
      <c r="AT79" s="52" t="n">
        <f aca="false">IF($D79="","",COUNTIF($D76:$D79,AR$21)+COUNTIF($D76:$D79,$A$3))</f>
        <v>0</v>
      </c>
      <c r="AU79" s="52" t="n">
        <f aca="false">IF($E79="","",COUNTIF($E76:$E79,AR$21)+COUNTIF($E76:$E79,$A$3))</f>
        <v>1</v>
      </c>
      <c r="AV79" s="53" t="n">
        <f aca="false">IF($F79="","",COUNTIF($F76:$F79,AR$21)+COUNTIF($F76:$F79,$A$3))</f>
        <v>0</v>
      </c>
      <c r="AX79" s="65" t="n">
        <f aca="false">IF($B79="","",COUNTIF($B76:$B79,AX$21)+COUNTIF($B76:$B79,$A$3))</f>
        <v>1</v>
      </c>
      <c r="AY79" s="52" t="n">
        <f aca="false">IF($C79="","",COUNTIF($C76:$C79,AX$21)+COUNTIF($C76:$C79,$A$3))</f>
        <v>0</v>
      </c>
      <c r="AZ79" s="52" t="n">
        <f aca="false">IF($D79="","",COUNTIF($D76:$D79,AX$21)+COUNTIF($D76:$D79,$A$3))</f>
        <v>1</v>
      </c>
      <c r="BA79" s="52" t="n">
        <f aca="false">IF($E79="","",COUNTIF($E76:$E79,AX$21)+COUNTIF($E76:$E79,$A$3))</f>
        <v>0</v>
      </c>
      <c r="BB79" s="53" t="n">
        <f aca="false">IF($F79="","",COUNTIF($F76:$F79,AX$21)+COUNTIF($F76:$F79,$A$3))</f>
        <v>0</v>
      </c>
      <c r="BD79" s="65" t="n">
        <f aca="false">IF($B79="","",COUNTIF($B76:$B79,BD$21)+COUNTIF($B76:$B79,$A$3))</f>
        <v>0</v>
      </c>
      <c r="BE79" s="52" t="n">
        <f aca="false">IF($C79="","",COUNTIF($C76:$C79,BD$21)+COUNTIF($C76:$C79,$A$3))</f>
        <v>1</v>
      </c>
      <c r="BF79" s="52" t="n">
        <f aca="false">IF($D79="","",COUNTIF($D76:$D79,BD$21)+COUNTIF($D76:$D79,$A$3))</f>
        <v>0</v>
      </c>
      <c r="BG79" s="52" t="n">
        <f aca="false">IF($E79="","",COUNTIF($E76:$E79,BD$21)+COUNTIF($E76:$E79,$A$3))</f>
        <v>0</v>
      </c>
      <c r="BH79" s="53" t="n">
        <f aca="false">IF($F79="","",COUNTIF($F76:$F79,BD$21)+COUNTIF($F76:$F79,$A$3))</f>
        <v>1</v>
      </c>
      <c r="BJ79" s="65" t="n">
        <f aca="false">IF($B79="","",COUNTIF($B76:$B79,BJ$21)+COUNTIF($B76:$B79,$A$3))</f>
        <v>1</v>
      </c>
      <c r="BK79" s="52" t="n">
        <f aca="false">IF($C79="","",COUNTIF($C76:$C79,BJ$21)+COUNTIF($C76:$C79,$A$3))</f>
        <v>1</v>
      </c>
      <c r="BL79" s="52" t="n">
        <f aca="false">IF($D79="","",COUNTIF($D76:$D79,BJ$21)+COUNTIF($D76:$D79,$A$3))</f>
        <v>0</v>
      </c>
      <c r="BM79" s="52" t="n">
        <f aca="false">IF($E79="","",COUNTIF($E76:$E79,BJ$21)+COUNTIF($E76:$E79,$A$3))</f>
        <v>1</v>
      </c>
      <c r="BN79" s="53" t="n">
        <f aca="false">IF($F79="","",COUNTIF($F76:$F79,BJ$21)+COUNTIF($F76:$F79,$A$3))</f>
        <v>0</v>
      </c>
      <c r="BP79" s="65" t="n">
        <f aca="false">IF($B79="","",COUNTIF($B76:$B79,BP$21)+COUNTIF($B76:$B79,$A$3))</f>
        <v>0</v>
      </c>
      <c r="BQ79" s="52" t="n">
        <f aca="false">IF($C79="","",COUNTIF($C76:$C79,BP$21)+COUNTIF($C76:$C79,$A$3))</f>
        <v>1</v>
      </c>
      <c r="BR79" s="52" t="n">
        <f aca="false">IF($D79="","",COUNTIF($D76:$D79,BP$21)+COUNTIF($D76:$D79,$A$3))</f>
        <v>0</v>
      </c>
      <c r="BS79" s="52" t="n">
        <f aca="false">IF($E79="","",COUNTIF($E76:$E79,BP$21)+COUNTIF($E76:$E79,$A$3))</f>
        <v>0</v>
      </c>
      <c r="BT79" s="53" t="n">
        <f aca="false">IF($F79="","",COUNTIF($F76:$F79,BP$21)+COUNTIF($F76:$F79,$A$3))</f>
        <v>0</v>
      </c>
    </row>
    <row r="80" customFormat="false" ht="15" hidden="false" customHeight="false" outlineLevel="0" collapsed="false">
      <c r="A80" s="13" t="n">
        <v>58</v>
      </c>
      <c r="B80" s="116" t="str">
        <f aca="false">IF('Game Info'!J63="","",'Game Info'!J63)</f>
        <v>SYM3</v>
      </c>
      <c r="C80" s="116" t="str">
        <f aca="false">IF('Game Info'!K63="","",'Game Info'!K63)</f>
        <v>K</v>
      </c>
      <c r="D80" s="116" t="str">
        <f aca="false">IF('Game Info'!L63="","",'Game Info'!L63)</f>
        <v>SYM5</v>
      </c>
      <c r="E80" s="116" t="str">
        <f aca="false">IF('Game Info'!M63="","",'Game Info'!M63)</f>
        <v>Q</v>
      </c>
      <c r="F80" s="117" t="str">
        <f aca="false">IF('Game Info'!N63="","",'Game Info'!N63)</f>
        <v>K</v>
      </c>
      <c r="H80" s="65" t="n">
        <f aca="false">IF($B80="","",COUNTIF($B77:$B80,H$21)+COUNTIF($B77:$B80,$A$3))</f>
        <v>1</v>
      </c>
      <c r="I80" s="52" t="n">
        <f aca="false">IF($C80="","",COUNTIF($C77:$C80,H$21)+COUNTIF($C77:$C80,$A$3))</f>
        <v>0</v>
      </c>
      <c r="J80" s="52" t="n">
        <f aca="false">IF($D80="","",COUNTIF($D77:$D80,H$21)+COUNTIF($D77:$D80,$A$3))</f>
        <v>0</v>
      </c>
      <c r="K80" s="52" t="n">
        <f aca="false">IF($E80="","",COUNTIF($E77:$E80,H$21)+COUNTIF($E77:$E80,$A$3))</f>
        <v>0</v>
      </c>
      <c r="L80" s="53" t="n">
        <f aca="false">IF($F80="","",COUNTIF($F77:$F80,H$21)+COUNTIF($F77:$F80,$A$3))</f>
        <v>1</v>
      </c>
      <c r="N80" s="65" t="n">
        <f aca="false">IF($B80="","",COUNTIF($B77:$B80,N$21)+COUNTIF($B77:$B80,$A$3))</f>
        <v>0</v>
      </c>
      <c r="O80" s="52" t="n">
        <f aca="false">IF($C80="","",COUNTIF($C77:$C80,N$21)+COUNTIF($C77:$C80,$A$3))</f>
        <v>1</v>
      </c>
      <c r="P80" s="52" t="n">
        <f aca="false">IF($D80="","",COUNTIF($D77:$D80,N$21)+COUNTIF($D77:$D80,$A$3))</f>
        <v>2</v>
      </c>
      <c r="Q80" s="52" t="n">
        <f aca="false">IF($E80="","",COUNTIF($E77:$E80,N$21)+COUNTIF($E77:$E80,$A$3))</f>
        <v>0</v>
      </c>
      <c r="R80" s="53" t="n">
        <f aca="false">IF($F80="","",COUNTIF($F77:$F80,N$21)+COUNTIF($F77:$F80,$A$3))</f>
        <v>0</v>
      </c>
      <c r="T80" s="65" t="n">
        <f aca="false">IF($B80="","",COUNTIF($B77:$B80,T$21)+COUNTIF($B77:$B80,$A$3))</f>
        <v>1</v>
      </c>
      <c r="U80" s="52" t="n">
        <f aca="false">IF($C80="","",COUNTIF($C77:$C80,T$21)+COUNTIF($C77:$C80,$A$3))</f>
        <v>0</v>
      </c>
      <c r="V80" s="52" t="n">
        <f aca="false">IF($D80="","",COUNTIF($D77:$D80,T$21)+COUNTIF($D77:$D80,$A$3))</f>
        <v>0</v>
      </c>
      <c r="W80" s="52" t="n">
        <f aca="false">IF($E80="","",COUNTIF($E77:$E80,T$21)+COUNTIF($E77:$E80,$A$3))</f>
        <v>1</v>
      </c>
      <c r="X80" s="53" t="n">
        <f aca="false">IF($F80="","",COUNTIF($F77:$F80,T$21)+COUNTIF($F77:$F80,$A$3))</f>
        <v>0</v>
      </c>
      <c r="Z80" s="65" t="n">
        <f aca="false">IF($B80="","",COUNTIF($B77:$B80,Z$21)+COUNTIF($B77:$B80,$A$3))</f>
        <v>0</v>
      </c>
      <c r="AA80" s="52" t="n">
        <f aca="false">IF($C80="","",COUNTIF($C77:$C80,Z$21)+COUNTIF($C77:$C80,$A$3))</f>
        <v>0</v>
      </c>
      <c r="AB80" s="52" t="n">
        <f aca="false">IF($D80="","",COUNTIF($D77:$D80,Z$21)+COUNTIF($D77:$D80,$A$3))</f>
        <v>0</v>
      </c>
      <c r="AC80" s="52" t="n">
        <f aca="false">IF($E80="","",COUNTIF($E77:$E80,Z$21)+COUNTIF($E77:$E80,$A$3))</f>
        <v>0</v>
      </c>
      <c r="AD80" s="53" t="n">
        <f aca="false">IF($F80="","",COUNTIF($F77:$F80,Z$21)+COUNTIF($F77:$F80,$A$3))</f>
        <v>0</v>
      </c>
      <c r="AF80" s="65" t="n">
        <f aca="false">IF($B80="","",COUNTIF($B77:$B80,AF$21)+COUNTIF($B77:$B80,$A$3))</f>
        <v>0</v>
      </c>
      <c r="AG80" s="52" t="n">
        <f aca="false">IF($C80="","",COUNTIF($C77:$C80,AF$21)+COUNTIF($C77:$C80,$A$3))</f>
        <v>0</v>
      </c>
      <c r="AH80" s="52" t="n">
        <f aca="false">IF($D80="","",COUNTIF($D77:$D80,AF$21)+COUNTIF($D77:$D80,$A$3))</f>
        <v>1</v>
      </c>
      <c r="AI80" s="52" t="n">
        <f aca="false">IF($E80="","",COUNTIF($E77:$E80,AF$21)+COUNTIF($E77:$E80,$A$3))</f>
        <v>1</v>
      </c>
      <c r="AJ80" s="53" t="n">
        <f aca="false">IF($F80="","",COUNTIF($F77:$F80,AF$21)+COUNTIF($F77:$F80,$A$3))</f>
        <v>1</v>
      </c>
      <c r="AL80" s="65" t="n">
        <f aca="false">IF($B80="","",COUNTIF($B77:$B80,AL$21)+COUNTIF($B77:$B80,$A$3))</f>
        <v>0</v>
      </c>
      <c r="AM80" s="52" t="n">
        <f aca="false">IF($C80="","",COUNTIF($C77:$C80,AL$21)+COUNTIF($C77:$C80,$A$3))</f>
        <v>0</v>
      </c>
      <c r="AN80" s="52" t="n">
        <f aca="false">IF($D80="","",COUNTIF($D77:$D80,AL$21)+COUNTIF($D77:$D80,$A$3))</f>
        <v>0</v>
      </c>
      <c r="AO80" s="52" t="n">
        <f aca="false">IF($E80="","",COUNTIF($E77:$E80,AL$21)+COUNTIF($E77:$E80,$A$3))</f>
        <v>0</v>
      </c>
      <c r="AP80" s="53" t="n">
        <f aca="false">IF($F80="","",COUNTIF($F77:$F80,AL$21)+COUNTIF($F77:$F80,$A$3))</f>
        <v>0</v>
      </c>
      <c r="AR80" s="65" t="n">
        <f aca="false">IF($B80="","",COUNTIF($B77:$B80,AR$21)+COUNTIF($B77:$B80,$A$3))</f>
        <v>0</v>
      </c>
      <c r="AS80" s="52" t="n">
        <f aca="false">IF($C80="","",COUNTIF($C77:$C80,AR$21)+COUNTIF($C77:$C80,$A$3))</f>
        <v>1</v>
      </c>
      <c r="AT80" s="52" t="n">
        <f aca="false">IF($D80="","",COUNTIF($D77:$D80,AR$21)+COUNTIF($D77:$D80,$A$3))</f>
        <v>0</v>
      </c>
      <c r="AU80" s="52" t="n">
        <f aca="false">IF($E80="","",COUNTIF($E77:$E80,AR$21)+COUNTIF($E77:$E80,$A$3))</f>
        <v>1</v>
      </c>
      <c r="AV80" s="53" t="n">
        <f aca="false">IF($F80="","",COUNTIF($F77:$F80,AR$21)+COUNTIF($F77:$F80,$A$3))</f>
        <v>1</v>
      </c>
      <c r="AX80" s="65" t="n">
        <f aca="false">IF($B80="","",COUNTIF($B77:$B80,AX$21)+COUNTIF($B77:$B80,$A$3))</f>
        <v>1</v>
      </c>
      <c r="AY80" s="52" t="n">
        <f aca="false">IF($C80="","",COUNTIF($C77:$C80,AX$21)+COUNTIF($C77:$C80,$A$3))</f>
        <v>0</v>
      </c>
      <c r="AZ80" s="52" t="n">
        <f aca="false">IF($D80="","",COUNTIF($D77:$D80,AX$21)+COUNTIF($D77:$D80,$A$3))</f>
        <v>1</v>
      </c>
      <c r="BA80" s="52" t="n">
        <f aca="false">IF($E80="","",COUNTIF($E77:$E80,AX$21)+COUNTIF($E77:$E80,$A$3))</f>
        <v>1</v>
      </c>
      <c r="BB80" s="53" t="n">
        <f aca="false">IF($F80="","",COUNTIF($F77:$F80,AX$21)+COUNTIF($F77:$F80,$A$3))</f>
        <v>0</v>
      </c>
      <c r="BD80" s="65" t="n">
        <f aca="false">IF($B80="","",COUNTIF($B77:$B80,BD$21)+COUNTIF($B77:$B80,$A$3))</f>
        <v>0</v>
      </c>
      <c r="BE80" s="52" t="n">
        <f aca="false">IF($C80="","",COUNTIF($C77:$C80,BD$21)+COUNTIF($C77:$C80,$A$3))</f>
        <v>1</v>
      </c>
      <c r="BF80" s="52" t="n">
        <f aca="false">IF($D80="","",COUNTIF($D77:$D80,BD$21)+COUNTIF($D77:$D80,$A$3))</f>
        <v>0</v>
      </c>
      <c r="BG80" s="52" t="n">
        <f aca="false">IF($E80="","",COUNTIF($E77:$E80,BD$21)+COUNTIF($E77:$E80,$A$3))</f>
        <v>0</v>
      </c>
      <c r="BH80" s="53" t="n">
        <f aca="false">IF($F80="","",COUNTIF($F77:$F80,BD$21)+COUNTIF($F77:$F80,$A$3))</f>
        <v>1</v>
      </c>
      <c r="BJ80" s="65" t="n">
        <f aca="false">IF($B80="","",COUNTIF($B77:$B80,BJ$21)+COUNTIF($B77:$B80,$A$3))</f>
        <v>1</v>
      </c>
      <c r="BK80" s="52" t="n">
        <f aca="false">IF($C80="","",COUNTIF($C77:$C80,BJ$21)+COUNTIF($C77:$C80,$A$3))</f>
        <v>1</v>
      </c>
      <c r="BL80" s="52" t="n">
        <f aca="false">IF($D80="","",COUNTIF($D77:$D80,BJ$21)+COUNTIF($D77:$D80,$A$3))</f>
        <v>0</v>
      </c>
      <c r="BM80" s="52" t="n">
        <f aca="false">IF($E80="","",COUNTIF($E77:$E80,BJ$21)+COUNTIF($E77:$E80,$A$3))</f>
        <v>0</v>
      </c>
      <c r="BN80" s="53" t="n">
        <f aca="false">IF($F80="","",COUNTIF($F77:$F80,BJ$21)+COUNTIF($F77:$F80,$A$3))</f>
        <v>0</v>
      </c>
      <c r="BP80" s="65" t="n">
        <f aca="false">IF($B80="","",COUNTIF($B77:$B80,BP$21)+COUNTIF($B77:$B80,$A$3))</f>
        <v>0</v>
      </c>
      <c r="BQ80" s="52" t="n">
        <f aca="false">IF($C80="","",COUNTIF($C77:$C80,BP$21)+COUNTIF($C77:$C80,$A$3))</f>
        <v>0</v>
      </c>
      <c r="BR80" s="52" t="n">
        <f aca="false">IF($D80="","",COUNTIF($D77:$D80,BP$21)+COUNTIF($D77:$D80,$A$3))</f>
        <v>0</v>
      </c>
      <c r="BS80" s="52" t="n">
        <f aca="false">IF($E80="","",COUNTIF($E77:$E80,BP$21)+COUNTIF($E77:$E80,$A$3))</f>
        <v>0</v>
      </c>
      <c r="BT80" s="53" t="n">
        <f aca="false">IF($F80="","",COUNTIF($F77:$F80,BP$21)+COUNTIF($F77:$F80,$A$3))</f>
        <v>0</v>
      </c>
    </row>
    <row r="81" customFormat="false" ht="15" hidden="false" customHeight="false" outlineLevel="0" collapsed="false">
      <c r="A81" s="13" t="n">
        <v>59</v>
      </c>
      <c r="B81" s="116" t="str">
        <f aca="false">IF('Game Info'!J64="","",'Game Info'!J64)</f>
        <v>A</v>
      </c>
      <c r="C81" s="116" t="str">
        <f aca="false">IF('Game Info'!K64="","",'Game Info'!K64)</f>
        <v>FG</v>
      </c>
      <c r="D81" s="116" t="n">
        <f aca="false">IF('Game Info'!L64="","",'Game Info'!L64)</f>
        <v>10</v>
      </c>
      <c r="E81" s="116" t="str">
        <f aca="false">IF('Game Info'!M64="","",'Game Info'!M64)</f>
        <v>SYM2</v>
      </c>
      <c r="F81" s="117" t="str">
        <f aca="false">IF('Game Info'!N64="","",'Game Info'!N64)</f>
        <v>SYM3</v>
      </c>
      <c r="H81" s="65" t="n">
        <f aca="false">IF($B81="","",COUNTIF($B78:$B81,H$21)+COUNTIF($B78:$B81,$A$3))</f>
        <v>0</v>
      </c>
      <c r="I81" s="52" t="n">
        <f aca="false">IF($C81="","",COUNTIF($C78:$C81,H$21)+COUNTIF($C78:$C81,$A$3))</f>
        <v>0</v>
      </c>
      <c r="J81" s="52" t="n">
        <f aca="false">IF($D81="","",COUNTIF($D78:$D81,H$21)+COUNTIF($D78:$D81,$A$3))</f>
        <v>0</v>
      </c>
      <c r="K81" s="52" t="n">
        <f aca="false">IF($E81="","",COUNTIF($E78:$E81,H$21)+COUNTIF($E78:$E81,$A$3))</f>
        <v>0</v>
      </c>
      <c r="L81" s="53" t="n">
        <f aca="false">IF($F81="","",COUNTIF($F78:$F81,H$21)+COUNTIF($F78:$F81,$A$3))</f>
        <v>1</v>
      </c>
      <c r="N81" s="65" t="n">
        <f aca="false">IF($B81="","",COUNTIF($B78:$B81,N$21)+COUNTIF($B78:$B81,$A$3))</f>
        <v>0</v>
      </c>
      <c r="O81" s="52" t="n">
        <f aca="false">IF($C81="","",COUNTIF($C78:$C81,N$21)+COUNTIF($C78:$C81,$A$3))</f>
        <v>1</v>
      </c>
      <c r="P81" s="52" t="n">
        <f aca="false">IF($D81="","",COUNTIF($D78:$D81,N$21)+COUNTIF($D78:$D81,$A$3))</f>
        <v>1</v>
      </c>
      <c r="Q81" s="52" t="n">
        <f aca="false">IF($E81="","",COUNTIF($E78:$E81,N$21)+COUNTIF($E78:$E81,$A$3))</f>
        <v>1</v>
      </c>
      <c r="R81" s="53" t="n">
        <f aca="false">IF($F81="","",COUNTIF($F78:$F81,N$21)+COUNTIF($F78:$F81,$A$3))</f>
        <v>0</v>
      </c>
      <c r="T81" s="65" t="n">
        <f aca="false">IF($B81="","",COUNTIF($B78:$B81,T$21)+COUNTIF($B78:$B81,$A$3))</f>
        <v>1</v>
      </c>
      <c r="U81" s="52" t="n">
        <f aca="false">IF($C81="","",COUNTIF($C78:$C81,T$21)+COUNTIF($C78:$C81,$A$3))</f>
        <v>0</v>
      </c>
      <c r="V81" s="52" t="n">
        <f aca="false">IF($D81="","",COUNTIF($D78:$D81,T$21)+COUNTIF($D78:$D81,$A$3))</f>
        <v>0</v>
      </c>
      <c r="W81" s="52" t="n">
        <f aca="false">IF($E81="","",COUNTIF($E78:$E81,T$21)+COUNTIF($E78:$E81,$A$3))</f>
        <v>0</v>
      </c>
      <c r="X81" s="53" t="n">
        <f aca="false">IF($F81="","",COUNTIF($F78:$F81,T$21)+COUNTIF($F78:$F81,$A$3))</f>
        <v>1</v>
      </c>
      <c r="Z81" s="65" t="n">
        <f aca="false">IF($B81="","",COUNTIF($B78:$B81,Z$21)+COUNTIF($B78:$B81,$A$3))</f>
        <v>0</v>
      </c>
      <c r="AA81" s="52" t="n">
        <f aca="false">IF($C81="","",COUNTIF($C78:$C81,Z$21)+COUNTIF($C78:$C81,$A$3))</f>
        <v>0</v>
      </c>
      <c r="AB81" s="52" t="n">
        <f aca="false">IF($D81="","",COUNTIF($D78:$D81,Z$21)+COUNTIF($D78:$D81,$A$3))</f>
        <v>0</v>
      </c>
      <c r="AC81" s="52" t="n">
        <f aca="false">IF($E81="","",COUNTIF($E78:$E81,Z$21)+COUNTIF($E78:$E81,$A$3))</f>
        <v>0</v>
      </c>
      <c r="AD81" s="53" t="n">
        <f aca="false">IF($F81="","",COUNTIF($F78:$F81,Z$21)+COUNTIF($F78:$F81,$A$3))</f>
        <v>0</v>
      </c>
      <c r="AF81" s="65" t="n">
        <f aca="false">IF($B81="","",COUNTIF($B78:$B81,AF$21)+COUNTIF($B78:$B81,$A$3))</f>
        <v>0</v>
      </c>
      <c r="AG81" s="52" t="n">
        <f aca="false">IF($C81="","",COUNTIF($C78:$C81,AF$21)+COUNTIF($C78:$C81,$A$3))</f>
        <v>0</v>
      </c>
      <c r="AH81" s="52" t="n">
        <f aca="false">IF($D81="","",COUNTIF($D78:$D81,AF$21)+COUNTIF($D78:$D81,$A$3))</f>
        <v>1</v>
      </c>
      <c r="AI81" s="52" t="n">
        <f aca="false">IF($E81="","",COUNTIF($E78:$E81,AF$21)+COUNTIF($E78:$E81,$A$3))</f>
        <v>1</v>
      </c>
      <c r="AJ81" s="53" t="n">
        <f aca="false">IF($F81="","",COUNTIF($F78:$F81,AF$21)+COUNTIF($F78:$F81,$A$3))</f>
        <v>0</v>
      </c>
      <c r="AL81" s="65" t="n">
        <f aca="false">IF($B81="","",COUNTIF($B78:$B81,AL$21)+COUNTIF($B78:$B81,$A$3))</f>
        <v>1</v>
      </c>
      <c r="AM81" s="52" t="n">
        <f aca="false">IF($C81="","",COUNTIF($C78:$C81,AL$21)+COUNTIF($C78:$C81,$A$3))</f>
        <v>0</v>
      </c>
      <c r="AN81" s="52" t="n">
        <f aca="false">IF($D81="","",COUNTIF($D78:$D81,AL$21)+COUNTIF($D78:$D81,$A$3))</f>
        <v>0</v>
      </c>
      <c r="AO81" s="52" t="n">
        <f aca="false">IF($E81="","",COUNTIF($E78:$E81,AL$21)+COUNTIF($E78:$E81,$A$3))</f>
        <v>0</v>
      </c>
      <c r="AP81" s="53" t="n">
        <f aca="false">IF($F81="","",COUNTIF($F78:$F81,AL$21)+COUNTIF($F78:$F81,$A$3))</f>
        <v>0</v>
      </c>
      <c r="AR81" s="65" t="n">
        <f aca="false">IF($B81="","",COUNTIF($B78:$B81,AR$21)+COUNTIF($B78:$B81,$A$3))</f>
        <v>0</v>
      </c>
      <c r="AS81" s="52" t="n">
        <f aca="false">IF($C81="","",COUNTIF($C78:$C81,AR$21)+COUNTIF($C78:$C81,$A$3))</f>
        <v>1</v>
      </c>
      <c r="AT81" s="52" t="n">
        <f aca="false">IF($D81="","",COUNTIF($D78:$D81,AR$21)+COUNTIF($D78:$D81,$A$3))</f>
        <v>0</v>
      </c>
      <c r="AU81" s="52" t="n">
        <f aca="false">IF($E81="","",COUNTIF($E78:$E81,AR$21)+COUNTIF($E78:$E81,$A$3))</f>
        <v>1</v>
      </c>
      <c r="AV81" s="53" t="n">
        <f aca="false">IF($F81="","",COUNTIF($F78:$F81,AR$21)+COUNTIF($F78:$F81,$A$3))</f>
        <v>1</v>
      </c>
      <c r="AX81" s="65" t="n">
        <f aca="false">IF($B81="","",COUNTIF($B78:$B81,AX$21)+COUNTIF($B78:$B81,$A$3))</f>
        <v>1</v>
      </c>
      <c r="AY81" s="52" t="n">
        <f aca="false">IF($C81="","",COUNTIF($C78:$C81,AX$21)+COUNTIF($C78:$C81,$A$3))</f>
        <v>0</v>
      </c>
      <c r="AZ81" s="52" t="n">
        <f aca="false">IF($D81="","",COUNTIF($D78:$D81,AX$21)+COUNTIF($D78:$D81,$A$3))</f>
        <v>1</v>
      </c>
      <c r="BA81" s="52" t="n">
        <f aca="false">IF($E81="","",COUNTIF($E78:$E81,AX$21)+COUNTIF($E78:$E81,$A$3))</f>
        <v>1</v>
      </c>
      <c r="BB81" s="53" t="n">
        <f aca="false">IF($F81="","",COUNTIF($F78:$F81,AX$21)+COUNTIF($F78:$F81,$A$3))</f>
        <v>0</v>
      </c>
      <c r="BD81" s="65" t="n">
        <f aca="false">IF($B81="","",COUNTIF($B78:$B81,BD$21)+COUNTIF($B78:$B81,$A$3))</f>
        <v>0</v>
      </c>
      <c r="BE81" s="52" t="n">
        <f aca="false">IF($C81="","",COUNTIF($C78:$C81,BD$21)+COUNTIF($C78:$C81,$A$3))</f>
        <v>1</v>
      </c>
      <c r="BF81" s="52" t="n">
        <f aca="false">IF($D81="","",COUNTIF($D78:$D81,BD$21)+COUNTIF($D78:$D81,$A$3))</f>
        <v>0</v>
      </c>
      <c r="BG81" s="52" t="n">
        <f aca="false">IF($E81="","",COUNTIF($E78:$E81,BD$21)+COUNTIF($E78:$E81,$A$3))</f>
        <v>0</v>
      </c>
      <c r="BH81" s="53" t="n">
        <f aca="false">IF($F81="","",COUNTIF($F78:$F81,BD$21)+COUNTIF($F78:$F81,$A$3))</f>
        <v>1</v>
      </c>
      <c r="BJ81" s="65" t="n">
        <f aca="false">IF($B81="","",COUNTIF($B78:$B81,BJ$21)+COUNTIF($B78:$B81,$A$3))</f>
        <v>1</v>
      </c>
      <c r="BK81" s="52" t="n">
        <f aca="false">IF($C81="","",COUNTIF($C78:$C81,BJ$21)+COUNTIF($C78:$C81,$A$3))</f>
        <v>0</v>
      </c>
      <c r="BL81" s="52" t="n">
        <f aca="false">IF($D81="","",COUNTIF($D78:$D81,BJ$21)+COUNTIF($D78:$D81,$A$3))</f>
        <v>1</v>
      </c>
      <c r="BM81" s="52" t="n">
        <f aca="false">IF($E81="","",COUNTIF($E78:$E81,BJ$21)+COUNTIF($E78:$E81,$A$3))</f>
        <v>0</v>
      </c>
      <c r="BN81" s="53" t="n">
        <f aca="false">IF($F81="","",COUNTIF($F78:$F81,BJ$21)+COUNTIF($F78:$F81,$A$3))</f>
        <v>0</v>
      </c>
      <c r="BP81" s="65" t="n">
        <f aca="false">IF($B81="","",COUNTIF($B78:$B81,BP$21)+COUNTIF($B78:$B81,$A$3))</f>
        <v>0</v>
      </c>
      <c r="BQ81" s="52" t="n">
        <f aca="false">IF($C81="","",COUNTIF($C78:$C81,BP$21)+COUNTIF($C78:$C81,$A$3))</f>
        <v>0</v>
      </c>
      <c r="BR81" s="52" t="n">
        <f aca="false">IF($D81="","",COUNTIF($D78:$D81,BP$21)+COUNTIF($D78:$D81,$A$3))</f>
        <v>0</v>
      </c>
      <c r="BS81" s="52" t="n">
        <f aca="false">IF($E81="","",COUNTIF($E78:$E81,BP$21)+COUNTIF($E78:$E81,$A$3))</f>
        <v>0</v>
      </c>
      <c r="BT81" s="53" t="n">
        <f aca="false">IF($F81="","",COUNTIF($F78:$F81,BP$21)+COUNTIF($F78:$F81,$A$3))</f>
        <v>0</v>
      </c>
    </row>
    <row r="82" customFormat="false" ht="15" hidden="false" customHeight="false" outlineLevel="0" collapsed="false">
      <c r="A82" s="13" t="n">
        <v>60</v>
      </c>
      <c r="B82" s="116" t="n">
        <f aca="false">IF('Game Info'!J65="","",'Game Info'!J65)</f>
        <v>10</v>
      </c>
      <c r="C82" s="116" t="str">
        <f aca="false">IF('Game Info'!K65="","",'Game Info'!K65)</f>
        <v>J</v>
      </c>
      <c r="D82" s="116" t="str">
        <f aca="false">IF('Game Info'!L65="","",'Game Info'!L65)</f>
        <v>SYM4</v>
      </c>
      <c r="E82" s="116" t="n">
        <f aca="false">IF('Game Info'!M65="","",'Game Info'!M65)</f>
        <v>9</v>
      </c>
      <c r="F82" s="117" t="str">
        <f aca="false">IF('Game Info'!N65="","",'Game Info'!N65)</f>
        <v>J</v>
      </c>
      <c r="H82" s="65" t="n">
        <f aca="false">IF($B82="","",COUNTIF($B79:$B82,H$21)+COUNTIF($B79:$B82,$A$3))</f>
        <v>0</v>
      </c>
      <c r="I82" s="52" t="n">
        <f aca="false">IF($C82="","",COUNTIF($C79:$C82,H$21)+COUNTIF($C79:$C82,$A$3))</f>
        <v>0</v>
      </c>
      <c r="J82" s="52" t="n">
        <f aca="false">IF($D82="","",COUNTIF($D79:$D82,H$21)+COUNTIF($D79:$D82,$A$3))</f>
        <v>0</v>
      </c>
      <c r="K82" s="52" t="n">
        <f aca="false">IF($E82="","",COUNTIF($E79:$E82,H$21)+COUNTIF($E79:$E82,$A$3))</f>
        <v>0</v>
      </c>
      <c r="L82" s="53" t="n">
        <f aca="false">IF($F82="","",COUNTIF($F79:$F82,H$21)+COUNTIF($F79:$F82,$A$3))</f>
        <v>1</v>
      </c>
      <c r="N82" s="65" t="n">
        <f aca="false">IF($B82="","",COUNTIF($B79:$B82,N$21)+COUNTIF($B79:$B82,$A$3))</f>
        <v>0</v>
      </c>
      <c r="O82" s="52" t="n">
        <f aca="false">IF($C82="","",COUNTIF($C79:$C82,N$21)+COUNTIF($C79:$C82,$A$3))</f>
        <v>0</v>
      </c>
      <c r="P82" s="52" t="n">
        <f aca="false">IF($D82="","",COUNTIF($D79:$D82,N$21)+COUNTIF($D79:$D82,$A$3))</f>
        <v>0</v>
      </c>
      <c r="Q82" s="52" t="n">
        <f aca="false">IF($E82="","",COUNTIF($E79:$E82,N$21)+COUNTIF($E79:$E82,$A$3))</f>
        <v>1</v>
      </c>
      <c r="R82" s="53" t="n">
        <f aca="false">IF($F82="","",COUNTIF($F79:$F82,N$21)+COUNTIF($F79:$F82,$A$3))</f>
        <v>0</v>
      </c>
      <c r="T82" s="65" t="n">
        <f aca="false">IF($B82="","",COUNTIF($B79:$B82,T$21)+COUNTIF($B79:$B82,$A$3))</f>
        <v>1</v>
      </c>
      <c r="U82" s="52" t="n">
        <f aca="false">IF($C82="","",COUNTIF($C79:$C82,T$21)+COUNTIF($C79:$C82,$A$3))</f>
        <v>0</v>
      </c>
      <c r="V82" s="52" t="n">
        <f aca="false">IF($D82="","",COUNTIF($D79:$D82,T$21)+COUNTIF($D79:$D82,$A$3))</f>
        <v>0</v>
      </c>
      <c r="W82" s="52" t="n">
        <f aca="false">IF($E82="","",COUNTIF($E79:$E82,T$21)+COUNTIF($E79:$E82,$A$3))</f>
        <v>0</v>
      </c>
      <c r="X82" s="53" t="n">
        <f aca="false">IF($F82="","",COUNTIF($F79:$F82,T$21)+COUNTIF($F79:$F82,$A$3))</f>
        <v>1</v>
      </c>
      <c r="Z82" s="65" t="n">
        <f aca="false">IF($B82="","",COUNTIF($B79:$B82,Z$21)+COUNTIF($B79:$B82,$A$3))</f>
        <v>0</v>
      </c>
      <c r="AA82" s="52" t="n">
        <f aca="false">IF($C82="","",COUNTIF($C79:$C82,Z$21)+COUNTIF($C79:$C82,$A$3))</f>
        <v>0</v>
      </c>
      <c r="AB82" s="52" t="n">
        <f aca="false">IF($D82="","",COUNTIF($D79:$D82,Z$21)+COUNTIF($D79:$D82,$A$3))</f>
        <v>1</v>
      </c>
      <c r="AC82" s="52" t="n">
        <f aca="false">IF($E82="","",COUNTIF($E79:$E82,Z$21)+COUNTIF($E79:$E82,$A$3))</f>
        <v>0</v>
      </c>
      <c r="AD82" s="53" t="n">
        <f aca="false">IF($F82="","",COUNTIF($F79:$F82,Z$21)+COUNTIF($F79:$F82,$A$3))</f>
        <v>0</v>
      </c>
      <c r="AF82" s="65" t="n">
        <f aca="false">IF($B82="","",COUNTIF($B79:$B82,AF$21)+COUNTIF($B79:$B82,$A$3))</f>
        <v>0</v>
      </c>
      <c r="AG82" s="52" t="n">
        <f aca="false">IF($C82="","",COUNTIF($C79:$C82,AF$21)+COUNTIF($C79:$C82,$A$3))</f>
        <v>0</v>
      </c>
      <c r="AH82" s="52" t="n">
        <f aca="false">IF($D82="","",COUNTIF($D79:$D82,AF$21)+COUNTIF($D79:$D82,$A$3))</f>
        <v>1</v>
      </c>
      <c r="AI82" s="52" t="n">
        <f aca="false">IF($E82="","",COUNTIF($E79:$E82,AF$21)+COUNTIF($E79:$E82,$A$3))</f>
        <v>1</v>
      </c>
      <c r="AJ82" s="53" t="n">
        <f aca="false">IF($F82="","",COUNTIF($F79:$F82,AF$21)+COUNTIF($F79:$F82,$A$3))</f>
        <v>0</v>
      </c>
      <c r="AL82" s="65" t="n">
        <f aca="false">IF($B82="","",COUNTIF($B79:$B82,AL$21)+COUNTIF($B79:$B82,$A$3))</f>
        <v>1</v>
      </c>
      <c r="AM82" s="52" t="n">
        <f aca="false">IF($C82="","",COUNTIF($C79:$C82,AL$21)+COUNTIF($C79:$C82,$A$3))</f>
        <v>0</v>
      </c>
      <c r="AN82" s="52" t="n">
        <f aca="false">IF($D82="","",COUNTIF($D79:$D82,AL$21)+COUNTIF($D79:$D82,$A$3))</f>
        <v>0</v>
      </c>
      <c r="AO82" s="52" t="n">
        <f aca="false">IF($E82="","",COUNTIF($E79:$E82,AL$21)+COUNTIF($E79:$E82,$A$3))</f>
        <v>0</v>
      </c>
      <c r="AP82" s="53" t="n">
        <f aca="false">IF($F82="","",COUNTIF($F79:$F82,AL$21)+COUNTIF($F79:$F82,$A$3))</f>
        <v>0</v>
      </c>
      <c r="AR82" s="65" t="n">
        <f aca="false">IF($B82="","",COUNTIF($B79:$B82,AR$21)+COUNTIF($B79:$B82,$A$3))</f>
        <v>0</v>
      </c>
      <c r="AS82" s="52" t="n">
        <f aca="false">IF($C82="","",COUNTIF($C79:$C82,AR$21)+COUNTIF($C79:$C82,$A$3))</f>
        <v>1</v>
      </c>
      <c r="AT82" s="52" t="n">
        <f aca="false">IF($D82="","",COUNTIF($D79:$D82,AR$21)+COUNTIF($D79:$D82,$A$3))</f>
        <v>0</v>
      </c>
      <c r="AU82" s="52" t="n">
        <f aca="false">IF($E82="","",COUNTIF($E79:$E82,AR$21)+COUNTIF($E79:$E82,$A$3))</f>
        <v>0</v>
      </c>
      <c r="AV82" s="53" t="n">
        <f aca="false">IF($F82="","",COUNTIF($F79:$F82,AR$21)+COUNTIF($F79:$F82,$A$3))</f>
        <v>1</v>
      </c>
      <c r="AX82" s="65" t="n">
        <f aca="false">IF($B82="","",COUNTIF($B79:$B82,AX$21)+COUNTIF($B79:$B82,$A$3))</f>
        <v>1</v>
      </c>
      <c r="AY82" s="52" t="n">
        <f aca="false">IF($C82="","",COUNTIF($C79:$C82,AX$21)+COUNTIF($C79:$C82,$A$3))</f>
        <v>0</v>
      </c>
      <c r="AZ82" s="52" t="n">
        <f aca="false">IF($D82="","",COUNTIF($D79:$D82,AX$21)+COUNTIF($D79:$D82,$A$3))</f>
        <v>1</v>
      </c>
      <c r="BA82" s="52" t="n">
        <f aca="false">IF($E82="","",COUNTIF($E79:$E82,AX$21)+COUNTIF($E79:$E82,$A$3))</f>
        <v>1</v>
      </c>
      <c r="BB82" s="53" t="n">
        <f aca="false">IF($F82="","",COUNTIF($F79:$F82,AX$21)+COUNTIF($F79:$F82,$A$3))</f>
        <v>0</v>
      </c>
      <c r="BD82" s="65" t="n">
        <f aca="false">IF($B82="","",COUNTIF($B79:$B82,BD$21)+COUNTIF($B79:$B82,$A$3))</f>
        <v>0</v>
      </c>
      <c r="BE82" s="52" t="n">
        <f aca="false">IF($C82="","",COUNTIF($C79:$C82,BD$21)+COUNTIF($C79:$C82,$A$3))</f>
        <v>2</v>
      </c>
      <c r="BF82" s="52" t="n">
        <f aca="false">IF($D82="","",COUNTIF($D79:$D82,BD$21)+COUNTIF($D79:$D82,$A$3))</f>
        <v>0</v>
      </c>
      <c r="BG82" s="52" t="n">
        <f aca="false">IF($E82="","",COUNTIF($E79:$E82,BD$21)+COUNTIF($E79:$E82,$A$3))</f>
        <v>0</v>
      </c>
      <c r="BH82" s="53" t="n">
        <f aca="false">IF($F82="","",COUNTIF($F79:$F82,BD$21)+COUNTIF($F79:$F82,$A$3))</f>
        <v>1</v>
      </c>
      <c r="BJ82" s="65" t="n">
        <f aca="false">IF($B82="","",COUNTIF($B79:$B82,BJ$21)+COUNTIF($B79:$B82,$A$3))</f>
        <v>1</v>
      </c>
      <c r="BK82" s="52" t="n">
        <f aca="false">IF($C82="","",COUNTIF($C79:$C82,BJ$21)+COUNTIF($C79:$C82,$A$3))</f>
        <v>0</v>
      </c>
      <c r="BL82" s="52" t="n">
        <f aca="false">IF($D82="","",COUNTIF($D79:$D82,BJ$21)+COUNTIF($D79:$D82,$A$3))</f>
        <v>1</v>
      </c>
      <c r="BM82" s="52" t="n">
        <f aca="false">IF($E82="","",COUNTIF($E79:$E82,BJ$21)+COUNTIF($E79:$E82,$A$3))</f>
        <v>0</v>
      </c>
      <c r="BN82" s="53" t="n">
        <f aca="false">IF($F82="","",COUNTIF($F79:$F82,BJ$21)+COUNTIF($F79:$F82,$A$3))</f>
        <v>0</v>
      </c>
      <c r="BP82" s="65" t="n">
        <f aca="false">IF($B82="","",COUNTIF($B79:$B82,BP$21)+COUNTIF($B79:$B82,$A$3))</f>
        <v>0</v>
      </c>
      <c r="BQ82" s="52" t="n">
        <f aca="false">IF($C82="","",COUNTIF($C79:$C82,BP$21)+COUNTIF($C79:$C82,$A$3))</f>
        <v>0</v>
      </c>
      <c r="BR82" s="52" t="n">
        <f aca="false">IF($D82="","",COUNTIF($D79:$D82,BP$21)+COUNTIF($D79:$D82,$A$3))</f>
        <v>0</v>
      </c>
      <c r="BS82" s="52" t="n">
        <f aca="false">IF($E82="","",COUNTIF($E79:$E82,BP$21)+COUNTIF($E79:$E82,$A$3))</f>
        <v>1</v>
      </c>
      <c r="BT82" s="53" t="n">
        <f aca="false">IF($F82="","",COUNTIF($F79:$F82,BP$21)+COUNTIF($F79:$F82,$A$3))</f>
        <v>0</v>
      </c>
    </row>
    <row r="83" customFormat="false" ht="15" hidden="false" customHeight="false" outlineLevel="0" collapsed="false">
      <c r="A83" s="13" t="n">
        <v>61</v>
      </c>
      <c r="B83" s="116" t="str">
        <f aca="false">IF('Game Info'!J66="","",'Game Info'!J66)</f>
        <v>K</v>
      </c>
      <c r="C83" s="116" t="str">
        <f aca="false">IF('Game Info'!K66="","",'Game Info'!K66)</f>
        <v>Q</v>
      </c>
      <c r="D83" s="116" t="n">
        <f aca="false">IF('Game Info'!L66="","",'Game Info'!L66)</f>
        <v>9</v>
      </c>
      <c r="E83" s="116" t="str">
        <f aca="false">IF('Game Info'!M66="","",'Game Info'!M66)</f>
        <v>SYM1</v>
      </c>
      <c r="F83" s="117" t="str">
        <f aca="false">IF('Game Info'!N66="","",'Game Info'!N66)</f>
        <v>SYM2</v>
      </c>
      <c r="H83" s="65" t="n">
        <f aca="false">IF($B83="","",COUNTIF($B80:$B83,H$21)+COUNTIF($B80:$B83,$A$3))</f>
        <v>0</v>
      </c>
      <c r="I83" s="52" t="n">
        <f aca="false">IF($C83="","",COUNTIF($C80:$C83,H$21)+COUNTIF($C80:$C83,$A$3))</f>
        <v>0</v>
      </c>
      <c r="J83" s="52" t="n">
        <f aca="false">IF($D83="","",COUNTIF($D80:$D83,H$21)+COUNTIF($D80:$D83,$A$3))</f>
        <v>0</v>
      </c>
      <c r="K83" s="52" t="n">
        <f aca="false">IF($E83="","",COUNTIF($E80:$E83,H$21)+COUNTIF($E80:$E83,$A$3))</f>
        <v>1</v>
      </c>
      <c r="L83" s="53" t="n">
        <f aca="false">IF($F83="","",COUNTIF($F80:$F83,H$21)+COUNTIF($F80:$F83,$A$3))</f>
        <v>0</v>
      </c>
      <c r="N83" s="65" t="n">
        <f aca="false">IF($B83="","",COUNTIF($B80:$B83,N$21)+COUNTIF($B80:$B83,$A$3))</f>
        <v>0</v>
      </c>
      <c r="O83" s="52" t="n">
        <f aca="false">IF($C83="","",COUNTIF($C80:$C83,N$21)+COUNTIF($C80:$C83,$A$3))</f>
        <v>0</v>
      </c>
      <c r="P83" s="52" t="n">
        <f aca="false">IF($D83="","",COUNTIF($D80:$D83,N$21)+COUNTIF($D80:$D83,$A$3))</f>
        <v>0</v>
      </c>
      <c r="Q83" s="52" t="n">
        <f aca="false">IF($E83="","",COUNTIF($E80:$E83,N$21)+COUNTIF($E80:$E83,$A$3))</f>
        <v>1</v>
      </c>
      <c r="R83" s="53" t="n">
        <f aca="false">IF($F83="","",COUNTIF($F80:$F83,N$21)+COUNTIF($F80:$F83,$A$3))</f>
        <v>1</v>
      </c>
      <c r="T83" s="65" t="n">
        <f aca="false">IF($B83="","",COUNTIF($B80:$B83,T$21)+COUNTIF($B80:$B83,$A$3))</f>
        <v>1</v>
      </c>
      <c r="U83" s="52" t="n">
        <f aca="false">IF($C83="","",COUNTIF($C80:$C83,T$21)+COUNTIF($C80:$C83,$A$3))</f>
        <v>0</v>
      </c>
      <c r="V83" s="52" t="n">
        <f aca="false">IF($D83="","",COUNTIF($D80:$D83,T$21)+COUNTIF($D80:$D83,$A$3))</f>
        <v>0</v>
      </c>
      <c r="W83" s="52" t="n">
        <f aca="false">IF($E83="","",COUNTIF($E80:$E83,T$21)+COUNTIF($E80:$E83,$A$3))</f>
        <v>0</v>
      </c>
      <c r="X83" s="53" t="n">
        <f aca="false">IF($F83="","",COUNTIF($F80:$F83,T$21)+COUNTIF($F80:$F83,$A$3))</f>
        <v>1</v>
      </c>
      <c r="Z83" s="65" t="n">
        <f aca="false">IF($B83="","",COUNTIF($B80:$B83,Z$21)+COUNTIF($B80:$B83,$A$3))</f>
        <v>0</v>
      </c>
      <c r="AA83" s="52" t="n">
        <f aca="false">IF($C83="","",COUNTIF($C80:$C83,Z$21)+COUNTIF($C80:$C83,$A$3))</f>
        <v>0</v>
      </c>
      <c r="AB83" s="52" t="n">
        <f aca="false">IF($D83="","",COUNTIF($D80:$D83,Z$21)+COUNTIF($D80:$D83,$A$3))</f>
        <v>1</v>
      </c>
      <c r="AC83" s="52" t="n">
        <f aca="false">IF($E83="","",COUNTIF($E80:$E83,Z$21)+COUNTIF($E80:$E83,$A$3))</f>
        <v>0</v>
      </c>
      <c r="AD83" s="53" t="n">
        <f aca="false">IF($F83="","",COUNTIF($F80:$F83,Z$21)+COUNTIF($F80:$F83,$A$3))</f>
        <v>0</v>
      </c>
      <c r="AF83" s="65" t="n">
        <f aca="false">IF($B83="","",COUNTIF($B80:$B83,AF$21)+COUNTIF($B80:$B83,$A$3))</f>
        <v>0</v>
      </c>
      <c r="AG83" s="52" t="n">
        <f aca="false">IF($C83="","",COUNTIF($C80:$C83,AF$21)+COUNTIF($C80:$C83,$A$3))</f>
        <v>0</v>
      </c>
      <c r="AH83" s="52" t="n">
        <f aca="false">IF($D83="","",COUNTIF($D80:$D83,AF$21)+COUNTIF($D80:$D83,$A$3))</f>
        <v>1</v>
      </c>
      <c r="AI83" s="52" t="n">
        <f aca="false">IF($E83="","",COUNTIF($E80:$E83,AF$21)+COUNTIF($E80:$E83,$A$3))</f>
        <v>0</v>
      </c>
      <c r="AJ83" s="53" t="n">
        <f aca="false">IF($F83="","",COUNTIF($F80:$F83,AF$21)+COUNTIF($F80:$F83,$A$3))</f>
        <v>0</v>
      </c>
      <c r="AL83" s="65" t="n">
        <f aca="false">IF($B83="","",COUNTIF($B80:$B83,AL$21)+COUNTIF($B80:$B83,$A$3))</f>
        <v>1</v>
      </c>
      <c r="AM83" s="52" t="n">
        <f aca="false">IF($C83="","",COUNTIF($C80:$C83,AL$21)+COUNTIF($C80:$C83,$A$3))</f>
        <v>0</v>
      </c>
      <c r="AN83" s="52" t="n">
        <f aca="false">IF($D83="","",COUNTIF($D80:$D83,AL$21)+COUNTIF($D80:$D83,$A$3))</f>
        <v>0</v>
      </c>
      <c r="AO83" s="52" t="n">
        <f aca="false">IF($E83="","",COUNTIF($E80:$E83,AL$21)+COUNTIF($E80:$E83,$A$3))</f>
        <v>0</v>
      </c>
      <c r="AP83" s="53" t="n">
        <f aca="false">IF($F83="","",COUNTIF($F80:$F83,AL$21)+COUNTIF($F80:$F83,$A$3))</f>
        <v>0</v>
      </c>
      <c r="AR83" s="65" t="n">
        <f aca="false">IF($B83="","",COUNTIF($B80:$B83,AR$21)+COUNTIF($B80:$B83,$A$3))</f>
        <v>1</v>
      </c>
      <c r="AS83" s="52" t="n">
        <f aca="false">IF($C83="","",COUNTIF($C80:$C83,AR$21)+COUNTIF($C80:$C83,$A$3))</f>
        <v>1</v>
      </c>
      <c r="AT83" s="52" t="n">
        <f aca="false">IF($D83="","",COUNTIF($D80:$D83,AR$21)+COUNTIF($D80:$D83,$A$3))</f>
        <v>0</v>
      </c>
      <c r="AU83" s="52" t="n">
        <f aca="false">IF($E83="","",COUNTIF($E80:$E83,AR$21)+COUNTIF($E80:$E83,$A$3))</f>
        <v>0</v>
      </c>
      <c r="AV83" s="53" t="n">
        <f aca="false">IF($F83="","",COUNTIF($F80:$F83,AR$21)+COUNTIF($F80:$F83,$A$3))</f>
        <v>1</v>
      </c>
      <c r="AX83" s="65" t="n">
        <f aca="false">IF($B83="","",COUNTIF($B80:$B83,AX$21)+COUNTIF($B80:$B83,$A$3))</f>
        <v>0</v>
      </c>
      <c r="AY83" s="52" t="n">
        <f aca="false">IF($C83="","",COUNTIF($C80:$C83,AX$21)+COUNTIF($C80:$C83,$A$3))</f>
        <v>1</v>
      </c>
      <c r="AZ83" s="52" t="n">
        <f aca="false">IF($D83="","",COUNTIF($D80:$D83,AX$21)+COUNTIF($D80:$D83,$A$3))</f>
        <v>0</v>
      </c>
      <c r="BA83" s="52" t="n">
        <f aca="false">IF($E83="","",COUNTIF($E80:$E83,AX$21)+COUNTIF($E80:$E83,$A$3))</f>
        <v>1</v>
      </c>
      <c r="BB83" s="53" t="n">
        <f aca="false">IF($F83="","",COUNTIF($F80:$F83,AX$21)+COUNTIF($F80:$F83,$A$3))</f>
        <v>0</v>
      </c>
      <c r="BD83" s="65" t="n">
        <f aca="false">IF($B83="","",COUNTIF($B80:$B83,BD$21)+COUNTIF($B80:$B83,$A$3))</f>
        <v>0</v>
      </c>
      <c r="BE83" s="52" t="n">
        <f aca="false">IF($C83="","",COUNTIF($C80:$C83,BD$21)+COUNTIF($C80:$C83,$A$3))</f>
        <v>1</v>
      </c>
      <c r="BF83" s="52" t="n">
        <f aca="false">IF($D83="","",COUNTIF($D80:$D83,BD$21)+COUNTIF($D80:$D83,$A$3))</f>
        <v>0</v>
      </c>
      <c r="BG83" s="52" t="n">
        <f aca="false">IF($E83="","",COUNTIF($E80:$E83,BD$21)+COUNTIF($E80:$E83,$A$3))</f>
        <v>0</v>
      </c>
      <c r="BH83" s="53" t="n">
        <f aca="false">IF($F83="","",COUNTIF($F80:$F83,BD$21)+COUNTIF($F80:$F83,$A$3))</f>
        <v>1</v>
      </c>
      <c r="BJ83" s="65" t="n">
        <f aca="false">IF($B83="","",COUNTIF($B80:$B83,BJ$21)+COUNTIF($B80:$B83,$A$3))</f>
        <v>1</v>
      </c>
      <c r="BK83" s="52" t="n">
        <f aca="false">IF($C83="","",COUNTIF($C80:$C83,BJ$21)+COUNTIF($C80:$C83,$A$3))</f>
        <v>0</v>
      </c>
      <c r="BL83" s="52" t="n">
        <f aca="false">IF($D83="","",COUNTIF($D80:$D83,BJ$21)+COUNTIF($D80:$D83,$A$3))</f>
        <v>1</v>
      </c>
      <c r="BM83" s="52" t="n">
        <f aca="false">IF($E83="","",COUNTIF($E80:$E83,BJ$21)+COUNTIF($E80:$E83,$A$3))</f>
        <v>0</v>
      </c>
      <c r="BN83" s="53" t="n">
        <f aca="false">IF($F83="","",COUNTIF($F80:$F83,BJ$21)+COUNTIF($F80:$F83,$A$3))</f>
        <v>0</v>
      </c>
      <c r="BP83" s="65" t="n">
        <f aca="false">IF($B83="","",COUNTIF($B80:$B83,BP$21)+COUNTIF($B80:$B83,$A$3))</f>
        <v>0</v>
      </c>
      <c r="BQ83" s="52" t="n">
        <f aca="false">IF($C83="","",COUNTIF($C80:$C83,BP$21)+COUNTIF($C80:$C83,$A$3))</f>
        <v>0</v>
      </c>
      <c r="BR83" s="52" t="n">
        <f aca="false">IF($D83="","",COUNTIF($D80:$D83,BP$21)+COUNTIF($D80:$D83,$A$3))</f>
        <v>1</v>
      </c>
      <c r="BS83" s="52" t="n">
        <f aca="false">IF($E83="","",COUNTIF($E80:$E83,BP$21)+COUNTIF($E80:$E83,$A$3))</f>
        <v>1</v>
      </c>
      <c r="BT83" s="53" t="n">
        <f aca="false">IF($F83="","",COUNTIF($F80:$F83,BP$21)+COUNTIF($F80:$F83,$A$3))</f>
        <v>0</v>
      </c>
    </row>
    <row r="84" customFormat="false" ht="15" hidden="false" customHeight="false" outlineLevel="0" collapsed="false">
      <c r="A84" s="13" t="n">
        <v>62</v>
      </c>
      <c r="B84" s="116" t="str">
        <f aca="false">IF('Game Info'!J67="","",'Game Info'!J67)</f>
        <v>SYM2</v>
      </c>
      <c r="C84" s="116" t="n">
        <f aca="false">IF('Game Info'!K67="","",'Game Info'!K67)</f>
        <v>10</v>
      </c>
      <c r="D84" s="116" t="str">
        <f aca="false">IF('Game Info'!L67="","",'Game Info'!L67)</f>
        <v>SYM2</v>
      </c>
      <c r="E84" s="116" t="str">
        <f aca="false">IF('Game Info'!M67="","",'Game Info'!M67)</f>
        <v>SYM1</v>
      </c>
      <c r="F84" s="117" t="str">
        <f aca="false">IF('Game Info'!N67="","",'Game Info'!N67)</f>
        <v>SYM2</v>
      </c>
      <c r="H84" s="65" t="n">
        <f aca="false">IF($B84="","",COUNTIF($B81:$B84,H$21)+COUNTIF($B81:$B84,$A$3))</f>
        <v>0</v>
      </c>
      <c r="I84" s="52" t="n">
        <f aca="false">IF($C84="","",COUNTIF($C81:$C84,H$21)+COUNTIF($C81:$C84,$A$3))</f>
        <v>0</v>
      </c>
      <c r="J84" s="52" t="n">
        <f aca="false">IF($D84="","",COUNTIF($D81:$D84,H$21)+COUNTIF($D81:$D84,$A$3))</f>
        <v>0</v>
      </c>
      <c r="K84" s="52" t="n">
        <f aca="false">IF($E84="","",COUNTIF($E81:$E84,H$21)+COUNTIF($E81:$E84,$A$3))</f>
        <v>2</v>
      </c>
      <c r="L84" s="53" t="n">
        <f aca="false">IF($F84="","",COUNTIF($F81:$F84,H$21)+COUNTIF($F81:$F84,$A$3))</f>
        <v>0</v>
      </c>
      <c r="N84" s="65" t="n">
        <f aca="false">IF($B84="","",COUNTIF($B81:$B84,N$21)+COUNTIF($B81:$B84,$A$3))</f>
        <v>1</v>
      </c>
      <c r="O84" s="52" t="n">
        <f aca="false">IF($C84="","",COUNTIF($C81:$C84,N$21)+COUNTIF($C81:$C84,$A$3))</f>
        <v>0</v>
      </c>
      <c r="P84" s="52" t="n">
        <f aca="false">IF($D84="","",COUNTIF($D81:$D84,N$21)+COUNTIF($D81:$D84,$A$3))</f>
        <v>1</v>
      </c>
      <c r="Q84" s="52" t="n">
        <f aca="false">IF($E84="","",COUNTIF($E81:$E84,N$21)+COUNTIF($E81:$E84,$A$3))</f>
        <v>1</v>
      </c>
      <c r="R84" s="53" t="n">
        <f aca="false">IF($F84="","",COUNTIF($F81:$F84,N$21)+COUNTIF($F81:$F84,$A$3))</f>
        <v>2</v>
      </c>
      <c r="T84" s="65" t="n">
        <f aca="false">IF($B84="","",COUNTIF($B81:$B84,T$21)+COUNTIF($B81:$B84,$A$3))</f>
        <v>0</v>
      </c>
      <c r="U84" s="52" t="n">
        <f aca="false">IF($C84="","",COUNTIF($C81:$C84,T$21)+COUNTIF($C81:$C84,$A$3))</f>
        <v>0</v>
      </c>
      <c r="V84" s="52" t="n">
        <f aca="false">IF($D84="","",COUNTIF($D81:$D84,T$21)+COUNTIF($D81:$D84,$A$3))</f>
        <v>0</v>
      </c>
      <c r="W84" s="52" t="n">
        <f aca="false">IF($E84="","",COUNTIF($E81:$E84,T$21)+COUNTIF($E81:$E84,$A$3))</f>
        <v>0</v>
      </c>
      <c r="X84" s="53" t="n">
        <f aca="false">IF($F84="","",COUNTIF($F81:$F84,T$21)+COUNTIF($F81:$F84,$A$3))</f>
        <v>1</v>
      </c>
      <c r="Z84" s="65" t="n">
        <f aca="false">IF($B84="","",COUNTIF($B81:$B84,Z$21)+COUNTIF($B81:$B84,$A$3))</f>
        <v>0</v>
      </c>
      <c r="AA84" s="52" t="n">
        <f aca="false">IF($C84="","",COUNTIF($C81:$C84,Z$21)+COUNTIF($C81:$C84,$A$3))</f>
        <v>0</v>
      </c>
      <c r="AB84" s="52" t="n">
        <f aca="false">IF($D84="","",COUNTIF($D81:$D84,Z$21)+COUNTIF($D81:$D84,$A$3))</f>
        <v>1</v>
      </c>
      <c r="AC84" s="52" t="n">
        <f aca="false">IF($E84="","",COUNTIF($E81:$E84,Z$21)+COUNTIF($E81:$E84,$A$3))</f>
        <v>0</v>
      </c>
      <c r="AD84" s="53" t="n">
        <f aca="false">IF($F84="","",COUNTIF($F81:$F84,Z$21)+COUNTIF($F81:$F84,$A$3))</f>
        <v>0</v>
      </c>
      <c r="AF84" s="65" t="n">
        <f aca="false">IF($B84="","",COUNTIF($B81:$B84,AF$21)+COUNTIF($B81:$B84,$A$3))</f>
        <v>0</v>
      </c>
      <c r="AG84" s="52" t="n">
        <f aca="false">IF($C84="","",COUNTIF($C81:$C84,AF$21)+COUNTIF($C81:$C84,$A$3))</f>
        <v>0</v>
      </c>
      <c r="AH84" s="52" t="n">
        <f aca="false">IF($D84="","",COUNTIF($D81:$D84,AF$21)+COUNTIF($D81:$D84,$A$3))</f>
        <v>0</v>
      </c>
      <c r="AI84" s="52" t="n">
        <f aca="false">IF($E84="","",COUNTIF($E81:$E84,AF$21)+COUNTIF($E81:$E84,$A$3))</f>
        <v>0</v>
      </c>
      <c r="AJ84" s="53" t="n">
        <f aca="false">IF($F84="","",COUNTIF($F81:$F84,AF$21)+COUNTIF($F81:$F84,$A$3))</f>
        <v>0</v>
      </c>
      <c r="AL84" s="65" t="n">
        <f aca="false">IF($B84="","",COUNTIF($B81:$B84,AL$21)+COUNTIF($B81:$B84,$A$3))</f>
        <v>1</v>
      </c>
      <c r="AM84" s="52" t="n">
        <f aca="false">IF($C84="","",COUNTIF($C81:$C84,AL$21)+COUNTIF($C81:$C84,$A$3))</f>
        <v>0</v>
      </c>
      <c r="AN84" s="52" t="n">
        <f aca="false">IF($D84="","",COUNTIF($D81:$D84,AL$21)+COUNTIF($D81:$D84,$A$3))</f>
        <v>0</v>
      </c>
      <c r="AO84" s="52" t="n">
        <f aca="false">IF($E84="","",COUNTIF($E81:$E84,AL$21)+COUNTIF($E81:$E84,$A$3))</f>
        <v>0</v>
      </c>
      <c r="AP84" s="53" t="n">
        <f aca="false">IF($F84="","",COUNTIF($F81:$F84,AL$21)+COUNTIF($F81:$F84,$A$3))</f>
        <v>0</v>
      </c>
      <c r="AR84" s="65" t="n">
        <f aca="false">IF($B84="","",COUNTIF($B81:$B84,AR$21)+COUNTIF($B81:$B84,$A$3))</f>
        <v>1</v>
      </c>
      <c r="AS84" s="52" t="n">
        <f aca="false">IF($C84="","",COUNTIF($C81:$C84,AR$21)+COUNTIF($C81:$C84,$A$3))</f>
        <v>0</v>
      </c>
      <c r="AT84" s="52" t="n">
        <f aca="false">IF($D84="","",COUNTIF($D81:$D84,AR$21)+COUNTIF($D81:$D84,$A$3))</f>
        <v>0</v>
      </c>
      <c r="AU84" s="52" t="n">
        <f aca="false">IF($E84="","",COUNTIF($E81:$E84,AR$21)+COUNTIF($E81:$E84,$A$3))</f>
        <v>0</v>
      </c>
      <c r="AV84" s="53" t="n">
        <f aca="false">IF($F84="","",COUNTIF($F81:$F84,AR$21)+COUNTIF($F81:$F84,$A$3))</f>
        <v>0</v>
      </c>
      <c r="AX84" s="65" t="n">
        <f aca="false">IF($B84="","",COUNTIF($B81:$B84,AX$21)+COUNTIF($B81:$B84,$A$3))</f>
        <v>0</v>
      </c>
      <c r="AY84" s="52" t="n">
        <f aca="false">IF($C84="","",COUNTIF($C81:$C84,AX$21)+COUNTIF($C81:$C84,$A$3))</f>
        <v>1</v>
      </c>
      <c r="AZ84" s="52" t="n">
        <f aca="false">IF($D84="","",COUNTIF($D81:$D84,AX$21)+COUNTIF($D81:$D84,$A$3))</f>
        <v>0</v>
      </c>
      <c r="BA84" s="52" t="n">
        <f aca="false">IF($E84="","",COUNTIF($E81:$E84,AX$21)+COUNTIF($E81:$E84,$A$3))</f>
        <v>0</v>
      </c>
      <c r="BB84" s="53" t="n">
        <f aca="false">IF($F84="","",COUNTIF($F81:$F84,AX$21)+COUNTIF($F81:$F84,$A$3))</f>
        <v>0</v>
      </c>
      <c r="BD84" s="65" t="n">
        <f aca="false">IF($B84="","",COUNTIF($B81:$B84,BD$21)+COUNTIF($B81:$B84,$A$3))</f>
        <v>0</v>
      </c>
      <c r="BE84" s="52" t="n">
        <f aca="false">IF($C84="","",COUNTIF($C81:$C84,BD$21)+COUNTIF($C81:$C84,$A$3))</f>
        <v>1</v>
      </c>
      <c r="BF84" s="52" t="n">
        <f aca="false">IF($D84="","",COUNTIF($D81:$D84,BD$21)+COUNTIF($D81:$D84,$A$3))</f>
        <v>0</v>
      </c>
      <c r="BG84" s="52" t="n">
        <f aca="false">IF($E84="","",COUNTIF($E81:$E84,BD$21)+COUNTIF($E81:$E84,$A$3))</f>
        <v>0</v>
      </c>
      <c r="BH84" s="53" t="n">
        <f aca="false">IF($F84="","",COUNTIF($F81:$F84,BD$21)+COUNTIF($F81:$F84,$A$3))</f>
        <v>1</v>
      </c>
      <c r="BJ84" s="65" t="n">
        <f aca="false">IF($B84="","",COUNTIF($B81:$B84,BJ$21)+COUNTIF($B81:$B84,$A$3))</f>
        <v>1</v>
      </c>
      <c r="BK84" s="52" t="n">
        <f aca="false">IF($C84="","",COUNTIF($C81:$C84,BJ$21)+COUNTIF($C81:$C84,$A$3))</f>
        <v>1</v>
      </c>
      <c r="BL84" s="52" t="n">
        <f aca="false">IF($D84="","",COUNTIF($D81:$D84,BJ$21)+COUNTIF($D81:$D84,$A$3))</f>
        <v>1</v>
      </c>
      <c r="BM84" s="52" t="n">
        <f aca="false">IF($E84="","",COUNTIF($E81:$E84,BJ$21)+COUNTIF($E81:$E84,$A$3))</f>
        <v>0</v>
      </c>
      <c r="BN84" s="53" t="n">
        <f aca="false">IF($F84="","",COUNTIF($F81:$F84,BJ$21)+COUNTIF($F81:$F84,$A$3))</f>
        <v>0</v>
      </c>
      <c r="BP84" s="65" t="n">
        <f aca="false">IF($B84="","",COUNTIF($B81:$B84,BP$21)+COUNTIF($B81:$B84,$A$3))</f>
        <v>0</v>
      </c>
      <c r="BQ84" s="52" t="n">
        <f aca="false">IF($C84="","",COUNTIF($C81:$C84,BP$21)+COUNTIF($C81:$C84,$A$3))</f>
        <v>0</v>
      </c>
      <c r="BR84" s="52" t="n">
        <f aca="false">IF($D84="","",COUNTIF($D81:$D84,BP$21)+COUNTIF($D81:$D84,$A$3))</f>
        <v>1</v>
      </c>
      <c r="BS84" s="52" t="n">
        <f aca="false">IF($E84="","",COUNTIF($E81:$E84,BP$21)+COUNTIF($E81:$E84,$A$3))</f>
        <v>1</v>
      </c>
      <c r="BT84" s="53" t="n">
        <f aca="false">IF($F84="","",COUNTIF($F81:$F84,BP$21)+COUNTIF($F81:$F84,$A$3))</f>
        <v>0</v>
      </c>
    </row>
    <row r="85" customFormat="false" ht="15" hidden="false" customHeight="false" outlineLevel="0" collapsed="false">
      <c r="A85" s="13" t="n">
        <v>63</v>
      </c>
      <c r="B85" s="116" t="str">
        <f aca="false">IF('Game Info'!J68="","",'Game Info'!J68)</f>
        <v>J</v>
      </c>
      <c r="C85" s="116" t="str">
        <f aca="false">IF('Game Info'!K68="","",'Game Info'!K68)</f>
        <v>SYM3</v>
      </c>
      <c r="D85" s="116" t="str">
        <f aca="false">IF('Game Info'!L68="","",'Game Info'!L68)</f>
        <v>K</v>
      </c>
      <c r="E85" s="116" t="str">
        <f aca="false">IF('Game Info'!M68="","",'Game Info'!M68)</f>
        <v>Q</v>
      </c>
      <c r="F85" s="117" t="str">
        <f aca="false">IF('Game Info'!N68="","",'Game Info'!N68)</f>
        <v>SYM2</v>
      </c>
      <c r="H85" s="65" t="n">
        <f aca="false">IF($B85="","",COUNTIF($B82:$B85,H$21)+COUNTIF($B82:$B85,$A$3))</f>
        <v>0</v>
      </c>
      <c r="I85" s="52" t="n">
        <f aca="false">IF($C85="","",COUNTIF($C82:$C85,H$21)+COUNTIF($C82:$C85,$A$3))</f>
        <v>0</v>
      </c>
      <c r="J85" s="52" t="n">
        <f aca="false">IF($D85="","",COUNTIF($D82:$D85,H$21)+COUNTIF($D82:$D85,$A$3))</f>
        <v>0</v>
      </c>
      <c r="K85" s="52" t="n">
        <f aca="false">IF($E85="","",COUNTIF($E82:$E85,H$21)+COUNTIF($E82:$E85,$A$3))</f>
        <v>2</v>
      </c>
      <c r="L85" s="53" t="n">
        <f aca="false">IF($F85="","",COUNTIF($F82:$F85,H$21)+COUNTIF($F82:$F85,$A$3))</f>
        <v>0</v>
      </c>
      <c r="N85" s="65" t="n">
        <f aca="false">IF($B85="","",COUNTIF($B82:$B85,N$21)+COUNTIF($B82:$B85,$A$3))</f>
        <v>1</v>
      </c>
      <c r="O85" s="52" t="n">
        <f aca="false">IF($C85="","",COUNTIF($C82:$C85,N$21)+COUNTIF($C82:$C85,$A$3))</f>
        <v>0</v>
      </c>
      <c r="P85" s="52" t="n">
        <f aca="false">IF($D85="","",COUNTIF($D82:$D85,N$21)+COUNTIF($D82:$D85,$A$3))</f>
        <v>1</v>
      </c>
      <c r="Q85" s="52" t="n">
        <f aca="false">IF($E85="","",COUNTIF($E82:$E85,N$21)+COUNTIF($E82:$E85,$A$3))</f>
        <v>0</v>
      </c>
      <c r="R85" s="53" t="n">
        <f aca="false">IF($F85="","",COUNTIF($F82:$F85,N$21)+COUNTIF($F82:$F85,$A$3))</f>
        <v>3</v>
      </c>
      <c r="T85" s="65" t="n">
        <f aca="false">IF($B85="","",COUNTIF($B82:$B85,T$21)+COUNTIF($B82:$B85,$A$3))</f>
        <v>0</v>
      </c>
      <c r="U85" s="52" t="n">
        <f aca="false">IF($C85="","",COUNTIF($C82:$C85,T$21)+COUNTIF($C82:$C85,$A$3))</f>
        <v>1</v>
      </c>
      <c r="V85" s="52" t="n">
        <f aca="false">IF($D85="","",COUNTIF($D82:$D85,T$21)+COUNTIF($D82:$D85,$A$3))</f>
        <v>0</v>
      </c>
      <c r="W85" s="52" t="n">
        <f aca="false">IF($E85="","",COUNTIF($E82:$E85,T$21)+COUNTIF($E82:$E85,$A$3))</f>
        <v>0</v>
      </c>
      <c r="X85" s="53" t="n">
        <f aca="false">IF($F85="","",COUNTIF($F82:$F85,T$21)+COUNTIF($F82:$F85,$A$3))</f>
        <v>0</v>
      </c>
      <c r="Z85" s="65" t="n">
        <f aca="false">IF($B85="","",COUNTIF($B82:$B85,Z$21)+COUNTIF($B82:$B85,$A$3))</f>
        <v>0</v>
      </c>
      <c r="AA85" s="52" t="n">
        <f aca="false">IF($C85="","",COUNTIF($C82:$C85,Z$21)+COUNTIF($C82:$C85,$A$3))</f>
        <v>0</v>
      </c>
      <c r="AB85" s="52" t="n">
        <f aca="false">IF($D85="","",COUNTIF($D82:$D85,Z$21)+COUNTIF($D82:$D85,$A$3))</f>
        <v>1</v>
      </c>
      <c r="AC85" s="52" t="n">
        <f aca="false">IF($E85="","",COUNTIF($E82:$E85,Z$21)+COUNTIF($E82:$E85,$A$3))</f>
        <v>0</v>
      </c>
      <c r="AD85" s="53" t="n">
        <f aca="false">IF($F85="","",COUNTIF($F82:$F85,Z$21)+COUNTIF($F82:$F85,$A$3))</f>
        <v>0</v>
      </c>
      <c r="AF85" s="65" t="n">
        <f aca="false">IF($B85="","",COUNTIF($B82:$B85,AF$21)+COUNTIF($B82:$B85,$A$3))</f>
        <v>0</v>
      </c>
      <c r="AG85" s="52" t="n">
        <f aca="false">IF($C85="","",COUNTIF($C82:$C85,AF$21)+COUNTIF($C82:$C85,$A$3))</f>
        <v>0</v>
      </c>
      <c r="AH85" s="52" t="n">
        <f aca="false">IF($D85="","",COUNTIF($D82:$D85,AF$21)+COUNTIF($D82:$D85,$A$3))</f>
        <v>0</v>
      </c>
      <c r="AI85" s="52" t="n">
        <f aca="false">IF($E85="","",COUNTIF($E82:$E85,AF$21)+COUNTIF($E82:$E85,$A$3))</f>
        <v>0</v>
      </c>
      <c r="AJ85" s="53" t="n">
        <f aca="false">IF($F85="","",COUNTIF($F82:$F85,AF$21)+COUNTIF($F82:$F85,$A$3))</f>
        <v>0</v>
      </c>
      <c r="AL85" s="65" t="n">
        <f aca="false">IF($B85="","",COUNTIF($B82:$B85,AL$21)+COUNTIF($B82:$B85,$A$3))</f>
        <v>0</v>
      </c>
      <c r="AM85" s="52" t="n">
        <f aca="false">IF($C85="","",COUNTIF($C82:$C85,AL$21)+COUNTIF($C82:$C85,$A$3))</f>
        <v>0</v>
      </c>
      <c r="AN85" s="52" t="n">
        <f aca="false">IF($D85="","",COUNTIF($D82:$D85,AL$21)+COUNTIF($D82:$D85,$A$3))</f>
        <v>0</v>
      </c>
      <c r="AO85" s="52" t="n">
        <f aca="false">IF($E85="","",COUNTIF($E82:$E85,AL$21)+COUNTIF($E82:$E85,$A$3))</f>
        <v>0</v>
      </c>
      <c r="AP85" s="53" t="n">
        <f aca="false">IF($F85="","",COUNTIF($F82:$F85,AL$21)+COUNTIF($F82:$F85,$A$3))</f>
        <v>0</v>
      </c>
      <c r="AR85" s="65" t="n">
        <f aca="false">IF($B85="","",COUNTIF($B82:$B85,AR$21)+COUNTIF($B82:$B85,$A$3))</f>
        <v>1</v>
      </c>
      <c r="AS85" s="52" t="n">
        <f aca="false">IF($C85="","",COUNTIF($C82:$C85,AR$21)+COUNTIF($C82:$C85,$A$3))</f>
        <v>0</v>
      </c>
      <c r="AT85" s="52" t="n">
        <f aca="false">IF($D85="","",COUNTIF($D82:$D85,AR$21)+COUNTIF($D82:$D85,$A$3))</f>
        <v>1</v>
      </c>
      <c r="AU85" s="52" t="n">
        <f aca="false">IF($E85="","",COUNTIF($E82:$E85,AR$21)+COUNTIF($E82:$E85,$A$3))</f>
        <v>0</v>
      </c>
      <c r="AV85" s="53" t="n">
        <f aca="false">IF($F85="","",COUNTIF($F82:$F85,AR$21)+COUNTIF($F82:$F85,$A$3))</f>
        <v>0</v>
      </c>
      <c r="AX85" s="65" t="n">
        <f aca="false">IF($B85="","",COUNTIF($B82:$B85,AX$21)+COUNTIF($B82:$B85,$A$3))</f>
        <v>0</v>
      </c>
      <c r="AY85" s="52" t="n">
        <f aca="false">IF($C85="","",COUNTIF($C82:$C85,AX$21)+COUNTIF($C82:$C85,$A$3))</f>
        <v>1</v>
      </c>
      <c r="AZ85" s="52" t="n">
        <f aca="false">IF($D85="","",COUNTIF($D82:$D85,AX$21)+COUNTIF($D82:$D85,$A$3))</f>
        <v>0</v>
      </c>
      <c r="BA85" s="52" t="n">
        <f aca="false">IF($E85="","",COUNTIF($E82:$E85,AX$21)+COUNTIF($E82:$E85,$A$3))</f>
        <v>1</v>
      </c>
      <c r="BB85" s="53" t="n">
        <f aca="false">IF($F85="","",COUNTIF($F82:$F85,AX$21)+COUNTIF($F82:$F85,$A$3))</f>
        <v>0</v>
      </c>
      <c r="BD85" s="65" t="n">
        <f aca="false">IF($B85="","",COUNTIF($B82:$B85,BD$21)+COUNTIF($B82:$B85,$A$3))</f>
        <v>1</v>
      </c>
      <c r="BE85" s="52" t="n">
        <f aca="false">IF($C85="","",COUNTIF($C82:$C85,BD$21)+COUNTIF($C82:$C85,$A$3))</f>
        <v>1</v>
      </c>
      <c r="BF85" s="52" t="n">
        <f aca="false">IF($D85="","",COUNTIF($D82:$D85,BD$21)+COUNTIF($D82:$D85,$A$3))</f>
        <v>0</v>
      </c>
      <c r="BG85" s="52" t="n">
        <f aca="false">IF($E85="","",COUNTIF($E82:$E85,BD$21)+COUNTIF($E82:$E85,$A$3))</f>
        <v>0</v>
      </c>
      <c r="BH85" s="53" t="n">
        <f aca="false">IF($F85="","",COUNTIF($F82:$F85,BD$21)+COUNTIF($F82:$F85,$A$3))</f>
        <v>1</v>
      </c>
      <c r="BJ85" s="65" t="n">
        <f aca="false">IF($B85="","",COUNTIF($B82:$B85,BJ$21)+COUNTIF($B82:$B85,$A$3))</f>
        <v>1</v>
      </c>
      <c r="BK85" s="52" t="n">
        <f aca="false">IF($C85="","",COUNTIF($C82:$C85,BJ$21)+COUNTIF($C82:$C85,$A$3))</f>
        <v>1</v>
      </c>
      <c r="BL85" s="52" t="n">
        <f aca="false">IF($D85="","",COUNTIF($D82:$D85,BJ$21)+COUNTIF($D82:$D85,$A$3))</f>
        <v>0</v>
      </c>
      <c r="BM85" s="52" t="n">
        <f aca="false">IF($E85="","",COUNTIF($E82:$E85,BJ$21)+COUNTIF($E82:$E85,$A$3))</f>
        <v>0</v>
      </c>
      <c r="BN85" s="53" t="n">
        <f aca="false">IF($F85="","",COUNTIF($F82:$F85,BJ$21)+COUNTIF($F82:$F85,$A$3))</f>
        <v>0</v>
      </c>
      <c r="BP85" s="65" t="n">
        <f aca="false">IF($B85="","",COUNTIF($B82:$B85,BP$21)+COUNTIF($B82:$B85,$A$3))</f>
        <v>0</v>
      </c>
      <c r="BQ85" s="52" t="n">
        <f aca="false">IF($C85="","",COUNTIF($C82:$C85,BP$21)+COUNTIF($C82:$C85,$A$3))</f>
        <v>0</v>
      </c>
      <c r="BR85" s="52" t="n">
        <f aca="false">IF($D85="","",COUNTIF($D82:$D85,BP$21)+COUNTIF($D82:$D85,$A$3))</f>
        <v>1</v>
      </c>
      <c r="BS85" s="52" t="n">
        <f aca="false">IF($E85="","",COUNTIF($E82:$E85,BP$21)+COUNTIF($E82:$E85,$A$3))</f>
        <v>1</v>
      </c>
      <c r="BT85" s="53" t="n">
        <f aca="false">IF($F85="","",COUNTIF($F82:$F85,BP$21)+COUNTIF($F82:$F85,$A$3))</f>
        <v>0</v>
      </c>
    </row>
    <row r="86" customFormat="false" ht="15" hidden="false" customHeight="false" outlineLevel="0" collapsed="false">
      <c r="A86" s="13" t="n">
        <v>64</v>
      </c>
      <c r="B86" s="116" t="str">
        <f aca="false">IF('Game Info'!J69="","",'Game Info'!J69)</f>
        <v>SYM1</v>
      </c>
      <c r="C86" s="116" t="str">
        <f aca="false">IF('Game Info'!K69="","",'Game Info'!K69)</f>
        <v>A</v>
      </c>
      <c r="D86" s="116" t="str">
        <f aca="false">IF('Game Info'!L69="","",'Game Info'!L69)</f>
        <v>SYM1</v>
      </c>
      <c r="E86" s="116" t="str">
        <f aca="false">IF('Game Info'!M69="","",'Game Info'!M69)</f>
        <v>FG</v>
      </c>
      <c r="F86" s="117" t="n">
        <f aca="false">IF('Game Info'!N69="","",'Game Info'!N69)</f>
        <v>10</v>
      </c>
      <c r="H86" s="65" t="n">
        <f aca="false">IF($B86="","",COUNTIF($B83:$B86,H$21)+COUNTIF($B83:$B86,$A$3))</f>
        <v>1</v>
      </c>
      <c r="I86" s="52" t="n">
        <f aca="false">IF($C86="","",COUNTIF($C83:$C86,H$21)+COUNTIF($C83:$C86,$A$3))</f>
        <v>0</v>
      </c>
      <c r="J86" s="52" t="n">
        <f aca="false">IF($D86="","",COUNTIF($D83:$D86,H$21)+COUNTIF($D83:$D86,$A$3))</f>
        <v>1</v>
      </c>
      <c r="K86" s="52" t="n">
        <f aca="false">IF($E86="","",COUNTIF($E83:$E86,H$21)+COUNTIF($E83:$E86,$A$3))</f>
        <v>2</v>
      </c>
      <c r="L86" s="53" t="n">
        <f aca="false">IF($F86="","",COUNTIF($F83:$F86,H$21)+COUNTIF($F83:$F86,$A$3))</f>
        <v>0</v>
      </c>
      <c r="N86" s="65" t="n">
        <f aca="false">IF($B86="","",COUNTIF($B83:$B86,N$21)+COUNTIF($B83:$B86,$A$3))</f>
        <v>1</v>
      </c>
      <c r="O86" s="52" t="n">
        <f aca="false">IF($C86="","",COUNTIF($C83:$C86,N$21)+COUNTIF($C83:$C86,$A$3))</f>
        <v>0</v>
      </c>
      <c r="P86" s="52" t="n">
        <f aca="false">IF($D86="","",COUNTIF($D83:$D86,N$21)+COUNTIF($D83:$D86,$A$3))</f>
        <v>1</v>
      </c>
      <c r="Q86" s="52" t="n">
        <f aca="false">IF($E86="","",COUNTIF($E83:$E86,N$21)+COUNTIF($E83:$E86,$A$3))</f>
        <v>0</v>
      </c>
      <c r="R86" s="53" t="n">
        <f aca="false">IF($F86="","",COUNTIF($F83:$F86,N$21)+COUNTIF($F83:$F86,$A$3))</f>
        <v>3</v>
      </c>
      <c r="T86" s="65" t="n">
        <f aca="false">IF($B86="","",COUNTIF($B83:$B86,T$21)+COUNTIF($B83:$B86,$A$3))</f>
        <v>0</v>
      </c>
      <c r="U86" s="52" t="n">
        <f aca="false">IF($C86="","",COUNTIF($C83:$C86,T$21)+COUNTIF($C83:$C86,$A$3))</f>
        <v>1</v>
      </c>
      <c r="V86" s="52" t="n">
        <f aca="false">IF($D86="","",COUNTIF($D83:$D86,T$21)+COUNTIF($D83:$D86,$A$3))</f>
        <v>0</v>
      </c>
      <c r="W86" s="52" t="n">
        <f aca="false">IF($E86="","",COUNTIF($E83:$E86,T$21)+COUNTIF($E83:$E86,$A$3))</f>
        <v>0</v>
      </c>
      <c r="X86" s="53" t="n">
        <f aca="false">IF($F86="","",COUNTIF($F83:$F86,T$21)+COUNTIF($F83:$F86,$A$3))</f>
        <v>0</v>
      </c>
      <c r="Z86" s="65" t="n">
        <f aca="false">IF($B86="","",COUNTIF($B83:$B86,Z$21)+COUNTIF($B83:$B86,$A$3))</f>
        <v>0</v>
      </c>
      <c r="AA86" s="52" t="n">
        <f aca="false">IF($C86="","",COUNTIF($C83:$C86,Z$21)+COUNTIF($C83:$C86,$A$3))</f>
        <v>0</v>
      </c>
      <c r="AB86" s="52" t="n">
        <f aca="false">IF($D86="","",COUNTIF($D83:$D86,Z$21)+COUNTIF($D83:$D86,$A$3))</f>
        <v>0</v>
      </c>
      <c r="AC86" s="52" t="n">
        <f aca="false">IF($E86="","",COUNTIF($E83:$E86,Z$21)+COUNTIF($E83:$E86,$A$3))</f>
        <v>0</v>
      </c>
      <c r="AD86" s="53" t="n">
        <f aca="false">IF($F86="","",COUNTIF($F83:$F86,Z$21)+COUNTIF($F83:$F86,$A$3))</f>
        <v>0</v>
      </c>
      <c r="AF86" s="65" t="n">
        <f aca="false">IF($B86="","",COUNTIF($B83:$B86,AF$21)+COUNTIF($B83:$B86,$A$3))</f>
        <v>0</v>
      </c>
      <c r="AG86" s="52" t="n">
        <f aca="false">IF($C86="","",COUNTIF($C83:$C86,AF$21)+COUNTIF($C83:$C86,$A$3))</f>
        <v>0</v>
      </c>
      <c r="AH86" s="52" t="n">
        <f aca="false">IF($D86="","",COUNTIF($D83:$D86,AF$21)+COUNTIF($D83:$D86,$A$3))</f>
        <v>0</v>
      </c>
      <c r="AI86" s="52" t="n">
        <f aca="false">IF($E86="","",COUNTIF($E83:$E86,AF$21)+COUNTIF($E83:$E86,$A$3))</f>
        <v>0</v>
      </c>
      <c r="AJ86" s="53" t="n">
        <f aca="false">IF($F86="","",COUNTIF($F83:$F86,AF$21)+COUNTIF($F83:$F86,$A$3))</f>
        <v>0</v>
      </c>
      <c r="AL86" s="65" t="n">
        <f aca="false">IF($B86="","",COUNTIF($B83:$B86,AL$21)+COUNTIF($B83:$B86,$A$3))</f>
        <v>0</v>
      </c>
      <c r="AM86" s="52" t="n">
        <f aca="false">IF($C86="","",COUNTIF($C83:$C86,AL$21)+COUNTIF($C83:$C86,$A$3))</f>
        <v>1</v>
      </c>
      <c r="AN86" s="52" t="n">
        <f aca="false">IF($D86="","",COUNTIF($D83:$D86,AL$21)+COUNTIF($D83:$D86,$A$3))</f>
        <v>0</v>
      </c>
      <c r="AO86" s="52" t="n">
        <f aca="false">IF($E86="","",COUNTIF($E83:$E86,AL$21)+COUNTIF($E83:$E86,$A$3))</f>
        <v>0</v>
      </c>
      <c r="AP86" s="53" t="n">
        <f aca="false">IF($F86="","",COUNTIF($F83:$F86,AL$21)+COUNTIF($F83:$F86,$A$3))</f>
        <v>0</v>
      </c>
      <c r="AR86" s="65" t="n">
        <f aca="false">IF($B86="","",COUNTIF($B83:$B86,AR$21)+COUNTIF($B83:$B86,$A$3))</f>
        <v>1</v>
      </c>
      <c r="AS86" s="52" t="n">
        <f aca="false">IF($C86="","",COUNTIF($C83:$C86,AR$21)+COUNTIF($C83:$C86,$A$3))</f>
        <v>0</v>
      </c>
      <c r="AT86" s="52" t="n">
        <f aca="false">IF($D86="","",COUNTIF($D83:$D86,AR$21)+COUNTIF($D83:$D86,$A$3))</f>
        <v>1</v>
      </c>
      <c r="AU86" s="52" t="n">
        <f aca="false">IF($E86="","",COUNTIF($E83:$E86,AR$21)+COUNTIF($E83:$E86,$A$3))</f>
        <v>0</v>
      </c>
      <c r="AV86" s="53" t="n">
        <f aca="false">IF($F86="","",COUNTIF($F83:$F86,AR$21)+COUNTIF($F83:$F86,$A$3))</f>
        <v>0</v>
      </c>
      <c r="AX86" s="65" t="n">
        <f aca="false">IF($B86="","",COUNTIF($B83:$B86,AX$21)+COUNTIF($B83:$B86,$A$3))</f>
        <v>0</v>
      </c>
      <c r="AY86" s="52" t="n">
        <f aca="false">IF($C86="","",COUNTIF($C83:$C86,AX$21)+COUNTIF($C83:$C86,$A$3))</f>
        <v>1</v>
      </c>
      <c r="AZ86" s="52" t="n">
        <f aca="false">IF($D86="","",COUNTIF($D83:$D86,AX$21)+COUNTIF($D83:$D86,$A$3))</f>
        <v>0</v>
      </c>
      <c r="BA86" s="52" t="n">
        <f aca="false">IF($E86="","",COUNTIF($E83:$E86,AX$21)+COUNTIF($E83:$E86,$A$3))</f>
        <v>1</v>
      </c>
      <c r="BB86" s="53" t="n">
        <f aca="false">IF($F86="","",COUNTIF($F83:$F86,AX$21)+COUNTIF($F83:$F86,$A$3))</f>
        <v>0</v>
      </c>
      <c r="BD86" s="65" t="n">
        <f aca="false">IF($B86="","",COUNTIF($B83:$B86,BD$21)+COUNTIF($B83:$B86,$A$3))</f>
        <v>1</v>
      </c>
      <c r="BE86" s="52" t="n">
        <f aca="false">IF($C86="","",COUNTIF($C83:$C86,BD$21)+COUNTIF($C83:$C86,$A$3))</f>
        <v>0</v>
      </c>
      <c r="BF86" s="52" t="n">
        <f aca="false">IF($D86="","",COUNTIF($D83:$D86,BD$21)+COUNTIF($D83:$D86,$A$3))</f>
        <v>0</v>
      </c>
      <c r="BG86" s="52" t="n">
        <f aca="false">IF($E86="","",COUNTIF($E83:$E86,BD$21)+COUNTIF($E83:$E86,$A$3))</f>
        <v>0</v>
      </c>
      <c r="BH86" s="53" t="n">
        <f aca="false">IF($F86="","",COUNTIF($F83:$F86,BD$21)+COUNTIF($F83:$F86,$A$3))</f>
        <v>0</v>
      </c>
      <c r="BJ86" s="65" t="n">
        <f aca="false">IF($B86="","",COUNTIF($B83:$B86,BJ$21)+COUNTIF($B83:$B86,$A$3))</f>
        <v>0</v>
      </c>
      <c r="BK86" s="52" t="n">
        <f aca="false">IF($C86="","",COUNTIF($C83:$C86,BJ$21)+COUNTIF($C83:$C86,$A$3))</f>
        <v>1</v>
      </c>
      <c r="BL86" s="52" t="n">
        <f aca="false">IF($D86="","",COUNTIF($D83:$D86,BJ$21)+COUNTIF($D83:$D86,$A$3))</f>
        <v>0</v>
      </c>
      <c r="BM86" s="52" t="n">
        <f aca="false">IF($E86="","",COUNTIF($E83:$E86,BJ$21)+COUNTIF($E83:$E86,$A$3))</f>
        <v>0</v>
      </c>
      <c r="BN86" s="53" t="n">
        <f aca="false">IF($F86="","",COUNTIF($F83:$F86,BJ$21)+COUNTIF($F83:$F86,$A$3))</f>
        <v>1</v>
      </c>
      <c r="BP86" s="65" t="n">
        <f aca="false">IF($B86="","",COUNTIF($B83:$B86,BP$21)+COUNTIF($B83:$B86,$A$3))</f>
        <v>0</v>
      </c>
      <c r="BQ86" s="52" t="n">
        <f aca="false">IF($C86="","",COUNTIF($C83:$C86,BP$21)+COUNTIF($C83:$C86,$A$3))</f>
        <v>0</v>
      </c>
      <c r="BR86" s="52" t="n">
        <f aca="false">IF($D86="","",COUNTIF($D83:$D86,BP$21)+COUNTIF($D83:$D86,$A$3))</f>
        <v>1</v>
      </c>
      <c r="BS86" s="52" t="n">
        <f aca="false">IF($E86="","",COUNTIF($E83:$E86,BP$21)+COUNTIF($E83:$E86,$A$3))</f>
        <v>0</v>
      </c>
      <c r="BT86" s="53" t="n">
        <f aca="false">IF($F86="","",COUNTIF($F83:$F86,BP$21)+COUNTIF($F83:$F86,$A$3))</f>
        <v>0</v>
      </c>
    </row>
    <row r="87" customFormat="false" ht="15" hidden="false" customHeight="false" outlineLevel="0" collapsed="false">
      <c r="A87" s="13" t="n">
        <v>65</v>
      </c>
      <c r="B87" s="116" t="str">
        <f aca="false">IF('Game Info'!J70="","",'Game Info'!J70)</f>
        <v>Q</v>
      </c>
      <c r="C87" s="116" t="str">
        <f aca="false">IF('Game Info'!K70="","",'Game Info'!K70)</f>
        <v>SYM4</v>
      </c>
      <c r="D87" s="116" t="str">
        <f aca="false">IF('Game Info'!L70="","",'Game Info'!L70)</f>
        <v>Q</v>
      </c>
      <c r="E87" s="116" t="n">
        <f aca="false">IF('Game Info'!M70="","",'Game Info'!M70)</f>
        <v>10</v>
      </c>
      <c r="F87" s="117" t="str">
        <f aca="false">IF('Game Info'!N70="","",'Game Info'!N70)</f>
        <v>SYM4</v>
      </c>
      <c r="H87" s="65" t="n">
        <f aca="false">IF($B87="","",COUNTIF($B84:$B87,H$21)+COUNTIF($B84:$B87,$A$3))</f>
        <v>1</v>
      </c>
      <c r="I87" s="52" t="n">
        <f aca="false">IF($C87="","",COUNTIF($C84:$C87,H$21)+COUNTIF($C84:$C87,$A$3))</f>
        <v>0</v>
      </c>
      <c r="J87" s="52" t="n">
        <f aca="false">IF($D87="","",COUNTIF($D84:$D87,H$21)+COUNTIF($D84:$D87,$A$3))</f>
        <v>1</v>
      </c>
      <c r="K87" s="52" t="n">
        <f aca="false">IF($E87="","",COUNTIF($E84:$E87,H$21)+COUNTIF($E84:$E87,$A$3))</f>
        <v>1</v>
      </c>
      <c r="L87" s="53" t="n">
        <f aca="false">IF($F87="","",COUNTIF($F84:$F87,H$21)+COUNTIF($F84:$F87,$A$3))</f>
        <v>0</v>
      </c>
      <c r="N87" s="65" t="n">
        <f aca="false">IF($B87="","",COUNTIF($B84:$B87,N$21)+COUNTIF($B84:$B87,$A$3))</f>
        <v>1</v>
      </c>
      <c r="O87" s="52" t="n">
        <f aca="false">IF($C87="","",COUNTIF($C84:$C87,N$21)+COUNTIF($C84:$C87,$A$3))</f>
        <v>0</v>
      </c>
      <c r="P87" s="52" t="n">
        <f aca="false">IF($D87="","",COUNTIF($D84:$D87,N$21)+COUNTIF($D84:$D87,$A$3))</f>
        <v>1</v>
      </c>
      <c r="Q87" s="52" t="n">
        <f aca="false">IF($E87="","",COUNTIF($E84:$E87,N$21)+COUNTIF($E84:$E87,$A$3))</f>
        <v>0</v>
      </c>
      <c r="R87" s="53" t="n">
        <f aca="false">IF($F87="","",COUNTIF($F84:$F87,N$21)+COUNTIF($F84:$F87,$A$3))</f>
        <v>2</v>
      </c>
      <c r="T87" s="65" t="n">
        <f aca="false">IF($B87="","",COUNTIF($B84:$B87,T$21)+COUNTIF($B84:$B87,$A$3))</f>
        <v>0</v>
      </c>
      <c r="U87" s="52" t="n">
        <f aca="false">IF($C87="","",COUNTIF($C84:$C87,T$21)+COUNTIF($C84:$C87,$A$3))</f>
        <v>1</v>
      </c>
      <c r="V87" s="52" t="n">
        <f aca="false">IF($D87="","",COUNTIF($D84:$D87,T$21)+COUNTIF($D84:$D87,$A$3))</f>
        <v>0</v>
      </c>
      <c r="W87" s="52" t="n">
        <f aca="false">IF($E87="","",COUNTIF($E84:$E87,T$21)+COUNTIF($E84:$E87,$A$3))</f>
        <v>0</v>
      </c>
      <c r="X87" s="53" t="n">
        <f aca="false">IF($F87="","",COUNTIF($F84:$F87,T$21)+COUNTIF($F84:$F87,$A$3))</f>
        <v>0</v>
      </c>
      <c r="Z87" s="65" t="n">
        <f aca="false">IF($B87="","",COUNTIF($B84:$B87,Z$21)+COUNTIF($B84:$B87,$A$3))</f>
        <v>0</v>
      </c>
      <c r="AA87" s="52" t="n">
        <f aca="false">IF($C87="","",COUNTIF($C84:$C87,Z$21)+COUNTIF($C84:$C87,$A$3))</f>
        <v>1</v>
      </c>
      <c r="AB87" s="52" t="n">
        <f aca="false">IF($D87="","",COUNTIF($D84:$D87,Z$21)+COUNTIF($D84:$D87,$A$3))</f>
        <v>0</v>
      </c>
      <c r="AC87" s="52" t="n">
        <f aca="false">IF($E87="","",COUNTIF($E84:$E87,Z$21)+COUNTIF($E84:$E87,$A$3))</f>
        <v>0</v>
      </c>
      <c r="AD87" s="53" t="n">
        <f aca="false">IF($F87="","",COUNTIF($F84:$F87,Z$21)+COUNTIF($F84:$F87,$A$3))</f>
        <v>1</v>
      </c>
      <c r="AF87" s="65" t="n">
        <f aca="false">IF($B87="","",COUNTIF($B84:$B87,AF$21)+COUNTIF($B84:$B87,$A$3))</f>
        <v>0</v>
      </c>
      <c r="AG87" s="52" t="n">
        <f aca="false">IF($C87="","",COUNTIF($C84:$C87,AF$21)+COUNTIF($C84:$C87,$A$3))</f>
        <v>0</v>
      </c>
      <c r="AH87" s="52" t="n">
        <f aca="false">IF($D87="","",COUNTIF($D84:$D87,AF$21)+COUNTIF($D84:$D87,$A$3))</f>
        <v>0</v>
      </c>
      <c r="AI87" s="52" t="n">
        <f aca="false">IF($E87="","",COUNTIF($E84:$E87,AF$21)+COUNTIF($E84:$E87,$A$3))</f>
        <v>0</v>
      </c>
      <c r="AJ87" s="53" t="n">
        <f aca="false">IF($F87="","",COUNTIF($F84:$F87,AF$21)+COUNTIF($F84:$F87,$A$3))</f>
        <v>0</v>
      </c>
      <c r="AL87" s="65" t="n">
        <f aca="false">IF($B87="","",COUNTIF($B84:$B87,AL$21)+COUNTIF($B84:$B87,$A$3))</f>
        <v>0</v>
      </c>
      <c r="AM87" s="52" t="n">
        <f aca="false">IF($C87="","",COUNTIF($C84:$C87,AL$21)+COUNTIF($C84:$C87,$A$3))</f>
        <v>1</v>
      </c>
      <c r="AN87" s="52" t="n">
        <f aca="false">IF($D87="","",COUNTIF($D84:$D87,AL$21)+COUNTIF($D84:$D87,$A$3))</f>
        <v>0</v>
      </c>
      <c r="AO87" s="52" t="n">
        <f aca="false">IF($E87="","",COUNTIF($E84:$E87,AL$21)+COUNTIF($E84:$E87,$A$3))</f>
        <v>0</v>
      </c>
      <c r="AP87" s="53" t="n">
        <f aca="false">IF($F87="","",COUNTIF($F84:$F87,AL$21)+COUNTIF($F84:$F87,$A$3))</f>
        <v>0</v>
      </c>
      <c r="AR87" s="65" t="n">
        <f aca="false">IF($B87="","",COUNTIF($B84:$B87,AR$21)+COUNTIF($B84:$B87,$A$3))</f>
        <v>0</v>
      </c>
      <c r="AS87" s="52" t="n">
        <f aca="false">IF($C87="","",COUNTIF($C84:$C87,AR$21)+COUNTIF($C84:$C87,$A$3))</f>
        <v>0</v>
      </c>
      <c r="AT87" s="52" t="n">
        <f aca="false">IF($D87="","",COUNTIF($D84:$D87,AR$21)+COUNTIF($D84:$D87,$A$3))</f>
        <v>1</v>
      </c>
      <c r="AU87" s="52" t="n">
        <f aca="false">IF($E87="","",COUNTIF($E84:$E87,AR$21)+COUNTIF($E84:$E87,$A$3))</f>
        <v>0</v>
      </c>
      <c r="AV87" s="53" t="n">
        <f aca="false">IF($F87="","",COUNTIF($F84:$F87,AR$21)+COUNTIF($F84:$F87,$A$3))</f>
        <v>0</v>
      </c>
      <c r="AX87" s="65" t="n">
        <f aca="false">IF($B87="","",COUNTIF($B84:$B87,AX$21)+COUNTIF($B84:$B87,$A$3))</f>
        <v>1</v>
      </c>
      <c r="AY87" s="52" t="n">
        <f aca="false">IF($C87="","",COUNTIF($C84:$C87,AX$21)+COUNTIF($C84:$C87,$A$3))</f>
        <v>0</v>
      </c>
      <c r="AZ87" s="52" t="n">
        <f aca="false">IF($D87="","",COUNTIF($D84:$D87,AX$21)+COUNTIF($D84:$D87,$A$3))</f>
        <v>1</v>
      </c>
      <c r="BA87" s="52" t="n">
        <f aca="false">IF($E87="","",COUNTIF($E84:$E87,AX$21)+COUNTIF($E84:$E87,$A$3))</f>
        <v>1</v>
      </c>
      <c r="BB87" s="53" t="n">
        <f aca="false">IF($F87="","",COUNTIF($F84:$F87,AX$21)+COUNTIF($F84:$F87,$A$3))</f>
        <v>0</v>
      </c>
      <c r="BD87" s="65" t="n">
        <f aca="false">IF($B87="","",COUNTIF($B84:$B87,BD$21)+COUNTIF($B84:$B87,$A$3))</f>
        <v>1</v>
      </c>
      <c r="BE87" s="52" t="n">
        <f aca="false">IF($C87="","",COUNTIF($C84:$C87,BD$21)+COUNTIF($C84:$C87,$A$3))</f>
        <v>0</v>
      </c>
      <c r="BF87" s="52" t="n">
        <f aca="false">IF($D87="","",COUNTIF($D84:$D87,BD$21)+COUNTIF($D84:$D87,$A$3))</f>
        <v>0</v>
      </c>
      <c r="BG87" s="52" t="n">
        <f aca="false">IF($E87="","",COUNTIF($E84:$E87,BD$21)+COUNTIF($E84:$E87,$A$3))</f>
        <v>0</v>
      </c>
      <c r="BH87" s="53" t="n">
        <f aca="false">IF($F87="","",COUNTIF($F84:$F87,BD$21)+COUNTIF($F84:$F87,$A$3))</f>
        <v>0</v>
      </c>
      <c r="BJ87" s="65" t="n">
        <f aca="false">IF($B87="","",COUNTIF($B84:$B87,BJ$21)+COUNTIF($B84:$B87,$A$3))</f>
        <v>0</v>
      </c>
      <c r="BK87" s="52" t="n">
        <f aca="false">IF($C87="","",COUNTIF($C84:$C87,BJ$21)+COUNTIF($C84:$C87,$A$3))</f>
        <v>1</v>
      </c>
      <c r="BL87" s="52" t="n">
        <f aca="false">IF($D87="","",COUNTIF($D84:$D87,BJ$21)+COUNTIF($D84:$D87,$A$3))</f>
        <v>0</v>
      </c>
      <c r="BM87" s="52" t="n">
        <f aca="false">IF($E87="","",COUNTIF($E84:$E87,BJ$21)+COUNTIF($E84:$E87,$A$3))</f>
        <v>1</v>
      </c>
      <c r="BN87" s="53" t="n">
        <f aca="false">IF($F87="","",COUNTIF($F84:$F87,BJ$21)+COUNTIF($F84:$F87,$A$3))</f>
        <v>1</v>
      </c>
      <c r="BP87" s="65" t="n">
        <f aca="false">IF($B87="","",COUNTIF($B84:$B87,BP$21)+COUNTIF($B84:$B87,$A$3))</f>
        <v>0</v>
      </c>
      <c r="BQ87" s="52" t="n">
        <f aca="false">IF($C87="","",COUNTIF($C84:$C87,BP$21)+COUNTIF($C84:$C87,$A$3))</f>
        <v>0</v>
      </c>
      <c r="BR87" s="52" t="n">
        <f aca="false">IF($D87="","",COUNTIF($D84:$D87,BP$21)+COUNTIF($D84:$D87,$A$3))</f>
        <v>0</v>
      </c>
      <c r="BS87" s="52" t="n">
        <f aca="false">IF($E87="","",COUNTIF($E84:$E87,BP$21)+COUNTIF($E84:$E87,$A$3))</f>
        <v>0</v>
      </c>
      <c r="BT87" s="53" t="n">
        <f aca="false">IF($F87="","",COUNTIF($F84:$F87,BP$21)+COUNTIF($F84:$F87,$A$3))</f>
        <v>0</v>
      </c>
    </row>
    <row r="88" customFormat="false" ht="15" hidden="false" customHeight="false" outlineLevel="0" collapsed="false">
      <c r="A88" s="13" t="n">
        <v>66</v>
      </c>
      <c r="B88" s="116" t="str">
        <f aca="false">IF('Game Info'!J71="","",'Game Info'!J71)</f>
        <v>SYM3</v>
      </c>
      <c r="C88" s="116" t="str">
        <f aca="false">IF('Game Info'!K71="","",'Game Info'!K71)</f>
        <v>K</v>
      </c>
      <c r="D88" s="116" t="str">
        <f aca="false">IF('Game Info'!L71="","",'Game Info'!L71)</f>
        <v>FG</v>
      </c>
      <c r="E88" s="116" t="str">
        <f aca="false">IF('Game Info'!M71="","",'Game Info'!M71)</f>
        <v>SYM1</v>
      </c>
      <c r="F88" s="117" t="str">
        <f aca="false">IF('Game Info'!N71="","",'Game Info'!N71)</f>
        <v>J</v>
      </c>
      <c r="H88" s="65" t="n">
        <f aca="false">IF($B88="","",COUNTIF($B85:$B88,H$21)+COUNTIF($B85:$B88,$A$3))</f>
        <v>1</v>
      </c>
      <c r="I88" s="52" t="n">
        <f aca="false">IF($C88="","",COUNTIF($C85:$C88,H$21)+COUNTIF($C85:$C88,$A$3))</f>
        <v>0</v>
      </c>
      <c r="J88" s="52" t="n">
        <f aca="false">IF($D88="","",COUNTIF($D85:$D88,H$21)+COUNTIF($D85:$D88,$A$3))</f>
        <v>1</v>
      </c>
      <c r="K88" s="52" t="n">
        <f aca="false">IF($E88="","",COUNTIF($E85:$E88,H$21)+COUNTIF($E85:$E88,$A$3))</f>
        <v>1</v>
      </c>
      <c r="L88" s="53" t="n">
        <f aca="false">IF($F88="","",COUNTIF($F85:$F88,H$21)+COUNTIF($F85:$F88,$A$3))</f>
        <v>0</v>
      </c>
      <c r="N88" s="65" t="n">
        <f aca="false">IF($B88="","",COUNTIF($B85:$B88,N$21)+COUNTIF($B85:$B88,$A$3))</f>
        <v>0</v>
      </c>
      <c r="O88" s="52" t="n">
        <f aca="false">IF($C88="","",COUNTIF($C85:$C88,N$21)+COUNTIF($C85:$C88,$A$3))</f>
        <v>0</v>
      </c>
      <c r="P88" s="52" t="n">
        <f aca="false">IF($D88="","",COUNTIF($D85:$D88,N$21)+COUNTIF($D85:$D88,$A$3))</f>
        <v>0</v>
      </c>
      <c r="Q88" s="52" t="n">
        <f aca="false">IF($E88="","",COUNTIF($E85:$E88,N$21)+COUNTIF($E85:$E88,$A$3))</f>
        <v>0</v>
      </c>
      <c r="R88" s="53" t="n">
        <f aca="false">IF($F88="","",COUNTIF($F85:$F88,N$21)+COUNTIF($F85:$F88,$A$3))</f>
        <v>1</v>
      </c>
      <c r="T88" s="65" t="n">
        <f aca="false">IF($B88="","",COUNTIF($B85:$B88,T$21)+COUNTIF($B85:$B88,$A$3))</f>
        <v>1</v>
      </c>
      <c r="U88" s="52" t="n">
        <f aca="false">IF($C88="","",COUNTIF($C85:$C88,T$21)+COUNTIF($C85:$C88,$A$3))</f>
        <v>1</v>
      </c>
      <c r="V88" s="52" t="n">
        <f aca="false">IF($D88="","",COUNTIF($D85:$D88,T$21)+COUNTIF($D85:$D88,$A$3))</f>
        <v>0</v>
      </c>
      <c r="W88" s="52" t="n">
        <f aca="false">IF($E88="","",COUNTIF($E85:$E88,T$21)+COUNTIF($E85:$E88,$A$3))</f>
        <v>0</v>
      </c>
      <c r="X88" s="53" t="n">
        <f aca="false">IF($F88="","",COUNTIF($F85:$F88,T$21)+COUNTIF($F85:$F88,$A$3))</f>
        <v>0</v>
      </c>
      <c r="Z88" s="65" t="n">
        <f aca="false">IF($B88="","",COUNTIF($B85:$B88,Z$21)+COUNTIF($B85:$B88,$A$3))</f>
        <v>0</v>
      </c>
      <c r="AA88" s="52" t="n">
        <f aca="false">IF($C88="","",COUNTIF($C85:$C88,Z$21)+COUNTIF($C85:$C88,$A$3))</f>
        <v>1</v>
      </c>
      <c r="AB88" s="52" t="n">
        <f aca="false">IF($D88="","",COUNTIF($D85:$D88,Z$21)+COUNTIF($D85:$D88,$A$3))</f>
        <v>0</v>
      </c>
      <c r="AC88" s="52" t="n">
        <f aca="false">IF($E88="","",COUNTIF($E85:$E88,Z$21)+COUNTIF($E85:$E88,$A$3))</f>
        <v>0</v>
      </c>
      <c r="AD88" s="53" t="n">
        <f aca="false">IF($F88="","",COUNTIF($F85:$F88,Z$21)+COUNTIF($F85:$F88,$A$3))</f>
        <v>1</v>
      </c>
      <c r="AF88" s="65" t="n">
        <f aca="false">IF($B88="","",COUNTIF($B85:$B88,AF$21)+COUNTIF($B85:$B88,$A$3))</f>
        <v>0</v>
      </c>
      <c r="AG88" s="52" t="n">
        <f aca="false">IF($C88="","",COUNTIF($C85:$C88,AF$21)+COUNTIF($C85:$C88,$A$3))</f>
        <v>0</v>
      </c>
      <c r="AH88" s="52" t="n">
        <f aca="false">IF($D88="","",COUNTIF($D85:$D88,AF$21)+COUNTIF($D85:$D88,$A$3))</f>
        <v>0</v>
      </c>
      <c r="AI88" s="52" t="n">
        <f aca="false">IF($E88="","",COUNTIF($E85:$E88,AF$21)+COUNTIF($E85:$E88,$A$3))</f>
        <v>0</v>
      </c>
      <c r="AJ88" s="53" t="n">
        <f aca="false">IF($F88="","",COUNTIF($F85:$F88,AF$21)+COUNTIF($F85:$F88,$A$3))</f>
        <v>0</v>
      </c>
      <c r="AL88" s="65" t="n">
        <f aca="false">IF($B88="","",COUNTIF($B85:$B88,AL$21)+COUNTIF($B85:$B88,$A$3))</f>
        <v>0</v>
      </c>
      <c r="AM88" s="52" t="n">
        <f aca="false">IF($C88="","",COUNTIF($C85:$C88,AL$21)+COUNTIF($C85:$C88,$A$3))</f>
        <v>1</v>
      </c>
      <c r="AN88" s="52" t="n">
        <f aca="false">IF($D88="","",COUNTIF($D85:$D88,AL$21)+COUNTIF($D85:$D88,$A$3))</f>
        <v>0</v>
      </c>
      <c r="AO88" s="52" t="n">
        <f aca="false">IF($E88="","",COUNTIF($E85:$E88,AL$21)+COUNTIF($E85:$E88,$A$3))</f>
        <v>0</v>
      </c>
      <c r="AP88" s="53" t="n">
        <f aca="false">IF($F88="","",COUNTIF($F85:$F88,AL$21)+COUNTIF($F85:$F88,$A$3))</f>
        <v>0</v>
      </c>
      <c r="AR88" s="65" t="n">
        <f aca="false">IF($B88="","",COUNTIF($B85:$B88,AR$21)+COUNTIF($B85:$B88,$A$3))</f>
        <v>0</v>
      </c>
      <c r="AS88" s="52" t="n">
        <f aca="false">IF($C88="","",COUNTIF($C85:$C88,AR$21)+COUNTIF($C85:$C88,$A$3))</f>
        <v>1</v>
      </c>
      <c r="AT88" s="52" t="n">
        <f aca="false">IF($D88="","",COUNTIF($D85:$D88,AR$21)+COUNTIF($D85:$D88,$A$3))</f>
        <v>1</v>
      </c>
      <c r="AU88" s="52" t="n">
        <f aca="false">IF($E88="","",COUNTIF($E85:$E88,AR$21)+COUNTIF($E85:$E88,$A$3))</f>
        <v>0</v>
      </c>
      <c r="AV88" s="53" t="n">
        <f aca="false">IF($F88="","",COUNTIF($F85:$F88,AR$21)+COUNTIF($F85:$F88,$A$3))</f>
        <v>0</v>
      </c>
      <c r="AX88" s="65" t="n">
        <f aca="false">IF($B88="","",COUNTIF($B85:$B88,AX$21)+COUNTIF($B85:$B88,$A$3))</f>
        <v>1</v>
      </c>
      <c r="AY88" s="52" t="n">
        <f aca="false">IF($C88="","",COUNTIF($C85:$C88,AX$21)+COUNTIF($C85:$C88,$A$3))</f>
        <v>0</v>
      </c>
      <c r="AZ88" s="52" t="n">
        <f aca="false">IF($D88="","",COUNTIF($D85:$D88,AX$21)+COUNTIF($D85:$D88,$A$3))</f>
        <v>1</v>
      </c>
      <c r="BA88" s="52" t="n">
        <f aca="false">IF($E88="","",COUNTIF($E85:$E88,AX$21)+COUNTIF($E85:$E88,$A$3))</f>
        <v>1</v>
      </c>
      <c r="BB88" s="53" t="n">
        <f aca="false">IF($F88="","",COUNTIF($F85:$F88,AX$21)+COUNTIF($F85:$F88,$A$3))</f>
        <v>0</v>
      </c>
      <c r="BD88" s="65" t="n">
        <f aca="false">IF($B88="","",COUNTIF($B85:$B88,BD$21)+COUNTIF($B85:$B88,$A$3))</f>
        <v>1</v>
      </c>
      <c r="BE88" s="52" t="n">
        <f aca="false">IF($C88="","",COUNTIF($C85:$C88,BD$21)+COUNTIF($C85:$C88,$A$3))</f>
        <v>0</v>
      </c>
      <c r="BF88" s="52" t="n">
        <f aca="false">IF($D88="","",COUNTIF($D85:$D88,BD$21)+COUNTIF($D85:$D88,$A$3))</f>
        <v>0</v>
      </c>
      <c r="BG88" s="52" t="n">
        <f aca="false">IF($E88="","",COUNTIF($E85:$E88,BD$21)+COUNTIF($E85:$E88,$A$3))</f>
        <v>0</v>
      </c>
      <c r="BH88" s="53" t="n">
        <f aca="false">IF($F88="","",COUNTIF($F85:$F88,BD$21)+COUNTIF($F85:$F88,$A$3))</f>
        <v>1</v>
      </c>
      <c r="BJ88" s="65" t="n">
        <f aca="false">IF($B88="","",COUNTIF($B85:$B88,BJ$21)+COUNTIF($B85:$B88,$A$3))</f>
        <v>0</v>
      </c>
      <c r="BK88" s="52" t="n">
        <f aca="false">IF($C88="","",COUNTIF($C85:$C88,BJ$21)+COUNTIF($C85:$C88,$A$3))</f>
        <v>0</v>
      </c>
      <c r="BL88" s="52" t="n">
        <f aca="false">IF($D88="","",COUNTIF($D85:$D88,BJ$21)+COUNTIF($D85:$D88,$A$3))</f>
        <v>0</v>
      </c>
      <c r="BM88" s="52" t="n">
        <f aca="false">IF($E88="","",COUNTIF($E85:$E88,BJ$21)+COUNTIF($E85:$E88,$A$3))</f>
        <v>1</v>
      </c>
      <c r="BN88" s="53" t="n">
        <f aca="false">IF($F88="","",COUNTIF($F85:$F88,BJ$21)+COUNTIF($F85:$F88,$A$3))</f>
        <v>1</v>
      </c>
      <c r="BP88" s="65" t="n">
        <f aca="false">IF($B88="","",COUNTIF($B85:$B88,BP$21)+COUNTIF($B85:$B88,$A$3))</f>
        <v>0</v>
      </c>
      <c r="BQ88" s="52" t="n">
        <f aca="false">IF($C88="","",COUNTIF($C85:$C88,BP$21)+COUNTIF($C85:$C88,$A$3))</f>
        <v>0</v>
      </c>
      <c r="BR88" s="52" t="n">
        <f aca="false">IF($D88="","",COUNTIF($D85:$D88,BP$21)+COUNTIF($D85:$D88,$A$3))</f>
        <v>0</v>
      </c>
      <c r="BS88" s="52" t="n">
        <f aca="false">IF($E88="","",COUNTIF($E85:$E88,BP$21)+COUNTIF($E85:$E88,$A$3))</f>
        <v>0</v>
      </c>
      <c r="BT88" s="53" t="n">
        <f aca="false">IF($F88="","",COUNTIF($F85:$F88,BP$21)+COUNTIF($F85:$F88,$A$3))</f>
        <v>0</v>
      </c>
    </row>
    <row r="89" customFormat="false" ht="15" hidden="false" customHeight="false" outlineLevel="0" collapsed="false">
      <c r="A89" s="13" t="n">
        <v>67</v>
      </c>
      <c r="B89" s="116" t="n">
        <f aca="false">IF('Game Info'!J72="","",'Game Info'!J72)</f>
        <v>10</v>
      </c>
      <c r="C89" s="116" t="str">
        <f aca="false">IF('Game Info'!K72="","",'Game Info'!K72)</f>
        <v>SYM2</v>
      </c>
      <c r="D89" s="116" t="n">
        <f aca="false">IF('Game Info'!L72="","",'Game Info'!L72)</f>
        <v>10</v>
      </c>
      <c r="E89" s="116" t="str">
        <f aca="false">IF('Game Info'!M72="","",'Game Info'!M72)</f>
        <v>Q</v>
      </c>
      <c r="F89" s="117" t="str">
        <f aca="false">IF('Game Info'!N72="","",'Game Info'!N72)</f>
        <v>SYM1</v>
      </c>
      <c r="H89" s="65" t="n">
        <f aca="false">IF($B89="","",COUNTIF($B86:$B89,H$21)+COUNTIF($B86:$B89,$A$3))</f>
        <v>1</v>
      </c>
      <c r="I89" s="52" t="n">
        <f aca="false">IF($C89="","",COUNTIF($C86:$C89,H$21)+COUNTIF($C86:$C89,$A$3))</f>
        <v>0</v>
      </c>
      <c r="J89" s="52" t="n">
        <f aca="false">IF($D89="","",COUNTIF($D86:$D89,H$21)+COUNTIF($D86:$D89,$A$3))</f>
        <v>1</v>
      </c>
      <c r="K89" s="52" t="n">
        <f aca="false">IF($E89="","",COUNTIF($E86:$E89,H$21)+COUNTIF($E86:$E89,$A$3))</f>
        <v>1</v>
      </c>
      <c r="L89" s="53" t="n">
        <f aca="false">IF($F89="","",COUNTIF($F86:$F89,H$21)+COUNTIF($F86:$F89,$A$3))</f>
        <v>1</v>
      </c>
      <c r="N89" s="65" t="n">
        <f aca="false">IF($B89="","",COUNTIF($B86:$B89,N$21)+COUNTIF($B86:$B89,$A$3))</f>
        <v>0</v>
      </c>
      <c r="O89" s="52" t="n">
        <f aca="false">IF($C89="","",COUNTIF($C86:$C89,N$21)+COUNTIF($C86:$C89,$A$3))</f>
        <v>1</v>
      </c>
      <c r="P89" s="52" t="n">
        <f aca="false">IF($D89="","",COUNTIF($D86:$D89,N$21)+COUNTIF($D86:$D89,$A$3))</f>
        <v>0</v>
      </c>
      <c r="Q89" s="52" t="n">
        <f aca="false">IF($E89="","",COUNTIF($E86:$E89,N$21)+COUNTIF($E86:$E89,$A$3))</f>
        <v>0</v>
      </c>
      <c r="R89" s="53" t="n">
        <f aca="false">IF($F89="","",COUNTIF($F86:$F89,N$21)+COUNTIF($F86:$F89,$A$3))</f>
        <v>0</v>
      </c>
      <c r="T89" s="65" t="n">
        <f aca="false">IF($B89="","",COUNTIF($B86:$B89,T$21)+COUNTIF($B86:$B89,$A$3))</f>
        <v>1</v>
      </c>
      <c r="U89" s="52" t="n">
        <f aca="false">IF($C89="","",COUNTIF($C86:$C89,T$21)+COUNTIF($C86:$C89,$A$3))</f>
        <v>0</v>
      </c>
      <c r="V89" s="52" t="n">
        <f aca="false">IF($D89="","",COUNTIF($D86:$D89,T$21)+COUNTIF($D86:$D89,$A$3))</f>
        <v>0</v>
      </c>
      <c r="W89" s="52" t="n">
        <f aca="false">IF($E89="","",COUNTIF($E86:$E89,T$21)+COUNTIF($E86:$E89,$A$3))</f>
        <v>0</v>
      </c>
      <c r="X89" s="53" t="n">
        <f aca="false">IF($F89="","",COUNTIF($F86:$F89,T$21)+COUNTIF($F86:$F89,$A$3))</f>
        <v>0</v>
      </c>
      <c r="Z89" s="65" t="n">
        <f aca="false">IF($B89="","",COUNTIF($B86:$B89,Z$21)+COUNTIF($B86:$B89,$A$3))</f>
        <v>0</v>
      </c>
      <c r="AA89" s="52" t="n">
        <f aca="false">IF($C89="","",COUNTIF($C86:$C89,Z$21)+COUNTIF($C86:$C89,$A$3))</f>
        <v>1</v>
      </c>
      <c r="AB89" s="52" t="n">
        <f aca="false">IF($D89="","",COUNTIF($D86:$D89,Z$21)+COUNTIF($D86:$D89,$A$3))</f>
        <v>0</v>
      </c>
      <c r="AC89" s="52" t="n">
        <f aca="false">IF($E89="","",COUNTIF($E86:$E89,Z$21)+COUNTIF($E86:$E89,$A$3))</f>
        <v>0</v>
      </c>
      <c r="AD89" s="53" t="n">
        <f aca="false">IF($F89="","",COUNTIF($F86:$F89,Z$21)+COUNTIF($F86:$F89,$A$3))</f>
        <v>1</v>
      </c>
      <c r="AF89" s="65" t="n">
        <f aca="false">IF($B89="","",COUNTIF($B86:$B89,AF$21)+COUNTIF($B86:$B89,$A$3))</f>
        <v>0</v>
      </c>
      <c r="AG89" s="52" t="n">
        <f aca="false">IF($C89="","",COUNTIF($C86:$C89,AF$21)+COUNTIF($C86:$C89,$A$3))</f>
        <v>0</v>
      </c>
      <c r="AH89" s="52" t="n">
        <f aca="false">IF($D89="","",COUNTIF($D86:$D89,AF$21)+COUNTIF($D86:$D89,$A$3))</f>
        <v>0</v>
      </c>
      <c r="AI89" s="52" t="n">
        <f aca="false">IF($E89="","",COUNTIF($E86:$E89,AF$21)+COUNTIF($E86:$E89,$A$3))</f>
        <v>0</v>
      </c>
      <c r="AJ89" s="53" t="n">
        <f aca="false">IF($F89="","",COUNTIF($F86:$F89,AF$21)+COUNTIF($F86:$F89,$A$3))</f>
        <v>0</v>
      </c>
      <c r="AL89" s="65" t="n">
        <f aca="false">IF($B89="","",COUNTIF($B86:$B89,AL$21)+COUNTIF($B86:$B89,$A$3))</f>
        <v>0</v>
      </c>
      <c r="AM89" s="52" t="n">
        <f aca="false">IF($C89="","",COUNTIF($C86:$C89,AL$21)+COUNTIF($C86:$C89,$A$3))</f>
        <v>1</v>
      </c>
      <c r="AN89" s="52" t="n">
        <f aca="false">IF($D89="","",COUNTIF($D86:$D89,AL$21)+COUNTIF($D86:$D89,$A$3))</f>
        <v>0</v>
      </c>
      <c r="AO89" s="52" t="n">
        <f aca="false">IF($E89="","",COUNTIF($E86:$E89,AL$21)+COUNTIF($E86:$E89,$A$3))</f>
        <v>0</v>
      </c>
      <c r="AP89" s="53" t="n">
        <f aca="false">IF($F89="","",COUNTIF($F86:$F89,AL$21)+COUNTIF($F86:$F89,$A$3))</f>
        <v>0</v>
      </c>
      <c r="AR89" s="65" t="n">
        <f aca="false">IF($B89="","",COUNTIF($B86:$B89,AR$21)+COUNTIF($B86:$B89,$A$3))</f>
        <v>0</v>
      </c>
      <c r="AS89" s="52" t="n">
        <f aca="false">IF($C89="","",COUNTIF($C86:$C89,AR$21)+COUNTIF($C86:$C89,$A$3))</f>
        <v>1</v>
      </c>
      <c r="AT89" s="52" t="n">
        <f aca="false">IF($D89="","",COUNTIF($D86:$D89,AR$21)+COUNTIF($D86:$D89,$A$3))</f>
        <v>0</v>
      </c>
      <c r="AU89" s="52" t="n">
        <f aca="false">IF($E89="","",COUNTIF($E86:$E89,AR$21)+COUNTIF($E86:$E89,$A$3))</f>
        <v>0</v>
      </c>
      <c r="AV89" s="53" t="n">
        <f aca="false">IF($F89="","",COUNTIF($F86:$F89,AR$21)+COUNTIF($F86:$F89,$A$3))</f>
        <v>0</v>
      </c>
      <c r="AX89" s="65" t="n">
        <f aca="false">IF($B89="","",COUNTIF($B86:$B89,AX$21)+COUNTIF($B86:$B89,$A$3))</f>
        <v>1</v>
      </c>
      <c r="AY89" s="52" t="n">
        <f aca="false">IF($C89="","",COUNTIF($C86:$C89,AX$21)+COUNTIF($C86:$C89,$A$3))</f>
        <v>0</v>
      </c>
      <c r="AZ89" s="52" t="n">
        <f aca="false">IF($D89="","",COUNTIF($D86:$D89,AX$21)+COUNTIF($D86:$D89,$A$3))</f>
        <v>1</v>
      </c>
      <c r="BA89" s="52" t="n">
        <f aca="false">IF($E89="","",COUNTIF($E86:$E89,AX$21)+COUNTIF($E86:$E89,$A$3))</f>
        <v>1</v>
      </c>
      <c r="BB89" s="53" t="n">
        <f aca="false">IF($F89="","",COUNTIF($F86:$F89,AX$21)+COUNTIF($F86:$F89,$A$3))</f>
        <v>0</v>
      </c>
      <c r="BD89" s="65" t="n">
        <f aca="false">IF($B89="","",COUNTIF($B86:$B89,BD$21)+COUNTIF($B86:$B89,$A$3))</f>
        <v>0</v>
      </c>
      <c r="BE89" s="52" t="n">
        <f aca="false">IF($C89="","",COUNTIF($C86:$C89,BD$21)+COUNTIF($C86:$C89,$A$3))</f>
        <v>0</v>
      </c>
      <c r="BF89" s="52" t="n">
        <f aca="false">IF($D89="","",COUNTIF($D86:$D89,BD$21)+COUNTIF($D86:$D89,$A$3))</f>
        <v>0</v>
      </c>
      <c r="BG89" s="52" t="n">
        <f aca="false">IF($E89="","",COUNTIF($E86:$E89,BD$21)+COUNTIF($E86:$E89,$A$3))</f>
        <v>0</v>
      </c>
      <c r="BH89" s="53" t="n">
        <f aca="false">IF($F89="","",COUNTIF($F86:$F89,BD$21)+COUNTIF($F86:$F89,$A$3))</f>
        <v>1</v>
      </c>
      <c r="BJ89" s="65" t="n">
        <f aca="false">IF($B89="","",COUNTIF($B86:$B89,BJ$21)+COUNTIF($B86:$B89,$A$3))</f>
        <v>1</v>
      </c>
      <c r="BK89" s="52" t="n">
        <f aca="false">IF($C89="","",COUNTIF($C86:$C89,BJ$21)+COUNTIF($C86:$C89,$A$3))</f>
        <v>0</v>
      </c>
      <c r="BL89" s="52" t="n">
        <f aca="false">IF($D89="","",COUNTIF($D86:$D89,BJ$21)+COUNTIF($D86:$D89,$A$3))</f>
        <v>1</v>
      </c>
      <c r="BM89" s="52" t="n">
        <f aca="false">IF($E89="","",COUNTIF($E86:$E89,BJ$21)+COUNTIF($E86:$E89,$A$3))</f>
        <v>1</v>
      </c>
      <c r="BN89" s="53" t="n">
        <f aca="false">IF($F89="","",COUNTIF($F86:$F89,BJ$21)+COUNTIF($F86:$F89,$A$3))</f>
        <v>1</v>
      </c>
      <c r="BP89" s="65" t="n">
        <f aca="false">IF($B89="","",COUNTIF($B86:$B89,BP$21)+COUNTIF($B86:$B89,$A$3))</f>
        <v>0</v>
      </c>
      <c r="BQ89" s="52" t="n">
        <f aca="false">IF($C89="","",COUNTIF($C86:$C89,BP$21)+COUNTIF($C86:$C89,$A$3))</f>
        <v>0</v>
      </c>
      <c r="BR89" s="52" t="n">
        <f aca="false">IF($D89="","",COUNTIF($D86:$D89,BP$21)+COUNTIF($D86:$D89,$A$3))</f>
        <v>0</v>
      </c>
      <c r="BS89" s="52" t="n">
        <f aca="false">IF($E89="","",COUNTIF($E86:$E89,BP$21)+COUNTIF($E86:$E89,$A$3))</f>
        <v>0</v>
      </c>
      <c r="BT89" s="53" t="n">
        <f aca="false">IF($F89="","",COUNTIF($F86:$F89,BP$21)+COUNTIF($F86:$F89,$A$3))</f>
        <v>0</v>
      </c>
    </row>
    <row r="90" customFormat="false" ht="15" hidden="false" customHeight="false" outlineLevel="0" collapsed="false">
      <c r="A90" s="13" t="n">
        <v>68</v>
      </c>
      <c r="B90" s="116" t="str">
        <f aca="false">IF('Game Info'!J73="","",'Game Info'!J73)</f>
        <v>SYM4</v>
      </c>
      <c r="C90" s="116" t="str">
        <f aca="false">IF('Game Info'!K73="","",'Game Info'!K73)</f>
        <v>J</v>
      </c>
      <c r="D90" s="116" t="n">
        <f aca="false">IF('Game Info'!L73="","",'Game Info'!L73)</f>
        <v>9</v>
      </c>
      <c r="E90" s="116" t="str">
        <f aca="false">IF('Game Info'!M73="","",'Game Info'!M73)</f>
        <v>SYM5</v>
      </c>
      <c r="F90" s="117" t="str">
        <f aca="false">IF('Game Info'!N73="","",'Game Info'!N73)</f>
        <v>SYM1</v>
      </c>
      <c r="H90" s="65" t="n">
        <f aca="false">IF($B90="","",COUNTIF($B87:$B90,H$21)+COUNTIF($B87:$B90,$A$3))</f>
        <v>0</v>
      </c>
      <c r="I90" s="52" t="n">
        <f aca="false">IF($C90="","",COUNTIF($C87:$C90,H$21)+COUNTIF($C87:$C90,$A$3))</f>
        <v>0</v>
      </c>
      <c r="J90" s="52" t="n">
        <f aca="false">IF($D90="","",COUNTIF($D87:$D90,H$21)+COUNTIF($D87:$D90,$A$3))</f>
        <v>0</v>
      </c>
      <c r="K90" s="52" t="n">
        <f aca="false">IF($E90="","",COUNTIF($E87:$E90,H$21)+COUNTIF($E87:$E90,$A$3))</f>
        <v>1</v>
      </c>
      <c r="L90" s="53" t="n">
        <f aca="false">IF($F90="","",COUNTIF($F87:$F90,H$21)+COUNTIF($F87:$F90,$A$3))</f>
        <v>2</v>
      </c>
      <c r="N90" s="65" t="n">
        <f aca="false">IF($B90="","",COUNTIF($B87:$B90,N$21)+COUNTIF($B87:$B90,$A$3))</f>
        <v>0</v>
      </c>
      <c r="O90" s="52" t="n">
        <f aca="false">IF($C90="","",COUNTIF($C87:$C90,N$21)+COUNTIF($C87:$C90,$A$3))</f>
        <v>1</v>
      </c>
      <c r="P90" s="52" t="n">
        <f aca="false">IF($D90="","",COUNTIF($D87:$D90,N$21)+COUNTIF($D87:$D90,$A$3))</f>
        <v>0</v>
      </c>
      <c r="Q90" s="52" t="n">
        <f aca="false">IF($E90="","",COUNTIF($E87:$E90,N$21)+COUNTIF($E87:$E90,$A$3))</f>
        <v>0</v>
      </c>
      <c r="R90" s="53" t="n">
        <f aca="false">IF($F90="","",COUNTIF($F87:$F90,N$21)+COUNTIF($F87:$F90,$A$3))</f>
        <v>0</v>
      </c>
      <c r="T90" s="65" t="n">
        <f aca="false">IF($B90="","",COUNTIF($B87:$B90,T$21)+COUNTIF($B87:$B90,$A$3))</f>
        <v>1</v>
      </c>
      <c r="U90" s="52" t="n">
        <f aca="false">IF($C90="","",COUNTIF($C87:$C90,T$21)+COUNTIF($C87:$C90,$A$3))</f>
        <v>0</v>
      </c>
      <c r="V90" s="52" t="n">
        <f aca="false">IF($D90="","",COUNTIF($D87:$D90,T$21)+COUNTIF($D87:$D90,$A$3))</f>
        <v>0</v>
      </c>
      <c r="W90" s="52" t="n">
        <f aca="false">IF($E90="","",COUNTIF($E87:$E90,T$21)+COUNTIF($E87:$E90,$A$3))</f>
        <v>0</v>
      </c>
      <c r="X90" s="53" t="n">
        <f aca="false">IF($F90="","",COUNTIF($F87:$F90,T$21)+COUNTIF($F87:$F90,$A$3))</f>
        <v>0</v>
      </c>
      <c r="Z90" s="65" t="n">
        <f aca="false">IF($B90="","",COUNTIF($B87:$B90,Z$21)+COUNTIF($B87:$B90,$A$3))</f>
        <v>1</v>
      </c>
      <c r="AA90" s="52" t="n">
        <f aca="false">IF($C90="","",COUNTIF($C87:$C90,Z$21)+COUNTIF($C87:$C90,$A$3))</f>
        <v>1</v>
      </c>
      <c r="AB90" s="52" t="n">
        <f aca="false">IF($D90="","",COUNTIF($D87:$D90,Z$21)+COUNTIF($D87:$D90,$A$3))</f>
        <v>0</v>
      </c>
      <c r="AC90" s="52" t="n">
        <f aca="false">IF($E90="","",COUNTIF($E87:$E90,Z$21)+COUNTIF($E87:$E90,$A$3))</f>
        <v>0</v>
      </c>
      <c r="AD90" s="53" t="n">
        <f aca="false">IF($F90="","",COUNTIF($F87:$F90,Z$21)+COUNTIF($F87:$F90,$A$3))</f>
        <v>1</v>
      </c>
      <c r="AF90" s="65" t="n">
        <f aca="false">IF($B90="","",COUNTIF($B87:$B90,AF$21)+COUNTIF($B87:$B90,$A$3))</f>
        <v>0</v>
      </c>
      <c r="AG90" s="52" t="n">
        <f aca="false">IF($C90="","",COUNTIF($C87:$C90,AF$21)+COUNTIF($C87:$C90,$A$3))</f>
        <v>0</v>
      </c>
      <c r="AH90" s="52" t="n">
        <f aca="false">IF($D90="","",COUNTIF($D87:$D90,AF$21)+COUNTIF($D87:$D90,$A$3))</f>
        <v>0</v>
      </c>
      <c r="AI90" s="52" t="n">
        <f aca="false">IF($E90="","",COUNTIF($E87:$E90,AF$21)+COUNTIF($E87:$E90,$A$3))</f>
        <v>1</v>
      </c>
      <c r="AJ90" s="53" t="n">
        <f aca="false">IF($F90="","",COUNTIF($F87:$F90,AF$21)+COUNTIF($F87:$F90,$A$3))</f>
        <v>0</v>
      </c>
      <c r="AL90" s="65" t="n">
        <f aca="false">IF($B90="","",COUNTIF($B87:$B90,AL$21)+COUNTIF($B87:$B90,$A$3))</f>
        <v>0</v>
      </c>
      <c r="AM90" s="52" t="n">
        <f aca="false">IF($C90="","",COUNTIF($C87:$C90,AL$21)+COUNTIF($C87:$C90,$A$3))</f>
        <v>0</v>
      </c>
      <c r="AN90" s="52" t="n">
        <f aca="false">IF($D90="","",COUNTIF($D87:$D90,AL$21)+COUNTIF($D87:$D90,$A$3))</f>
        <v>0</v>
      </c>
      <c r="AO90" s="52" t="n">
        <f aca="false">IF($E90="","",COUNTIF($E87:$E90,AL$21)+COUNTIF($E87:$E90,$A$3))</f>
        <v>0</v>
      </c>
      <c r="AP90" s="53" t="n">
        <f aca="false">IF($F90="","",COUNTIF($F87:$F90,AL$21)+COUNTIF($F87:$F90,$A$3))</f>
        <v>0</v>
      </c>
      <c r="AR90" s="65" t="n">
        <f aca="false">IF($B90="","",COUNTIF($B87:$B90,AR$21)+COUNTIF($B87:$B90,$A$3))</f>
        <v>0</v>
      </c>
      <c r="AS90" s="52" t="n">
        <f aca="false">IF($C90="","",COUNTIF($C87:$C90,AR$21)+COUNTIF($C87:$C90,$A$3))</f>
        <v>1</v>
      </c>
      <c r="AT90" s="52" t="n">
        <f aca="false">IF($D90="","",COUNTIF($D87:$D90,AR$21)+COUNTIF($D87:$D90,$A$3))</f>
        <v>0</v>
      </c>
      <c r="AU90" s="52" t="n">
        <f aca="false">IF($E90="","",COUNTIF($E87:$E90,AR$21)+COUNTIF($E87:$E90,$A$3))</f>
        <v>0</v>
      </c>
      <c r="AV90" s="53" t="n">
        <f aca="false">IF($F90="","",COUNTIF($F87:$F90,AR$21)+COUNTIF($F87:$F90,$A$3))</f>
        <v>0</v>
      </c>
      <c r="AX90" s="65" t="n">
        <f aca="false">IF($B90="","",COUNTIF($B87:$B90,AX$21)+COUNTIF($B87:$B90,$A$3))</f>
        <v>1</v>
      </c>
      <c r="AY90" s="52" t="n">
        <f aca="false">IF($C90="","",COUNTIF($C87:$C90,AX$21)+COUNTIF($C87:$C90,$A$3))</f>
        <v>0</v>
      </c>
      <c r="AZ90" s="52" t="n">
        <f aca="false">IF($D90="","",COUNTIF($D87:$D90,AX$21)+COUNTIF($D87:$D90,$A$3))</f>
        <v>1</v>
      </c>
      <c r="BA90" s="52" t="n">
        <f aca="false">IF($E90="","",COUNTIF($E87:$E90,AX$21)+COUNTIF($E87:$E90,$A$3))</f>
        <v>1</v>
      </c>
      <c r="BB90" s="53" t="n">
        <f aca="false">IF($F90="","",COUNTIF($F87:$F90,AX$21)+COUNTIF($F87:$F90,$A$3))</f>
        <v>0</v>
      </c>
      <c r="BD90" s="65" t="n">
        <f aca="false">IF($B90="","",COUNTIF($B87:$B90,BD$21)+COUNTIF($B87:$B90,$A$3))</f>
        <v>0</v>
      </c>
      <c r="BE90" s="52" t="n">
        <f aca="false">IF($C90="","",COUNTIF($C87:$C90,BD$21)+COUNTIF($C87:$C90,$A$3))</f>
        <v>1</v>
      </c>
      <c r="BF90" s="52" t="n">
        <f aca="false">IF($D90="","",COUNTIF($D87:$D90,BD$21)+COUNTIF($D87:$D90,$A$3))</f>
        <v>0</v>
      </c>
      <c r="BG90" s="52" t="n">
        <f aca="false">IF($E90="","",COUNTIF($E87:$E90,BD$21)+COUNTIF($E87:$E90,$A$3))</f>
        <v>0</v>
      </c>
      <c r="BH90" s="53" t="n">
        <f aca="false">IF($F90="","",COUNTIF($F87:$F90,BD$21)+COUNTIF($F87:$F90,$A$3))</f>
        <v>1</v>
      </c>
      <c r="BJ90" s="65" t="n">
        <f aca="false">IF($B90="","",COUNTIF($B87:$B90,BJ$21)+COUNTIF($B87:$B90,$A$3))</f>
        <v>1</v>
      </c>
      <c r="BK90" s="52" t="n">
        <f aca="false">IF($C90="","",COUNTIF($C87:$C90,BJ$21)+COUNTIF($C87:$C90,$A$3))</f>
        <v>0</v>
      </c>
      <c r="BL90" s="52" t="n">
        <f aca="false">IF($D90="","",COUNTIF($D87:$D90,BJ$21)+COUNTIF($D87:$D90,$A$3))</f>
        <v>1</v>
      </c>
      <c r="BM90" s="52" t="n">
        <f aca="false">IF($E90="","",COUNTIF($E87:$E90,BJ$21)+COUNTIF($E87:$E90,$A$3))</f>
        <v>1</v>
      </c>
      <c r="BN90" s="53" t="n">
        <f aca="false">IF($F90="","",COUNTIF($F87:$F90,BJ$21)+COUNTIF($F87:$F90,$A$3))</f>
        <v>0</v>
      </c>
      <c r="BP90" s="65" t="n">
        <f aca="false">IF($B90="","",COUNTIF($B87:$B90,BP$21)+COUNTIF($B87:$B90,$A$3))</f>
        <v>0</v>
      </c>
      <c r="BQ90" s="52" t="n">
        <f aca="false">IF($C90="","",COUNTIF($C87:$C90,BP$21)+COUNTIF($C87:$C90,$A$3))</f>
        <v>0</v>
      </c>
      <c r="BR90" s="52" t="n">
        <f aca="false">IF($D90="","",COUNTIF($D87:$D90,BP$21)+COUNTIF($D87:$D90,$A$3))</f>
        <v>1</v>
      </c>
      <c r="BS90" s="52" t="n">
        <f aca="false">IF($E90="","",COUNTIF($E87:$E90,BP$21)+COUNTIF($E87:$E90,$A$3))</f>
        <v>0</v>
      </c>
      <c r="BT90" s="53" t="n">
        <f aca="false">IF($F90="","",COUNTIF($F87:$F90,BP$21)+COUNTIF($F87:$F90,$A$3))</f>
        <v>0</v>
      </c>
    </row>
    <row r="91" customFormat="false" ht="15" hidden="false" customHeight="false" outlineLevel="0" collapsed="false">
      <c r="A91" s="13" t="n">
        <v>69</v>
      </c>
      <c r="B91" s="116" t="str">
        <f aca="false">IF('Game Info'!J74="","",'Game Info'!J74)</f>
        <v>A</v>
      </c>
      <c r="C91" s="116" t="str">
        <f aca="false">IF('Game Info'!K74="","",'Game Info'!K74)</f>
        <v>SYM5</v>
      </c>
      <c r="D91" s="116" t="str">
        <f aca="false">IF('Game Info'!L74="","",'Game Info'!L74)</f>
        <v>SYM2</v>
      </c>
      <c r="E91" s="116" t="str">
        <f aca="false">IF('Game Info'!M74="","",'Game Info'!M74)</f>
        <v>SYM5</v>
      </c>
      <c r="F91" s="117" t="str">
        <f aca="false">IF('Game Info'!N74="","",'Game Info'!N74)</f>
        <v>SYM1</v>
      </c>
      <c r="H91" s="65" t="n">
        <f aca="false">IF($B91="","",COUNTIF($B88:$B91,H$21)+COUNTIF($B88:$B91,$A$3))</f>
        <v>0</v>
      </c>
      <c r="I91" s="52" t="n">
        <f aca="false">IF($C91="","",COUNTIF($C88:$C91,H$21)+COUNTIF($C88:$C91,$A$3))</f>
        <v>0</v>
      </c>
      <c r="J91" s="52" t="n">
        <f aca="false">IF($D91="","",COUNTIF($D88:$D91,H$21)+COUNTIF($D88:$D91,$A$3))</f>
        <v>0</v>
      </c>
      <c r="K91" s="52" t="n">
        <f aca="false">IF($E91="","",COUNTIF($E88:$E91,H$21)+COUNTIF($E88:$E91,$A$3))</f>
        <v>1</v>
      </c>
      <c r="L91" s="53" t="n">
        <f aca="false">IF($F91="","",COUNTIF($F88:$F91,H$21)+COUNTIF($F88:$F91,$A$3))</f>
        <v>3</v>
      </c>
      <c r="N91" s="65" t="n">
        <f aca="false">IF($B91="","",COUNTIF($B88:$B91,N$21)+COUNTIF($B88:$B91,$A$3))</f>
        <v>0</v>
      </c>
      <c r="O91" s="52" t="n">
        <f aca="false">IF($C91="","",COUNTIF($C88:$C91,N$21)+COUNTIF($C88:$C91,$A$3))</f>
        <v>1</v>
      </c>
      <c r="P91" s="52" t="n">
        <f aca="false">IF($D91="","",COUNTIF($D88:$D91,N$21)+COUNTIF($D88:$D91,$A$3))</f>
        <v>1</v>
      </c>
      <c r="Q91" s="52" t="n">
        <f aca="false">IF($E91="","",COUNTIF($E88:$E91,N$21)+COUNTIF($E88:$E91,$A$3))</f>
        <v>0</v>
      </c>
      <c r="R91" s="53" t="n">
        <f aca="false">IF($F91="","",COUNTIF($F88:$F91,N$21)+COUNTIF($F88:$F91,$A$3))</f>
        <v>0</v>
      </c>
      <c r="T91" s="65" t="n">
        <f aca="false">IF($B91="","",COUNTIF($B88:$B91,T$21)+COUNTIF($B88:$B91,$A$3))</f>
        <v>1</v>
      </c>
      <c r="U91" s="52" t="n">
        <f aca="false">IF($C91="","",COUNTIF($C88:$C91,T$21)+COUNTIF($C88:$C91,$A$3))</f>
        <v>0</v>
      </c>
      <c r="V91" s="52" t="n">
        <f aca="false">IF($D91="","",COUNTIF($D88:$D91,T$21)+COUNTIF($D88:$D91,$A$3))</f>
        <v>0</v>
      </c>
      <c r="W91" s="52" t="n">
        <f aca="false">IF($E91="","",COUNTIF($E88:$E91,T$21)+COUNTIF($E88:$E91,$A$3))</f>
        <v>0</v>
      </c>
      <c r="X91" s="53" t="n">
        <f aca="false">IF($F91="","",COUNTIF($F88:$F91,T$21)+COUNTIF($F88:$F91,$A$3))</f>
        <v>0</v>
      </c>
      <c r="Z91" s="65" t="n">
        <f aca="false">IF($B91="","",COUNTIF($B88:$B91,Z$21)+COUNTIF($B88:$B91,$A$3))</f>
        <v>1</v>
      </c>
      <c r="AA91" s="52" t="n">
        <f aca="false">IF($C91="","",COUNTIF($C88:$C91,Z$21)+COUNTIF($C88:$C91,$A$3))</f>
        <v>0</v>
      </c>
      <c r="AB91" s="52" t="n">
        <f aca="false">IF($D91="","",COUNTIF($D88:$D91,Z$21)+COUNTIF($D88:$D91,$A$3))</f>
        <v>0</v>
      </c>
      <c r="AC91" s="52" t="n">
        <f aca="false">IF($E91="","",COUNTIF($E88:$E91,Z$21)+COUNTIF($E88:$E91,$A$3))</f>
        <v>0</v>
      </c>
      <c r="AD91" s="53" t="n">
        <f aca="false">IF($F91="","",COUNTIF($F88:$F91,Z$21)+COUNTIF($F88:$F91,$A$3))</f>
        <v>0</v>
      </c>
      <c r="AF91" s="65" t="n">
        <f aca="false">IF($B91="","",COUNTIF($B88:$B91,AF$21)+COUNTIF($B88:$B91,$A$3))</f>
        <v>0</v>
      </c>
      <c r="AG91" s="52" t="n">
        <f aca="false">IF($C91="","",COUNTIF($C88:$C91,AF$21)+COUNTIF($C88:$C91,$A$3))</f>
        <v>1</v>
      </c>
      <c r="AH91" s="52" t="n">
        <f aca="false">IF($D91="","",COUNTIF($D88:$D91,AF$21)+COUNTIF($D88:$D91,$A$3))</f>
        <v>0</v>
      </c>
      <c r="AI91" s="52" t="n">
        <f aca="false">IF($E91="","",COUNTIF($E88:$E91,AF$21)+COUNTIF($E88:$E91,$A$3))</f>
        <v>2</v>
      </c>
      <c r="AJ91" s="53" t="n">
        <f aca="false">IF($F91="","",COUNTIF($F88:$F91,AF$21)+COUNTIF($F88:$F91,$A$3))</f>
        <v>0</v>
      </c>
      <c r="AL91" s="65" t="n">
        <f aca="false">IF($B91="","",COUNTIF($B88:$B91,AL$21)+COUNTIF($B88:$B91,$A$3))</f>
        <v>1</v>
      </c>
      <c r="AM91" s="52" t="n">
        <f aca="false">IF($C91="","",COUNTIF($C88:$C91,AL$21)+COUNTIF($C88:$C91,$A$3))</f>
        <v>0</v>
      </c>
      <c r="AN91" s="52" t="n">
        <f aca="false">IF($D91="","",COUNTIF($D88:$D91,AL$21)+COUNTIF($D88:$D91,$A$3))</f>
        <v>0</v>
      </c>
      <c r="AO91" s="52" t="n">
        <f aca="false">IF($E91="","",COUNTIF($E88:$E91,AL$21)+COUNTIF($E88:$E91,$A$3))</f>
        <v>0</v>
      </c>
      <c r="AP91" s="53" t="n">
        <f aca="false">IF($F91="","",COUNTIF($F88:$F91,AL$21)+COUNTIF($F88:$F91,$A$3))</f>
        <v>0</v>
      </c>
      <c r="AR91" s="65" t="n">
        <f aca="false">IF($B91="","",COUNTIF($B88:$B91,AR$21)+COUNTIF($B88:$B91,$A$3))</f>
        <v>0</v>
      </c>
      <c r="AS91" s="52" t="n">
        <f aca="false">IF($C91="","",COUNTIF($C88:$C91,AR$21)+COUNTIF($C88:$C91,$A$3))</f>
        <v>1</v>
      </c>
      <c r="AT91" s="52" t="n">
        <f aca="false">IF($D91="","",COUNTIF($D88:$D91,AR$21)+COUNTIF($D88:$D91,$A$3))</f>
        <v>0</v>
      </c>
      <c r="AU91" s="52" t="n">
        <f aca="false">IF($E91="","",COUNTIF($E88:$E91,AR$21)+COUNTIF($E88:$E91,$A$3))</f>
        <v>0</v>
      </c>
      <c r="AV91" s="53" t="n">
        <f aca="false">IF($F91="","",COUNTIF($F88:$F91,AR$21)+COUNTIF($F88:$F91,$A$3))</f>
        <v>0</v>
      </c>
      <c r="AX91" s="65" t="n">
        <f aca="false">IF($B91="","",COUNTIF($B88:$B91,AX$21)+COUNTIF($B88:$B91,$A$3))</f>
        <v>0</v>
      </c>
      <c r="AY91" s="52" t="n">
        <f aca="false">IF($C91="","",COUNTIF($C88:$C91,AX$21)+COUNTIF($C88:$C91,$A$3))</f>
        <v>0</v>
      </c>
      <c r="AZ91" s="52" t="n">
        <f aca="false">IF($D91="","",COUNTIF($D88:$D91,AX$21)+COUNTIF($D88:$D91,$A$3))</f>
        <v>0</v>
      </c>
      <c r="BA91" s="52" t="n">
        <f aca="false">IF($E91="","",COUNTIF($E88:$E91,AX$21)+COUNTIF($E88:$E91,$A$3))</f>
        <v>1</v>
      </c>
      <c r="BB91" s="53" t="n">
        <f aca="false">IF($F91="","",COUNTIF($F88:$F91,AX$21)+COUNTIF($F88:$F91,$A$3))</f>
        <v>0</v>
      </c>
      <c r="BD91" s="65" t="n">
        <f aca="false">IF($B91="","",COUNTIF($B88:$B91,BD$21)+COUNTIF($B88:$B91,$A$3))</f>
        <v>0</v>
      </c>
      <c r="BE91" s="52" t="n">
        <f aca="false">IF($C91="","",COUNTIF($C88:$C91,BD$21)+COUNTIF($C88:$C91,$A$3))</f>
        <v>1</v>
      </c>
      <c r="BF91" s="52" t="n">
        <f aca="false">IF($D91="","",COUNTIF($D88:$D91,BD$21)+COUNTIF($D88:$D91,$A$3))</f>
        <v>0</v>
      </c>
      <c r="BG91" s="52" t="n">
        <f aca="false">IF($E91="","",COUNTIF($E88:$E91,BD$21)+COUNTIF($E88:$E91,$A$3))</f>
        <v>0</v>
      </c>
      <c r="BH91" s="53" t="n">
        <f aca="false">IF($F91="","",COUNTIF($F88:$F91,BD$21)+COUNTIF($F88:$F91,$A$3))</f>
        <v>1</v>
      </c>
      <c r="BJ91" s="65" t="n">
        <f aca="false">IF($B91="","",COUNTIF($B88:$B91,BJ$21)+COUNTIF($B88:$B91,$A$3))</f>
        <v>1</v>
      </c>
      <c r="BK91" s="52" t="n">
        <f aca="false">IF($C91="","",COUNTIF($C88:$C91,BJ$21)+COUNTIF($C88:$C91,$A$3))</f>
        <v>0</v>
      </c>
      <c r="BL91" s="52" t="n">
        <f aca="false">IF($D91="","",COUNTIF($D88:$D91,BJ$21)+COUNTIF($D88:$D91,$A$3))</f>
        <v>1</v>
      </c>
      <c r="BM91" s="52" t="n">
        <f aca="false">IF($E91="","",COUNTIF($E88:$E91,BJ$21)+COUNTIF($E88:$E91,$A$3))</f>
        <v>0</v>
      </c>
      <c r="BN91" s="53" t="n">
        <f aca="false">IF($F91="","",COUNTIF($F88:$F91,BJ$21)+COUNTIF($F88:$F91,$A$3))</f>
        <v>0</v>
      </c>
      <c r="BP91" s="65" t="n">
        <f aca="false">IF($B91="","",COUNTIF($B88:$B91,BP$21)+COUNTIF($B88:$B91,$A$3))</f>
        <v>0</v>
      </c>
      <c r="BQ91" s="52" t="n">
        <f aca="false">IF($C91="","",COUNTIF($C88:$C91,BP$21)+COUNTIF($C88:$C91,$A$3))</f>
        <v>0</v>
      </c>
      <c r="BR91" s="52" t="n">
        <f aca="false">IF($D91="","",COUNTIF($D88:$D91,BP$21)+COUNTIF($D88:$D91,$A$3))</f>
        <v>1</v>
      </c>
      <c r="BS91" s="52" t="n">
        <f aca="false">IF($E91="","",COUNTIF($E88:$E91,BP$21)+COUNTIF($E88:$E91,$A$3))</f>
        <v>0</v>
      </c>
      <c r="BT91" s="53" t="n">
        <f aca="false">IF($F91="","",COUNTIF($F88:$F91,BP$21)+COUNTIF($F88:$F91,$A$3))</f>
        <v>0</v>
      </c>
    </row>
    <row r="92" customFormat="false" ht="15" hidden="false" customHeight="false" outlineLevel="0" collapsed="false">
      <c r="A92" s="13" t="n">
        <v>70</v>
      </c>
      <c r="B92" s="116" t="str">
        <f aca="false">IF('Game Info'!J75="","",'Game Info'!J75)</f>
        <v>FG</v>
      </c>
      <c r="C92" s="116" t="n">
        <f aca="false">IF('Game Info'!K75="","",'Game Info'!K75)</f>
        <v>9</v>
      </c>
      <c r="D92" s="116" t="str">
        <f aca="false">IF('Game Info'!L75="","",'Game Info'!L75)</f>
        <v>SYM1</v>
      </c>
      <c r="E92" s="116" t="n">
        <f aca="false">IF('Game Info'!M75="","",'Game Info'!M75)</f>
        <v>10</v>
      </c>
      <c r="F92" s="117" t="str">
        <f aca="false">IF('Game Info'!N75="","",'Game Info'!N75)</f>
        <v>K</v>
      </c>
      <c r="H92" s="65" t="n">
        <f aca="false">IF($B92="","",COUNTIF($B89:$B92,H$21)+COUNTIF($B89:$B92,$A$3))</f>
        <v>0</v>
      </c>
      <c r="I92" s="52" t="n">
        <f aca="false">IF($C92="","",COUNTIF($C89:$C92,H$21)+COUNTIF($C89:$C92,$A$3))</f>
        <v>0</v>
      </c>
      <c r="J92" s="52" t="n">
        <f aca="false">IF($D92="","",COUNTIF($D89:$D92,H$21)+COUNTIF($D89:$D92,$A$3))</f>
        <v>1</v>
      </c>
      <c r="K92" s="52" t="n">
        <f aca="false">IF($E92="","",COUNTIF($E89:$E92,H$21)+COUNTIF($E89:$E92,$A$3))</f>
        <v>0</v>
      </c>
      <c r="L92" s="53" t="n">
        <f aca="false">IF($F92="","",COUNTIF($F89:$F92,H$21)+COUNTIF($F89:$F92,$A$3))</f>
        <v>3</v>
      </c>
      <c r="N92" s="65" t="n">
        <f aca="false">IF($B92="","",COUNTIF($B89:$B92,N$21)+COUNTIF($B89:$B92,$A$3))</f>
        <v>0</v>
      </c>
      <c r="O92" s="52" t="n">
        <f aca="false">IF($C92="","",COUNTIF($C89:$C92,N$21)+COUNTIF($C89:$C92,$A$3))</f>
        <v>1</v>
      </c>
      <c r="P92" s="52" t="n">
        <f aca="false">IF($D92="","",COUNTIF($D89:$D92,N$21)+COUNTIF($D89:$D92,$A$3))</f>
        <v>1</v>
      </c>
      <c r="Q92" s="52" t="n">
        <f aca="false">IF($E92="","",COUNTIF($E89:$E92,N$21)+COUNTIF($E89:$E92,$A$3))</f>
        <v>0</v>
      </c>
      <c r="R92" s="53" t="n">
        <f aca="false">IF($F92="","",COUNTIF($F89:$F92,N$21)+COUNTIF($F89:$F92,$A$3))</f>
        <v>0</v>
      </c>
      <c r="T92" s="65" t="n">
        <f aca="false">IF($B92="","",COUNTIF($B89:$B92,T$21)+COUNTIF($B89:$B92,$A$3))</f>
        <v>0</v>
      </c>
      <c r="U92" s="52" t="n">
        <f aca="false">IF($C92="","",COUNTIF($C89:$C92,T$21)+COUNTIF($C89:$C92,$A$3))</f>
        <v>0</v>
      </c>
      <c r="V92" s="52" t="n">
        <f aca="false">IF($D92="","",COUNTIF($D89:$D92,T$21)+COUNTIF($D89:$D92,$A$3))</f>
        <v>0</v>
      </c>
      <c r="W92" s="52" t="n">
        <f aca="false">IF($E92="","",COUNTIF($E89:$E92,T$21)+COUNTIF($E89:$E92,$A$3))</f>
        <v>0</v>
      </c>
      <c r="X92" s="53" t="n">
        <f aca="false">IF($F92="","",COUNTIF($F89:$F92,T$21)+COUNTIF($F89:$F92,$A$3))</f>
        <v>0</v>
      </c>
      <c r="Z92" s="65" t="n">
        <f aca="false">IF($B92="","",COUNTIF($B89:$B92,Z$21)+COUNTIF($B89:$B92,$A$3))</f>
        <v>1</v>
      </c>
      <c r="AA92" s="52" t="n">
        <f aca="false">IF($C92="","",COUNTIF($C89:$C92,Z$21)+COUNTIF($C89:$C92,$A$3))</f>
        <v>0</v>
      </c>
      <c r="AB92" s="52" t="n">
        <f aca="false">IF($D92="","",COUNTIF($D89:$D92,Z$21)+COUNTIF($D89:$D92,$A$3))</f>
        <v>0</v>
      </c>
      <c r="AC92" s="52" t="n">
        <f aca="false">IF($E92="","",COUNTIF($E89:$E92,Z$21)+COUNTIF($E89:$E92,$A$3))</f>
        <v>0</v>
      </c>
      <c r="AD92" s="53" t="n">
        <f aca="false">IF($F92="","",COUNTIF($F89:$F92,Z$21)+COUNTIF($F89:$F92,$A$3))</f>
        <v>0</v>
      </c>
      <c r="AF92" s="65" t="n">
        <f aca="false">IF($B92="","",COUNTIF($B89:$B92,AF$21)+COUNTIF($B89:$B92,$A$3))</f>
        <v>0</v>
      </c>
      <c r="AG92" s="52" t="n">
        <f aca="false">IF($C92="","",COUNTIF($C89:$C92,AF$21)+COUNTIF($C89:$C92,$A$3))</f>
        <v>1</v>
      </c>
      <c r="AH92" s="52" t="n">
        <f aca="false">IF($D92="","",COUNTIF($D89:$D92,AF$21)+COUNTIF($D89:$D92,$A$3))</f>
        <v>0</v>
      </c>
      <c r="AI92" s="52" t="n">
        <f aca="false">IF($E92="","",COUNTIF($E89:$E92,AF$21)+COUNTIF($E89:$E92,$A$3))</f>
        <v>2</v>
      </c>
      <c r="AJ92" s="53" t="n">
        <f aca="false">IF($F92="","",COUNTIF($F89:$F92,AF$21)+COUNTIF($F89:$F92,$A$3))</f>
        <v>0</v>
      </c>
      <c r="AL92" s="65" t="n">
        <f aca="false">IF($B92="","",COUNTIF($B89:$B92,AL$21)+COUNTIF($B89:$B92,$A$3))</f>
        <v>1</v>
      </c>
      <c r="AM92" s="52" t="n">
        <f aca="false">IF($C92="","",COUNTIF($C89:$C92,AL$21)+COUNTIF($C89:$C92,$A$3))</f>
        <v>0</v>
      </c>
      <c r="AN92" s="52" t="n">
        <f aca="false">IF($D92="","",COUNTIF($D89:$D92,AL$21)+COUNTIF($D89:$D92,$A$3))</f>
        <v>0</v>
      </c>
      <c r="AO92" s="52" t="n">
        <f aca="false">IF($E92="","",COUNTIF($E89:$E92,AL$21)+COUNTIF($E89:$E92,$A$3))</f>
        <v>0</v>
      </c>
      <c r="AP92" s="53" t="n">
        <f aca="false">IF($F92="","",COUNTIF($F89:$F92,AL$21)+COUNTIF($F89:$F92,$A$3))</f>
        <v>0</v>
      </c>
      <c r="AR92" s="65" t="n">
        <f aca="false">IF($B92="","",COUNTIF($B89:$B92,AR$21)+COUNTIF($B89:$B92,$A$3))</f>
        <v>0</v>
      </c>
      <c r="AS92" s="52" t="n">
        <f aca="false">IF($C92="","",COUNTIF($C89:$C92,AR$21)+COUNTIF($C89:$C92,$A$3))</f>
        <v>0</v>
      </c>
      <c r="AT92" s="52" t="n">
        <f aca="false">IF($D92="","",COUNTIF($D89:$D92,AR$21)+COUNTIF($D89:$D92,$A$3))</f>
        <v>0</v>
      </c>
      <c r="AU92" s="52" t="n">
        <f aca="false">IF($E92="","",COUNTIF($E89:$E92,AR$21)+COUNTIF($E89:$E92,$A$3))</f>
        <v>0</v>
      </c>
      <c r="AV92" s="53" t="n">
        <f aca="false">IF($F92="","",COUNTIF($F89:$F92,AR$21)+COUNTIF($F89:$F92,$A$3))</f>
        <v>1</v>
      </c>
      <c r="AX92" s="65" t="n">
        <f aca="false">IF($B92="","",COUNTIF($B89:$B92,AX$21)+COUNTIF($B89:$B92,$A$3))</f>
        <v>0</v>
      </c>
      <c r="AY92" s="52" t="n">
        <f aca="false">IF($C92="","",COUNTIF($C89:$C92,AX$21)+COUNTIF($C89:$C92,$A$3))</f>
        <v>0</v>
      </c>
      <c r="AZ92" s="52" t="n">
        <f aca="false">IF($D92="","",COUNTIF($D89:$D92,AX$21)+COUNTIF($D89:$D92,$A$3))</f>
        <v>0</v>
      </c>
      <c r="BA92" s="52" t="n">
        <f aca="false">IF($E92="","",COUNTIF($E89:$E92,AX$21)+COUNTIF($E89:$E92,$A$3))</f>
        <v>1</v>
      </c>
      <c r="BB92" s="53" t="n">
        <f aca="false">IF($F92="","",COUNTIF($F89:$F92,AX$21)+COUNTIF($F89:$F92,$A$3))</f>
        <v>0</v>
      </c>
      <c r="BD92" s="65" t="n">
        <f aca="false">IF($B92="","",COUNTIF($B89:$B92,BD$21)+COUNTIF($B89:$B92,$A$3))</f>
        <v>0</v>
      </c>
      <c r="BE92" s="52" t="n">
        <f aca="false">IF($C92="","",COUNTIF($C89:$C92,BD$21)+COUNTIF($C89:$C92,$A$3))</f>
        <v>1</v>
      </c>
      <c r="BF92" s="52" t="n">
        <f aca="false">IF($D92="","",COUNTIF($D89:$D92,BD$21)+COUNTIF($D89:$D92,$A$3))</f>
        <v>0</v>
      </c>
      <c r="BG92" s="52" t="n">
        <f aca="false">IF($E92="","",COUNTIF($E89:$E92,BD$21)+COUNTIF($E89:$E92,$A$3))</f>
        <v>0</v>
      </c>
      <c r="BH92" s="53" t="n">
        <f aca="false">IF($F92="","",COUNTIF($F89:$F92,BD$21)+COUNTIF($F89:$F92,$A$3))</f>
        <v>0</v>
      </c>
      <c r="BJ92" s="65" t="n">
        <f aca="false">IF($B92="","",COUNTIF($B89:$B92,BJ$21)+COUNTIF($B89:$B92,$A$3))</f>
        <v>1</v>
      </c>
      <c r="BK92" s="52" t="n">
        <f aca="false">IF($C92="","",COUNTIF($C89:$C92,BJ$21)+COUNTIF($C89:$C92,$A$3))</f>
        <v>0</v>
      </c>
      <c r="BL92" s="52" t="n">
        <f aca="false">IF($D92="","",COUNTIF($D89:$D92,BJ$21)+COUNTIF($D89:$D92,$A$3))</f>
        <v>1</v>
      </c>
      <c r="BM92" s="52" t="n">
        <f aca="false">IF($E92="","",COUNTIF($E89:$E92,BJ$21)+COUNTIF($E89:$E92,$A$3))</f>
        <v>1</v>
      </c>
      <c r="BN92" s="53" t="n">
        <f aca="false">IF($F92="","",COUNTIF($F89:$F92,BJ$21)+COUNTIF($F89:$F92,$A$3))</f>
        <v>0</v>
      </c>
      <c r="BP92" s="65" t="n">
        <f aca="false">IF($B92="","",COUNTIF($B89:$B92,BP$21)+COUNTIF($B89:$B92,$A$3))</f>
        <v>0</v>
      </c>
      <c r="BQ92" s="52" t="n">
        <f aca="false">IF($C92="","",COUNTIF($C89:$C92,BP$21)+COUNTIF($C89:$C92,$A$3))</f>
        <v>1</v>
      </c>
      <c r="BR92" s="52" t="n">
        <f aca="false">IF($D92="","",COUNTIF($D89:$D92,BP$21)+COUNTIF($D89:$D92,$A$3))</f>
        <v>1</v>
      </c>
      <c r="BS92" s="52" t="n">
        <f aca="false">IF($E92="","",COUNTIF($E89:$E92,BP$21)+COUNTIF($E89:$E92,$A$3))</f>
        <v>0</v>
      </c>
      <c r="BT92" s="53" t="n">
        <f aca="false">IF($F92="","",COUNTIF($F89:$F92,BP$21)+COUNTIF($F89:$F92,$A$3))</f>
        <v>0</v>
      </c>
    </row>
    <row r="93" customFormat="false" ht="15" hidden="false" customHeight="false" outlineLevel="0" collapsed="false">
      <c r="A93" s="13" t="n">
        <v>71</v>
      </c>
      <c r="B93" s="116" t="str">
        <f aca="false">IF('Game Info'!J76="","",'Game Info'!J76)</f>
        <v>Q</v>
      </c>
      <c r="C93" s="116" t="str">
        <f aca="false">IF('Game Info'!K76="","",'Game Info'!K76)</f>
        <v>SYM5</v>
      </c>
      <c r="D93" s="116" t="str">
        <f aca="false">IF('Game Info'!L76="","",'Game Info'!L76)</f>
        <v>J</v>
      </c>
      <c r="E93" s="116" t="str">
        <f aca="false">IF('Game Info'!M76="","",'Game Info'!M76)</f>
        <v>A</v>
      </c>
      <c r="F93" s="117" t="n">
        <f aca="false">IF('Game Info'!N76="","",'Game Info'!N76)</f>
        <v>10</v>
      </c>
      <c r="H93" s="65" t="n">
        <f aca="false">IF($B93="","",COUNTIF($B90:$B93,H$21)+COUNTIF($B90:$B93,$A$3))</f>
        <v>0</v>
      </c>
      <c r="I93" s="52" t="n">
        <f aca="false">IF($C93="","",COUNTIF($C90:$C93,H$21)+COUNTIF($C90:$C93,$A$3))</f>
        <v>0</v>
      </c>
      <c r="J93" s="52" t="n">
        <f aca="false">IF($D93="","",COUNTIF($D90:$D93,H$21)+COUNTIF($D90:$D93,$A$3))</f>
        <v>1</v>
      </c>
      <c r="K93" s="52" t="n">
        <f aca="false">IF($E93="","",COUNTIF($E90:$E93,H$21)+COUNTIF($E90:$E93,$A$3))</f>
        <v>0</v>
      </c>
      <c r="L93" s="53" t="n">
        <f aca="false">IF($F93="","",COUNTIF($F90:$F93,H$21)+COUNTIF($F90:$F93,$A$3))</f>
        <v>2</v>
      </c>
      <c r="N93" s="65" t="n">
        <f aca="false">IF($B93="","",COUNTIF($B90:$B93,N$21)+COUNTIF($B90:$B93,$A$3))</f>
        <v>0</v>
      </c>
      <c r="O93" s="52" t="n">
        <f aca="false">IF($C93="","",COUNTIF($C90:$C93,N$21)+COUNTIF($C90:$C93,$A$3))</f>
        <v>0</v>
      </c>
      <c r="P93" s="52" t="n">
        <f aca="false">IF($D93="","",COUNTIF($D90:$D93,N$21)+COUNTIF($D90:$D93,$A$3))</f>
        <v>1</v>
      </c>
      <c r="Q93" s="52" t="n">
        <f aca="false">IF($E93="","",COUNTIF($E90:$E93,N$21)+COUNTIF($E90:$E93,$A$3))</f>
        <v>0</v>
      </c>
      <c r="R93" s="53" t="n">
        <f aca="false">IF($F93="","",COUNTIF($F90:$F93,N$21)+COUNTIF($F90:$F93,$A$3))</f>
        <v>0</v>
      </c>
      <c r="T93" s="65" t="n">
        <f aca="false">IF($B93="","",COUNTIF($B90:$B93,T$21)+COUNTIF($B90:$B93,$A$3))</f>
        <v>0</v>
      </c>
      <c r="U93" s="52" t="n">
        <f aca="false">IF($C93="","",COUNTIF($C90:$C93,T$21)+COUNTIF($C90:$C93,$A$3))</f>
        <v>0</v>
      </c>
      <c r="V93" s="52" t="n">
        <f aca="false">IF($D93="","",COUNTIF($D90:$D93,T$21)+COUNTIF($D90:$D93,$A$3))</f>
        <v>0</v>
      </c>
      <c r="W93" s="52" t="n">
        <f aca="false">IF($E93="","",COUNTIF($E90:$E93,T$21)+COUNTIF($E90:$E93,$A$3))</f>
        <v>0</v>
      </c>
      <c r="X93" s="53" t="n">
        <f aca="false">IF($F93="","",COUNTIF($F90:$F93,T$21)+COUNTIF($F90:$F93,$A$3))</f>
        <v>0</v>
      </c>
      <c r="Z93" s="65" t="n">
        <f aca="false">IF($B93="","",COUNTIF($B90:$B93,Z$21)+COUNTIF($B90:$B93,$A$3))</f>
        <v>1</v>
      </c>
      <c r="AA93" s="52" t="n">
        <f aca="false">IF($C93="","",COUNTIF($C90:$C93,Z$21)+COUNTIF($C90:$C93,$A$3))</f>
        <v>0</v>
      </c>
      <c r="AB93" s="52" t="n">
        <f aca="false">IF($D93="","",COUNTIF($D90:$D93,Z$21)+COUNTIF($D90:$D93,$A$3))</f>
        <v>0</v>
      </c>
      <c r="AC93" s="52" t="n">
        <f aca="false">IF($E93="","",COUNTIF($E90:$E93,Z$21)+COUNTIF($E90:$E93,$A$3))</f>
        <v>0</v>
      </c>
      <c r="AD93" s="53" t="n">
        <f aca="false">IF($F93="","",COUNTIF($F90:$F93,Z$21)+COUNTIF($F90:$F93,$A$3))</f>
        <v>0</v>
      </c>
      <c r="AF93" s="65" t="n">
        <f aca="false">IF($B93="","",COUNTIF($B90:$B93,AF$21)+COUNTIF($B90:$B93,$A$3))</f>
        <v>0</v>
      </c>
      <c r="AG93" s="52" t="n">
        <f aca="false">IF($C93="","",COUNTIF($C90:$C93,AF$21)+COUNTIF($C90:$C93,$A$3))</f>
        <v>2</v>
      </c>
      <c r="AH93" s="52" t="n">
        <f aca="false">IF($D93="","",COUNTIF($D90:$D93,AF$21)+COUNTIF($D90:$D93,$A$3))</f>
        <v>0</v>
      </c>
      <c r="AI93" s="52" t="n">
        <f aca="false">IF($E93="","",COUNTIF($E90:$E93,AF$21)+COUNTIF($E90:$E93,$A$3))</f>
        <v>2</v>
      </c>
      <c r="AJ93" s="53" t="n">
        <f aca="false">IF($F93="","",COUNTIF($F90:$F93,AF$21)+COUNTIF($F90:$F93,$A$3))</f>
        <v>0</v>
      </c>
      <c r="AL93" s="65" t="n">
        <f aca="false">IF($B93="","",COUNTIF($B90:$B93,AL$21)+COUNTIF($B90:$B93,$A$3))</f>
        <v>1</v>
      </c>
      <c r="AM93" s="52" t="n">
        <f aca="false">IF($C93="","",COUNTIF($C90:$C93,AL$21)+COUNTIF($C90:$C93,$A$3))</f>
        <v>0</v>
      </c>
      <c r="AN93" s="52" t="n">
        <f aca="false">IF($D93="","",COUNTIF($D90:$D93,AL$21)+COUNTIF($D90:$D93,$A$3))</f>
        <v>0</v>
      </c>
      <c r="AO93" s="52" t="n">
        <f aca="false">IF($E93="","",COUNTIF($E90:$E93,AL$21)+COUNTIF($E90:$E93,$A$3))</f>
        <v>1</v>
      </c>
      <c r="AP93" s="53" t="n">
        <f aca="false">IF($F93="","",COUNTIF($F90:$F93,AL$21)+COUNTIF($F90:$F93,$A$3))</f>
        <v>0</v>
      </c>
      <c r="AR93" s="65" t="n">
        <f aca="false">IF($B93="","",COUNTIF($B90:$B93,AR$21)+COUNTIF($B90:$B93,$A$3))</f>
        <v>0</v>
      </c>
      <c r="AS93" s="52" t="n">
        <f aca="false">IF($C93="","",COUNTIF($C90:$C93,AR$21)+COUNTIF($C90:$C93,$A$3))</f>
        <v>0</v>
      </c>
      <c r="AT93" s="52" t="n">
        <f aca="false">IF($D93="","",COUNTIF($D90:$D93,AR$21)+COUNTIF($D90:$D93,$A$3))</f>
        <v>0</v>
      </c>
      <c r="AU93" s="52" t="n">
        <f aca="false">IF($E93="","",COUNTIF($E90:$E93,AR$21)+COUNTIF($E90:$E93,$A$3))</f>
        <v>0</v>
      </c>
      <c r="AV93" s="53" t="n">
        <f aca="false">IF($F93="","",COUNTIF($F90:$F93,AR$21)+COUNTIF($F90:$F93,$A$3))</f>
        <v>1</v>
      </c>
      <c r="AX93" s="65" t="n">
        <f aca="false">IF($B93="","",COUNTIF($B90:$B93,AX$21)+COUNTIF($B90:$B93,$A$3))</f>
        <v>1</v>
      </c>
      <c r="AY93" s="52" t="n">
        <f aca="false">IF($C93="","",COUNTIF($C90:$C93,AX$21)+COUNTIF($C90:$C93,$A$3))</f>
        <v>0</v>
      </c>
      <c r="AZ93" s="52" t="n">
        <f aca="false">IF($D93="","",COUNTIF($D90:$D93,AX$21)+COUNTIF($D90:$D93,$A$3))</f>
        <v>0</v>
      </c>
      <c r="BA93" s="52" t="n">
        <f aca="false">IF($E93="","",COUNTIF($E90:$E93,AX$21)+COUNTIF($E90:$E93,$A$3))</f>
        <v>0</v>
      </c>
      <c r="BB93" s="53" t="n">
        <f aca="false">IF($F93="","",COUNTIF($F90:$F93,AX$21)+COUNTIF($F90:$F93,$A$3))</f>
        <v>0</v>
      </c>
      <c r="BD93" s="65" t="n">
        <f aca="false">IF($B93="","",COUNTIF($B90:$B93,BD$21)+COUNTIF($B90:$B93,$A$3))</f>
        <v>0</v>
      </c>
      <c r="BE93" s="52" t="n">
        <f aca="false">IF($C93="","",COUNTIF($C90:$C93,BD$21)+COUNTIF($C90:$C93,$A$3))</f>
        <v>1</v>
      </c>
      <c r="BF93" s="52" t="n">
        <f aca="false">IF($D93="","",COUNTIF($D90:$D93,BD$21)+COUNTIF($D90:$D93,$A$3))</f>
        <v>1</v>
      </c>
      <c r="BG93" s="52" t="n">
        <f aca="false">IF($E93="","",COUNTIF($E90:$E93,BD$21)+COUNTIF($E90:$E93,$A$3))</f>
        <v>0</v>
      </c>
      <c r="BH93" s="53" t="n">
        <f aca="false">IF($F93="","",COUNTIF($F90:$F93,BD$21)+COUNTIF($F90:$F93,$A$3))</f>
        <v>0</v>
      </c>
      <c r="BJ93" s="65" t="n">
        <f aca="false">IF($B93="","",COUNTIF($B90:$B93,BJ$21)+COUNTIF($B90:$B93,$A$3))</f>
        <v>0</v>
      </c>
      <c r="BK93" s="52" t="n">
        <f aca="false">IF($C93="","",COUNTIF($C90:$C93,BJ$21)+COUNTIF($C90:$C93,$A$3))</f>
        <v>0</v>
      </c>
      <c r="BL93" s="52" t="n">
        <f aca="false">IF($D93="","",COUNTIF($D90:$D93,BJ$21)+COUNTIF($D90:$D93,$A$3))</f>
        <v>0</v>
      </c>
      <c r="BM93" s="52" t="n">
        <f aca="false">IF($E93="","",COUNTIF($E90:$E93,BJ$21)+COUNTIF($E90:$E93,$A$3))</f>
        <v>1</v>
      </c>
      <c r="BN93" s="53" t="n">
        <f aca="false">IF($F93="","",COUNTIF($F90:$F93,BJ$21)+COUNTIF($F90:$F93,$A$3))</f>
        <v>1</v>
      </c>
      <c r="BP93" s="65" t="n">
        <f aca="false">IF($B93="","",COUNTIF($B90:$B93,BP$21)+COUNTIF($B90:$B93,$A$3))</f>
        <v>0</v>
      </c>
      <c r="BQ93" s="52" t="n">
        <f aca="false">IF($C93="","",COUNTIF($C90:$C93,BP$21)+COUNTIF($C90:$C93,$A$3))</f>
        <v>1</v>
      </c>
      <c r="BR93" s="52" t="n">
        <f aca="false">IF($D93="","",COUNTIF($D90:$D93,BP$21)+COUNTIF($D90:$D93,$A$3))</f>
        <v>1</v>
      </c>
      <c r="BS93" s="52" t="n">
        <f aca="false">IF($E93="","",COUNTIF($E90:$E93,BP$21)+COUNTIF($E90:$E93,$A$3))</f>
        <v>0</v>
      </c>
      <c r="BT93" s="53" t="n">
        <f aca="false">IF($F93="","",COUNTIF($F90:$F93,BP$21)+COUNTIF($F90:$F93,$A$3))</f>
        <v>0</v>
      </c>
    </row>
    <row r="94" customFormat="false" ht="15" hidden="false" customHeight="false" outlineLevel="0" collapsed="false">
      <c r="A94" s="13" t="n">
        <v>72</v>
      </c>
      <c r="B94" s="116" t="n">
        <f aca="false">IF('Game Info'!J77="","",'Game Info'!J77)</f>
        <v>10</v>
      </c>
      <c r="C94" s="116" t="str">
        <f aca="false">IF('Game Info'!K77="","",'Game Info'!K77)</f>
        <v>SYM5</v>
      </c>
      <c r="D94" s="116" t="str">
        <f aca="false">IF('Game Info'!L77="","",'Game Info'!L77)</f>
        <v>SYM5</v>
      </c>
      <c r="E94" s="116" t="str">
        <f aca="false">IF('Game Info'!M77="","",'Game Info'!M77)</f>
        <v>SYM4</v>
      </c>
      <c r="F94" s="117" t="str">
        <f aca="false">IF('Game Info'!N77="","",'Game Info'!N77)</f>
        <v>FG</v>
      </c>
      <c r="H94" s="65" t="n">
        <f aca="false">IF($B94="","",COUNTIF($B91:$B94,H$21)+COUNTIF($B91:$B94,$A$3))</f>
        <v>0</v>
      </c>
      <c r="I94" s="52" t="n">
        <f aca="false">IF($C94="","",COUNTIF($C91:$C94,H$21)+COUNTIF($C91:$C94,$A$3))</f>
        <v>0</v>
      </c>
      <c r="J94" s="52" t="n">
        <f aca="false">IF($D94="","",COUNTIF($D91:$D94,H$21)+COUNTIF($D91:$D94,$A$3))</f>
        <v>1</v>
      </c>
      <c r="K94" s="52" t="n">
        <f aca="false">IF($E94="","",COUNTIF($E91:$E94,H$21)+COUNTIF($E91:$E94,$A$3))</f>
        <v>0</v>
      </c>
      <c r="L94" s="53" t="n">
        <f aca="false">IF($F94="","",COUNTIF($F91:$F94,H$21)+COUNTIF($F91:$F94,$A$3))</f>
        <v>1</v>
      </c>
      <c r="N94" s="65" t="n">
        <f aca="false">IF($B94="","",COUNTIF($B91:$B94,N$21)+COUNTIF($B91:$B94,$A$3))</f>
        <v>0</v>
      </c>
      <c r="O94" s="52" t="n">
        <f aca="false">IF($C94="","",COUNTIF($C91:$C94,N$21)+COUNTIF($C91:$C94,$A$3))</f>
        <v>0</v>
      </c>
      <c r="P94" s="52" t="n">
        <f aca="false">IF($D94="","",COUNTIF($D91:$D94,N$21)+COUNTIF($D91:$D94,$A$3))</f>
        <v>1</v>
      </c>
      <c r="Q94" s="52" t="n">
        <f aca="false">IF($E94="","",COUNTIF($E91:$E94,N$21)+COUNTIF($E91:$E94,$A$3))</f>
        <v>0</v>
      </c>
      <c r="R94" s="53" t="n">
        <f aca="false">IF($F94="","",COUNTIF($F91:$F94,N$21)+COUNTIF($F91:$F94,$A$3))</f>
        <v>0</v>
      </c>
      <c r="T94" s="65" t="n">
        <f aca="false">IF($B94="","",COUNTIF($B91:$B94,T$21)+COUNTIF($B91:$B94,$A$3))</f>
        <v>0</v>
      </c>
      <c r="U94" s="52" t="n">
        <f aca="false">IF($C94="","",COUNTIF($C91:$C94,T$21)+COUNTIF($C91:$C94,$A$3))</f>
        <v>0</v>
      </c>
      <c r="V94" s="52" t="n">
        <f aca="false">IF($D94="","",COUNTIF($D91:$D94,T$21)+COUNTIF($D91:$D94,$A$3))</f>
        <v>0</v>
      </c>
      <c r="W94" s="52" t="n">
        <f aca="false">IF($E94="","",COUNTIF($E91:$E94,T$21)+COUNTIF($E91:$E94,$A$3))</f>
        <v>0</v>
      </c>
      <c r="X94" s="53" t="n">
        <f aca="false">IF($F94="","",COUNTIF($F91:$F94,T$21)+COUNTIF($F91:$F94,$A$3))</f>
        <v>0</v>
      </c>
      <c r="Z94" s="65" t="n">
        <f aca="false">IF($B94="","",COUNTIF($B91:$B94,Z$21)+COUNTIF($B91:$B94,$A$3))</f>
        <v>0</v>
      </c>
      <c r="AA94" s="52" t="n">
        <f aca="false">IF($C94="","",COUNTIF($C91:$C94,Z$21)+COUNTIF($C91:$C94,$A$3))</f>
        <v>0</v>
      </c>
      <c r="AB94" s="52" t="n">
        <f aca="false">IF($D94="","",COUNTIF($D91:$D94,Z$21)+COUNTIF($D91:$D94,$A$3))</f>
        <v>0</v>
      </c>
      <c r="AC94" s="52" t="n">
        <f aca="false">IF($E94="","",COUNTIF($E91:$E94,Z$21)+COUNTIF($E91:$E94,$A$3))</f>
        <v>1</v>
      </c>
      <c r="AD94" s="53" t="n">
        <f aca="false">IF($F94="","",COUNTIF($F91:$F94,Z$21)+COUNTIF($F91:$F94,$A$3))</f>
        <v>0</v>
      </c>
      <c r="AF94" s="65" t="n">
        <f aca="false">IF($B94="","",COUNTIF($B91:$B94,AF$21)+COUNTIF($B91:$B94,$A$3))</f>
        <v>0</v>
      </c>
      <c r="AG94" s="52" t="n">
        <f aca="false">IF($C94="","",COUNTIF($C91:$C94,AF$21)+COUNTIF($C91:$C94,$A$3))</f>
        <v>3</v>
      </c>
      <c r="AH94" s="52" t="n">
        <f aca="false">IF($D94="","",COUNTIF($D91:$D94,AF$21)+COUNTIF($D91:$D94,$A$3))</f>
        <v>1</v>
      </c>
      <c r="AI94" s="52" t="n">
        <f aca="false">IF($E94="","",COUNTIF($E91:$E94,AF$21)+COUNTIF($E91:$E94,$A$3))</f>
        <v>1</v>
      </c>
      <c r="AJ94" s="53" t="n">
        <f aca="false">IF($F94="","",COUNTIF($F91:$F94,AF$21)+COUNTIF($F91:$F94,$A$3))</f>
        <v>0</v>
      </c>
      <c r="AL94" s="65" t="n">
        <f aca="false">IF($B94="","",COUNTIF($B91:$B94,AL$21)+COUNTIF($B91:$B94,$A$3))</f>
        <v>1</v>
      </c>
      <c r="AM94" s="52" t="n">
        <f aca="false">IF($C94="","",COUNTIF($C91:$C94,AL$21)+COUNTIF($C91:$C94,$A$3))</f>
        <v>0</v>
      </c>
      <c r="AN94" s="52" t="n">
        <f aca="false">IF($D94="","",COUNTIF($D91:$D94,AL$21)+COUNTIF($D91:$D94,$A$3))</f>
        <v>0</v>
      </c>
      <c r="AO94" s="52" t="n">
        <f aca="false">IF($E94="","",COUNTIF($E91:$E94,AL$21)+COUNTIF($E91:$E94,$A$3))</f>
        <v>1</v>
      </c>
      <c r="AP94" s="53" t="n">
        <f aca="false">IF($F94="","",COUNTIF($F91:$F94,AL$21)+COUNTIF($F91:$F94,$A$3))</f>
        <v>0</v>
      </c>
      <c r="AR94" s="65" t="n">
        <f aca="false">IF($B94="","",COUNTIF($B91:$B94,AR$21)+COUNTIF($B91:$B94,$A$3))</f>
        <v>0</v>
      </c>
      <c r="AS94" s="52" t="n">
        <f aca="false">IF($C94="","",COUNTIF($C91:$C94,AR$21)+COUNTIF($C91:$C94,$A$3))</f>
        <v>0</v>
      </c>
      <c r="AT94" s="52" t="n">
        <f aca="false">IF($D94="","",COUNTIF($D91:$D94,AR$21)+COUNTIF($D91:$D94,$A$3))</f>
        <v>0</v>
      </c>
      <c r="AU94" s="52" t="n">
        <f aca="false">IF($E94="","",COUNTIF($E91:$E94,AR$21)+COUNTIF($E91:$E94,$A$3))</f>
        <v>0</v>
      </c>
      <c r="AV94" s="53" t="n">
        <f aca="false">IF($F94="","",COUNTIF($F91:$F94,AR$21)+COUNTIF($F91:$F94,$A$3))</f>
        <v>1</v>
      </c>
      <c r="AX94" s="65" t="n">
        <f aca="false">IF($B94="","",COUNTIF($B91:$B94,AX$21)+COUNTIF($B91:$B94,$A$3))</f>
        <v>1</v>
      </c>
      <c r="AY94" s="52" t="n">
        <f aca="false">IF($C94="","",COUNTIF($C91:$C94,AX$21)+COUNTIF($C91:$C94,$A$3))</f>
        <v>0</v>
      </c>
      <c r="AZ94" s="52" t="n">
        <f aca="false">IF($D94="","",COUNTIF($D91:$D94,AX$21)+COUNTIF($D91:$D94,$A$3))</f>
        <v>0</v>
      </c>
      <c r="BA94" s="52" t="n">
        <f aca="false">IF($E94="","",COUNTIF($E91:$E94,AX$21)+COUNTIF($E91:$E94,$A$3))</f>
        <v>0</v>
      </c>
      <c r="BB94" s="53" t="n">
        <f aca="false">IF($F94="","",COUNTIF($F91:$F94,AX$21)+COUNTIF($F91:$F94,$A$3))</f>
        <v>0</v>
      </c>
      <c r="BD94" s="65" t="n">
        <f aca="false">IF($B94="","",COUNTIF($B91:$B94,BD$21)+COUNTIF($B91:$B94,$A$3))</f>
        <v>0</v>
      </c>
      <c r="BE94" s="52" t="n">
        <f aca="false">IF($C94="","",COUNTIF($C91:$C94,BD$21)+COUNTIF($C91:$C94,$A$3))</f>
        <v>0</v>
      </c>
      <c r="BF94" s="52" t="n">
        <f aca="false">IF($D94="","",COUNTIF($D91:$D94,BD$21)+COUNTIF($D91:$D94,$A$3))</f>
        <v>1</v>
      </c>
      <c r="BG94" s="52" t="n">
        <f aca="false">IF($E94="","",COUNTIF($E91:$E94,BD$21)+COUNTIF($E91:$E94,$A$3))</f>
        <v>0</v>
      </c>
      <c r="BH94" s="53" t="n">
        <f aca="false">IF($F94="","",COUNTIF($F91:$F94,BD$21)+COUNTIF($F91:$F94,$A$3))</f>
        <v>0</v>
      </c>
      <c r="BJ94" s="65" t="n">
        <f aca="false">IF($B94="","",COUNTIF($B91:$B94,BJ$21)+COUNTIF($B91:$B94,$A$3))</f>
        <v>1</v>
      </c>
      <c r="BK94" s="52" t="n">
        <f aca="false">IF($C94="","",COUNTIF($C91:$C94,BJ$21)+COUNTIF($C91:$C94,$A$3))</f>
        <v>0</v>
      </c>
      <c r="BL94" s="52" t="n">
        <f aca="false">IF($D94="","",COUNTIF($D91:$D94,BJ$21)+COUNTIF($D91:$D94,$A$3))</f>
        <v>0</v>
      </c>
      <c r="BM94" s="52" t="n">
        <f aca="false">IF($E94="","",COUNTIF($E91:$E94,BJ$21)+COUNTIF($E91:$E94,$A$3))</f>
        <v>1</v>
      </c>
      <c r="BN94" s="53" t="n">
        <f aca="false">IF($F94="","",COUNTIF($F91:$F94,BJ$21)+COUNTIF($F91:$F94,$A$3))</f>
        <v>1</v>
      </c>
      <c r="BP94" s="65" t="n">
        <f aca="false">IF($B94="","",COUNTIF($B91:$B94,BP$21)+COUNTIF($B91:$B94,$A$3))</f>
        <v>0</v>
      </c>
      <c r="BQ94" s="52" t="n">
        <f aca="false">IF($C94="","",COUNTIF($C91:$C94,BP$21)+COUNTIF($C91:$C94,$A$3))</f>
        <v>1</v>
      </c>
      <c r="BR94" s="52" t="n">
        <f aca="false">IF($D94="","",COUNTIF($D91:$D94,BP$21)+COUNTIF($D91:$D94,$A$3))</f>
        <v>0</v>
      </c>
      <c r="BS94" s="52" t="n">
        <f aca="false">IF($E94="","",COUNTIF($E91:$E94,BP$21)+COUNTIF($E91:$E94,$A$3))</f>
        <v>0</v>
      </c>
      <c r="BT94" s="53" t="n">
        <f aca="false">IF($F94="","",COUNTIF($F91:$F94,BP$21)+COUNTIF($F91:$F94,$A$3))</f>
        <v>0</v>
      </c>
    </row>
    <row r="95" customFormat="false" ht="15" hidden="false" customHeight="false" outlineLevel="0" collapsed="false">
      <c r="A95" s="13" t="n">
        <v>73</v>
      </c>
      <c r="B95" s="116" t="str">
        <f aca="false">IF('Game Info'!J78="","",'Game Info'!J78)</f>
        <v>SYM5</v>
      </c>
      <c r="C95" s="116" t="str">
        <f aca="false">IF('Game Info'!K78="","",'Game Info'!K78)</f>
        <v>A</v>
      </c>
      <c r="D95" s="116" t="n">
        <f aca="false">IF('Game Info'!L78="","",'Game Info'!L78)</f>
        <v>9</v>
      </c>
      <c r="E95" s="116" t="n">
        <f aca="false">IF('Game Info'!M78="","",'Game Info'!M78)</f>
        <v>9</v>
      </c>
      <c r="F95" s="117" t="str">
        <f aca="false">IF('Game Info'!N78="","",'Game Info'!N78)</f>
        <v>A</v>
      </c>
      <c r="H95" s="65" t="n">
        <f aca="false">IF($B95="","",COUNTIF($B92:$B95,H$21)+COUNTIF($B92:$B95,$A$3))</f>
        <v>0</v>
      </c>
      <c r="I95" s="52" t="n">
        <f aca="false">IF($C95="","",COUNTIF($C92:$C95,H$21)+COUNTIF($C92:$C95,$A$3))</f>
        <v>0</v>
      </c>
      <c r="J95" s="52" t="n">
        <f aca="false">IF($D95="","",COUNTIF($D92:$D95,H$21)+COUNTIF($D92:$D95,$A$3))</f>
        <v>1</v>
      </c>
      <c r="K95" s="52" t="n">
        <f aca="false">IF($E95="","",COUNTIF($E92:$E95,H$21)+COUNTIF($E92:$E95,$A$3))</f>
        <v>0</v>
      </c>
      <c r="L95" s="53" t="n">
        <f aca="false">IF($F95="","",COUNTIF($F92:$F95,H$21)+COUNTIF($F92:$F95,$A$3))</f>
        <v>0</v>
      </c>
      <c r="N95" s="65" t="n">
        <f aca="false">IF($B95="","",COUNTIF($B92:$B95,N$21)+COUNTIF($B92:$B95,$A$3))</f>
        <v>0</v>
      </c>
      <c r="O95" s="52" t="n">
        <f aca="false">IF($C95="","",COUNTIF($C92:$C95,N$21)+COUNTIF($C92:$C95,$A$3))</f>
        <v>0</v>
      </c>
      <c r="P95" s="52" t="n">
        <f aca="false">IF($D95="","",COUNTIF($D92:$D95,N$21)+COUNTIF($D92:$D95,$A$3))</f>
        <v>0</v>
      </c>
      <c r="Q95" s="52" t="n">
        <f aca="false">IF($E95="","",COUNTIF($E92:$E95,N$21)+COUNTIF($E92:$E95,$A$3))</f>
        <v>0</v>
      </c>
      <c r="R95" s="53" t="n">
        <f aca="false">IF($F95="","",COUNTIF($F92:$F95,N$21)+COUNTIF($F92:$F95,$A$3))</f>
        <v>0</v>
      </c>
      <c r="T95" s="65" t="n">
        <f aca="false">IF($B95="","",COUNTIF($B92:$B95,T$21)+COUNTIF($B92:$B95,$A$3))</f>
        <v>0</v>
      </c>
      <c r="U95" s="52" t="n">
        <f aca="false">IF($C95="","",COUNTIF($C92:$C95,T$21)+COUNTIF($C92:$C95,$A$3))</f>
        <v>0</v>
      </c>
      <c r="V95" s="52" t="n">
        <f aca="false">IF($D95="","",COUNTIF($D92:$D95,T$21)+COUNTIF($D92:$D95,$A$3))</f>
        <v>0</v>
      </c>
      <c r="W95" s="52" t="n">
        <f aca="false">IF($E95="","",COUNTIF($E92:$E95,T$21)+COUNTIF($E92:$E95,$A$3))</f>
        <v>0</v>
      </c>
      <c r="X95" s="53" t="n">
        <f aca="false">IF($F95="","",COUNTIF($F92:$F95,T$21)+COUNTIF($F92:$F95,$A$3))</f>
        <v>0</v>
      </c>
      <c r="Z95" s="65" t="n">
        <f aca="false">IF($B95="","",COUNTIF($B92:$B95,Z$21)+COUNTIF($B92:$B95,$A$3))</f>
        <v>0</v>
      </c>
      <c r="AA95" s="52" t="n">
        <f aca="false">IF($C95="","",COUNTIF($C92:$C95,Z$21)+COUNTIF($C92:$C95,$A$3))</f>
        <v>0</v>
      </c>
      <c r="AB95" s="52" t="n">
        <f aca="false">IF($D95="","",COUNTIF($D92:$D95,Z$21)+COUNTIF($D92:$D95,$A$3))</f>
        <v>0</v>
      </c>
      <c r="AC95" s="52" t="n">
        <f aca="false">IF($E95="","",COUNTIF($E92:$E95,Z$21)+COUNTIF($E92:$E95,$A$3))</f>
        <v>1</v>
      </c>
      <c r="AD95" s="53" t="n">
        <f aca="false">IF($F95="","",COUNTIF($F92:$F95,Z$21)+COUNTIF($F92:$F95,$A$3))</f>
        <v>0</v>
      </c>
      <c r="AF95" s="65" t="n">
        <f aca="false">IF($B95="","",COUNTIF($B92:$B95,AF$21)+COUNTIF($B92:$B95,$A$3))</f>
        <v>1</v>
      </c>
      <c r="AG95" s="52" t="n">
        <f aca="false">IF($C95="","",COUNTIF($C92:$C95,AF$21)+COUNTIF($C92:$C95,$A$3))</f>
        <v>2</v>
      </c>
      <c r="AH95" s="52" t="n">
        <f aca="false">IF($D95="","",COUNTIF($D92:$D95,AF$21)+COUNTIF($D92:$D95,$A$3))</f>
        <v>1</v>
      </c>
      <c r="AI95" s="52" t="n">
        <f aca="false">IF($E95="","",COUNTIF($E92:$E95,AF$21)+COUNTIF($E92:$E95,$A$3))</f>
        <v>0</v>
      </c>
      <c r="AJ95" s="53" t="n">
        <f aca="false">IF($F95="","",COUNTIF($F92:$F95,AF$21)+COUNTIF($F92:$F95,$A$3))</f>
        <v>0</v>
      </c>
      <c r="AL95" s="65" t="n">
        <f aca="false">IF($B95="","",COUNTIF($B92:$B95,AL$21)+COUNTIF($B92:$B95,$A$3))</f>
        <v>0</v>
      </c>
      <c r="AM95" s="52" t="n">
        <f aca="false">IF($C95="","",COUNTIF($C92:$C95,AL$21)+COUNTIF($C92:$C95,$A$3))</f>
        <v>1</v>
      </c>
      <c r="AN95" s="52" t="n">
        <f aca="false">IF($D95="","",COUNTIF($D92:$D95,AL$21)+COUNTIF($D92:$D95,$A$3))</f>
        <v>0</v>
      </c>
      <c r="AO95" s="52" t="n">
        <f aca="false">IF($E95="","",COUNTIF($E92:$E95,AL$21)+COUNTIF($E92:$E95,$A$3))</f>
        <v>1</v>
      </c>
      <c r="AP95" s="53" t="n">
        <f aca="false">IF($F95="","",COUNTIF($F92:$F95,AL$21)+COUNTIF($F92:$F95,$A$3))</f>
        <v>1</v>
      </c>
      <c r="AR95" s="65" t="n">
        <f aca="false">IF($B95="","",COUNTIF($B92:$B95,AR$21)+COUNTIF($B92:$B95,$A$3))</f>
        <v>0</v>
      </c>
      <c r="AS95" s="52" t="n">
        <f aca="false">IF($C95="","",COUNTIF($C92:$C95,AR$21)+COUNTIF($C92:$C95,$A$3))</f>
        <v>0</v>
      </c>
      <c r="AT95" s="52" t="n">
        <f aca="false">IF($D95="","",COUNTIF($D92:$D95,AR$21)+COUNTIF($D92:$D95,$A$3))</f>
        <v>0</v>
      </c>
      <c r="AU95" s="52" t="n">
        <f aca="false">IF($E95="","",COUNTIF($E92:$E95,AR$21)+COUNTIF($E92:$E95,$A$3))</f>
        <v>0</v>
      </c>
      <c r="AV95" s="53" t="n">
        <f aca="false">IF($F95="","",COUNTIF($F92:$F95,AR$21)+COUNTIF($F92:$F95,$A$3))</f>
        <v>1</v>
      </c>
      <c r="AX95" s="65" t="n">
        <f aca="false">IF($B95="","",COUNTIF($B92:$B95,AX$21)+COUNTIF($B92:$B95,$A$3))</f>
        <v>1</v>
      </c>
      <c r="AY95" s="52" t="n">
        <f aca="false">IF($C95="","",COUNTIF($C92:$C95,AX$21)+COUNTIF($C92:$C95,$A$3))</f>
        <v>0</v>
      </c>
      <c r="AZ95" s="52" t="n">
        <f aca="false">IF($D95="","",COUNTIF($D92:$D95,AX$21)+COUNTIF($D92:$D95,$A$3))</f>
        <v>0</v>
      </c>
      <c r="BA95" s="52" t="n">
        <f aca="false">IF($E95="","",COUNTIF($E92:$E95,AX$21)+COUNTIF($E92:$E95,$A$3))</f>
        <v>0</v>
      </c>
      <c r="BB95" s="53" t="n">
        <f aca="false">IF($F95="","",COUNTIF($F92:$F95,AX$21)+COUNTIF($F92:$F95,$A$3))</f>
        <v>0</v>
      </c>
      <c r="BD95" s="65" t="n">
        <f aca="false">IF($B95="","",COUNTIF($B92:$B95,BD$21)+COUNTIF($B92:$B95,$A$3))</f>
        <v>0</v>
      </c>
      <c r="BE95" s="52" t="n">
        <f aca="false">IF($C95="","",COUNTIF($C92:$C95,BD$21)+COUNTIF($C92:$C95,$A$3))</f>
        <v>0</v>
      </c>
      <c r="BF95" s="52" t="n">
        <f aca="false">IF($D95="","",COUNTIF($D92:$D95,BD$21)+COUNTIF($D92:$D95,$A$3))</f>
        <v>1</v>
      </c>
      <c r="BG95" s="52" t="n">
        <f aca="false">IF($E95="","",COUNTIF($E92:$E95,BD$21)+COUNTIF($E92:$E95,$A$3))</f>
        <v>0</v>
      </c>
      <c r="BH95" s="53" t="n">
        <f aca="false">IF($F95="","",COUNTIF($F92:$F95,BD$21)+COUNTIF($F92:$F95,$A$3))</f>
        <v>0</v>
      </c>
      <c r="BJ95" s="65" t="n">
        <f aca="false">IF($B95="","",COUNTIF($B92:$B95,BJ$21)+COUNTIF($B92:$B95,$A$3))</f>
        <v>1</v>
      </c>
      <c r="BK95" s="52" t="n">
        <f aca="false">IF($C95="","",COUNTIF($C92:$C95,BJ$21)+COUNTIF($C92:$C95,$A$3))</f>
        <v>0</v>
      </c>
      <c r="BL95" s="52" t="n">
        <f aca="false">IF($D95="","",COUNTIF($D92:$D95,BJ$21)+COUNTIF($D92:$D95,$A$3))</f>
        <v>0</v>
      </c>
      <c r="BM95" s="52" t="n">
        <f aca="false">IF($E95="","",COUNTIF($E92:$E95,BJ$21)+COUNTIF($E92:$E95,$A$3))</f>
        <v>1</v>
      </c>
      <c r="BN95" s="53" t="n">
        <f aca="false">IF($F95="","",COUNTIF($F92:$F95,BJ$21)+COUNTIF($F92:$F95,$A$3))</f>
        <v>1</v>
      </c>
      <c r="BP95" s="65" t="n">
        <f aca="false">IF($B95="","",COUNTIF($B92:$B95,BP$21)+COUNTIF($B92:$B95,$A$3))</f>
        <v>0</v>
      </c>
      <c r="BQ95" s="52" t="n">
        <f aca="false">IF($C95="","",COUNTIF($C92:$C95,BP$21)+COUNTIF($C92:$C95,$A$3))</f>
        <v>1</v>
      </c>
      <c r="BR95" s="52" t="n">
        <f aca="false">IF($D95="","",COUNTIF($D92:$D95,BP$21)+COUNTIF($D92:$D95,$A$3))</f>
        <v>1</v>
      </c>
      <c r="BS95" s="52" t="n">
        <f aca="false">IF($E95="","",COUNTIF($E92:$E95,BP$21)+COUNTIF($E92:$E95,$A$3))</f>
        <v>1</v>
      </c>
      <c r="BT95" s="53" t="n">
        <f aca="false">IF($F95="","",COUNTIF($F92:$F95,BP$21)+COUNTIF($F92:$F95,$A$3))</f>
        <v>0</v>
      </c>
    </row>
    <row r="96" customFormat="false" ht="15" hidden="false" customHeight="false" outlineLevel="0" collapsed="false">
      <c r="A96" s="13" t="n">
        <v>74</v>
      </c>
      <c r="B96" s="116" t="str">
        <f aca="false">IF('Game Info'!J79="","",'Game Info'!J79)</f>
        <v>Q</v>
      </c>
      <c r="C96" s="116" t="str">
        <f aca="false">IF('Game Info'!K79="","",'Game Info'!K79)</f>
        <v>K</v>
      </c>
      <c r="D96" s="116" t="str">
        <f aca="false">IF('Game Info'!L79="","",'Game Info'!L79)</f>
        <v>SYM3</v>
      </c>
      <c r="E96" s="116" t="str">
        <f aca="false">IF('Game Info'!M79="","",'Game Info'!M79)</f>
        <v>SYM5</v>
      </c>
      <c r="F96" s="117" t="str">
        <f aca="false">IF('Game Info'!N79="","",'Game Info'!N79)</f>
        <v>SYM2</v>
      </c>
      <c r="H96" s="65" t="n">
        <f aca="false">IF($B96="","",COUNTIF($B93:$B96,H$21)+COUNTIF($B93:$B96,$A$3))</f>
        <v>0</v>
      </c>
      <c r="I96" s="52" t="n">
        <f aca="false">IF($C96="","",COUNTIF($C93:$C96,H$21)+COUNTIF($C93:$C96,$A$3))</f>
        <v>0</v>
      </c>
      <c r="J96" s="52" t="n">
        <f aca="false">IF($D96="","",COUNTIF($D93:$D96,H$21)+COUNTIF($D93:$D96,$A$3))</f>
        <v>0</v>
      </c>
      <c r="K96" s="52" t="n">
        <f aca="false">IF($E96="","",COUNTIF($E93:$E96,H$21)+COUNTIF($E93:$E96,$A$3))</f>
        <v>0</v>
      </c>
      <c r="L96" s="53" t="n">
        <f aca="false">IF($F96="","",COUNTIF($F93:$F96,H$21)+COUNTIF($F93:$F96,$A$3))</f>
        <v>0</v>
      </c>
      <c r="N96" s="65" t="n">
        <f aca="false">IF($B96="","",COUNTIF($B93:$B96,N$21)+COUNTIF($B93:$B96,$A$3))</f>
        <v>0</v>
      </c>
      <c r="O96" s="52" t="n">
        <f aca="false">IF($C96="","",COUNTIF($C93:$C96,N$21)+COUNTIF($C93:$C96,$A$3))</f>
        <v>0</v>
      </c>
      <c r="P96" s="52" t="n">
        <f aca="false">IF($D96="","",COUNTIF($D93:$D96,N$21)+COUNTIF($D93:$D96,$A$3))</f>
        <v>0</v>
      </c>
      <c r="Q96" s="52" t="n">
        <f aca="false">IF($E96="","",COUNTIF($E93:$E96,N$21)+COUNTIF($E93:$E96,$A$3))</f>
        <v>0</v>
      </c>
      <c r="R96" s="53" t="n">
        <f aca="false">IF($F96="","",COUNTIF($F93:$F96,N$21)+COUNTIF($F93:$F96,$A$3))</f>
        <v>1</v>
      </c>
      <c r="T96" s="65" t="n">
        <f aca="false">IF($B96="","",COUNTIF($B93:$B96,T$21)+COUNTIF($B93:$B96,$A$3))</f>
        <v>0</v>
      </c>
      <c r="U96" s="52" t="n">
        <f aca="false">IF($C96="","",COUNTIF($C93:$C96,T$21)+COUNTIF($C93:$C96,$A$3))</f>
        <v>0</v>
      </c>
      <c r="V96" s="52" t="n">
        <f aca="false">IF($D96="","",COUNTIF($D93:$D96,T$21)+COUNTIF($D93:$D96,$A$3))</f>
        <v>1</v>
      </c>
      <c r="W96" s="52" t="n">
        <f aca="false">IF($E96="","",COUNTIF($E93:$E96,T$21)+COUNTIF($E93:$E96,$A$3))</f>
        <v>0</v>
      </c>
      <c r="X96" s="53" t="n">
        <f aca="false">IF($F96="","",COUNTIF($F93:$F96,T$21)+COUNTIF($F93:$F96,$A$3))</f>
        <v>0</v>
      </c>
      <c r="Z96" s="65" t="n">
        <f aca="false">IF($B96="","",COUNTIF($B93:$B96,Z$21)+COUNTIF($B93:$B96,$A$3))</f>
        <v>0</v>
      </c>
      <c r="AA96" s="52" t="n">
        <f aca="false">IF($C96="","",COUNTIF($C93:$C96,Z$21)+COUNTIF($C93:$C96,$A$3))</f>
        <v>0</v>
      </c>
      <c r="AB96" s="52" t="n">
        <f aca="false">IF($D96="","",COUNTIF($D93:$D96,Z$21)+COUNTIF($D93:$D96,$A$3))</f>
        <v>0</v>
      </c>
      <c r="AC96" s="52" t="n">
        <f aca="false">IF($E96="","",COUNTIF($E93:$E96,Z$21)+COUNTIF($E93:$E96,$A$3))</f>
        <v>1</v>
      </c>
      <c r="AD96" s="53" t="n">
        <f aca="false">IF($F96="","",COUNTIF($F93:$F96,Z$21)+COUNTIF($F93:$F96,$A$3))</f>
        <v>0</v>
      </c>
      <c r="AF96" s="65" t="n">
        <f aca="false">IF($B96="","",COUNTIF($B93:$B96,AF$21)+COUNTIF($B93:$B96,$A$3))</f>
        <v>1</v>
      </c>
      <c r="AG96" s="52" t="n">
        <f aca="false">IF($C96="","",COUNTIF($C93:$C96,AF$21)+COUNTIF($C93:$C96,$A$3))</f>
        <v>2</v>
      </c>
      <c r="AH96" s="52" t="n">
        <f aca="false">IF($D96="","",COUNTIF($D93:$D96,AF$21)+COUNTIF($D93:$D96,$A$3))</f>
        <v>1</v>
      </c>
      <c r="AI96" s="52" t="n">
        <f aca="false">IF($E96="","",COUNTIF($E93:$E96,AF$21)+COUNTIF($E93:$E96,$A$3))</f>
        <v>1</v>
      </c>
      <c r="AJ96" s="53" t="n">
        <f aca="false">IF($F96="","",COUNTIF($F93:$F96,AF$21)+COUNTIF($F93:$F96,$A$3))</f>
        <v>0</v>
      </c>
      <c r="AL96" s="65" t="n">
        <f aca="false">IF($B96="","",COUNTIF($B93:$B96,AL$21)+COUNTIF($B93:$B96,$A$3))</f>
        <v>0</v>
      </c>
      <c r="AM96" s="52" t="n">
        <f aca="false">IF($C96="","",COUNTIF($C93:$C96,AL$21)+COUNTIF($C93:$C96,$A$3))</f>
        <v>1</v>
      </c>
      <c r="AN96" s="52" t="n">
        <f aca="false">IF($D96="","",COUNTIF($D93:$D96,AL$21)+COUNTIF($D93:$D96,$A$3))</f>
        <v>0</v>
      </c>
      <c r="AO96" s="52" t="n">
        <f aca="false">IF($E96="","",COUNTIF($E93:$E96,AL$21)+COUNTIF($E93:$E96,$A$3))</f>
        <v>1</v>
      </c>
      <c r="AP96" s="53" t="n">
        <f aca="false">IF($F96="","",COUNTIF($F93:$F96,AL$21)+COUNTIF($F93:$F96,$A$3))</f>
        <v>1</v>
      </c>
      <c r="AR96" s="65" t="n">
        <f aca="false">IF($B96="","",COUNTIF($B93:$B96,AR$21)+COUNTIF($B93:$B96,$A$3))</f>
        <v>0</v>
      </c>
      <c r="AS96" s="52" t="n">
        <f aca="false">IF($C96="","",COUNTIF($C93:$C96,AR$21)+COUNTIF($C93:$C96,$A$3))</f>
        <v>1</v>
      </c>
      <c r="AT96" s="52" t="n">
        <f aca="false">IF($D96="","",COUNTIF($D93:$D96,AR$21)+COUNTIF($D93:$D96,$A$3))</f>
        <v>0</v>
      </c>
      <c r="AU96" s="52" t="n">
        <f aca="false">IF($E96="","",COUNTIF($E93:$E96,AR$21)+COUNTIF($E93:$E96,$A$3))</f>
        <v>0</v>
      </c>
      <c r="AV96" s="53" t="n">
        <f aca="false">IF($F96="","",COUNTIF($F93:$F96,AR$21)+COUNTIF($F93:$F96,$A$3))</f>
        <v>0</v>
      </c>
      <c r="AX96" s="65" t="n">
        <f aca="false">IF($B96="","",COUNTIF($B93:$B96,AX$21)+COUNTIF($B93:$B96,$A$3))</f>
        <v>2</v>
      </c>
      <c r="AY96" s="52" t="n">
        <f aca="false">IF($C96="","",COUNTIF($C93:$C96,AX$21)+COUNTIF($C93:$C96,$A$3))</f>
        <v>0</v>
      </c>
      <c r="AZ96" s="52" t="n">
        <f aca="false">IF($D96="","",COUNTIF($D93:$D96,AX$21)+COUNTIF($D93:$D96,$A$3))</f>
        <v>0</v>
      </c>
      <c r="BA96" s="52" t="n">
        <f aca="false">IF($E96="","",COUNTIF($E93:$E96,AX$21)+COUNTIF($E93:$E96,$A$3))</f>
        <v>0</v>
      </c>
      <c r="BB96" s="53" t="n">
        <f aca="false">IF($F96="","",COUNTIF($F93:$F96,AX$21)+COUNTIF($F93:$F96,$A$3))</f>
        <v>0</v>
      </c>
      <c r="BD96" s="65" t="n">
        <f aca="false">IF($B96="","",COUNTIF($B93:$B96,BD$21)+COUNTIF($B93:$B96,$A$3))</f>
        <v>0</v>
      </c>
      <c r="BE96" s="52" t="n">
        <f aca="false">IF($C96="","",COUNTIF($C93:$C96,BD$21)+COUNTIF($C93:$C96,$A$3))</f>
        <v>0</v>
      </c>
      <c r="BF96" s="52" t="n">
        <f aca="false">IF($D96="","",COUNTIF($D93:$D96,BD$21)+COUNTIF($D93:$D96,$A$3))</f>
        <v>1</v>
      </c>
      <c r="BG96" s="52" t="n">
        <f aca="false">IF($E96="","",COUNTIF($E93:$E96,BD$21)+COUNTIF($E93:$E96,$A$3))</f>
        <v>0</v>
      </c>
      <c r="BH96" s="53" t="n">
        <f aca="false">IF($F96="","",COUNTIF($F93:$F96,BD$21)+COUNTIF($F93:$F96,$A$3))</f>
        <v>0</v>
      </c>
      <c r="BJ96" s="65" t="n">
        <f aca="false">IF($B96="","",COUNTIF($B93:$B96,BJ$21)+COUNTIF($B93:$B96,$A$3))</f>
        <v>1</v>
      </c>
      <c r="BK96" s="52" t="n">
        <f aca="false">IF($C96="","",COUNTIF($C93:$C96,BJ$21)+COUNTIF($C93:$C96,$A$3))</f>
        <v>0</v>
      </c>
      <c r="BL96" s="52" t="n">
        <f aca="false">IF($D96="","",COUNTIF($D93:$D96,BJ$21)+COUNTIF($D93:$D96,$A$3))</f>
        <v>0</v>
      </c>
      <c r="BM96" s="52" t="n">
        <f aca="false">IF($E96="","",COUNTIF($E93:$E96,BJ$21)+COUNTIF($E93:$E96,$A$3))</f>
        <v>0</v>
      </c>
      <c r="BN96" s="53" t="n">
        <f aca="false">IF($F96="","",COUNTIF($F93:$F96,BJ$21)+COUNTIF($F93:$F96,$A$3))</f>
        <v>1</v>
      </c>
      <c r="BP96" s="65" t="n">
        <f aca="false">IF($B96="","",COUNTIF($B93:$B96,BP$21)+COUNTIF($B93:$B96,$A$3))</f>
        <v>0</v>
      </c>
      <c r="BQ96" s="52" t="n">
        <f aca="false">IF($C96="","",COUNTIF($C93:$C96,BP$21)+COUNTIF($C93:$C96,$A$3))</f>
        <v>0</v>
      </c>
      <c r="BR96" s="52" t="n">
        <f aca="false">IF($D96="","",COUNTIF($D93:$D96,BP$21)+COUNTIF($D93:$D96,$A$3))</f>
        <v>1</v>
      </c>
      <c r="BS96" s="52" t="n">
        <f aca="false">IF($E96="","",COUNTIF($E93:$E96,BP$21)+COUNTIF($E93:$E96,$A$3))</f>
        <v>1</v>
      </c>
      <c r="BT96" s="53" t="n">
        <f aca="false">IF($F96="","",COUNTIF($F93:$F96,BP$21)+COUNTIF($F93:$F96,$A$3))</f>
        <v>0</v>
      </c>
    </row>
    <row r="97" customFormat="false" ht="15" hidden="false" customHeight="false" outlineLevel="0" collapsed="false">
      <c r="A97" s="13" t="n">
        <v>75</v>
      </c>
      <c r="B97" s="116" t="str">
        <f aca="false">IF('Game Info'!J80="","",'Game Info'!J80)</f>
        <v>SYM2</v>
      </c>
      <c r="C97" s="116" t="str">
        <f aca="false">IF('Game Info'!K80="","",'Game Info'!K80)</f>
        <v>SYM3</v>
      </c>
      <c r="D97" s="116" t="str">
        <f aca="false">IF('Game Info'!L80="","",'Game Info'!L80)</f>
        <v>A</v>
      </c>
      <c r="E97" s="116" t="str">
        <f aca="false">IF('Game Info'!M80="","",'Game Info'!M80)</f>
        <v>Q</v>
      </c>
      <c r="F97" s="117" t="str">
        <f aca="false">IF('Game Info'!N80="","",'Game Info'!N80)</f>
        <v>J</v>
      </c>
      <c r="H97" s="65" t="n">
        <f aca="false">IF($B97="","",COUNTIF($B94:$B97,H$21)+COUNTIF($B94:$B97,$A$3))</f>
        <v>0</v>
      </c>
      <c r="I97" s="52" t="n">
        <f aca="false">IF($C97="","",COUNTIF($C94:$C97,H$21)+COUNTIF($C94:$C97,$A$3))</f>
        <v>0</v>
      </c>
      <c r="J97" s="52" t="n">
        <f aca="false">IF($D97="","",COUNTIF($D94:$D97,H$21)+COUNTIF($D94:$D97,$A$3))</f>
        <v>0</v>
      </c>
      <c r="K97" s="52" t="n">
        <f aca="false">IF($E97="","",COUNTIF($E94:$E97,H$21)+COUNTIF($E94:$E97,$A$3))</f>
        <v>0</v>
      </c>
      <c r="L97" s="53" t="n">
        <f aca="false">IF($F97="","",COUNTIF($F94:$F97,H$21)+COUNTIF($F94:$F97,$A$3))</f>
        <v>0</v>
      </c>
      <c r="N97" s="65" t="n">
        <f aca="false">IF($B97="","",COUNTIF($B94:$B97,N$21)+COUNTIF($B94:$B97,$A$3))</f>
        <v>1</v>
      </c>
      <c r="O97" s="52" t="n">
        <f aca="false">IF($C97="","",COUNTIF($C94:$C97,N$21)+COUNTIF($C94:$C97,$A$3))</f>
        <v>0</v>
      </c>
      <c r="P97" s="52" t="n">
        <f aca="false">IF($D97="","",COUNTIF($D94:$D97,N$21)+COUNTIF($D94:$D97,$A$3))</f>
        <v>0</v>
      </c>
      <c r="Q97" s="52" t="n">
        <f aca="false">IF($E97="","",COUNTIF($E94:$E97,N$21)+COUNTIF($E94:$E97,$A$3))</f>
        <v>0</v>
      </c>
      <c r="R97" s="53" t="n">
        <f aca="false">IF($F97="","",COUNTIF($F94:$F97,N$21)+COUNTIF($F94:$F97,$A$3))</f>
        <v>1</v>
      </c>
      <c r="T97" s="65" t="n">
        <f aca="false">IF($B97="","",COUNTIF($B94:$B97,T$21)+COUNTIF($B94:$B97,$A$3))</f>
        <v>0</v>
      </c>
      <c r="U97" s="52" t="n">
        <f aca="false">IF($C97="","",COUNTIF($C94:$C97,T$21)+COUNTIF($C94:$C97,$A$3))</f>
        <v>1</v>
      </c>
      <c r="V97" s="52" t="n">
        <f aca="false">IF($D97="","",COUNTIF($D94:$D97,T$21)+COUNTIF($D94:$D97,$A$3))</f>
        <v>1</v>
      </c>
      <c r="W97" s="52" t="n">
        <f aca="false">IF($E97="","",COUNTIF($E94:$E97,T$21)+COUNTIF($E94:$E97,$A$3))</f>
        <v>0</v>
      </c>
      <c r="X97" s="53" t="n">
        <f aca="false">IF($F97="","",COUNTIF($F94:$F97,T$21)+COUNTIF($F94:$F97,$A$3))</f>
        <v>0</v>
      </c>
      <c r="Z97" s="65" t="n">
        <f aca="false">IF($B97="","",COUNTIF($B94:$B97,Z$21)+COUNTIF($B94:$B97,$A$3))</f>
        <v>0</v>
      </c>
      <c r="AA97" s="52" t="n">
        <f aca="false">IF($C97="","",COUNTIF($C94:$C97,Z$21)+COUNTIF($C94:$C97,$A$3))</f>
        <v>0</v>
      </c>
      <c r="AB97" s="52" t="n">
        <f aca="false">IF($D97="","",COUNTIF($D94:$D97,Z$21)+COUNTIF($D94:$D97,$A$3))</f>
        <v>0</v>
      </c>
      <c r="AC97" s="52" t="n">
        <f aca="false">IF($E97="","",COUNTIF($E94:$E97,Z$21)+COUNTIF($E94:$E97,$A$3))</f>
        <v>1</v>
      </c>
      <c r="AD97" s="53" t="n">
        <f aca="false">IF($F97="","",COUNTIF($F94:$F97,Z$21)+COUNTIF($F94:$F97,$A$3))</f>
        <v>0</v>
      </c>
      <c r="AF97" s="65" t="n">
        <f aca="false">IF($B97="","",COUNTIF($B94:$B97,AF$21)+COUNTIF($B94:$B97,$A$3))</f>
        <v>1</v>
      </c>
      <c r="AG97" s="52" t="n">
        <f aca="false">IF($C97="","",COUNTIF($C94:$C97,AF$21)+COUNTIF($C94:$C97,$A$3))</f>
        <v>1</v>
      </c>
      <c r="AH97" s="52" t="n">
        <f aca="false">IF($D97="","",COUNTIF($D94:$D97,AF$21)+COUNTIF($D94:$D97,$A$3))</f>
        <v>1</v>
      </c>
      <c r="AI97" s="52" t="n">
        <f aca="false">IF($E97="","",COUNTIF($E94:$E97,AF$21)+COUNTIF($E94:$E97,$A$3))</f>
        <v>1</v>
      </c>
      <c r="AJ97" s="53" t="n">
        <f aca="false">IF($F97="","",COUNTIF($F94:$F97,AF$21)+COUNTIF($F94:$F97,$A$3))</f>
        <v>0</v>
      </c>
      <c r="AL97" s="65" t="n">
        <f aca="false">IF($B97="","",COUNTIF($B94:$B97,AL$21)+COUNTIF($B94:$B97,$A$3))</f>
        <v>0</v>
      </c>
      <c r="AM97" s="52" t="n">
        <f aca="false">IF($C97="","",COUNTIF($C94:$C97,AL$21)+COUNTIF($C94:$C97,$A$3))</f>
        <v>1</v>
      </c>
      <c r="AN97" s="52" t="n">
        <f aca="false">IF($D97="","",COUNTIF($D94:$D97,AL$21)+COUNTIF($D94:$D97,$A$3))</f>
        <v>1</v>
      </c>
      <c r="AO97" s="52" t="n">
        <f aca="false">IF($E97="","",COUNTIF($E94:$E97,AL$21)+COUNTIF($E94:$E97,$A$3))</f>
        <v>0</v>
      </c>
      <c r="AP97" s="53" t="n">
        <f aca="false">IF($F97="","",COUNTIF($F94:$F97,AL$21)+COUNTIF($F94:$F97,$A$3))</f>
        <v>1</v>
      </c>
      <c r="AR97" s="65" t="n">
        <f aca="false">IF($B97="","",COUNTIF($B94:$B97,AR$21)+COUNTIF($B94:$B97,$A$3))</f>
        <v>0</v>
      </c>
      <c r="AS97" s="52" t="n">
        <f aca="false">IF($C97="","",COUNTIF($C94:$C97,AR$21)+COUNTIF($C94:$C97,$A$3))</f>
        <v>1</v>
      </c>
      <c r="AT97" s="52" t="n">
        <f aca="false">IF($D97="","",COUNTIF($D94:$D97,AR$21)+COUNTIF($D94:$D97,$A$3))</f>
        <v>0</v>
      </c>
      <c r="AU97" s="52" t="n">
        <f aca="false">IF($E97="","",COUNTIF($E94:$E97,AR$21)+COUNTIF($E94:$E97,$A$3))</f>
        <v>0</v>
      </c>
      <c r="AV97" s="53" t="n">
        <f aca="false">IF($F97="","",COUNTIF($F94:$F97,AR$21)+COUNTIF($F94:$F97,$A$3))</f>
        <v>0</v>
      </c>
      <c r="AX97" s="65" t="n">
        <f aca="false">IF($B97="","",COUNTIF($B94:$B97,AX$21)+COUNTIF($B94:$B97,$A$3))</f>
        <v>1</v>
      </c>
      <c r="AY97" s="52" t="n">
        <f aca="false">IF($C97="","",COUNTIF($C94:$C97,AX$21)+COUNTIF($C94:$C97,$A$3))</f>
        <v>0</v>
      </c>
      <c r="AZ97" s="52" t="n">
        <f aca="false">IF($D97="","",COUNTIF($D94:$D97,AX$21)+COUNTIF($D94:$D97,$A$3))</f>
        <v>0</v>
      </c>
      <c r="BA97" s="52" t="n">
        <f aca="false">IF($E97="","",COUNTIF($E94:$E97,AX$21)+COUNTIF($E94:$E97,$A$3))</f>
        <v>1</v>
      </c>
      <c r="BB97" s="53" t="n">
        <f aca="false">IF($F97="","",COUNTIF($F94:$F97,AX$21)+COUNTIF($F94:$F97,$A$3))</f>
        <v>0</v>
      </c>
      <c r="BD97" s="65" t="n">
        <f aca="false">IF($B97="","",COUNTIF($B94:$B97,BD$21)+COUNTIF($B94:$B97,$A$3))</f>
        <v>0</v>
      </c>
      <c r="BE97" s="52" t="n">
        <f aca="false">IF($C97="","",COUNTIF($C94:$C97,BD$21)+COUNTIF($C94:$C97,$A$3))</f>
        <v>0</v>
      </c>
      <c r="BF97" s="52" t="n">
        <f aca="false">IF($D97="","",COUNTIF($D94:$D97,BD$21)+COUNTIF($D94:$D97,$A$3))</f>
        <v>0</v>
      </c>
      <c r="BG97" s="52" t="n">
        <f aca="false">IF($E97="","",COUNTIF($E94:$E97,BD$21)+COUNTIF($E94:$E97,$A$3))</f>
        <v>0</v>
      </c>
      <c r="BH97" s="53" t="n">
        <f aca="false">IF($F97="","",COUNTIF($F94:$F97,BD$21)+COUNTIF($F94:$F97,$A$3))</f>
        <v>1</v>
      </c>
      <c r="BJ97" s="65" t="n">
        <f aca="false">IF($B97="","",COUNTIF($B94:$B97,BJ$21)+COUNTIF($B94:$B97,$A$3))</f>
        <v>1</v>
      </c>
      <c r="BK97" s="52" t="n">
        <f aca="false">IF($C97="","",COUNTIF($C94:$C97,BJ$21)+COUNTIF($C94:$C97,$A$3))</f>
        <v>0</v>
      </c>
      <c r="BL97" s="52" t="n">
        <f aca="false">IF($D97="","",COUNTIF($D94:$D97,BJ$21)+COUNTIF($D94:$D97,$A$3))</f>
        <v>0</v>
      </c>
      <c r="BM97" s="52" t="n">
        <f aca="false">IF($E97="","",COUNTIF($E94:$E97,BJ$21)+COUNTIF($E94:$E97,$A$3))</f>
        <v>0</v>
      </c>
      <c r="BN97" s="53" t="n">
        <f aca="false">IF($F97="","",COUNTIF($F94:$F97,BJ$21)+COUNTIF($F94:$F97,$A$3))</f>
        <v>0</v>
      </c>
      <c r="BP97" s="65" t="n">
        <f aca="false">IF($B97="","",COUNTIF($B94:$B97,BP$21)+COUNTIF($B94:$B97,$A$3))</f>
        <v>0</v>
      </c>
      <c r="BQ97" s="52" t="n">
        <f aca="false">IF($C97="","",COUNTIF($C94:$C97,BP$21)+COUNTIF($C94:$C97,$A$3))</f>
        <v>0</v>
      </c>
      <c r="BR97" s="52" t="n">
        <f aca="false">IF($D97="","",COUNTIF($D94:$D97,BP$21)+COUNTIF($D94:$D97,$A$3))</f>
        <v>1</v>
      </c>
      <c r="BS97" s="52" t="n">
        <f aca="false">IF($E97="","",COUNTIF($E94:$E97,BP$21)+COUNTIF($E94:$E97,$A$3))</f>
        <v>1</v>
      </c>
      <c r="BT97" s="53" t="n">
        <f aca="false">IF($F97="","",COUNTIF($F94:$F97,BP$21)+COUNTIF($F94:$F97,$A$3))</f>
        <v>0</v>
      </c>
    </row>
    <row r="98" customFormat="false" ht="15" hidden="false" customHeight="false" outlineLevel="0" collapsed="false">
      <c r="A98" s="13" t="n">
        <v>76</v>
      </c>
      <c r="B98" s="116" t="str">
        <f aca="false">IF('Game Info'!J81="","",'Game Info'!J81)</f>
        <v>K</v>
      </c>
      <c r="C98" s="116" t="str">
        <f aca="false">IF('Game Info'!K81="","",'Game Info'!K81)</f>
        <v>K</v>
      </c>
      <c r="D98" s="116" t="str">
        <f aca="false">IF('Game Info'!L81="","",'Game Info'!L81)</f>
        <v>SYM4</v>
      </c>
      <c r="E98" s="116" t="str">
        <f aca="false">IF('Game Info'!M81="","",'Game Info'!M81)</f>
        <v>SYM4</v>
      </c>
      <c r="F98" s="117" t="str">
        <f aca="false">IF('Game Info'!N81="","",'Game Info'!N81)</f>
        <v>SYM3</v>
      </c>
      <c r="H98" s="65" t="n">
        <f aca="false">IF($B98="","",COUNTIF($B95:$B98,H$21)+COUNTIF($B95:$B98,$A$3))</f>
        <v>0</v>
      </c>
      <c r="I98" s="52" t="n">
        <f aca="false">IF($C98="","",COUNTIF($C95:$C98,H$21)+COUNTIF($C95:$C98,$A$3))</f>
        <v>0</v>
      </c>
      <c r="J98" s="52" t="n">
        <f aca="false">IF($D98="","",COUNTIF($D95:$D98,H$21)+COUNTIF($D95:$D98,$A$3))</f>
        <v>0</v>
      </c>
      <c r="K98" s="52" t="n">
        <f aca="false">IF($E98="","",COUNTIF($E95:$E98,H$21)+COUNTIF($E95:$E98,$A$3))</f>
        <v>0</v>
      </c>
      <c r="L98" s="53" t="n">
        <f aca="false">IF($F98="","",COUNTIF($F95:$F98,H$21)+COUNTIF($F95:$F98,$A$3))</f>
        <v>0</v>
      </c>
      <c r="N98" s="65" t="n">
        <f aca="false">IF($B98="","",COUNTIF($B95:$B98,N$21)+COUNTIF($B95:$B98,$A$3))</f>
        <v>1</v>
      </c>
      <c r="O98" s="52" t="n">
        <f aca="false">IF($C98="","",COUNTIF($C95:$C98,N$21)+COUNTIF($C95:$C98,$A$3))</f>
        <v>0</v>
      </c>
      <c r="P98" s="52" t="n">
        <f aca="false">IF($D98="","",COUNTIF($D95:$D98,N$21)+COUNTIF($D95:$D98,$A$3))</f>
        <v>0</v>
      </c>
      <c r="Q98" s="52" t="n">
        <f aca="false">IF($E98="","",COUNTIF($E95:$E98,N$21)+COUNTIF($E95:$E98,$A$3))</f>
        <v>0</v>
      </c>
      <c r="R98" s="53" t="n">
        <f aca="false">IF($F98="","",COUNTIF($F95:$F98,N$21)+COUNTIF($F95:$F98,$A$3))</f>
        <v>1</v>
      </c>
      <c r="T98" s="65" t="n">
        <f aca="false">IF($B98="","",COUNTIF($B95:$B98,T$21)+COUNTIF($B95:$B98,$A$3))</f>
        <v>0</v>
      </c>
      <c r="U98" s="52" t="n">
        <f aca="false">IF($C98="","",COUNTIF($C95:$C98,T$21)+COUNTIF($C95:$C98,$A$3))</f>
        <v>1</v>
      </c>
      <c r="V98" s="52" t="n">
        <f aca="false">IF($D98="","",COUNTIF($D95:$D98,T$21)+COUNTIF($D95:$D98,$A$3))</f>
        <v>1</v>
      </c>
      <c r="W98" s="52" t="n">
        <f aca="false">IF($E98="","",COUNTIF($E95:$E98,T$21)+COUNTIF($E95:$E98,$A$3))</f>
        <v>0</v>
      </c>
      <c r="X98" s="53" t="n">
        <f aca="false">IF($F98="","",COUNTIF($F95:$F98,T$21)+COUNTIF($F95:$F98,$A$3))</f>
        <v>1</v>
      </c>
      <c r="Z98" s="65" t="n">
        <f aca="false">IF($B98="","",COUNTIF($B95:$B98,Z$21)+COUNTIF($B95:$B98,$A$3))</f>
        <v>0</v>
      </c>
      <c r="AA98" s="52" t="n">
        <f aca="false">IF($C98="","",COUNTIF($C95:$C98,Z$21)+COUNTIF($C95:$C98,$A$3))</f>
        <v>0</v>
      </c>
      <c r="AB98" s="52" t="n">
        <f aca="false">IF($D98="","",COUNTIF($D95:$D98,Z$21)+COUNTIF($D95:$D98,$A$3))</f>
        <v>1</v>
      </c>
      <c r="AC98" s="52" t="n">
        <f aca="false">IF($E98="","",COUNTIF($E95:$E98,Z$21)+COUNTIF($E95:$E98,$A$3))</f>
        <v>1</v>
      </c>
      <c r="AD98" s="53" t="n">
        <f aca="false">IF($F98="","",COUNTIF($F95:$F98,Z$21)+COUNTIF($F95:$F98,$A$3))</f>
        <v>0</v>
      </c>
      <c r="AF98" s="65" t="n">
        <f aca="false">IF($B98="","",COUNTIF($B95:$B98,AF$21)+COUNTIF($B95:$B98,$A$3))</f>
        <v>1</v>
      </c>
      <c r="AG98" s="52" t="n">
        <f aca="false">IF($C98="","",COUNTIF($C95:$C98,AF$21)+COUNTIF($C95:$C98,$A$3))</f>
        <v>0</v>
      </c>
      <c r="AH98" s="52" t="n">
        <f aca="false">IF($D98="","",COUNTIF($D95:$D98,AF$21)+COUNTIF($D95:$D98,$A$3))</f>
        <v>0</v>
      </c>
      <c r="AI98" s="52" t="n">
        <f aca="false">IF($E98="","",COUNTIF($E95:$E98,AF$21)+COUNTIF($E95:$E98,$A$3))</f>
        <v>1</v>
      </c>
      <c r="AJ98" s="53" t="n">
        <f aca="false">IF($F98="","",COUNTIF($F95:$F98,AF$21)+COUNTIF($F95:$F98,$A$3))</f>
        <v>0</v>
      </c>
      <c r="AL98" s="65" t="n">
        <f aca="false">IF($B98="","",COUNTIF($B95:$B98,AL$21)+COUNTIF($B95:$B98,$A$3))</f>
        <v>0</v>
      </c>
      <c r="AM98" s="52" t="n">
        <f aca="false">IF($C98="","",COUNTIF($C95:$C98,AL$21)+COUNTIF($C95:$C98,$A$3))</f>
        <v>1</v>
      </c>
      <c r="AN98" s="52" t="n">
        <f aca="false">IF($D98="","",COUNTIF($D95:$D98,AL$21)+COUNTIF($D95:$D98,$A$3))</f>
        <v>1</v>
      </c>
      <c r="AO98" s="52" t="n">
        <f aca="false">IF($E98="","",COUNTIF($E95:$E98,AL$21)+COUNTIF($E95:$E98,$A$3))</f>
        <v>0</v>
      </c>
      <c r="AP98" s="53" t="n">
        <f aca="false">IF($F98="","",COUNTIF($F95:$F98,AL$21)+COUNTIF($F95:$F98,$A$3))</f>
        <v>1</v>
      </c>
      <c r="AR98" s="65" t="n">
        <f aca="false">IF($B98="","",COUNTIF($B95:$B98,AR$21)+COUNTIF($B95:$B98,$A$3))</f>
        <v>1</v>
      </c>
      <c r="AS98" s="52" t="n">
        <f aca="false">IF($C98="","",COUNTIF($C95:$C98,AR$21)+COUNTIF($C95:$C98,$A$3))</f>
        <v>2</v>
      </c>
      <c r="AT98" s="52" t="n">
        <f aca="false">IF($D98="","",COUNTIF($D95:$D98,AR$21)+COUNTIF($D95:$D98,$A$3))</f>
        <v>0</v>
      </c>
      <c r="AU98" s="52" t="n">
        <f aca="false">IF($E98="","",COUNTIF($E95:$E98,AR$21)+COUNTIF($E95:$E98,$A$3))</f>
        <v>0</v>
      </c>
      <c r="AV98" s="53" t="n">
        <f aca="false">IF($F98="","",COUNTIF($F95:$F98,AR$21)+COUNTIF($F95:$F98,$A$3))</f>
        <v>0</v>
      </c>
      <c r="AX98" s="65" t="n">
        <f aca="false">IF($B98="","",COUNTIF($B95:$B98,AX$21)+COUNTIF($B95:$B98,$A$3))</f>
        <v>1</v>
      </c>
      <c r="AY98" s="52" t="n">
        <f aca="false">IF($C98="","",COUNTIF($C95:$C98,AX$21)+COUNTIF($C95:$C98,$A$3))</f>
        <v>0</v>
      </c>
      <c r="AZ98" s="52" t="n">
        <f aca="false">IF($D98="","",COUNTIF($D95:$D98,AX$21)+COUNTIF($D95:$D98,$A$3))</f>
        <v>0</v>
      </c>
      <c r="BA98" s="52" t="n">
        <f aca="false">IF($E98="","",COUNTIF($E95:$E98,AX$21)+COUNTIF($E95:$E98,$A$3))</f>
        <v>1</v>
      </c>
      <c r="BB98" s="53" t="n">
        <f aca="false">IF($F98="","",COUNTIF($F95:$F98,AX$21)+COUNTIF($F95:$F98,$A$3))</f>
        <v>0</v>
      </c>
      <c r="BD98" s="65" t="n">
        <f aca="false">IF($B98="","",COUNTIF($B95:$B98,BD$21)+COUNTIF($B95:$B98,$A$3))</f>
        <v>0</v>
      </c>
      <c r="BE98" s="52" t="n">
        <f aca="false">IF($C98="","",COUNTIF($C95:$C98,BD$21)+COUNTIF($C95:$C98,$A$3))</f>
        <v>0</v>
      </c>
      <c r="BF98" s="52" t="n">
        <f aca="false">IF($D98="","",COUNTIF($D95:$D98,BD$21)+COUNTIF($D95:$D98,$A$3))</f>
        <v>0</v>
      </c>
      <c r="BG98" s="52" t="n">
        <f aca="false">IF($E98="","",COUNTIF($E95:$E98,BD$21)+COUNTIF($E95:$E98,$A$3))</f>
        <v>0</v>
      </c>
      <c r="BH98" s="53" t="n">
        <f aca="false">IF($F98="","",COUNTIF($F95:$F98,BD$21)+COUNTIF($F95:$F98,$A$3))</f>
        <v>1</v>
      </c>
      <c r="BJ98" s="65" t="n">
        <f aca="false">IF($B98="","",COUNTIF($B95:$B98,BJ$21)+COUNTIF($B95:$B98,$A$3))</f>
        <v>0</v>
      </c>
      <c r="BK98" s="52" t="n">
        <f aca="false">IF($C98="","",COUNTIF($C95:$C98,BJ$21)+COUNTIF($C95:$C98,$A$3))</f>
        <v>0</v>
      </c>
      <c r="BL98" s="52" t="n">
        <f aca="false">IF($D98="","",COUNTIF($D95:$D98,BJ$21)+COUNTIF($D95:$D98,$A$3))</f>
        <v>0</v>
      </c>
      <c r="BM98" s="52" t="n">
        <f aca="false">IF($E98="","",COUNTIF($E95:$E98,BJ$21)+COUNTIF($E95:$E98,$A$3))</f>
        <v>0</v>
      </c>
      <c r="BN98" s="53" t="n">
        <f aca="false">IF($F98="","",COUNTIF($F95:$F98,BJ$21)+COUNTIF($F95:$F98,$A$3))</f>
        <v>0</v>
      </c>
      <c r="BP98" s="65" t="n">
        <f aca="false">IF($B98="","",COUNTIF($B95:$B98,BP$21)+COUNTIF($B95:$B98,$A$3))</f>
        <v>0</v>
      </c>
      <c r="BQ98" s="52" t="n">
        <f aca="false">IF($C98="","",COUNTIF($C95:$C98,BP$21)+COUNTIF($C95:$C98,$A$3))</f>
        <v>0</v>
      </c>
      <c r="BR98" s="52" t="n">
        <f aca="false">IF($D98="","",COUNTIF($D95:$D98,BP$21)+COUNTIF($D95:$D98,$A$3))</f>
        <v>1</v>
      </c>
      <c r="BS98" s="52" t="n">
        <f aca="false">IF($E98="","",COUNTIF($E95:$E98,BP$21)+COUNTIF($E95:$E98,$A$3))</f>
        <v>1</v>
      </c>
      <c r="BT98" s="53" t="n">
        <f aca="false">IF($F98="","",COUNTIF($F95:$F98,BP$21)+COUNTIF($F95:$F98,$A$3))</f>
        <v>0</v>
      </c>
    </row>
    <row r="99" customFormat="false" ht="15" hidden="false" customHeight="false" outlineLevel="0" collapsed="false">
      <c r="A99" s="13" t="n">
        <v>77</v>
      </c>
      <c r="B99" s="116" t="str">
        <f aca="false">IF('Game Info'!J82="","",'Game Info'!J82)</f>
        <v>SYM1</v>
      </c>
      <c r="C99" s="116" t="str">
        <f aca="false">IF('Game Info'!K82="","",'Game Info'!K82)</f>
        <v>SYM2</v>
      </c>
      <c r="D99" s="116" t="str">
        <f aca="false">IF('Game Info'!L82="","",'Game Info'!L82)</f>
        <v>Q</v>
      </c>
      <c r="E99" s="116" t="str">
        <f aca="false">IF('Game Info'!M82="","",'Game Info'!M82)</f>
        <v>SYM5</v>
      </c>
      <c r="F99" s="117" t="n">
        <f aca="false">IF('Game Info'!N82="","",'Game Info'!N82)</f>
        <v>9</v>
      </c>
      <c r="H99" s="65" t="n">
        <f aca="false">IF($B99="","",COUNTIF($B96:$B99,H$21)+COUNTIF($B96:$B99,$A$3))</f>
        <v>1</v>
      </c>
      <c r="I99" s="52" t="n">
        <f aca="false">IF($C99="","",COUNTIF($C96:$C99,H$21)+COUNTIF($C96:$C99,$A$3))</f>
        <v>0</v>
      </c>
      <c r="J99" s="52" t="n">
        <f aca="false">IF($D99="","",COUNTIF($D96:$D99,H$21)+COUNTIF($D96:$D99,$A$3))</f>
        <v>0</v>
      </c>
      <c r="K99" s="52" t="n">
        <f aca="false">IF($E99="","",COUNTIF($E96:$E99,H$21)+COUNTIF($E96:$E99,$A$3))</f>
        <v>0</v>
      </c>
      <c r="L99" s="53" t="n">
        <f aca="false">IF($F99="","",COUNTIF($F96:$F99,H$21)+COUNTIF($F96:$F99,$A$3))</f>
        <v>0</v>
      </c>
      <c r="N99" s="65" t="n">
        <f aca="false">IF($B99="","",COUNTIF($B96:$B99,N$21)+COUNTIF($B96:$B99,$A$3))</f>
        <v>1</v>
      </c>
      <c r="O99" s="52" t="n">
        <f aca="false">IF($C99="","",COUNTIF($C96:$C99,N$21)+COUNTIF($C96:$C99,$A$3))</f>
        <v>1</v>
      </c>
      <c r="P99" s="52" t="n">
        <f aca="false">IF($D99="","",COUNTIF($D96:$D99,N$21)+COUNTIF($D96:$D99,$A$3))</f>
        <v>0</v>
      </c>
      <c r="Q99" s="52" t="n">
        <f aca="false">IF($E99="","",COUNTIF($E96:$E99,N$21)+COUNTIF($E96:$E99,$A$3))</f>
        <v>0</v>
      </c>
      <c r="R99" s="53" t="n">
        <f aca="false">IF($F99="","",COUNTIF($F96:$F99,N$21)+COUNTIF($F96:$F99,$A$3))</f>
        <v>1</v>
      </c>
      <c r="T99" s="65" t="n">
        <f aca="false">IF($B99="","",COUNTIF($B96:$B99,T$21)+COUNTIF($B96:$B99,$A$3))</f>
        <v>0</v>
      </c>
      <c r="U99" s="52" t="n">
        <f aca="false">IF($C99="","",COUNTIF($C96:$C99,T$21)+COUNTIF($C96:$C99,$A$3))</f>
        <v>1</v>
      </c>
      <c r="V99" s="52" t="n">
        <f aca="false">IF($D99="","",COUNTIF($D96:$D99,T$21)+COUNTIF($D96:$D99,$A$3))</f>
        <v>1</v>
      </c>
      <c r="W99" s="52" t="n">
        <f aca="false">IF($E99="","",COUNTIF($E96:$E99,T$21)+COUNTIF($E96:$E99,$A$3))</f>
        <v>0</v>
      </c>
      <c r="X99" s="53" t="n">
        <f aca="false">IF($F99="","",COUNTIF($F96:$F99,T$21)+COUNTIF($F96:$F99,$A$3))</f>
        <v>1</v>
      </c>
      <c r="Z99" s="65" t="n">
        <f aca="false">IF($B99="","",COUNTIF($B96:$B99,Z$21)+COUNTIF($B96:$B99,$A$3))</f>
        <v>0</v>
      </c>
      <c r="AA99" s="52" t="n">
        <f aca="false">IF($C99="","",COUNTIF($C96:$C99,Z$21)+COUNTIF($C96:$C99,$A$3))</f>
        <v>0</v>
      </c>
      <c r="AB99" s="52" t="n">
        <f aca="false">IF($D99="","",COUNTIF($D96:$D99,Z$21)+COUNTIF($D96:$D99,$A$3))</f>
        <v>1</v>
      </c>
      <c r="AC99" s="52" t="n">
        <f aca="false">IF($E99="","",COUNTIF($E96:$E99,Z$21)+COUNTIF($E96:$E99,$A$3))</f>
        <v>1</v>
      </c>
      <c r="AD99" s="53" t="n">
        <f aca="false">IF($F99="","",COUNTIF($F96:$F99,Z$21)+COUNTIF($F96:$F99,$A$3))</f>
        <v>0</v>
      </c>
      <c r="AF99" s="65" t="n">
        <f aca="false">IF($B99="","",COUNTIF($B96:$B99,AF$21)+COUNTIF($B96:$B99,$A$3))</f>
        <v>0</v>
      </c>
      <c r="AG99" s="52" t="n">
        <f aca="false">IF($C99="","",COUNTIF($C96:$C99,AF$21)+COUNTIF($C96:$C99,$A$3))</f>
        <v>0</v>
      </c>
      <c r="AH99" s="52" t="n">
        <f aca="false">IF($D99="","",COUNTIF($D96:$D99,AF$21)+COUNTIF($D96:$D99,$A$3))</f>
        <v>0</v>
      </c>
      <c r="AI99" s="52" t="n">
        <f aca="false">IF($E99="","",COUNTIF($E96:$E99,AF$21)+COUNTIF($E96:$E99,$A$3))</f>
        <v>2</v>
      </c>
      <c r="AJ99" s="53" t="n">
        <f aca="false">IF($F99="","",COUNTIF($F96:$F99,AF$21)+COUNTIF($F96:$F99,$A$3))</f>
        <v>0</v>
      </c>
      <c r="AL99" s="65" t="n">
        <f aca="false">IF($B99="","",COUNTIF($B96:$B99,AL$21)+COUNTIF($B96:$B99,$A$3))</f>
        <v>0</v>
      </c>
      <c r="AM99" s="52" t="n">
        <f aca="false">IF($C99="","",COUNTIF($C96:$C99,AL$21)+COUNTIF($C96:$C99,$A$3))</f>
        <v>0</v>
      </c>
      <c r="AN99" s="52" t="n">
        <f aca="false">IF($D99="","",COUNTIF($D96:$D99,AL$21)+COUNTIF($D96:$D99,$A$3))</f>
        <v>1</v>
      </c>
      <c r="AO99" s="52" t="n">
        <f aca="false">IF($E99="","",COUNTIF($E96:$E99,AL$21)+COUNTIF($E96:$E99,$A$3))</f>
        <v>0</v>
      </c>
      <c r="AP99" s="53" t="n">
        <f aca="false">IF($F99="","",COUNTIF($F96:$F99,AL$21)+COUNTIF($F96:$F99,$A$3))</f>
        <v>0</v>
      </c>
      <c r="AR99" s="65" t="n">
        <f aca="false">IF($B99="","",COUNTIF($B96:$B99,AR$21)+COUNTIF($B96:$B99,$A$3))</f>
        <v>1</v>
      </c>
      <c r="AS99" s="52" t="n">
        <f aca="false">IF($C99="","",COUNTIF($C96:$C99,AR$21)+COUNTIF($C96:$C99,$A$3))</f>
        <v>2</v>
      </c>
      <c r="AT99" s="52" t="n">
        <f aca="false">IF($D99="","",COUNTIF($D96:$D99,AR$21)+COUNTIF($D96:$D99,$A$3))</f>
        <v>0</v>
      </c>
      <c r="AU99" s="52" t="n">
        <f aca="false">IF($E99="","",COUNTIF($E96:$E99,AR$21)+COUNTIF($E96:$E99,$A$3))</f>
        <v>0</v>
      </c>
      <c r="AV99" s="53" t="n">
        <f aca="false">IF($F99="","",COUNTIF($F96:$F99,AR$21)+COUNTIF($F96:$F99,$A$3))</f>
        <v>0</v>
      </c>
      <c r="AX99" s="65" t="n">
        <f aca="false">IF($B99="","",COUNTIF($B96:$B99,AX$21)+COUNTIF($B96:$B99,$A$3))</f>
        <v>1</v>
      </c>
      <c r="AY99" s="52" t="n">
        <f aca="false">IF($C99="","",COUNTIF($C96:$C99,AX$21)+COUNTIF($C96:$C99,$A$3))</f>
        <v>0</v>
      </c>
      <c r="AZ99" s="52" t="n">
        <f aca="false">IF($D99="","",COUNTIF($D96:$D99,AX$21)+COUNTIF($D96:$D99,$A$3))</f>
        <v>1</v>
      </c>
      <c r="BA99" s="52" t="n">
        <f aca="false">IF($E99="","",COUNTIF($E96:$E99,AX$21)+COUNTIF($E96:$E99,$A$3))</f>
        <v>1</v>
      </c>
      <c r="BB99" s="53" t="n">
        <f aca="false">IF($F99="","",COUNTIF($F96:$F99,AX$21)+COUNTIF($F96:$F99,$A$3))</f>
        <v>0</v>
      </c>
      <c r="BD99" s="65" t="n">
        <f aca="false">IF($B99="","",COUNTIF($B96:$B99,BD$21)+COUNTIF($B96:$B99,$A$3))</f>
        <v>0</v>
      </c>
      <c r="BE99" s="52" t="n">
        <f aca="false">IF($C99="","",COUNTIF($C96:$C99,BD$21)+COUNTIF($C96:$C99,$A$3))</f>
        <v>0</v>
      </c>
      <c r="BF99" s="52" t="n">
        <f aca="false">IF($D99="","",COUNTIF($D96:$D99,BD$21)+COUNTIF($D96:$D99,$A$3))</f>
        <v>0</v>
      </c>
      <c r="BG99" s="52" t="n">
        <f aca="false">IF($E99="","",COUNTIF($E96:$E99,BD$21)+COUNTIF($E96:$E99,$A$3))</f>
        <v>0</v>
      </c>
      <c r="BH99" s="53" t="n">
        <f aca="false">IF($F99="","",COUNTIF($F96:$F99,BD$21)+COUNTIF($F96:$F99,$A$3))</f>
        <v>1</v>
      </c>
      <c r="BJ99" s="65" t="n">
        <f aca="false">IF($B99="","",COUNTIF($B96:$B99,BJ$21)+COUNTIF($B96:$B99,$A$3))</f>
        <v>0</v>
      </c>
      <c r="BK99" s="52" t="n">
        <f aca="false">IF($C99="","",COUNTIF($C96:$C99,BJ$21)+COUNTIF($C96:$C99,$A$3))</f>
        <v>0</v>
      </c>
      <c r="BL99" s="52" t="n">
        <f aca="false">IF($D99="","",COUNTIF($D96:$D99,BJ$21)+COUNTIF($D96:$D99,$A$3))</f>
        <v>0</v>
      </c>
      <c r="BM99" s="52" t="n">
        <f aca="false">IF($E99="","",COUNTIF($E96:$E99,BJ$21)+COUNTIF($E96:$E99,$A$3))</f>
        <v>0</v>
      </c>
      <c r="BN99" s="53" t="n">
        <f aca="false">IF($F99="","",COUNTIF($F96:$F99,BJ$21)+COUNTIF($F96:$F99,$A$3))</f>
        <v>0</v>
      </c>
      <c r="BP99" s="65" t="n">
        <f aca="false">IF($B99="","",COUNTIF($B96:$B99,BP$21)+COUNTIF($B96:$B99,$A$3))</f>
        <v>0</v>
      </c>
      <c r="BQ99" s="52" t="n">
        <f aca="false">IF($C99="","",COUNTIF($C96:$C99,BP$21)+COUNTIF($C96:$C99,$A$3))</f>
        <v>0</v>
      </c>
      <c r="BR99" s="52" t="n">
        <f aca="false">IF($D99="","",COUNTIF($D96:$D99,BP$21)+COUNTIF($D96:$D99,$A$3))</f>
        <v>0</v>
      </c>
      <c r="BS99" s="52" t="n">
        <f aca="false">IF($E99="","",COUNTIF($E96:$E99,BP$21)+COUNTIF($E96:$E99,$A$3))</f>
        <v>0</v>
      </c>
      <c r="BT99" s="53" t="n">
        <f aca="false">IF($F99="","",COUNTIF($F96:$F99,BP$21)+COUNTIF($F96:$F99,$A$3))</f>
        <v>1</v>
      </c>
    </row>
    <row r="100" customFormat="false" ht="15" hidden="false" customHeight="false" outlineLevel="0" collapsed="false">
      <c r="A100" s="13" t="n">
        <v>78</v>
      </c>
      <c r="B100" s="116" t="n">
        <f aca="false">IF('Game Info'!J83="","",'Game Info'!J83)</f>
        <v>10</v>
      </c>
      <c r="C100" s="116" t="str">
        <f aca="false">IF('Game Info'!K83="","",'Game Info'!K83)</f>
        <v>J</v>
      </c>
      <c r="D100" s="116" t="str">
        <f aca="false">IF('Game Info'!L83="","",'Game Info'!L83)</f>
        <v>SYM5</v>
      </c>
      <c r="E100" s="116" t="str">
        <f aca="false">IF('Game Info'!M83="","",'Game Info'!M83)</f>
        <v>K</v>
      </c>
      <c r="F100" s="117" t="str">
        <f aca="false">IF('Game Info'!N83="","",'Game Info'!N83)</f>
        <v>SYM1</v>
      </c>
      <c r="H100" s="65" t="n">
        <f aca="false">IF($B100="","",COUNTIF($B97:$B100,H$21)+COUNTIF($B97:$B100,$A$3))</f>
        <v>1</v>
      </c>
      <c r="I100" s="52" t="n">
        <f aca="false">IF($C100="","",COUNTIF($C97:$C100,H$21)+COUNTIF($C97:$C100,$A$3))</f>
        <v>0</v>
      </c>
      <c r="J100" s="52" t="n">
        <f aca="false">IF($D100="","",COUNTIF($D97:$D100,H$21)+COUNTIF($D97:$D100,$A$3))</f>
        <v>0</v>
      </c>
      <c r="K100" s="52" t="n">
        <f aca="false">IF($E100="","",COUNTIF($E97:$E100,H$21)+COUNTIF($E97:$E100,$A$3))</f>
        <v>0</v>
      </c>
      <c r="L100" s="53" t="n">
        <f aca="false">IF($F100="","",COUNTIF($F97:$F100,H$21)+COUNTIF($F97:$F100,$A$3))</f>
        <v>1</v>
      </c>
      <c r="N100" s="65" t="n">
        <f aca="false">IF($B100="","",COUNTIF($B97:$B100,N$21)+COUNTIF($B97:$B100,$A$3))</f>
        <v>1</v>
      </c>
      <c r="O100" s="52" t="n">
        <f aca="false">IF($C100="","",COUNTIF($C97:$C100,N$21)+COUNTIF($C97:$C100,$A$3))</f>
        <v>1</v>
      </c>
      <c r="P100" s="52" t="n">
        <f aca="false">IF($D100="","",COUNTIF($D97:$D100,N$21)+COUNTIF($D97:$D100,$A$3))</f>
        <v>0</v>
      </c>
      <c r="Q100" s="52" t="n">
        <f aca="false">IF($E100="","",COUNTIF($E97:$E100,N$21)+COUNTIF($E97:$E100,$A$3))</f>
        <v>0</v>
      </c>
      <c r="R100" s="53" t="n">
        <f aca="false">IF($F100="","",COUNTIF($F97:$F100,N$21)+COUNTIF($F97:$F100,$A$3))</f>
        <v>0</v>
      </c>
      <c r="T100" s="65" t="n">
        <f aca="false">IF($B100="","",COUNTIF($B97:$B100,T$21)+COUNTIF($B97:$B100,$A$3))</f>
        <v>0</v>
      </c>
      <c r="U100" s="52" t="n">
        <f aca="false">IF($C100="","",COUNTIF($C97:$C100,T$21)+COUNTIF($C97:$C100,$A$3))</f>
        <v>1</v>
      </c>
      <c r="V100" s="52" t="n">
        <f aca="false">IF($D100="","",COUNTIF($D97:$D100,T$21)+COUNTIF($D97:$D100,$A$3))</f>
        <v>0</v>
      </c>
      <c r="W100" s="52" t="n">
        <f aca="false">IF($E100="","",COUNTIF($E97:$E100,T$21)+COUNTIF($E97:$E100,$A$3))</f>
        <v>0</v>
      </c>
      <c r="X100" s="53" t="n">
        <f aca="false">IF($F100="","",COUNTIF($F97:$F100,T$21)+COUNTIF($F97:$F100,$A$3))</f>
        <v>1</v>
      </c>
      <c r="Z100" s="65" t="n">
        <f aca="false">IF($B100="","",COUNTIF($B97:$B100,Z$21)+COUNTIF($B97:$B100,$A$3))</f>
        <v>0</v>
      </c>
      <c r="AA100" s="52" t="n">
        <f aca="false">IF($C100="","",COUNTIF($C97:$C100,Z$21)+COUNTIF($C97:$C100,$A$3))</f>
        <v>0</v>
      </c>
      <c r="AB100" s="52" t="n">
        <f aca="false">IF($D100="","",COUNTIF($D97:$D100,Z$21)+COUNTIF($D97:$D100,$A$3))</f>
        <v>1</v>
      </c>
      <c r="AC100" s="52" t="n">
        <f aca="false">IF($E100="","",COUNTIF($E97:$E100,Z$21)+COUNTIF($E97:$E100,$A$3))</f>
        <v>1</v>
      </c>
      <c r="AD100" s="53" t="n">
        <f aca="false">IF($F100="","",COUNTIF($F97:$F100,Z$21)+COUNTIF($F97:$F100,$A$3))</f>
        <v>0</v>
      </c>
      <c r="AF100" s="65" t="n">
        <f aca="false">IF($B100="","",COUNTIF($B97:$B100,AF$21)+COUNTIF($B97:$B100,$A$3))</f>
        <v>0</v>
      </c>
      <c r="AG100" s="52" t="n">
        <f aca="false">IF($C100="","",COUNTIF($C97:$C100,AF$21)+COUNTIF($C97:$C100,$A$3))</f>
        <v>0</v>
      </c>
      <c r="AH100" s="52" t="n">
        <f aca="false">IF($D100="","",COUNTIF($D97:$D100,AF$21)+COUNTIF($D97:$D100,$A$3))</f>
        <v>1</v>
      </c>
      <c r="AI100" s="52" t="n">
        <f aca="false">IF($E100="","",COUNTIF($E97:$E100,AF$21)+COUNTIF($E97:$E100,$A$3))</f>
        <v>1</v>
      </c>
      <c r="AJ100" s="53" t="n">
        <f aca="false">IF($F100="","",COUNTIF($F97:$F100,AF$21)+COUNTIF($F97:$F100,$A$3))</f>
        <v>0</v>
      </c>
      <c r="AL100" s="65" t="n">
        <f aca="false">IF($B100="","",COUNTIF($B97:$B100,AL$21)+COUNTIF($B97:$B100,$A$3))</f>
        <v>0</v>
      </c>
      <c r="AM100" s="52" t="n">
        <f aca="false">IF($C100="","",COUNTIF($C97:$C100,AL$21)+COUNTIF($C97:$C100,$A$3))</f>
        <v>0</v>
      </c>
      <c r="AN100" s="52" t="n">
        <f aca="false">IF($D100="","",COUNTIF($D97:$D100,AL$21)+COUNTIF($D97:$D100,$A$3))</f>
        <v>1</v>
      </c>
      <c r="AO100" s="52" t="n">
        <f aca="false">IF($E100="","",COUNTIF($E97:$E100,AL$21)+COUNTIF($E97:$E100,$A$3))</f>
        <v>0</v>
      </c>
      <c r="AP100" s="53" t="n">
        <f aca="false">IF($F100="","",COUNTIF($F97:$F100,AL$21)+COUNTIF($F97:$F100,$A$3))</f>
        <v>0</v>
      </c>
      <c r="AR100" s="65" t="n">
        <f aca="false">IF($B100="","",COUNTIF($B97:$B100,AR$21)+COUNTIF($B97:$B100,$A$3))</f>
        <v>1</v>
      </c>
      <c r="AS100" s="52" t="n">
        <f aca="false">IF($C100="","",COUNTIF($C97:$C100,AR$21)+COUNTIF($C97:$C100,$A$3))</f>
        <v>1</v>
      </c>
      <c r="AT100" s="52" t="n">
        <f aca="false">IF($D100="","",COUNTIF($D97:$D100,AR$21)+COUNTIF($D97:$D100,$A$3))</f>
        <v>0</v>
      </c>
      <c r="AU100" s="52" t="n">
        <f aca="false">IF($E100="","",COUNTIF($E97:$E100,AR$21)+COUNTIF($E97:$E100,$A$3))</f>
        <v>1</v>
      </c>
      <c r="AV100" s="53" t="n">
        <f aca="false">IF($F100="","",COUNTIF($F97:$F100,AR$21)+COUNTIF($F97:$F100,$A$3))</f>
        <v>0</v>
      </c>
      <c r="AX100" s="65" t="n">
        <f aca="false">IF($B100="","",COUNTIF($B97:$B100,AX$21)+COUNTIF($B97:$B100,$A$3))</f>
        <v>0</v>
      </c>
      <c r="AY100" s="52" t="n">
        <f aca="false">IF($C100="","",COUNTIF($C97:$C100,AX$21)+COUNTIF($C97:$C100,$A$3))</f>
        <v>0</v>
      </c>
      <c r="AZ100" s="52" t="n">
        <f aca="false">IF($D100="","",COUNTIF($D97:$D100,AX$21)+COUNTIF($D97:$D100,$A$3))</f>
        <v>1</v>
      </c>
      <c r="BA100" s="52" t="n">
        <f aca="false">IF($E100="","",COUNTIF($E97:$E100,AX$21)+COUNTIF($E97:$E100,$A$3))</f>
        <v>1</v>
      </c>
      <c r="BB100" s="53" t="n">
        <f aca="false">IF($F100="","",COUNTIF($F97:$F100,AX$21)+COUNTIF($F97:$F100,$A$3))</f>
        <v>0</v>
      </c>
      <c r="BD100" s="65" t="n">
        <f aca="false">IF($B100="","",COUNTIF($B97:$B100,BD$21)+COUNTIF($B97:$B100,$A$3))</f>
        <v>0</v>
      </c>
      <c r="BE100" s="52" t="n">
        <f aca="false">IF($C100="","",COUNTIF($C97:$C100,BD$21)+COUNTIF($C97:$C100,$A$3))</f>
        <v>1</v>
      </c>
      <c r="BF100" s="52" t="n">
        <f aca="false">IF($D100="","",COUNTIF($D97:$D100,BD$21)+COUNTIF($D97:$D100,$A$3))</f>
        <v>0</v>
      </c>
      <c r="BG100" s="52" t="n">
        <f aca="false">IF($E100="","",COUNTIF($E97:$E100,BD$21)+COUNTIF($E97:$E100,$A$3))</f>
        <v>0</v>
      </c>
      <c r="BH100" s="53" t="n">
        <f aca="false">IF($F100="","",COUNTIF($F97:$F100,BD$21)+COUNTIF($F97:$F100,$A$3))</f>
        <v>1</v>
      </c>
      <c r="BJ100" s="65" t="n">
        <f aca="false">IF($B100="","",COUNTIF($B97:$B100,BJ$21)+COUNTIF($B97:$B100,$A$3))</f>
        <v>1</v>
      </c>
      <c r="BK100" s="52" t="n">
        <f aca="false">IF($C100="","",COUNTIF($C97:$C100,BJ$21)+COUNTIF($C97:$C100,$A$3))</f>
        <v>0</v>
      </c>
      <c r="BL100" s="52" t="n">
        <f aca="false">IF($D100="","",COUNTIF($D97:$D100,BJ$21)+COUNTIF($D97:$D100,$A$3))</f>
        <v>0</v>
      </c>
      <c r="BM100" s="52" t="n">
        <f aca="false">IF($E100="","",COUNTIF($E97:$E100,BJ$21)+COUNTIF($E97:$E100,$A$3))</f>
        <v>0</v>
      </c>
      <c r="BN100" s="53" t="n">
        <f aca="false">IF($F100="","",COUNTIF($F97:$F100,BJ$21)+COUNTIF($F97:$F100,$A$3))</f>
        <v>0</v>
      </c>
      <c r="BP100" s="65" t="n">
        <f aca="false">IF($B100="","",COUNTIF($B97:$B100,BP$21)+COUNTIF($B97:$B100,$A$3))</f>
        <v>0</v>
      </c>
      <c r="BQ100" s="52" t="n">
        <f aca="false">IF($C100="","",COUNTIF($C97:$C100,BP$21)+COUNTIF($C97:$C100,$A$3))</f>
        <v>0</v>
      </c>
      <c r="BR100" s="52" t="n">
        <f aca="false">IF($D100="","",COUNTIF($D97:$D100,BP$21)+COUNTIF($D97:$D100,$A$3))</f>
        <v>0</v>
      </c>
      <c r="BS100" s="52" t="n">
        <f aca="false">IF($E100="","",COUNTIF($E97:$E100,BP$21)+COUNTIF($E97:$E100,$A$3))</f>
        <v>0</v>
      </c>
      <c r="BT100" s="53" t="n">
        <f aca="false">IF($F100="","",COUNTIF($F97:$F100,BP$21)+COUNTIF($F97:$F100,$A$3))</f>
        <v>1</v>
      </c>
    </row>
    <row r="101" customFormat="false" ht="15" hidden="false" customHeight="false" outlineLevel="0" collapsed="false">
      <c r="A101" s="13" t="n">
        <v>79</v>
      </c>
      <c r="B101" s="116" t="str">
        <f aca="false">IF('Game Info'!J84="","",'Game Info'!J84)</f>
        <v>SYM4</v>
      </c>
      <c r="C101" s="116" t="str">
        <f aca="false">IF('Game Info'!K84="","",'Game Info'!K84)</f>
        <v>SYM5</v>
      </c>
      <c r="D101" s="116" t="n">
        <f aca="false">IF('Game Info'!L84="","",'Game Info'!L84)</f>
        <v>10</v>
      </c>
      <c r="E101" s="116" t="str">
        <f aca="false">IF('Game Info'!M84="","",'Game Info'!M84)</f>
        <v>Q</v>
      </c>
      <c r="F101" s="117" t="str">
        <f aca="false">IF('Game Info'!N84="","",'Game Info'!N84)</f>
        <v>Q</v>
      </c>
      <c r="H101" s="65" t="n">
        <f aca="false">IF($B101="","",COUNTIF($B98:$B101,H$21)+COUNTIF($B98:$B101,$A$3))</f>
        <v>1</v>
      </c>
      <c r="I101" s="52" t="n">
        <f aca="false">IF($C101="","",COUNTIF($C98:$C101,H$21)+COUNTIF($C98:$C101,$A$3))</f>
        <v>0</v>
      </c>
      <c r="J101" s="52" t="n">
        <f aca="false">IF($D101="","",COUNTIF($D98:$D101,H$21)+COUNTIF($D98:$D101,$A$3))</f>
        <v>0</v>
      </c>
      <c r="K101" s="52" t="n">
        <f aca="false">IF($E101="","",COUNTIF($E98:$E101,H$21)+COUNTIF($E98:$E101,$A$3))</f>
        <v>0</v>
      </c>
      <c r="L101" s="53" t="n">
        <f aca="false">IF($F101="","",COUNTIF($F98:$F101,H$21)+COUNTIF($F98:$F101,$A$3))</f>
        <v>1</v>
      </c>
      <c r="N101" s="65" t="n">
        <f aca="false">IF($B101="","",COUNTIF($B98:$B101,N$21)+COUNTIF($B98:$B101,$A$3))</f>
        <v>0</v>
      </c>
      <c r="O101" s="52" t="n">
        <f aca="false">IF($C101="","",COUNTIF($C98:$C101,N$21)+COUNTIF($C98:$C101,$A$3))</f>
        <v>1</v>
      </c>
      <c r="P101" s="52" t="n">
        <f aca="false">IF($D101="","",COUNTIF($D98:$D101,N$21)+COUNTIF($D98:$D101,$A$3))</f>
        <v>0</v>
      </c>
      <c r="Q101" s="52" t="n">
        <f aca="false">IF($E101="","",COUNTIF($E98:$E101,N$21)+COUNTIF($E98:$E101,$A$3))</f>
        <v>0</v>
      </c>
      <c r="R101" s="53" t="n">
        <f aca="false">IF($F101="","",COUNTIF($F98:$F101,N$21)+COUNTIF($F98:$F101,$A$3))</f>
        <v>0</v>
      </c>
      <c r="T101" s="65" t="n">
        <f aca="false">IF($B101="","",COUNTIF($B98:$B101,T$21)+COUNTIF($B98:$B101,$A$3))</f>
        <v>0</v>
      </c>
      <c r="U101" s="52" t="n">
        <f aca="false">IF($C101="","",COUNTIF($C98:$C101,T$21)+COUNTIF($C98:$C101,$A$3))</f>
        <v>0</v>
      </c>
      <c r="V101" s="52" t="n">
        <f aca="false">IF($D101="","",COUNTIF($D98:$D101,T$21)+COUNTIF($D98:$D101,$A$3))</f>
        <v>0</v>
      </c>
      <c r="W101" s="52" t="n">
        <f aca="false">IF($E101="","",COUNTIF($E98:$E101,T$21)+COUNTIF($E98:$E101,$A$3))</f>
        <v>0</v>
      </c>
      <c r="X101" s="53" t="n">
        <f aca="false">IF($F101="","",COUNTIF($F98:$F101,T$21)+COUNTIF($F98:$F101,$A$3))</f>
        <v>1</v>
      </c>
      <c r="Z101" s="65" t="n">
        <f aca="false">IF($B101="","",COUNTIF($B98:$B101,Z$21)+COUNTIF($B98:$B101,$A$3))</f>
        <v>1</v>
      </c>
      <c r="AA101" s="52" t="n">
        <f aca="false">IF($C101="","",COUNTIF($C98:$C101,Z$21)+COUNTIF($C98:$C101,$A$3))</f>
        <v>0</v>
      </c>
      <c r="AB101" s="52" t="n">
        <f aca="false">IF($D101="","",COUNTIF($D98:$D101,Z$21)+COUNTIF($D98:$D101,$A$3))</f>
        <v>1</v>
      </c>
      <c r="AC101" s="52" t="n">
        <f aca="false">IF($E101="","",COUNTIF($E98:$E101,Z$21)+COUNTIF($E98:$E101,$A$3))</f>
        <v>1</v>
      </c>
      <c r="AD101" s="53" t="n">
        <f aca="false">IF($F101="","",COUNTIF($F98:$F101,Z$21)+COUNTIF($F98:$F101,$A$3))</f>
        <v>0</v>
      </c>
      <c r="AF101" s="65" t="n">
        <f aca="false">IF($B101="","",COUNTIF($B98:$B101,AF$21)+COUNTIF($B98:$B101,$A$3))</f>
        <v>0</v>
      </c>
      <c r="AG101" s="52" t="n">
        <f aca="false">IF($C101="","",COUNTIF($C98:$C101,AF$21)+COUNTIF($C98:$C101,$A$3))</f>
        <v>1</v>
      </c>
      <c r="AH101" s="52" t="n">
        <f aca="false">IF($D101="","",COUNTIF($D98:$D101,AF$21)+COUNTIF($D98:$D101,$A$3))</f>
        <v>1</v>
      </c>
      <c r="AI101" s="52" t="n">
        <f aca="false">IF($E101="","",COUNTIF($E98:$E101,AF$21)+COUNTIF($E98:$E101,$A$3))</f>
        <v>1</v>
      </c>
      <c r="AJ101" s="53" t="n">
        <f aca="false">IF($F101="","",COUNTIF($F98:$F101,AF$21)+COUNTIF($F98:$F101,$A$3))</f>
        <v>0</v>
      </c>
      <c r="AL101" s="65" t="n">
        <f aca="false">IF($B101="","",COUNTIF($B98:$B101,AL$21)+COUNTIF($B98:$B101,$A$3))</f>
        <v>0</v>
      </c>
      <c r="AM101" s="52" t="n">
        <f aca="false">IF($C101="","",COUNTIF($C98:$C101,AL$21)+COUNTIF($C98:$C101,$A$3))</f>
        <v>0</v>
      </c>
      <c r="AN101" s="52" t="n">
        <f aca="false">IF($D101="","",COUNTIF($D98:$D101,AL$21)+COUNTIF($D98:$D101,$A$3))</f>
        <v>0</v>
      </c>
      <c r="AO101" s="52" t="n">
        <f aca="false">IF($E101="","",COUNTIF($E98:$E101,AL$21)+COUNTIF($E98:$E101,$A$3))</f>
        <v>0</v>
      </c>
      <c r="AP101" s="53" t="n">
        <f aca="false">IF($F101="","",COUNTIF($F98:$F101,AL$21)+COUNTIF($F98:$F101,$A$3))</f>
        <v>0</v>
      </c>
      <c r="AR101" s="65" t="n">
        <f aca="false">IF($B101="","",COUNTIF($B98:$B101,AR$21)+COUNTIF($B98:$B101,$A$3))</f>
        <v>1</v>
      </c>
      <c r="AS101" s="52" t="n">
        <f aca="false">IF($C101="","",COUNTIF($C98:$C101,AR$21)+COUNTIF($C98:$C101,$A$3))</f>
        <v>1</v>
      </c>
      <c r="AT101" s="52" t="n">
        <f aca="false">IF($D101="","",COUNTIF($D98:$D101,AR$21)+COUNTIF($D98:$D101,$A$3))</f>
        <v>0</v>
      </c>
      <c r="AU101" s="52" t="n">
        <f aca="false">IF($E101="","",COUNTIF($E98:$E101,AR$21)+COUNTIF($E98:$E101,$A$3))</f>
        <v>1</v>
      </c>
      <c r="AV101" s="53" t="n">
        <f aca="false">IF($F101="","",COUNTIF($F98:$F101,AR$21)+COUNTIF($F98:$F101,$A$3))</f>
        <v>0</v>
      </c>
      <c r="AX101" s="65" t="n">
        <f aca="false">IF($B101="","",COUNTIF($B98:$B101,AX$21)+COUNTIF($B98:$B101,$A$3))</f>
        <v>0</v>
      </c>
      <c r="AY101" s="52" t="n">
        <f aca="false">IF($C101="","",COUNTIF($C98:$C101,AX$21)+COUNTIF($C98:$C101,$A$3))</f>
        <v>0</v>
      </c>
      <c r="AZ101" s="52" t="n">
        <f aca="false">IF($D101="","",COUNTIF($D98:$D101,AX$21)+COUNTIF($D98:$D101,$A$3))</f>
        <v>1</v>
      </c>
      <c r="BA101" s="52" t="n">
        <f aca="false">IF($E101="","",COUNTIF($E98:$E101,AX$21)+COUNTIF($E98:$E101,$A$3))</f>
        <v>1</v>
      </c>
      <c r="BB101" s="53" t="n">
        <f aca="false">IF($F101="","",COUNTIF($F98:$F101,AX$21)+COUNTIF($F98:$F101,$A$3))</f>
        <v>1</v>
      </c>
      <c r="BD101" s="65" t="n">
        <f aca="false">IF($B101="","",COUNTIF($B98:$B101,BD$21)+COUNTIF($B98:$B101,$A$3))</f>
        <v>0</v>
      </c>
      <c r="BE101" s="52" t="n">
        <f aca="false">IF($C101="","",COUNTIF($C98:$C101,BD$21)+COUNTIF($C98:$C101,$A$3))</f>
        <v>1</v>
      </c>
      <c r="BF101" s="52" t="n">
        <f aca="false">IF($D101="","",COUNTIF($D98:$D101,BD$21)+COUNTIF($D98:$D101,$A$3))</f>
        <v>0</v>
      </c>
      <c r="BG101" s="52" t="n">
        <f aca="false">IF($E101="","",COUNTIF($E98:$E101,BD$21)+COUNTIF($E98:$E101,$A$3))</f>
        <v>0</v>
      </c>
      <c r="BH101" s="53" t="n">
        <f aca="false">IF($F101="","",COUNTIF($F98:$F101,BD$21)+COUNTIF($F98:$F101,$A$3))</f>
        <v>0</v>
      </c>
      <c r="BJ101" s="65" t="n">
        <f aca="false">IF($B101="","",COUNTIF($B98:$B101,BJ$21)+COUNTIF($B98:$B101,$A$3))</f>
        <v>1</v>
      </c>
      <c r="BK101" s="52" t="n">
        <f aca="false">IF($C101="","",COUNTIF($C98:$C101,BJ$21)+COUNTIF($C98:$C101,$A$3))</f>
        <v>0</v>
      </c>
      <c r="BL101" s="52" t="n">
        <f aca="false">IF($D101="","",COUNTIF($D98:$D101,BJ$21)+COUNTIF($D98:$D101,$A$3))</f>
        <v>1</v>
      </c>
      <c r="BM101" s="52" t="n">
        <f aca="false">IF($E101="","",COUNTIF($E98:$E101,BJ$21)+COUNTIF($E98:$E101,$A$3))</f>
        <v>0</v>
      </c>
      <c r="BN101" s="53" t="n">
        <f aca="false">IF($F101="","",COUNTIF($F98:$F101,BJ$21)+COUNTIF($F98:$F101,$A$3))</f>
        <v>0</v>
      </c>
      <c r="BP101" s="65" t="n">
        <f aca="false">IF($B101="","",COUNTIF($B98:$B101,BP$21)+COUNTIF($B98:$B101,$A$3))</f>
        <v>0</v>
      </c>
      <c r="BQ101" s="52" t="n">
        <f aca="false">IF($C101="","",COUNTIF($C98:$C101,BP$21)+COUNTIF($C98:$C101,$A$3))</f>
        <v>0</v>
      </c>
      <c r="BR101" s="52" t="n">
        <f aca="false">IF($D101="","",COUNTIF($D98:$D101,BP$21)+COUNTIF($D98:$D101,$A$3))</f>
        <v>0</v>
      </c>
      <c r="BS101" s="52" t="n">
        <f aca="false">IF($E101="","",COUNTIF($E98:$E101,BP$21)+COUNTIF($E98:$E101,$A$3))</f>
        <v>0</v>
      </c>
      <c r="BT101" s="53" t="n">
        <f aca="false">IF($F101="","",COUNTIF($F98:$F101,BP$21)+COUNTIF($F98:$F101,$A$3))</f>
        <v>1</v>
      </c>
    </row>
    <row r="102" customFormat="false" ht="15" hidden="false" customHeight="false" outlineLevel="0" collapsed="false">
      <c r="A102" s="13" t="n">
        <v>80</v>
      </c>
      <c r="B102" s="116" t="str">
        <f aca="false">IF('Game Info'!J85="","",'Game Info'!J85)</f>
        <v>A</v>
      </c>
      <c r="C102" s="116" t="n">
        <f aca="false">IF('Game Info'!K85="","",'Game Info'!K85)</f>
        <v>9</v>
      </c>
      <c r="D102" s="116" t="str">
        <f aca="false">IF('Game Info'!L85="","",'Game Info'!L85)</f>
        <v>SYM4</v>
      </c>
      <c r="E102" s="116" t="str">
        <f aca="false">IF('Game Info'!M85="","",'Game Info'!M85)</f>
        <v>SYM3</v>
      </c>
      <c r="F102" s="117" t="n">
        <f aca="false">IF('Game Info'!N85="","",'Game Info'!N85)</f>
        <v>9</v>
      </c>
      <c r="H102" s="65" t="n">
        <f aca="false">IF($B102="","",COUNTIF($B99:$B102,H$21)+COUNTIF($B99:$B102,$A$3))</f>
        <v>1</v>
      </c>
      <c r="I102" s="52" t="n">
        <f aca="false">IF($C102="","",COUNTIF($C99:$C102,H$21)+COUNTIF($C99:$C102,$A$3))</f>
        <v>0</v>
      </c>
      <c r="J102" s="52" t="n">
        <f aca="false">IF($D102="","",COUNTIF($D99:$D102,H$21)+COUNTIF($D99:$D102,$A$3))</f>
        <v>0</v>
      </c>
      <c r="K102" s="52" t="n">
        <f aca="false">IF($E102="","",COUNTIF($E99:$E102,H$21)+COUNTIF($E99:$E102,$A$3))</f>
        <v>0</v>
      </c>
      <c r="L102" s="53" t="n">
        <f aca="false">IF($F102="","",COUNTIF($F99:$F102,H$21)+COUNTIF($F99:$F102,$A$3))</f>
        <v>1</v>
      </c>
      <c r="N102" s="65" t="n">
        <f aca="false">IF($B102="","",COUNTIF($B99:$B102,N$21)+COUNTIF($B99:$B102,$A$3))</f>
        <v>0</v>
      </c>
      <c r="O102" s="52" t="n">
        <f aca="false">IF($C102="","",COUNTIF($C99:$C102,N$21)+COUNTIF($C99:$C102,$A$3))</f>
        <v>1</v>
      </c>
      <c r="P102" s="52" t="n">
        <f aca="false">IF($D102="","",COUNTIF($D99:$D102,N$21)+COUNTIF($D99:$D102,$A$3))</f>
        <v>0</v>
      </c>
      <c r="Q102" s="52" t="n">
        <f aca="false">IF($E102="","",COUNTIF($E99:$E102,N$21)+COUNTIF($E99:$E102,$A$3))</f>
        <v>0</v>
      </c>
      <c r="R102" s="53" t="n">
        <f aca="false">IF($F102="","",COUNTIF($F99:$F102,N$21)+COUNTIF($F99:$F102,$A$3))</f>
        <v>0</v>
      </c>
      <c r="T102" s="65" t="n">
        <f aca="false">IF($B102="","",COUNTIF($B99:$B102,T$21)+COUNTIF($B99:$B102,$A$3))</f>
        <v>0</v>
      </c>
      <c r="U102" s="52" t="n">
        <f aca="false">IF($C102="","",COUNTIF($C99:$C102,T$21)+COUNTIF($C99:$C102,$A$3))</f>
        <v>0</v>
      </c>
      <c r="V102" s="52" t="n">
        <f aca="false">IF($D102="","",COUNTIF($D99:$D102,T$21)+COUNTIF($D99:$D102,$A$3))</f>
        <v>0</v>
      </c>
      <c r="W102" s="52" t="n">
        <f aca="false">IF($E102="","",COUNTIF($E99:$E102,T$21)+COUNTIF($E99:$E102,$A$3))</f>
        <v>1</v>
      </c>
      <c r="X102" s="53" t="n">
        <f aca="false">IF($F102="","",COUNTIF($F99:$F102,T$21)+COUNTIF($F99:$F102,$A$3))</f>
        <v>0</v>
      </c>
      <c r="Z102" s="65" t="n">
        <f aca="false">IF($B102="","",COUNTIF($B99:$B102,Z$21)+COUNTIF($B99:$B102,$A$3))</f>
        <v>1</v>
      </c>
      <c r="AA102" s="52" t="n">
        <f aca="false">IF($C102="","",COUNTIF($C99:$C102,Z$21)+COUNTIF($C99:$C102,$A$3))</f>
        <v>0</v>
      </c>
      <c r="AB102" s="52" t="n">
        <f aca="false">IF($D102="","",COUNTIF($D99:$D102,Z$21)+COUNTIF($D99:$D102,$A$3))</f>
        <v>1</v>
      </c>
      <c r="AC102" s="52" t="n">
        <f aca="false">IF($E102="","",COUNTIF($E99:$E102,Z$21)+COUNTIF($E99:$E102,$A$3))</f>
        <v>0</v>
      </c>
      <c r="AD102" s="53" t="n">
        <f aca="false">IF($F102="","",COUNTIF($F99:$F102,Z$21)+COUNTIF($F99:$F102,$A$3))</f>
        <v>0</v>
      </c>
      <c r="AF102" s="65" t="n">
        <f aca="false">IF($B102="","",COUNTIF($B99:$B102,AF$21)+COUNTIF($B99:$B102,$A$3))</f>
        <v>0</v>
      </c>
      <c r="AG102" s="52" t="n">
        <f aca="false">IF($C102="","",COUNTIF($C99:$C102,AF$21)+COUNTIF($C99:$C102,$A$3))</f>
        <v>1</v>
      </c>
      <c r="AH102" s="52" t="n">
        <f aca="false">IF($D102="","",COUNTIF($D99:$D102,AF$21)+COUNTIF($D99:$D102,$A$3))</f>
        <v>1</v>
      </c>
      <c r="AI102" s="52" t="n">
        <f aca="false">IF($E102="","",COUNTIF($E99:$E102,AF$21)+COUNTIF($E99:$E102,$A$3))</f>
        <v>1</v>
      </c>
      <c r="AJ102" s="53" t="n">
        <f aca="false">IF($F102="","",COUNTIF($F99:$F102,AF$21)+COUNTIF($F99:$F102,$A$3))</f>
        <v>0</v>
      </c>
      <c r="AL102" s="65" t="n">
        <f aca="false">IF($B102="","",COUNTIF($B99:$B102,AL$21)+COUNTIF($B99:$B102,$A$3))</f>
        <v>1</v>
      </c>
      <c r="AM102" s="52" t="n">
        <f aca="false">IF($C102="","",COUNTIF($C99:$C102,AL$21)+COUNTIF($C99:$C102,$A$3))</f>
        <v>0</v>
      </c>
      <c r="AN102" s="52" t="n">
        <f aca="false">IF($D102="","",COUNTIF($D99:$D102,AL$21)+COUNTIF($D99:$D102,$A$3))</f>
        <v>0</v>
      </c>
      <c r="AO102" s="52" t="n">
        <f aca="false">IF($E102="","",COUNTIF($E99:$E102,AL$21)+COUNTIF($E99:$E102,$A$3))</f>
        <v>0</v>
      </c>
      <c r="AP102" s="53" t="n">
        <f aca="false">IF($F102="","",COUNTIF($F99:$F102,AL$21)+COUNTIF($F99:$F102,$A$3))</f>
        <v>0</v>
      </c>
      <c r="AR102" s="65" t="n">
        <f aca="false">IF($B102="","",COUNTIF($B99:$B102,AR$21)+COUNTIF($B99:$B102,$A$3))</f>
        <v>0</v>
      </c>
      <c r="AS102" s="52" t="n">
        <f aca="false">IF($C102="","",COUNTIF($C99:$C102,AR$21)+COUNTIF($C99:$C102,$A$3))</f>
        <v>0</v>
      </c>
      <c r="AT102" s="52" t="n">
        <f aca="false">IF($D102="","",COUNTIF($D99:$D102,AR$21)+COUNTIF($D99:$D102,$A$3))</f>
        <v>0</v>
      </c>
      <c r="AU102" s="52" t="n">
        <f aca="false">IF($E102="","",COUNTIF($E99:$E102,AR$21)+COUNTIF($E99:$E102,$A$3))</f>
        <v>1</v>
      </c>
      <c r="AV102" s="53" t="n">
        <f aca="false">IF($F102="","",COUNTIF($F99:$F102,AR$21)+COUNTIF($F99:$F102,$A$3))</f>
        <v>0</v>
      </c>
      <c r="AX102" s="65" t="n">
        <f aca="false">IF($B102="","",COUNTIF($B99:$B102,AX$21)+COUNTIF($B99:$B102,$A$3))</f>
        <v>0</v>
      </c>
      <c r="AY102" s="52" t="n">
        <f aca="false">IF($C102="","",COUNTIF($C99:$C102,AX$21)+COUNTIF($C99:$C102,$A$3))</f>
        <v>0</v>
      </c>
      <c r="AZ102" s="52" t="n">
        <f aca="false">IF($D102="","",COUNTIF($D99:$D102,AX$21)+COUNTIF($D99:$D102,$A$3))</f>
        <v>1</v>
      </c>
      <c r="BA102" s="52" t="n">
        <f aca="false">IF($E102="","",COUNTIF($E99:$E102,AX$21)+COUNTIF($E99:$E102,$A$3))</f>
        <v>1</v>
      </c>
      <c r="BB102" s="53" t="n">
        <f aca="false">IF($F102="","",COUNTIF($F99:$F102,AX$21)+COUNTIF($F99:$F102,$A$3))</f>
        <v>1</v>
      </c>
      <c r="BD102" s="65" t="n">
        <f aca="false">IF($B102="","",COUNTIF($B99:$B102,BD$21)+COUNTIF($B99:$B102,$A$3))</f>
        <v>0</v>
      </c>
      <c r="BE102" s="52" t="n">
        <f aca="false">IF($C102="","",COUNTIF($C99:$C102,BD$21)+COUNTIF($C99:$C102,$A$3))</f>
        <v>1</v>
      </c>
      <c r="BF102" s="52" t="n">
        <f aca="false">IF($D102="","",COUNTIF($D99:$D102,BD$21)+COUNTIF($D99:$D102,$A$3))</f>
        <v>0</v>
      </c>
      <c r="BG102" s="52" t="n">
        <f aca="false">IF($E102="","",COUNTIF($E99:$E102,BD$21)+COUNTIF($E99:$E102,$A$3))</f>
        <v>0</v>
      </c>
      <c r="BH102" s="53" t="n">
        <f aca="false">IF($F102="","",COUNTIF($F99:$F102,BD$21)+COUNTIF($F99:$F102,$A$3))</f>
        <v>0</v>
      </c>
      <c r="BJ102" s="65" t="n">
        <f aca="false">IF($B102="","",COUNTIF($B99:$B102,BJ$21)+COUNTIF($B99:$B102,$A$3))</f>
        <v>1</v>
      </c>
      <c r="BK102" s="52" t="n">
        <f aca="false">IF($C102="","",COUNTIF($C99:$C102,BJ$21)+COUNTIF($C99:$C102,$A$3))</f>
        <v>0</v>
      </c>
      <c r="BL102" s="52" t="n">
        <f aca="false">IF($D102="","",COUNTIF($D99:$D102,BJ$21)+COUNTIF($D99:$D102,$A$3))</f>
        <v>1</v>
      </c>
      <c r="BM102" s="52" t="n">
        <f aca="false">IF($E102="","",COUNTIF($E99:$E102,BJ$21)+COUNTIF($E99:$E102,$A$3))</f>
        <v>0</v>
      </c>
      <c r="BN102" s="53" t="n">
        <f aca="false">IF($F102="","",COUNTIF($F99:$F102,BJ$21)+COUNTIF($F99:$F102,$A$3))</f>
        <v>0</v>
      </c>
      <c r="BP102" s="65" t="n">
        <f aca="false">IF($B102="","",COUNTIF($B99:$B102,BP$21)+COUNTIF($B99:$B102,$A$3))</f>
        <v>0</v>
      </c>
      <c r="BQ102" s="52" t="n">
        <f aca="false">IF($C102="","",COUNTIF($C99:$C102,BP$21)+COUNTIF($C99:$C102,$A$3))</f>
        <v>1</v>
      </c>
      <c r="BR102" s="52" t="n">
        <f aca="false">IF($D102="","",COUNTIF($D99:$D102,BP$21)+COUNTIF($D99:$D102,$A$3))</f>
        <v>0</v>
      </c>
      <c r="BS102" s="52" t="n">
        <f aca="false">IF($E102="","",COUNTIF($E99:$E102,BP$21)+COUNTIF($E99:$E102,$A$3))</f>
        <v>0</v>
      </c>
      <c r="BT102" s="53" t="n">
        <f aca="false">IF($F102="","",COUNTIF($F99:$F102,BP$21)+COUNTIF($F99:$F102,$A$3))</f>
        <v>2</v>
      </c>
    </row>
    <row r="103" customFormat="false" ht="15" hidden="false" customHeight="false" outlineLevel="0" collapsed="false">
      <c r="A103" s="13" t="n">
        <v>81</v>
      </c>
      <c r="B103" s="116" t="str">
        <f aca="false">IF('Game Info'!J86="","",'Game Info'!J86)</f>
        <v>Q</v>
      </c>
      <c r="C103" s="116" t="n">
        <f aca="false">IF('Game Info'!K86="","",'Game Info'!K86)</f>
        <v>10</v>
      </c>
      <c r="D103" s="116" t="str">
        <f aca="false">IF('Game Info'!L86="","",'Game Info'!L86)</f>
        <v>Q</v>
      </c>
      <c r="E103" s="116" t="n">
        <f aca="false">IF('Game Info'!M86="","",'Game Info'!M86)</f>
        <v>10</v>
      </c>
      <c r="F103" s="117" t="str">
        <f aca="false">IF('Game Info'!N86="","",'Game Info'!N86)</f>
        <v>SYM5</v>
      </c>
      <c r="H103" s="65" t="n">
        <f aca="false">IF($B103="","",COUNTIF($B100:$B103,H$21)+COUNTIF($B100:$B103,$A$3))</f>
        <v>0</v>
      </c>
      <c r="I103" s="52" t="n">
        <f aca="false">IF($C103="","",COUNTIF($C100:$C103,H$21)+COUNTIF($C100:$C103,$A$3))</f>
        <v>0</v>
      </c>
      <c r="J103" s="52" t="n">
        <f aca="false">IF($D103="","",COUNTIF($D100:$D103,H$21)+COUNTIF($D100:$D103,$A$3))</f>
        <v>0</v>
      </c>
      <c r="K103" s="52" t="n">
        <f aca="false">IF($E103="","",COUNTIF($E100:$E103,H$21)+COUNTIF($E100:$E103,$A$3))</f>
        <v>0</v>
      </c>
      <c r="L103" s="53" t="n">
        <f aca="false">IF($F103="","",COUNTIF($F100:$F103,H$21)+COUNTIF($F100:$F103,$A$3))</f>
        <v>1</v>
      </c>
      <c r="N103" s="65" t="n">
        <f aca="false">IF($B103="","",COUNTIF($B100:$B103,N$21)+COUNTIF($B100:$B103,$A$3))</f>
        <v>0</v>
      </c>
      <c r="O103" s="52" t="n">
        <f aca="false">IF($C103="","",COUNTIF($C100:$C103,N$21)+COUNTIF($C100:$C103,$A$3))</f>
        <v>0</v>
      </c>
      <c r="P103" s="52" t="n">
        <f aca="false">IF($D103="","",COUNTIF($D100:$D103,N$21)+COUNTIF($D100:$D103,$A$3))</f>
        <v>0</v>
      </c>
      <c r="Q103" s="52" t="n">
        <f aca="false">IF($E103="","",COUNTIF($E100:$E103,N$21)+COUNTIF($E100:$E103,$A$3))</f>
        <v>0</v>
      </c>
      <c r="R103" s="53" t="n">
        <f aca="false">IF($F103="","",COUNTIF($F100:$F103,N$21)+COUNTIF($F100:$F103,$A$3))</f>
        <v>0</v>
      </c>
      <c r="T103" s="65" t="n">
        <f aca="false">IF($B103="","",COUNTIF($B100:$B103,T$21)+COUNTIF($B100:$B103,$A$3))</f>
        <v>0</v>
      </c>
      <c r="U103" s="52" t="n">
        <f aca="false">IF($C103="","",COUNTIF($C100:$C103,T$21)+COUNTIF($C100:$C103,$A$3))</f>
        <v>0</v>
      </c>
      <c r="V103" s="52" t="n">
        <f aca="false">IF($D103="","",COUNTIF($D100:$D103,T$21)+COUNTIF($D100:$D103,$A$3))</f>
        <v>0</v>
      </c>
      <c r="W103" s="52" t="n">
        <f aca="false">IF($E103="","",COUNTIF($E100:$E103,T$21)+COUNTIF($E100:$E103,$A$3))</f>
        <v>1</v>
      </c>
      <c r="X103" s="53" t="n">
        <f aca="false">IF($F103="","",COUNTIF($F100:$F103,T$21)+COUNTIF($F100:$F103,$A$3))</f>
        <v>0</v>
      </c>
      <c r="Z103" s="65" t="n">
        <f aca="false">IF($B103="","",COUNTIF($B100:$B103,Z$21)+COUNTIF($B100:$B103,$A$3))</f>
        <v>1</v>
      </c>
      <c r="AA103" s="52" t="n">
        <f aca="false">IF($C103="","",COUNTIF($C100:$C103,Z$21)+COUNTIF($C100:$C103,$A$3))</f>
        <v>0</v>
      </c>
      <c r="AB103" s="52" t="n">
        <f aca="false">IF($D103="","",COUNTIF($D100:$D103,Z$21)+COUNTIF($D100:$D103,$A$3))</f>
        <v>1</v>
      </c>
      <c r="AC103" s="52" t="n">
        <f aca="false">IF($E103="","",COUNTIF($E100:$E103,Z$21)+COUNTIF($E100:$E103,$A$3))</f>
        <v>0</v>
      </c>
      <c r="AD103" s="53" t="n">
        <f aca="false">IF($F103="","",COUNTIF($F100:$F103,Z$21)+COUNTIF($F100:$F103,$A$3))</f>
        <v>0</v>
      </c>
      <c r="AF103" s="65" t="n">
        <f aca="false">IF($B103="","",COUNTIF($B100:$B103,AF$21)+COUNTIF($B100:$B103,$A$3))</f>
        <v>0</v>
      </c>
      <c r="AG103" s="52" t="n">
        <f aca="false">IF($C103="","",COUNTIF($C100:$C103,AF$21)+COUNTIF($C100:$C103,$A$3))</f>
        <v>1</v>
      </c>
      <c r="AH103" s="52" t="n">
        <f aca="false">IF($D103="","",COUNTIF($D100:$D103,AF$21)+COUNTIF($D100:$D103,$A$3))</f>
        <v>1</v>
      </c>
      <c r="AI103" s="52" t="n">
        <f aca="false">IF($E103="","",COUNTIF($E100:$E103,AF$21)+COUNTIF($E100:$E103,$A$3))</f>
        <v>0</v>
      </c>
      <c r="AJ103" s="53" t="n">
        <f aca="false">IF($F103="","",COUNTIF($F100:$F103,AF$21)+COUNTIF($F100:$F103,$A$3))</f>
        <v>1</v>
      </c>
      <c r="AL103" s="65" t="n">
        <f aca="false">IF($B103="","",COUNTIF($B100:$B103,AL$21)+COUNTIF($B100:$B103,$A$3))</f>
        <v>1</v>
      </c>
      <c r="AM103" s="52" t="n">
        <f aca="false">IF($C103="","",COUNTIF($C100:$C103,AL$21)+COUNTIF($C100:$C103,$A$3))</f>
        <v>0</v>
      </c>
      <c r="AN103" s="52" t="n">
        <f aca="false">IF($D103="","",COUNTIF($D100:$D103,AL$21)+COUNTIF($D100:$D103,$A$3))</f>
        <v>0</v>
      </c>
      <c r="AO103" s="52" t="n">
        <f aca="false">IF($E103="","",COUNTIF($E100:$E103,AL$21)+COUNTIF($E100:$E103,$A$3))</f>
        <v>0</v>
      </c>
      <c r="AP103" s="53" t="n">
        <f aca="false">IF($F103="","",COUNTIF($F100:$F103,AL$21)+COUNTIF($F100:$F103,$A$3))</f>
        <v>0</v>
      </c>
      <c r="AR103" s="65" t="n">
        <f aca="false">IF($B103="","",COUNTIF($B100:$B103,AR$21)+COUNTIF($B100:$B103,$A$3))</f>
        <v>0</v>
      </c>
      <c r="AS103" s="52" t="n">
        <f aca="false">IF($C103="","",COUNTIF($C100:$C103,AR$21)+COUNTIF($C100:$C103,$A$3))</f>
        <v>0</v>
      </c>
      <c r="AT103" s="52" t="n">
        <f aca="false">IF($D103="","",COUNTIF($D100:$D103,AR$21)+COUNTIF($D100:$D103,$A$3))</f>
        <v>0</v>
      </c>
      <c r="AU103" s="52" t="n">
        <f aca="false">IF($E103="","",COUNTIF($E100:$E103,AR$21)+COUNTIF($E100:$E103,$A$3))</f>
        <v>1</v>
      </c>
      <c r="AV103" s="53" t="n">
        <f aca="false">IF($F103="","",COUNTIF($F100:$F103,AR$21)+COUNTIF($F100:$F103,$A$3))</f>
        <v>0</v>
      </c>
      <c r="AX103" s="65" t="n">
        <f aca="false">IF($B103="","",COUNTIF($B100:$B103,AX$21)+COUNTIF($B100:$B103,$A$3))</f>
        <v>1</v>
      </c>
      <c r="AY103" s="52" t="n">
        <f aca="false">IF($C103="","",COUNTIF($C100:$C103,AX$21)+COUNTIF($C100:$C103,$A$3))</f>
        <v>0</v>
      </c>
      <c r="AZ103" s="52" t="n">
        <f aca="false">IF($D103="","",COUNTIF($D100:$D103,AX$21)+COUNTIF($D100:$D103,$A$3))</f>
        <v>1</v>
      </c>
      <c r="BA103" s="52" t="n">
        <f aca="false">IF($E103="","",COUNTIF($E100:$E103,AX$21)+COUNTIF($E100:$E103,$A$3))</f>
        <v>1</v>
      </c>
      <c r="BB103" s="53" t="n">
        <f aca="false">IF($F103="","",COUNTIF($F100:$F103,AX$21)+COUNTIF($F100:$F103,$A$3))</f>
        <v>1</v>
      </c>
      <c r="BD103" s="65" t="n">
        <f aca="false">IF($B103="","",COUNTIF($B100:$B103,BD$21)+COUNTIF($B100:$B103,$A$3))</f>
        <v>0</v>
      </c>
      <c r="BE103" s="52" t="n">
        <f aca="false">IF($C103="","",COUNTIF($C100:$C103,BD$21)+COUNTIF($C100:$C103,$A$3))</f>
        <v>1</v>
      </c>
      <c r="BF103" s="52" t="n">
        <f aca="false">IF($D103="","",COUNTIF($D100:$D103,BD$21)+COUNTIF($D100:$D103,$A$3))</f>
        <v>0</v>
      </c>
      <c r="BG103" s="52" t="n">
        <f aca="false">IF($E103="","",COUNTIF($E100:$E103,BD$21)+COUNTIF($E100:$E103,$A$3))</f>
        <v>0</v>
      </c>
      <c r="BH103" s="53" t="n">
        <f aca="false">IF($F103="","",COUNTIF($F100:$F103,BD$21)+COUNTIF($F100:$F103,$A$3))</f>
        <v>0</v>
      </c>
      <c r="BJ103" s="65" t="n">
        <f aca="false">IF($B103="","",COUNTIF($B100:$B103,BJ$21)+COUNTIF($B100:$B103,$A$3))</f>
        <v>1</v>
      </c>
      <c r="BK103" s="52" t="n">
        <f aca="false">IF($C103="","",COUNTIF($C100:$C103,BJ$21)+COUNTIF($C100:$C103,$A$3))</f>
        <v>1</v>
      </c>
      <c r="BL103" s="52" t="n">
        <f aca="false">IF($D103="","",COUNTIF($D100:$D103,BJ$21)+COUNTIF($D100:$D103,$A$3))</f>
        <v>1</v>
      </c>
      <c r="BM103" s="52" t="n">
        <f aca="false">IF($E103="","",COUNTIF($E100:$E103,BJ$21)+COUNTIF($E100:$E103,$A$3))</f>
        <v>1</v>
      </c>
      <c r="BN103" s="53" t="n">
        <f aca="false">IF($F103="","",COUNTIF($F100:$F103,BJ$21)+COUNTIF($F100:$F103,$A$3))</f>
        <v>0</v>
      </c>
      <c r="BP103" s="65" t="n">
        <f aca="false">IF($B103="","",COUNTIF($B100:$B103,BP$21)+COUNTIF($B100:$B103,$A$3))</f>
        <v>0</v>
      </c>
      <c r="BQ103" s="52" t="n">
        <f aca="false">IF($C103="","",COUNTIF($C100:$C103,BP$21)+COUNTIF($C100:$C103,$A$3))</f>
        <v>1</v>
      </c>
      <c r="BR103" s="52" t="n">
        <f aca="false">IF($D103="","",COUNTIF($D100:$D103,BP$21)+COUNTIF($D100:$D103,$A$3))</f>
        <v>0</v>
      </c>
      <c r="BS103" s="52" t="n">
        <f aca="false">IF($E103="","",COUNTIF($E100:$E103,BP$21)+COUNTIF($E100:$E103,$A$3))</f>
        <v>0</v>
      </c>
      <c r="BT103" s="53" t="n">
        <f aca="false">IF($F103="","",COUNTIF($F100:$F103,BP$21)+COUNTIF($F100:$F103,$A$3))</f>
        <v>1</v>
      </c>
    </row>
    <row r="104" customFormat="false" ht="15" hidden="false" customHeight="false" outlineLevel="0" collapsed="false">
      <c r="A104" s="13" t="n">
        <v>82</v>
      </c>
      <c r="B104" s="116" t="str">
        <f aca="false">IF('Game Info'!J87="","",'Game Info'!J87)</f>
        <v>FG</v>
      </c>
      <c r="C104" s="116" t="str">
        <f aca="false">IF('Game Info'!K87="","",'Game Info'!K87)</f>
        <v>SYM2</v>
      </c>
      <c r="D104" s="116" t="str">
        <f aca="false">IF('Game Info'!L87="","",'Game Info'!L87)</f>
        <v>SYM3</v>
      </c>
      <c r="E104" s="116" t="str">
        <f aca="false">IF('Game Info'!M87="","",'Game Info'!M87)</f>
        <v>WILD</v>
      </c>
      <c r="F104" s="117" t="str">
        <f aca="false">IF('Game Info'!N87="","",'Game Info'!N87)</f>
        <v>SYM5</v>
      </c>
      <c r="H104" s="65" t="n">
        <f aca="false">IF($B104="","",COUNTIF($B101:$B104,H$21)+COUNTIF($B101:$B104,$A$3))</f>
        <v>0</v>
      </c>
      <c r="I104" s="52" t="n">
        <f aca="false">IF($C104="","",COUNTIF($C101:$C104,H$21)+COUNTIF($C101:$C104,$A$3))</f>
        <v>0</v>
      </c>
      <c r="J104" s="52" t="n">
        <f aca="false">IF($D104="","",COUNTIF($D101:$D104,H$21)+COUNTIF($D101:$D104,$A$3))</f>
        <v>0</v>
      </c>
      <c r="K104" s="52" t="n">
        <f aca="false">IF($E104="","",COUNTIF($E101:$E104,H$21)+COUNTIF($E101:$E104,$A$3))</f>
        <v>1</v>
      </c>
      <c r="L104" s="53" t="n">
        <f aca="false">IF($F104="","",COUNTIF($F101:$F104,H$21)+COUNTIF($F101:$F104,$A$3))</f>
        <v>0</v>
      </c>
      <c r="N104" s="65" t="n">
        <f aca="false">IF($B104="","",COUNTIF($B101:$B104,N$21)+COUNTIF($B101:$B104,$A$3))</f>
        <v>0</v>
      </c>
      <c r="O104" s="52" t="n">
        <f aca="false">IF($C104="","",COUNTIF($C101:$C104,N$21)+COUNTIF($C101:$C104,$A$3))</f>
        <v>1</v>
      </c>
      <c r="P104" s="52" t="n">
        <f aca="false">IF($D104="","",COUNTIF($D101:$D104,N$21)+COUNTIF($D101:$D104,$A$3))</f>
        <v>0</v>
      </c>
      <c r="Q104" s="52" t="n">
        <f aca="false">IF($E104="","",COUNTIF($E101:$E104,N$21)+COUNTIF($E101:$E104,$A$3))</f>
        <v>1</v>
      </c>
      <c r="R104" s="53" t="n">
        <f aca="false">IF($F104="","",COUNTIF($F101:$F104,N$21)+COUNTIF($F101:$F104,$A$3))</f>
        <v>0</v>
      </c>
      <c r="T104" s="65" t="n">
        <f aca="false">IF($B104="","",COUNTIF($B101:$B104,T$21)+COUNTIF($B101:$B104,$A$3))</f>
        <v>0</v>
      </c>
      <c r="U104" s="52" t="n">
        <f aca="false">IF($C104="","",COUNTIF($C101:$C104,T$21)+COUNTIF($C101:$C104,$A$3))</f>
        <v>0</v>
      </c>
      <c r="V104" s="52" t="n">
        <f aca="false">IF($D104="","",COUNTIF($D101:$D104,T$21)+COUNTIF($D101:$D104,$A$3))</f>
        <v>1</v>
      </c>
      <c r="W104" s="52" t="n">
        <f aca="false">IF($E104="","",COUNTIF($E101:$E104,T$21)+COUNTIF($E101:$E104,$A$3))</f>
        <v>2</v>
      </c>
      <c r="X104" s="53" t="n">
        <f aca="false">IF($F104="","",COUNTIF($F101:$F104,T$21)+COUNTIF($F101:$F104,$A$3))</f>
        <v>0</v>
      </c>
      <c r="Z104" s="65" t="n">
        <f aca="false">IF($B104="","",COUNTIF($B101:$B104,Z$21)+COUNTIF($B101:$B104,$A$3))</f>
        <v>1</v>
      </c>
      <c r="AA104" s="52" t="n">
        <f aca="false">IF($C104="","",COUNTIF($C101:$C104,Z$21)+COUNTIF($C101:$C104,$A$3))</f>
        <v>0</v>
      </c>
      <c r="AB104" s="52" t="n">
        <f aca="false">IF($D104="","",COUNTIF($D101:$D104,Z$21)+COUNTIF($D101:$D104,$A$3))</f>
        <v>1</v>
      </c>
      <c r="AC104" s="52" t="n">
        <f aca="false">IF($E104="","",COUNTIF($E101:$E104,Z$21)+COUNTIF($E101:$E104,$A$3))</f>
        <v>1</v>
      </c>
      <c r="AD104" s="53" t="n">
        <f aca="false">IF($F104="","",COUNTIF($F101:$F104,Z$21)+COUNTIF($F101:$F104,$A$3))</f>
        <v>0</v>
      </c>
      <c r="AF104" s="65" t="n">
        <f aca="false">IF($B104="","",COUNTIF($B101:$B104,AF$21)+COUNTIF($B101:$B104,$A$3))</f>
        <v>0</v>
      </c>
      <c r="AG104" s="52" t="n">
        <f aca="false">IF($C104="","",COUNTIF($C101:$C104,AF$21)+COUNTIF($C101:$C104,$A$3))</f>
        <v>1</v>
      </c>
      <c r="AH104" s="52" t="n">
        <f aca="false">IF($D104="","",COUNTIF($D101:$D104,AF$21)+COUNTIF($D101:$D104,$A$3))</f>
        <v>0</v>
      </c>
      <c r="AI104" s="52" t="n">
        <f aca="false">IF($E104="","",COUNTIF($E101:$E104,AF$21)+COUNTIF($E101:$E104,$A$3))</f>
        <v>1</v>
      </c>
      <c r="AJ104" s="53" t="n">
        <f aca="false">IF($F104="","",COUNTIF($F101:$F104,AF$21)+COUNTIF($F101:$F104,$A$3))</f>
        <v>2</v>
      </c>
      <c r="AL104" s="65" t="n">
        <f aca="false">IF($B104="","",COUNTIF($B101:$B104,AL$21)+COUNTIF($B101:$B104,$A$3))</f>
        <v>1</v>
      </c>
      <c r="AM104" s="52" t="n">
        <f aca="false">IF($C104="","",COUNTIF($C101:$C104,AL$21)+COUNTIF($C101:$C104,$A$3))</f>
        <v>0</v>
      </c>
      <c r="AN104" s="52" t="n">
        <f aca="false">IF($D104="","",COUNTIF($D101:$D104,AL$21)+COUNTIF($D101:$D104,$A$3))</f>
        <v>0</v>
      </c>
      <c r="AO104" s="52" t="n">
        <f aca="false">IF($E104="","",COUNTIF($E101:$E104,AL$21)+COUNTIF($E101:$E104,$A$3))</f>
        <v>1</v>
      </c>
      <c r="AP104" s="53" t="n">
        <f aca="false">IF($F104="","",COUNTIF($F101:$F104,AL$21)+COUNTIF($F101:$F104,$A$3))</f>
        <v>0</v>
      </c>
      <c r="AR104" s="65" t="n">
        <f aca="false">IF($B104="","",COUNTIF($B101:$B104,AR$21)+COUNTIF($B101:$B104,$A$3))</f>
        <v>0</v>
      </c>
      <c r="AS104" s="52" t="n">
        <f aca="false">IF($C104="","",COUNTIF($C101:$C104,AR$21)+COUNTIF($C101:$C104,$A$3))</f>
        <v>0</v>
      </c>
      <c r="AT104" s="52" t="n">
        <f aca="false">IF($D104="","",COUNTIF($D101:$D104,AR$21)+COUNTIF($D101:$D104,$A$3))</f>
        <v>0</v>
      </c>
      <c r="AU104" s="52" t="n">
        <f aca="false">IF($E104="","",COUNTIF($E101:$E104,AR$21)+COUNTIF($E101:$E104,$A$3))</f>
        <v>1</v>
      </c>
      <c r="AV104" s="53" t="n">
        <f aca="false">IF($F104="","",COUNTIF($F101:$F104,AR$21)+COUNTIF($F101:$F104,$A$3))</f>
        <v>0</v>
      </c>
      <c r="AX104" s="65" t="n">
        <f aca="false">IF($B104="","",COUNTIF($B101:$B104,AX$21)+COUNTIF($B101:$B104,$A$3))</f>
        <v>1</v>
      </c>
      <c r="AY104" s="52" t="n">
        <f aca="false">IF($C104="","",COUNTIF($C101:$C104,AX$21)+COUNTIF($C101:$C104,$A$3))</f>
        <v>0</v>
      </c>
      <c r="AZ104" s="52" t="n">
        <f aca="false">IF($D104="","",COUNTIF($D101:$D104,AX$21)+COUNTIF($D101:$D104,$A$3))</f>
        <v>1</v>
      </c>
      <c r="BA104" s="52" t="n">
        <f aca="false">IF($E104="","",COUNTIF($E101:$E104,AX$21)+COUNTIF($E101:$E104,$A$3))</f>
        <v>2</v>
      </c>
      <c r="BB104" s="53" t="n">
        <f aca="false">IF($F104="","",COUNTIF($F101:$F104,AX$21)+COUNTIF($F101:$F104,$A$3))</f>
        <v>1</v>
      </c>
      <c r="BD104" s="65" t="n">
        <f aca="false">IF($B104="","",COUNTIF($B101:$B104,BD$21)+COUNTIF($B101:$B104,$A$3))</f>
        <v>0</v>
      </c>
      <c r="BE104" s="52" t="n">
        <f aca="false">IF($C104="","",COUNTIF($C101:$C104,BD$21)+COUNTIF($C101:$C104,$A$3))</f>
        <v>0</v>
      </c>
      <c r="BF104" s="52" t="n">
        <f aca="false">IF($D104="","",COUNTIF($D101:$D104,BD$21)+COUNTIF($D101:$D104,$A$3))</f>
        <v>0</v>
      </c>
      <c r="BG104" s="52" t="n">
        <f aca="false">IF($E104="","",COUNTIF($E101:$E104,BD$21)+COUNTIF($E101:$E104,$A$3))</f>
        <v>1</v>
      </c>
      <c r="BH104" s="53" t="n">
        <f aca="false">IF($F104="","",COUNTIF($F101:$F104,BD$21)+COUNTIF($F101:$F104,$A$3))</f>
        <v>0</v>
      </c>
      <c r="BJ104" s="65" t="n">
        <f aca="false">IF($B104="","",COUNTIF($B101:$B104,BJ$21)+COUNTIF($B101:$B104,$A$3))</f>
        <v>0</v>
      </c>
      <c r="BK104" s="52" t="n">
        <f aca="false">IF($C104="","",COUNTIF($C101:$C104,BJ$21)+COUNTIF($C101:$C104,$A$3))</f>
        <v>1</v>
      </c>
      <c r="BL104" s="52" t="n">
        <f aca="false">IF($D104="","",COUNTIF($D101:$D104,BJ$21)+COUNTIF($D101:$D104,$A$3))</f>
        <v>1</v>
      </c>
      <c r="BM104" s="52" t="n">
        <f aca="false">IF($E104="","",COUNTIF($E101:$E104,BJ$21)+COUNTIF($E101:$E104,$A$3))</f>
        <v>2</v>
      </c>
      <c r="BN104" s="53" t="n">
        <f aca="false">IF($F104="","",COUNTIF($F101:$F104,BJ$21)+COUNTIF($F101:$F104,$A$3))</f>
        <v>0</v>
      </c>
      <c r="BP104" s="65" t="n">
        <f aca="false">IF($B104="","",COUNTIF($B101:$B104,BP$21)+COUNTIF($B101:$B104,$A$3))</f>
        <v>0</v>
      </c>
      <c r="BQ104" s="52" t="n">
        <f aca="false">IF($C104="","",COUNTIF($C101:$C104,BP$21)+COUNTIF($C101:$C104,$A$3))</f>
        <v>1</v>
      </c>
      <c r="BR104" s="52" t="n">
        <f aca="false">IF($D104="","",COUNTIF($D101:$D104,BP$21)+COUNTIF($D101:$D104,$A$3))</f>
        <v>0</v>
      </c>
      <c r="BS104" s="52" t="n">
        <f aca="false">IF($E104="","",COUNTIF($E101:$E104,BP$21)+COUNTIF($E101:$E104,$A$3))</f>
        <v>1</v>
      </c>
      <c r="BT104" s="53" t="n">
        <f aca="false">IF($F104="","",COUNTIF($F101:$F104,BP$21)+COUNTIF($F101:$F104,$A$3))</f>
        <v>1</v>
      </c>
    </row>
    <row r="105" customFormat="false" ht="15" hidden="false" customHeight="false" outlineLevel="0" collapsed="false">
      <c r="A105" s="13" t="n">
        <v>83</v>
      </c>
      <c r="B105" s="116" t="n">
        <f aca="false">IF('Game Info'!J88="","",'Game Info'!J88)</f>
        <v>10</v>
      </c>
      <c r="C105" s="116" t="str">
        <f aca="false">IF('Game Info'!K88="","",'Game Info'!K88)</f>
        <v>J</v>
      </c>
      <c r="D105" s="116" t="n">
        <f aca="false">IF('Game Info'!L88="","",'Game Info'!L88)</f>
        <v>10</v>
      </c>
      <c r="E105" s="116" t="str">
        <f aca="false">IF('Game Info'!M88="","",'Game Info'!M88)</f>
        <v>A</v>
      </c>
      <c r="F105" s="117" t="str">
        <f aca="false">IF('Game Info'!N88="","",'Game Info'!N88)</f>
        <v>SYM5</v>
      </c>
      <c r="H105" s="65" t="n">
        <f aca="false">IF($B105="","",COUNTIF($B102:$B105,H$21)+COUNTIF($B102:$B105,$A$3))</f>
        <v>0</v>
      </c>
      <c r="I105" s="52" t="n">
        <f aca="false">IF($C105="","",COUNTIF($C102:$C105,H$21)+COUNTIF($C102:$C105,$A$3))</f>
        <v>0</v>
      </c>
      <c r="J105" s="52" t="n">
        <f aca="false">IF($D105="","",COUNTIF($D102:$D105,H$21)+COUNTIF($D102:$D105,$A$3))</f>
        <v>0</v>
      </c>
      <c r="K105" s="52" t="n">
        <f aca="false">IF($E105="","",COUNTIF($E102:$E105,H$21)+COUNTIF($E102:$E105,$A$3))</f>
        <v>1</v>
      </c>
      <c r="L105" s="53" t="n">
        <f aca="false">IF($F105="","",COUNTIF($F102:$F105,H$21)+COUNTIF($F102:$F105,$A$3))</f>
        <v>0</v>
      </c>
      <c r="N105" s="65" t="n">
        <f aca="false">IF($B105="","",COUNTIF($B102:$B105,N$21)+COUNTIF($B102:$B105,$A$3))</f>
        <v>0</v>
      </c>
      <c r="O105" s="52" t="n">
        <f aca="false">IF($C105="","",COUNTIF($C102:$C105,N$21)+COUNTIF($C102:$C105,$A$3))</f>
        <v>1</v>
      </c>
      <c r="P105" s="52" t="n">
        <f aca="false">IF($D105="","",COUNTIF($D102:$D105,N$21)+COUNTIF($D102:$D105,$A$3))</f>
        <v>0</v>
      </c>
      <c r="Q105" s="52" t="n">
        <f aca="false">IF($E105="","",COUNTIF($E102:$E105,N$21)+COUNTIF($E102:$E105,$A$3))</f>
        <v>1</v>
      </c>
      <c r="R105" s="53" t="n">
        <f aca="false">IF($F105="","",COUNTIF($F102:$F105,N$21)+COUNTIF($F102:$F105,$A$3))</f>
        <v>0</v>
      </c>
      <c r="T105" s="65" t="n">
        <f aca="false">IF($B105="","",COUNTIF($B102:$B105,T$21)+COUNTIF($B102:$B105,$A$3))</f>
        <v>0</v>
      </c>
      <c r="U105" s="52" t="n">
        <f aca="false">IF($C105="","",COUNTIF($C102:$C105,T$21)+COUNTIF($C102:$C105,$A$3))</f>
        <v>0</v>
      </c>
      <c r="V105" s="52" t="n">
        <f aca="false">IF($D105="","",COUNTIF($D102:$D105,T$21)+COUNTIF($D102:$D105,$A$3))</f>
        <v>1</v>
      </c>
      <c r="W105" s="52" t="n">
        <f aca="false">IF($E105="","",COUNTIF($E102:$E105,T$21)+COUNTIF($E102:$E105,$A$3))</f>
        <v>2</v>
      </c>
      <c r="X105" s="53" t="n">
        <f aca="false">IF($F105="","",COUNTIF($F102:$F105,T$21)+COUNTIF($F102:$F105,$A$3))</f>
        <v>0</v>
      </c>
      <c r="Z105" s="65" t="n">
        <f aca="false">IF($B105="","",COUNTIF($B102:$B105,Z$21)+COUNTIF($B102:$B105,$A$3))</f>
        <v>0</v>
      </c>
      <c r="AA105" s="52" t="n">
        <f aca="false">IF($C105="","",COUNTIF($C102:$C105,Z$21)+COUNTIF($C102:$C105,$A$3))</f>
        <v>0</v>
      </c>
      <c r="AB105" s="52" t="n">
        <f aca="false">IF($D105="","",COUNTIF($D102:$D105,Z$21)+COUNTIF($D102:$D105,$A$3))</f>
        <v>1</v>
      </c>
      <c r="AC105" s="52" t="n">
        <f aca="false">IF($E105="","",COUNTIF($E102:$E105,Z$21)+COUNTIF($E102:$E105,$A$3))</f>
        <v>1</v>
      </c>
      <c r="AD105" s="53" t="n">
        <f aca="false">IF($F105="","",COUNTIF($F102:$F105,Z$21)+COUNTIF($F102:$F105,$A$3))</f>
        <v>0</v>
      </c>
      <c r="AF105" s="65" t="n">
        <f aca="false">IF($B105="","",COUNTIF($B102:$B105,AF$21)+COUNTIF($B102:$B105,$A$3))</f>
        <v>0</v>
      </c>
      <c r="AG105" s="52" t="n">
        <f aca="false">IF($C105="","",COUNTIF($C102:$C105,AF$21)+COUNTIF($C102:$C105,$A$3))</f>
        <v>0</v>
      </c>
      <c r="AH105" s="52" t="n">
        <f aca="false">IF($D105="","",COUNTIF($D102:$D105,AF$21)+COUNTIF($D102:$D105,$A$3))</f>
        <v>0</v>
      </c>
      <c r="AI105" s="52" t="n">
        <f aca="false">IF($E105="","",COUNTIF($E102:$E105,AF$21)+COUNTIF($E102:$E105,$A$3))</f>
        <v>1</v>
      </c>
      <c r="AJ105" s="53" t="n">
        <f aca="false">IF($F105="","",COUNTIF($F102:$F105,AF$21)+COUNTIF($F102:$F105,$A$3))</f>
        <v>3</v>
      </c>
      <c r="AL105" s="65" t="n">
        <f aca="false">IF($B105="","",COUNTIF($B102:$B105,AL$21)+COUNTIF($B102:$B105,$A$3))</f>
        <v>1</v>
      </c>
      <c r="AM105" s="52" t="n">
        <f aca="false">IF($C105="","",COUNTIF($C102:$C105,AL$21)+COUNTIF($C102:$C105,$A$3))</f>
        <v>0</v>
      </c>
      <c r="AN105" s="52" t="n">
        <f aca="false">IF($D105="","",COUNTIF($D102:$D105,AL$21)+COUNTIF($D102:$D105,$A$3))</f>
        <v>0</v>
      </c>
      <c r="AO105" s="52" t="n">
        <f aca="false">IF($E105="","",COUNTIF($E102:$E105,AL$21)+COUNTIF($E102:$E105,$A$3))</f>
        <v>2</v>
      </c>
      <c r="AP105" s="53" t="n">
        <f aca="false">IF($F105="","",COUNTIF($F102:$F105,AL$21)+COUNTIF($F102:$F105,$A$3))</f>
        <v>0</v>
      </c>
      <c r="AR105" s="65" t="n">
        <f aca="false">IF($B105="","",COUNTIF($B102:$B105,AR$21)+COUNTIF($B102:$B105,$A$3))</f>
        <v>0</v>
      </c>
      <c r="AS105" s="52" t="n">
        <f aca="false">IF($C105="","",COUNTIF($C102:$C105,AR$21)+COUNTIF($C102:$C105,$A$3))</f>
        <v>0</v>
      </c>
      <c r="AT105" s="52" t="n">
        <f aca="false">IF($D105="","",COUNTIF($D102:$D105,AR$21)+COUNTIF($D102:$D105,$A$3))</f>
        <v>0</v>
      </c>
      <c r="AU105" s="52" t="n">
        <f aca="false">IF($E105="","",COUNTIF($E102:$E105,AR$21)+COUNTIF($E102:$E105,$A$3))</f>
        <v>1</v>
      </c>
      <c r="AV105" s="53" t="n">
        <f aca="false">IF($F105="","",COUNTIF($F102:$F105,AR$21)+COUNTIF($F102:$F105,$A$3))</f>
        <v>0</v>
      </c>
      <c r="AX105" s="65" t="n">
        <f aca="false">IF($B105="","",COUNTIF($B102:$B105,AX$21)+COUNTIF($B102:$B105,$A$3))</f>
        <v>1</v>
      </c>
      <c r="AY105" s="52" t="n">
        <f aca="false">IF($C105="","",COUNTIF($C102:$C105,AX$21)+COUNTIF($C102:$C105,$A$3))</f>
        <v>0</v>
      </c>
      <c r="AZ105" s="52" t="n">
        <f aca="false">IF($D105="","",COUNTIF($D102:$D105,AX$21)+COUNTIF($D102:$D105,$A$3))</f>
        <v>1</v>
      </c>
      <c r="BA105" s="52" t="n">
        <f aca="false">IF($E105="","",COUNTIF($E102:$E105,AX$21)+COUNTIF($E102:$E105,$A$3))</f>
        <v>1</v>
      </c>
      <c r="BB105" s="53" t="n">
        <f aca="false">IF($F105="","",COUNTIF($F102:$F105,AX$21)+COUNTIF($F102:$F105,$A$3))</f>
        <v>0</v>
      </c>
      <c r="BD105" s="65" t="n">
        <f aca="false">IF($B105="","",COUNTIF($B102:$B105,BD$21)+COUNTIF($B102:$B105,$A$3))</f>
        <v>0</v>
      </c>
      <c r="BE105" s="52" t="n">
        <f aca="false">IF($C105="","",COUNTIF($C102:$C105,BD$21)+COUNTIF($C102:$C105,$A$3))</f>
        <v>1</v>
      </c>
      <c r="BF105" s="52" t="n">
        <f aca="false">IF($D105="","",COUNTIF($D102:$D105,BD$21)+COUNTIF($D102:$D105,$A$3))</f>
        <v>0</v>
      </c>
      <c r="BG105" s="52" t="n">
        <f aca="false">IF($E105="","",COUNTIF($E102:$E105,BD$21)+COUNTIF($E102:$E105,$A$3))</f>
        <v>1</v>
      </c>
      <c r="BH105" s="53" t="n">
        <f aca="false">IF($F105="","",COUNTIF($F102:$F105,BD$21)+COUNTIF($F102:$F105,$A$3))</f>
        <v>0</v>
      </c>
      <c r="BJ105" s="65" t="n">
        <f aca="false">IF($B105="","",COUNTIF($B102:$B105,BJ$21)+COUNTIF($B102:$B105,$A$3))</f>
        <v>1</v>
      </c>
      <c r="BK105" s="52" t="n">
        <f aca="false">IF($C105="","",COUNTIF($C102:$C105,BJ$21)+COUNTIF($C102:$C105,$A$3))</f>
        <v>1</v>
      </c>
      <c r="BL105" s="52" t="n">
        <f aca="false">IF($D105="","",COUNTIF($D102:$D105,BJ$21)+COUNTIF($D102:$D105,$A$3))</f>
        <v>1</v>
      </c>
      <c r="BM105" s="52" t="n">
        <f aca="false">IF($E105="","",COUNTIF($E102:$E105,BJ$21)+COUNTIF($E102:$E105,$A$3))</f>
        <v>2</v>
      </c>
      <c r="BN105" s="53" t="n">
        <f aca="false">IF($F105="","",COUNTIF($F102:$F105,BJ$21)+COUNTIF($F102:$F105,$A$3))</f>
        <v>0</v>
      </c>
      <c r="BP105" s="65" t="n">
        <f aca="false">IF($B105="","",COUNTIF($B102:$B105,BP$21)+COUNTIF($B102:$B105,$A$3))</f>
        <v>0</v>
      </c>
      <c r="BQ105" s="52" t="n">
        <f aca="false">IF($C105="","",COUNTIF($C102:$C105,BP$21)+COUNTIF($C102:$C105,$A$3))</f>
        <v>1</v>
      </c>
      <c r="BR105" s="52" t="n">
        <f aca="false">IF($D105="","",COUNTIF($D102:$D105,BP$21)+COUNTIF($D102:$D105,$A$3))</f>
        <v>0</v>
      </c>
      <c r="BS105" s="52" t="n">
        <f aca="false">IF($E105="","",COUNTIF($E102:$E105,BP$21)+COUNTIF($E102:$E105,$A$3))</f>
        <v>1</v>
      </c>
      <c r="BT105" s="53" t="n">
        <f aca="false">IF($F105="","",COUNTIF($F102:$F105,BP$21)+COUNTIF($F102:$F105,$A$3))</f>
        <v>1</v>
      </c>
    </row>
    <row r="106" customFormat="false" ht="15" hidden="false" customHeight="false" outlineLevel="0" collapsed="false">
      <c r="A106" s="13" t="n">
        <v>84</v>
      </c>
      <c r="B106" s="116" t="str">
        <f aca="false">IF('Game Info'!J89="","",'Game Info'!J89)</f>
        <v>SYM3</v>
      </c>
      <c r="C106" s="116" t="str">
        <f aca="false">IF('Game Info'!K89="","",'Game Info'!K89)</f>
        <v>SYM1</v>
      </c>
      <c r="D106" s="116" t="str">
        <f aca="false">IF('Game Info'!L89="","",'Game Info'!L89)</f>
        <v>SYM5</v>
      </c>
      <c r="E106" s="116" t="str">
        <f aca="false">IF('Game Info'!M89="","",'Game Info'!M89)</f>
        <v>SYM4</v>
      </c>
      <c r="F106" s="117" t="str">
        <f aca="false">IF('Game Info'!N89="","",'Game Info'!N89)</f>
        <v>Q</v>
      </c>
      <c r="H106" s="65" t="n">
        <f aca="false">IF($B106="","",COUNTIF($B103:$B106,H$21)+COUNTIF($B103:$B106,$A$3))</f>
        <v>0</v>
      </c>
      <c r="I106" s="52" t="n">
        <f aca="false">IF($C106="","",COUNTIF($C103:$C106,H$21)+COUNTIF($C103:$C106,$A$3))</f>
        <v>1</v>
      </c>
      <c r="J106" s="52" t="n">
        <f aca="false">IF($D106="","",COUNTIF($D103:$D106,H$21)+COUNTIF($D103:$D106,$A$3))</f>
        <v>0</v>
      </c>
      <c r="K106" s="52" t="n">
        <f aca="false">IF($E106="","",COUNTIF($E103:$E106,H$21)+COUNTIF($E103:$E106,$A$3))</f>
        <v>1</v>
      </c>
      <c r="L106" s="53" t="n">
        <f aca="false">IF($F106="","",COUNTIF($F103:$F106,H$21)+COUNTIF($F103:$F106,$A$3))</f>
        <v>0</v>
      </c>
      <c r="N106" s="65" t="n">
        <f aca="false">IF($B106="","",COUNTIF($B103:$B106,N$21)+COUNTIF($B103:$B106,$A$3))</f>
        <v>0</v>
      </c>
      <c r="O106" s="52" t="n">
        <f aca="false">IF($C106="","",COUNTIF($C103:$C106,N$21)+COUNTIF($C103:$C106,$A$3))</f>
        <v>1</v>
      </c>
      <c r="P106" s="52" t="n">
        <f aca="false">IF($D106="","",COUNTIF($D103:$D106,N$21)+COUNTIF($D103:$D106,$A$3))</f>
        <v>0</v>
      </c>
      <c r="Q106" s="52" t="n">
        <f aca="false">IF($E106="","",COUNTIF($E103:$E106,N$21)+COUNTIF($E103:$E106,$A$3))</f>
        <v>1</v>
      </c>
      <c r="R106" s="53" t="n">
        <f aca="false">IF($F106="","",COUNTIF($F103:$F106,N$21)+COUNTIF($F103:$F106,$A$3))</f>
        <v>0</v>
      </c>
      <c r="T106" s="65" t="n">
        <f aca="false">IF($B106="","",COUNTIF($B103:$B106,T$21)+COUNTIF($B103:$B106,$A$3))</f>
        <v>1</v>
      </c>
      <c r="U106" s="52" t="n">
        <f aca="false">IF($C106="","",COUNTIF($C103:$C106,T$21)+COUNTIF($C103:$C106,$A$3))</f>
        <v>0</v>
      </c>
      <c r="V106" s="52" t="n">
        <f aca="false">IF($D106="","",COUNTIF($D103:$D106,T$21)+COUNTIF($D103:$D106,$A$3))</f>
        <v>1</v>
      </c>
      <c r="W106" s="52" t="n">
        <f aca="false">IF($E106="","",COUNTIF($E103:$E106,T$21)+COUNTIF($E103:$E106,$A$3))</f>
        <v>1</v>
      </c>
      <c r="X106" s="53" t="n">
        <f aca="false">IF($F106="","",COUNTIF($F103:$F106,T$21)+COUNTIF($F103:$F106,$A$3))</f>
        <v>0</v>
      </c>
      <c r="Z106" s="65" t="n">
        <f aca="false">IF($B106="","",COUNTIF($B103:$B106,Z$21)+COUNTIF($B103:$B106,$A$3))</f>
        <v>0</v>
      </c>
      <c r="AA106" s="52" t="n">
        <f aca="false">IF($C106="","",COUNTIF($C103:$C106,Z$21)+COUNTIF($C103:$C106,$A$3))</f>
        <v>0</v>
      </c>
      <c r="AB106" s="52" t="n">
        <f aca="false">IF($D106="","",COUNTIF($D103:$D106,Z$21)+COUNTIF($D103:$D106,$A$3))</f>
        <v>0</v>
      </c>
      <c r="AC106" s="52" t="n">
        <f aca="false">IF($E106="","",COUNTIF($E103:$E106,Z$21)+COUNTIF($E103:$E106,$A$3))</f>
        <v>2</v>
      </c>
      <c r="AD106" s="53" t="n">
        <f aca="false">IF($F106="","",COUNTIF($F103:$F106,Z$21)+COUNTIF($F103:$F106,$A$3))</f>
        <v>0</v>
      </c>
      <c r="AF106" s="65" t="n">
        <f aca="false">IF($B106="","",COUNTIF($B103:$B106,AF$21)+COUNTIF($B103:$B106,$A$3))</f>
        <v>0</v>
      </c>
      <c r="AG106" s="52" t="n">
        <f aca="false">IF($C106="","",COUNTIF($C103:$C106,AF$21)+COUNTIF($C103:$C106,$A$3))</f>
        <v>0</v>
      </c>
      <c r="AH106" s="52" t="n">
        <f aca="false">IF($D106="","",COUNTIF($D103:$D106,AF$21)+COUNTIF($D103:$D106,$A$3))</f>
        <v>1</v>
      </c>
      <c r="AI106" s="52" t="n">
        <f aca="false">IF($E106="","",COUNTIF($E103:$E106,AF$21)+COUNTIF($E103:$E106,$A$3))</f>
        <v>1</v>
      </c>
      <c r="AJ106" s="53" t="n">
        <f aca="false">IF($F106="","",COUNTIF($F103:$F106,AF$21)+COUNTIF($F103:$F106,$A$3))</f>
        <v>3</v>
      </c>
      <c r="AL106" s="65" t="n">
        <f aca="false">IF($B106="","",COUNTIF($B103:$B106,AL$21)+COUNTIF($B103:$B106,$A$3))</f>
        <v>0</v>
      </c>
      <c r="AM106" s="52" t="n">
        <f aca="false">IF($C106="","",COUNTIF($C103:$C106,AL$21)+COUNTIF($C103:$C106,$A$3))</f>
        <v>0</v>
      </c>
      <c r="AN106" s="52" t="n">
        <f aca="false">IF($D106="","",COUNTIF($D103:$D106,AL$21)+COUNTIF($D103:$D106,$A$3))</f>
        <v>0</v>
      </c>
      <c r="AO106" s="52" t="n">
        <f aca="false">IF($E106="","",COUNTIF($E103:$E106,AL$21)+COUNTIF($E103:$E106,$A$3))</f>
        <v>2</v>
      </c>
      <c r="AP106" s="53" t="n">
        <f aca="false">IF($F106="","",COUNTIF($F103:$F106,AL$21)+COUNTIF($F103:$F106,$A$3))</f>
        <v>0</v>
      </c>
      <c r="AR106" s="65" t="n">
        <f aca="false">IF($B106="","",COUNTIF($B103:$B106,AR$21)+COUNTIF($B103:$B106,$A$3))</f>
        <v>0</v>
      </c>
      <c r="AS106" s="52" t="n">
        <f aca="false">IF($C106="","",COUNTIF($C103:$C106,AR$21)+COUNTIF($C103:$C106,$A$3))</f>
        <v>0</v>
      </c>
      <c r="AT106" s="52" t="n">
        <f aca="false">IF($D106="","",COUNTIF($D103:$D106,AR$21)+COUNTIF($D103:$D106,$A$3))</f>
        <v>0</v>
      </c>
      <c r="AU106" s="52" t="n">
        <f aca="false">IF($E106="","",COUNTIF($E103:$E106,AR$21)+COUNTIF($E103:$E106,$A$3))</f>
        <v>1</v>
      </c>
      <c r="AV106" s="53" t="n">
        <f aca="false">IF($F106="","",COUNTIF($F103:$F106,AR$21)+COUNTIF($F103:$F106,$A$3))</f>
        <v>0</v>
      </c>
      <c r="AX106" s="65" t="n">
        <f aca="false">IF($B106="","",COUNTIF($B103:$B106,AX$21)+COUNTIF($B103:$B106,$A$3))</f>
        <v>1</v>
      </c>
      <c r="AY106" s="52" t="n">
        <f aca="false">IF($C106="","",COUNTIF($C103:$C106,AX$21)+COUNTIF($C103:$C106,$A$3))</f>
        <v>0</v>
      </c>
      <c r="AZ106" s="52" t="n">
        <f aca="false">IF($D106="","",COUNTIF($D103:$D106,AX$21)+COUNTIF($D103:$D106,$A$3))</f>
        <v>1</v>
      </c>
      <c r="BA106" s="52" t="n">
        <f aca="false">IF($E106="","",COUNTIF($E103:$E106,AX$21)+COUNTIF($E103:$E106,$A$3))</f>
        <v>1</v>
      </c>
      <c r="BB106" s="53" t="n">
        <f aca="false">IF($F106="","",COUNTIF($F103:$F106,AX$21)+COUNTIF($F103:$F106,$A$3))</f>
        <v>1</v>
      </c>
      <c r="BD106" s="65" t="n">
        <f aca="false">IF($B106="","",COUNTIF($B103:$B106,BD$21)+COUNTIF($B103:$B106,$A$3))</f>
        <v>0</v>
      </c>
      <c r="BE106" s="52" t="n">
        <f aca="false">IF($C106="","",COUNTIF($C103:$C106,BD$21)+COUNTIF($C103:$C106,$A$3))</f>
        <v>1</v>
      </c>
      <c r="BF106" s="52" t="n">
        <f aca="false">IF($D106="","",COUNTIF($D103:$D106,BD$21)+COUNTIF($D103:$D106,$A$3))</f>
        <v>0</v>
      </c>
      <c r="BG106" s="52" t="n">
        <f aca="false">IF($E106="","",COUNTIF($E103:$E106,BD$21)+COUNTIF($E103:$E106,$A$3))</f>
        <v>1</v>
      </c>
      <c r="BH106" s="53" t="n">
        <f aca="false">IF($F106="","",COUNTIF($F103:$F106,BD$21)+COUNTIF($F103:$F106,$A$3))</f>
        <v>0</v>
      </c>
      <c r="BJ106" s="65" t="n">
        <f aca="false">IF($B106="","",COUNTIF($B103:$B106,BJ$21)+COUNTIF($B103:$B106,$A$3))</f>
        <v>1</v>
      </c>
      <c r="BK106" s="52" t="n">
        <f aca="false">IF($C106="","",COUNTIF($C103:$C106,BJ$21)+COUNTIF($C103:$C106,$A$3))</f>
        <v>1</v>
      </c>
      <c r="BL106" s="52" t="n">
        <f aca="false">IF($D106="","",COUNTIF($D103:$D106,BJ$21)+COUNTIF($D103:$D106,$A$3))</f>
        <v>1</v>
      </c>
      <c r="BM106" s="52" t="n">
        <f aca="false">IF($E106="","",COUNTIF($E103:$E106,BJ$21)+COUNTIF($E103:$E106,$A$3))</f>
        <v>2</v>
      </c>
      <c r="BN106" s="53" t="n">
        <f aca="false">IF($F106="","",COUNTIF($F103:$F106,BJ$21)+COUNTIF($F103:$F106,$A$3))</f>
        <v>0</v>
      </c>
      <c r="BP106" s="65" t="n">
        <f aca="false">IF($B106="","",COUNTIF($B103:$B106,BP$21)+COUNTIF($B103:$B106,$A$3))</f>
        <v>0</v>
      </c>
      <c r="BQ106" s="52" t="n">
        <f aca="false">IF($C106="","",COUNTIF($C103:$C106,BP$21)+COUNTIF($C103:$C106,$A$3))</f>
        <v>0</v>
      </c>
      <c r="BR106" s="52" t="n">
        <f aca="false">IF($D106="","",COUNTIF($D103:$D106,BP$21)+COUNTIF($D103:$D106,$A$3))</f>
        <v>0</v>
      </c>
      <c r="BS106" s="52" t="n">
        <f aca="false">IF($E106="","",COUNTIF($E103:$E106,BP$21)+COUNTIF($E103:$E106,$A$3))</f>
        <v>1</v>
      </c>
      <c r="BT106" s="53" t="n">
        <f aca="false">IF($F106="","",COUNTIF($F103:$F106,BP$21)+COUNTIF($F103:$F106,$A$3))</f>
        <v>0</v>
      </c>
    </row>
    <row r="107" customFormat="false" ht="15" hidden="false" customHeight="false" outlineLevel="0" collapsed="false">
      <c r="A107" s="13" t="n">
        <v>85</v>
      </c>
      <c r="B107" s="116" t="str">
        <f aca="false">IF('Game Info'!J90="","",'Game Info'!J90)</f>
        <v>J</v>
      </c>
      <c r="C107" s="116" t="str">
        <f aca="false">IF('Game Info'!K90="","",'Game Info'!K90)</f>
        <v>A</v>
      </c>
      <c r="D107" s="116" t="str">
        <f aca="false">IF('Game Info'!L90="","",'Game Info'!L90)</f>
        <v>K</v>
      </c>
      <c r="E107" s="116" t="n">
        <f aca="false">IF('Game Info'!M90="","",'Game Info'!M90)</f>
        <v>9</v>
      </c>
      <c r="F107" s="117" t="str">
        <f aca="false">IF('Game Info'!N90="","",'Game Info'!N90)</f>
        <v>SYM1</v>
      </c>
      <c r="H107" s="65" t="n">
        <f aca="false">IF($B107="","",COUNTIF($B104:$B107,H$21)+COUNTIF($B104:$B107,$A$3))</f>
        <v>0</v>
      </c>
      <c r="I107" s="52" t="n">
        <f aca="false">IF($C107="","",COUNTIF($C104:$C107,H$21)+COUNTIF($C104:$C107,$A$3))</f>
        <v>1</v>
      </c>
      <c r="J107" s="52" t="n">
        <f aca="false">IF($D107="","",COUNTIF($D104:$D107,H$21)+COUNTIF($D104:$D107,$A$3))</f>
        <v>0</v>
      </c>
      <c r="K107" s="52" t="n">
        <f aca="false">IF($E107="","",COUNTIF($E104:$E107,H$21)+COUNTIF($E104:$E107,$A$3))</f>
        <v>1</v>
      </c>
      <c r="L107" s="53" t="n">
        <f aca="false">IF($F107="","",COUNTIF($F104:$F107,H$21)+COUNTIF($F104:$F107,$A$3))</f>
        <v>1</v>
      </c>
      <c r="N107" s="65" t="n">
        <f aca="false">IF($B107="","",COUNTIF($B104:$B107,N$21)+COUNTIF($B104:$B107,$A$3))</f>
        <v>0</v>
      </c>
      <c r="O107" s="52" t="n">
        <f aca="false">IF($C107="","",COUNTIF($C104:$C107,N$21)+COUNTIF($C104:$C107,$A$3))</f>
        <v>1</v>
      </c>
      <c r="P107" s="52" t="n">
        <f aca="false">IF($D107="","",COUNTIF($D104:$D107,N$21)+COUNTIF($D104:$D107,$A$3))</f>
        <v>0</v>
      </c>
      <c r="Q107" s="52" t="n">
        <f aca="false">IF($E107="","",COUNTIF($E104:$E107,N$21)+COUNTIF($E104:$E107,$A$3))</f>
        <v>1</v>
      </c>
      <c r="R107" s="53" t="n">
        <f aca="false">IF($F107="","",COUNTIF($F104:$F107,N$21)+COUNTIF($F104:$F107,$A$3))</f>
        <v>0</v>
      </c>
      <c r="T107" s="65" t="n">
        <f aca="false">IF($B107="","",COUNTIF($B104:$B107,T$21)+COUNTIF($B104:$B107,$A$3))</f>
        <v>1</v>
      </c>
      <c r="U107" s="52" t="n">
        <f aca="false">IF($C107="","",COUNTIF($C104:$C107,T$21)+COUNTIF($C104:$C107,$A$3))</f>
        <v>0</v>
      </c>
      <c r="V107" s="52" t="n">
        <f aca="false">IF($D107="","",COUNTIF($D104:$D107,T$21)+COUNTIF($D104:$D107,$A$3))</f>
        <v>1</v>
      </c>
      <c r="W107" s="52" t="n">
        <f aca="false">IF($E107="","",COUNTIF($E104:$E107,T$21)+COUNTIF($E104:$E107,$A$3))</f>
        <v>1</v>
      </c>
      <c r="X107" s="53" t="n">
        <f aca="false">IF($F107="","",COUNTIF($F104:$F107,T$21)+COUNTIF($F104:$F107,$A$3))</f>
        <v>0</v>
      </c>
      <c r="Z107" s="65" t="n">
        <f aca="false">IF($B107="","",COUNTIF($B104:$B107,Z$21)+COUNTIF($B104:$B107,$A$3))</f>
        <v>0</v>
      </c>
      <c r="AA107" s="52" t="n">
        <f aca="false">IF($C107="","",COUNTIF($C104:$C107,Z$21)+COUNTIF($C104:$C107,$A$3))</f>
        <v>0</v>
      </c>
      <c r="AB107" s="52" t="n">
        <f aca="false">IF($D107="","",COUNTIF($D104:$D107,Z$21)+COUNTIF($D104:$D107,$A$3))</f>
        <v>0</v>
      </c>
      <c r="AC107" s="52" t="n">
        <f aca="false">IF($E107="","",COUNTIF($E104:$E107,Z$21)+COUNTIF($E104:$E107,$A$3))</f>
        <v>2</v>
      </c>
      <c r="AD107" s="53" t="n">
        <f aca="false">IF($F107="","",COUNTIF($F104:$F107,Z$21)+COUNTIF($F104:$F107,$A$3))</f>
        <v>0</v>
      </c>
      <c r="AF107" s="65" t="n">
        <f aca="false">IF($B107="","",COUNTIF($B104:$B107,AF$21)+COUNTIF($B104:$B107,$A$3))</f>
        <v>0</v>
      </c>
      <c r="AG107" s="52" t="n">
        <f aca="false">IF($C107="","",COUNTIF($C104:$C107,AF$21)+COUNTIF($C104:$C107,$A$3))</f>
        <v>0</v>
      </c>
      <c r="AH107" s="52" t="n">
        <f aca="false">IF($D107="","",COUNTIF($D104:$D107,AF$21)+COUNTIF($D104:$D107,$A$3))</f>
        <v>1</v>
      </c>
      <c r="AI107" s="52" t="n">
        <f aca="false">IF($E107="","",COUNTIF($E104:$E107,AF$21)+COUNTIF($E104:$E107,$A$3))</f>
        <v>1</v>
      </c>
      <c r="AJ107" s="53" t="n">
        <f aca="false">IF($F107="","",COUNTIF($F104:$F107,AF$21)+COUNTIF($F104:$F107,$A$3))</f>
        <v>2</v>
      </c>
      <c r="AL107" s="65" t="n">
        <f aca="false">IF($B107="","",COUNTIF($B104:$B107,AL$21)+COUNTIF($B104:$B107,$A$3))</f>
        <v>0</v>
      </c>
      <c r="AM107" s="52" t="n">
        <f aca="false">IF($C107="","",COUNTIF($C104:$C107,AL$21)+COUNTIF($C104:$C107,$A$3))</f>
        <v>1</v>
      </c>
      <c r="AN107" s="52" t="n">
        <f aca="false">IF($D107="","",COUNTIF($D104:$D107,AL$21)+COUNTIF($D104:$D107,$A$3))</f>
        <v>0</v>
      </c>
      <c r="AO107" s="52" t="n">
        <f aca="false">IF($E107="","",COUNTIF($E104:$E107,AL$21)+COUNTIF($E104:$E107,$A$3))</f>
        <v>2</v>
      </c>
      <c r="AP107" s="53" t="n">
        <f aca="false">IF($F107="","",COUNTIF($F104:$F107,AL$21)+COUNTIF($F104:$F107,$A$3))</f>
        <v>0</v>
      </c>
      <c r="AR107" s="65" t="n">
        <f aca="false">IF($B107="","",COUNTIF($B104:$B107,AR$21)+COUNTIF($B104:$B107,$A$3))</f>
        <v>0</v>
      </c>
      <c r="AS107" s="52" t="n">
        <f aca="false">IF($C107="","",COUNTIF($C104:$C107,AR$21)+COUNTIF($C104:$C107,$A$3))</f>
        <v>0</v>
      </c>
      <c r="AT107" s="52" t="n">
        <f aca="false">IF($D107="","",COUNTIF($D104:$D107,AR$21)+COUNTIF($D104:$D107,$A$3))</f>
        <v>1</v>
      </c>
      <c r="AU107" s="52" t="n">
        <f aca="false">IF($E107="","",COUNTIF($E104:$E107,AR$21)+COUNTIF($E104:$E107,$A$3))</f>
        <v>1</v>
      </c>
      <c r="AV107" s="53" t="n">
        <f aca="false">IF($F107="","",COUNTIF($F104:$F107,AR$21)+COUNTIF($F104:$F107,$A$3))</f>
        <v>0</v>
      </c>
      <c r="AX107" s="65" t="n">
        <f aca="false">IF($B107="","",COUNTIF($B104:$B107,AX$21)+COUNTIF($B104:$B107,$A$3))</f>
        <v>0</v>
      </c>
      <c r="AY107" s="52" t="n">
        <f aca="false">IF($C107="","",COUNTIF($C104:$C107,AX$21)+COUNTIF($C104:$C107,$A$3))</f>
        <v>0</v>
      </c>
      <c r="AZ107" s="52" t="n">
        <f aca="false">IF($D107="","",COUNTIF($D104:$D107,AX$21)+COUNTIF($D104:$D107,$A$3))</f>
        <v>0</v>
      </c>
      <c r="BA107" s="52" t="n">
        <f aca="false">IF($E107="","",COUNTIF($E104:$E107,AX$21)+COUNTIF($E104:$E107,$A$3))</f>
        <v>1</v>
      </c>
      <c r="BB107" s="53" t="n">
        <f aca="false">IF($F107="","",COUNTIF($F104:$F107,AX$21)+COUNTIF($F104:$F107,$A$3))</f>
        <v>1</v>
      </c>
      <c r="BD107" s="65" t="n">
        <f aca="false">IF($B107="","",COUNTIF($B104:$B107,BD$21)+COUNTIF($B104:$B107,$A$3))</f>
        <v>1</v>
      </c>
      <c r="BE107" s="52" t="n">
        <f aca="false">IF($C107="","",COUNTIF($C104:$C107,BD$21)+COUNTIF($C104:$C107,$A$3))</f>
        <v>1</v>
      </c>
      <c r="BF107" s="52" t="n">
        <f aca="false">IF($D107="","",COUNTIF($D104:$D107,BD$21)+COUNTIF($D104:$D107,$A$3))</f>
        <v>0</v>
      </c>
      <c r="BG107" s="52" t="n">
        <f aca="false">IF($E107="","",COUNTIF($E104:$E107,BD$21)+COUNTIF($E104:$E107,$A$3))</f>
        <v>1</v>
      </c>
      <c r="BH107" s="53" t="n">
        <f aca="false">IF($F107="","",COUNTIF($F104:$F107,BD$21)+COUNTIF($F104:$F107,$A$3))</f>
        <v>0</v>
      </c>
      <c r="BJ107" s="65" t="n">
        <f aca="false">IF($B107="","",COUNTIF($B104:$B107,BJ$21)+COUNTIF($B104:$B107,$A$3))</f>
        <v>1</v>
      </c>
      <c r="BK107" s="52" t="n">
        <f aca="false">IF($C107="","",COUNTIF($C104:$C107,BJ$21)+COUNTIF($C104:$C107,$A$3))</f>
        <v>0</v>
      </c>
      <c r="BL107" s="52" t="n">
        <f aca="false">IF($D107="","",COUNTIF($D104:$D107,BJ$21)+COUNTIF($D104:$D107,$A$3))</f>
        <v>1</v>
      </c>
      <c r="BM107" s="52" t="n">
        <f aca="false">IF($E107="","",COUNTIF($E104:$E107,BJ$21)+COUNTIF($E104:$E107,$A$3))</f>
        <v>1</v>
      </c>
      <c r="BN107" s="53" t="n">
        <f aca="false">IF($F107="","",COUNTIF($F104:$F107,BJ$21)+COUNTIF($F104:$F107,$A$3))</f>
        <v>0</v>
      </c>
      <c r="BP107" s="65" t="n">
        <f aca="false">IF($B107="","",COUNTIF($B104:$B107,BP$21)+COUNTIF($B104:$B107,$A$3))</f>
        <v>0</v>
      </c>
      <c r="BQ107" s="52" t="n">
        <f aca="false">IF($C107="","",COUNTIF($C104:$C107,BP$21)+COUNTIF($C104:$C107,$A$3))</f>
        <v>0</v>
      </c>
      <c r="BR107" s="52" t="n">
        <f aca="false">IF($D107="","",COUNTIF($D104:$D107,BP$21)+COUNTIF($D104:$D107,$A$3))</f>
        <v>0</v>
      </c>
      <c r="BS107" s="52" t="n">
        <f aca="false">IF($E107="","",COUNTIF($E104:$E107,BP$21)+COUNTIF($E104:$E107,$A$3))</f>
        <v>2</v>
      </c>
      <c r="BT107" s="53" t="n">
        <f aca="false">IF($F107="","",COUNTIF($F104:$F107,BP$21)+COUNTIF($F104:$F107,$A$3))</f>
        <v>0</v>
      </c>
    </row>
    <row r="108" customFormat="false" ht="15" hidden="false" customHeight="false" outlineLevel="0" collapsed="false">
      <c r="A108" s="13" t="n">
        <v>86</v>
      </c>
      <c r="B108" s="116" t="n">
        <f aca="false">IF('Game Info'!J91="","",'Game Info'!J91)</f>
        <v>10</v>
      </c>
      <c r="C108" s="116" t="str">
        <f aca="false">IF('Game Info'!K91="","",'Game Info'!K91)</f>
        <v>Q</v>
      </c>
      <c r="D108" s="116" t="str">
        <f aca="false">IF('Game Info'!L91="","",'Game Info'!L91)</f>
        <v>A</v>
      </c>
      <c r="E108" s="116" t="str">
        <f aca="false">IF('Game Info'!M91="","",'Game Info'!M91)</f>
        <v>SYM1</v>
      </c>
      <c r="F108" s="117" t="str">
        <f aca="false">IF('Game Info'!N91="","",'Game Info'!N91)</f>
        <v>K</v>
      </c>
      <c r="H108" s="65" t="n">
        <f aca="false">IF($B108="","",COUNTIF($B105:$B108,H$21)+COUNTIF($B105:$B108,$A$3))</f>
        <v>0</v>
      </c>
      <c r="I108" s="52" t="n">
        <f aca="false">IF($C108="","",COUNTIF($C105:$C108,H$21)+COUNTIF($C105:$C108,$A$3))</f>
        <v>1</v>
      </c>
      <c r="J108" s="52" t="n">
        <f aca="false">IF($D108="","",COUNTIF($D105:$D108,H$21)+COUNTIF($D105:$D108,$A$3))</f>
        <v>0</v>
      </c>
      <c r="K108" s="52" t="n">
        <f aca="false">IF($E108="","",COUNTIF($E105:$E108,H$21)+COUNTIF($E105:$E108,$A$3))</f>
        <v>1</v>
      </c>
      <c r="L108" s="53" t="n">
        <f aca="false">IF($F108="","",COUNTIF($F105:$F108,H$21)+COUNTIF($F105:$F108,$A$3))</f>
        <v>1</v>
      </c>
      <c r="N108" s="65" t="n">
        <f aca="false">IF($B108="","",COUNTIF($B105:$B108,N$21)+COUNTIF($B105:$B108,$A$3))</f>
        <v>0</v>
      </c>
      <c r="O108" s="52" t="n">
        <f aca="false">IF($C108="","",COUNTIF($C105:$C108,N$21)+COUNTIF($C105:$C108,$A$3))</f>
        <v>0</v>
      </c>
      <c r="P108" s="52" t="n">
        <f aca="false">IF($D108="","",COUNTIF($D105:$D108,N$21)+COUNTIF($D105:$D108,$A$3))</f>
        <v>0</v>
      </c>
      <c r="Q108" s="52" t="n">
        <f aca="false">IF($E108="","",COUNTIF($E105:$E108,N$21)+COUNTIF($E105:$E108,$A$3))</f>
        <v>0</v>
      </c>
      <c r="R108" s="53" t="n">
        <f aca="false">IF($F108="","",COUNTIF($F105:$F108,N$21)+COUNTIF($F105:$F108,$A$3))</f>
        <v>0</v>
      </c>
      <c r="T108" s="65" t="n">
        <f aca="false">IF($B108="","",COUNTIF($B105:$B108,T$21)+COUNTIF($B105:$B108,$A$3))</f>
        <v>1</v>
      </c>
      <c r="U108" s="52" t="n">
        <f aca="false">IF($C108="","",COUNTIF($C105:$C108,T$21)+COUNTIF($C105:$C108,$A$3))</f>
        <v>0</v>
      </c>
      <c r="V108" s="52" t="n">
        <f aca="false">IF($D108="","",COUNTIF($D105:$D108,T$21)+COUNTIF($D105:$D108,$A$3))</f>
        <v>0</v>
      </c>
      <c r="W108" s="52" t="n">
        <f aca="false">IF($E108="","",COUNTIF($E105:$E108,T$21)+COUNTIF($E105:$E108,$A$3))</f>
        <v>0</v>
      </c>
      <c r="X108" s="53" t="n">
        <f aca="false">IF($F108="","",COUNTIF($F105:$F108,T$21)+COUNTIF($F105:$F108,$A$3))</f>
        <v>0</v>
      </c>
      <c r="Z108" s="65" t="n">
        <f aca="false">IF($B108="","",COUNTIF($B105:$B108,Z$21)+COUNTIF($B105:$B108,$A$3))</f>
        <v>0</v>
      </c>
      <c r="AA108" s="52" t="n">
        <f aca="false">IF($C108="","",COUNTIF($C105:$C108,Z$21)+COUNTIF($C105:$C108,$A$3))</f>
        <v>0</v>
      </c>
      <c r="AB108" s="52" t="n">
        <f aca="false">IF($D108="","",COUNTIF($D105:$D108,Z$21)+COUNTIF($D105:$D108,$A$3))</f>
        <v>0</v>
      </c>
      <c r="AC108" s="52" t="n">
        <f aca="false">IF($E108="","",COUNTIF($E105:$E108,Z$21)+COUNTIF($E105:$E108,$A$3))</f>
        <v>1</v>
      </c>
      <c r="AD108" s="53" t="n">
        <f aca="false">IF($F108="","",COUNTIF($F105:$F108,Z$21)+COUNTIF($F105:$F108,$A$3))</f>
        <v>0</v>
      </c>
      <c r="AF108" s="65" t="n">
        <f aca="false">IF($B108="","",COUNTIF($B105:$B108,AF$21)+COUNTIF($B105:$B108,$A$3))</f>
        <v>0</v>
      </c>
      <c r="AG108" s="52" t="n">
        <f aca="false">IF($C108="","",COUNTIF($C105:$C108,AF$21)+COUNTIF($C105:$C108,$A$3))</f>
        <v>0</v>
      </c>
      <c r="AH108" s="52" t="n">
        <f aca="false">IF($D108="","",COUNTIF($D105:$D108,AF$21)+COUNTIF($D105:$D108,$A$3))</f>
        <v>1</v>
      </c>
      <c r="AI108" s="52" t="n">
        <f aca="false">IF($E108="","",COUNTIF($E105:$E108,AF$21)+COUNTIF($E105:$E108,$A$3))</f>
        <v>0</v>
      </c>
      <c r="AJ108" s="53" t="n">
        <f aca="false">IF($F108="","",COUNTIF($F105:$F108,AF$21)+COUNTIF($F105:$F108,$A$3))</f>
        <v>1</v>
      </c>
      <c r="AL108" s="65" t="n">
        <f aca="false">IF($B108="","",COUNTIF($B105:$B108,AL$21)+COUNTIF($B105:$B108,$A$3))</f>
        <v>0</v>
      </c>
      <c r="AM108" s="52" t="n">
        <f aca="false">IF($C108="","",COUNTIF($C105:$C108,AL$21)+COUNTIF($C105:$C108,$A$3))</f>
        <v>1</v>
      </c>
      <c r="AN108" s="52" t="n">
        <f aca="false">IF($D108="","",COUNTIF($D105:$D108,AL$21)+COUNTIF($D105:$D108,$A$3))</f>
        <v>1</v>
      </c>
      <c r="AO108" s="52" t="n">
        <f aca="false">IF($E108="","",COUNTIF($E105:$E108,AL$21)+COUNTIF($E105:$E108,$A$3))</f>
        <v>1</v>
      </c>
      <c r="AP108" s="53" t="n">
        <f aca="false">IF($F108="","",COUNTIF($F105:$F108,AL$21)+COUNTIF($F105:$F108,$A$3))</f>
        <v>0</v>
      </c>
      <c r="AR108" s="65" t="n">
        <f aca="false">IF($B108="","",COUNTIF($B105:$B108,AR$21)+COUNTIF($B105:$B108,$A$3))</f>
        <v>0</v>
      </c>
      <c r="AS108" s="52" t="n">
        <f aca="false">IF($C108="","",COUNTIF($C105:$C108,AR$21)+COUNTIF($C105:$C108,$A$3))</f>
        <v>0</v>
      </c>
      <c r="AT108" s="52" t="n">
        <f aca="false">IF($D108="","",COUNTIF($D105:$D108,AR$21)+COUNTIF($D105:$D108,$A$3))</f>
        <v>1</v>
      </c>
      <c r="AU108" s="52" t="n">
        <f aca="false">IF($E108="","",COUNTIF($E105:$E108,AR$21)+COUNTIF($E105:$E108,$A$3))</f>
        <v>0</v>
      </c>
      <c r="AV108" s="53" t="n">
        <f aca="false">IF($F108="","",COUNTIF($F105:$F108,AR$21)+COUNTIF($F105:$F108,$A$3))</f>
        <v>1</v>
      </c>
      <c r="AX108" s="65" t="n">
        <f aca="false">IF($B108="","",COUNTIF($B105:$B108,AX$21)+COUNTIF($B105:$B108,$A$3))</f>
        <v>0</v>
      </c>
      <c r="AY108" s="52" t="n">
        <f aca="false">IF($C108="","",COUNTIF($C105:$C108,AX$21)+COUNTIF($C105:$C108,$A$3))</f>
        <v>1</v>
      </c>
      <c r="AZ108" s="52" t="n">
        <f aca="false">IF($D108="","",COUNTIF($D105:$D108,AX$21)+COUNTIF($D105:$D108,$A$3))</f>
        <v>0</v>
      </c>
      <c r="BA108" s="52" t="n">
        <f aca="false">IF($E108="","",COUNTIF($E105:$E108,AX$21)+COUNTIF($E105:$E108,$A$3))</f>
        <v>0</v>
      </c>
      <c r="BB108" s="53" t="n">
        <f aca="false">IF($F108="","",COUNTIF($F105:$F108,AX$21)+COUNTIF($F105:$F108,$A$3))</f>
        <v>1</v>
      </c>
      <c r="BD108" s="65" t="n">
        <f aca="false">IF($B108="","",COUNTIF($B105:$B108,BD$21)+COUNTIF($B105:$B108,$A$3))</f>
        <v>1</v>
      </c>
      <c r="BE108" s="52" t="n">
        <f aca="false">IF($C108="","",COUNTIF($C105:$C108,BD$21)+COUNTIF($C105:$C108,$A$3))</f>
        <v>1</v>
      </c>
      <c r="BF108" s="52" t="n">
        <f aca="false">IF($D108="","",COUNTIF($D105:$D108,BD$21)+COUNTIF($D105:$D108,$A$3))</f>
        <v>0</v>
      </c>
      <c r="BG108" s="52" t="n">
        <f aca="false">IF($E108="","",COUNTIF($E105:$E108,BD$21)+COUNTIF($E105:$E108,$A$3))</f>
        <v>0</v>
      </c>
      <c r="BH108" s="53" t="n">
        <f aca="false">IF($F108="","",COUNTIF($F105:$F108,BD$21)+COUNTIF($F105:$F108,$A$3))</f>
        <v>0</v>
      </c>
      <c r="BJ108" s="65" t="n">
        <f aca="false">IF($B108="","",COUNTIF($B105:$B108,BJ$21)+COUNTIF($B105:$B108,$A$3))</f>
        <v>2</v>
      </c>
      <c r="BK108" s="52" t="n">
        <f aca="false">IF($C108="","",COUNTIF($C105:$C108,BJ$21)+COUNTIF($C105:$C108,$A$3))</f>
        <v>0</v>
      </c>
      <c r="BL108" s="52" t="n">
        <f aca="false">IF($D108="","",COUNTIF($D105:$D108,BJ$21)+COUNTIF($D105:$D108,$A$3))</f>
        <v>1</v>
      </c>
      <c r="BM108" s="52" t="n">
        <f aca="false">IF($E108="","",COUNTIF($E105:$E108,BJ$21)+COUNTIF($E105:$E108,$A$3))</f>
        <v>0</v>
      </c>
      <c r="BN108" s="53" t="n">
        <f aca="false">IF($F108="","",COUNTIF($F105:$F108,BJ$21)+COUNTIF($F105:$F108,$A$3))</f>
        <v>0</v>
      </c>
      <c r="BP108" s="65" t="n">
        <f aca="false">IF($B108="","",COUNTIF($B105:$B108,BP$21)+COUNTIF($B105:$B108,$A$3))</f>
        <v>0</v>
      </c>
      <c r="BQ108" s="52" t="n">
        <f aca="false">IF($C108="","",COUNTIF($C105:$C108,BP$21)+COUNTIF($C105:$C108,$A$3))</f>
        <v>0</v>
      </c>
      <c r="BR108" s="52" t="n">
        <f aca="false">IF($D108="","",COUNTIF($D105:$D108,BP$21)+COUNTIF($D105:$D108,$A$3))</f>
        <v>0</v>
      </c>
      <c r="BS108" s="52" t="n">
        <f aca="false">IF($E108="","",COUNTIF($E105:$E108,BP$21)+COUNTIF($E105:$E108,$A$3))</f>
        <v>1</v>
      </c>
      <c r="BT108" s="53" t="n">
        <f aca="false">IF($F108="","",COUNTIF($F105:$F108,BP$21)+COUNTIF($F105:$F108,$A$3))</f>
        <v>0</v>
      </c>
    </row>
    <row r="109" customFormat="false" ht="15" hidden="false" customHeight="false" outlineLevel="0" collapsed="false">
      <c r="A109" s="13" t="n">
        <v>87</v>
      </c>
      <c r="B109" s="116" t="str">
        <f aca="false">IF('Game Info'!J92="","",'Game Info'!J92)</f>
        <v>SYM2</v>
      </c>
      <c r="C109" s="116" t="str">
        <f aca="false">IF('Game Info'!K92="","",'Game Info'!K92)</f>
        <v>SYM5</v>
      </c>
      <c r="D109" s="116" t="str">
        <f aca="false">IF('Game Info'!L92="","",'Game Info'!L92)</f>
        <v>J</v>
      </c>
      <c r="E109" s="116" t="str">
        <f aca="false">IF('Game Info'!M92="","",'Game Info'!M92)</f>
        <v/>
      </c>
      <c r="F109" s="117" t="str">
        <f aca="false">IF('Game Info'!N92="","",'Game Info'!N92)</f>
        <v>Q</v>
      </c>
      <c r="H109" s="65" t="n">
        <f aca="false">IF($B109="","",COUNTIF($B106:$B109,H$21)+COUNTIF($B106:$B109,$A$3))</f>
        <v>0</v>
      </c>
      <c r="I109" s="52" t="n">
        <f aca="false">IF($C109="","",COUNTIF($C106:$C109,H$21)+COUNTIF($C106:$C109,$A$3))</f>
        <v>1</v>
      </c>
      <c r="J109" s="52" t="n">
        <f aca="false">IF($D109="","",COUNTIF($D106:$D109,H$21)+COUNTIF($D106:$D109,$A$3))</f>
        <v>0</v>
      </c>
      <c r="K109" s="52" t="str">
        <f aca="false">IF($E109="","",COUNTIF($E106:$E109,H$21)+COUNTIF($E106:$E109,$A$3))</f>
        <v/>
      </c>
      <c r="L109" s="53" t="n">
        <f aca="false">IF($F109="","",COUNTIF($F106:$F109,H$21)+COUNTIF($F106:$F109,$A$3))</f>
        <v>1</v>
      </c>
      <c r="N109" s="65" t="n">
        <f aca="false">IF($B109="","",COUNTIF($B106:$B109,N$21)+COUNTIF($B106:$B109,$A$3))</f>
        <v>1</v>
      </c>
      <c r="O109" s="52" t="n">
        <f aca="false">IF($C109="","",COUNTIF($C106:$C109,N$21)+COUNTIF($C106:$C109,$A$3))</f>
        <v>0</v>
      </c>
      <c r="P109" s="52" t="n">
        <f aca="false">IF($D109="","",COUNTIF($D106:$D109,N$21)+COUNTIF($D106:$D109,$A$3))</f>
        <v>0</v>
      </c>
      <c r="Q109" s="52" t="str">
        <f aca="false">IF($E109="","",COUNTIF($E106:$E109,N$21)+COUNTIF($E106:$E109,$A$3))</f>
        <v/>
      </c>
      <c r="R109" s="53" t="n">
        <f aca="false">IF($F109="","",COUNTIF($F106:$F109,N$21)+COUNTIF($F106:$F109,$A$3))</f>
        <v>0</v>
      </c>
      <c r="T109" s="65" t="n">
        <f aca="false">IF($B109="","",COUNTIF($B106:$B109,T$21)+COUNTIF($B106:$B109,$A$3))</f>
        <v>1</v>
      </c>
      <c r="U109" s="52" t="n">
        <f aca="false">IF($C109="","",COUNTIF($C106:$C109,T$21)+COUNTIF($C106:$C109,$A$3))</f>
        <v>0</v>
      </c>
      <c r="V109" s="52" t="n">
        <f aca="false">IF($D109="","",COUNTIF($D106:$D109,T$21)+COUNTIF($D106:$D109,$A$3))</f>
        <v>0</v>
      </c>
      <c r="W109" s="52" t="str">
        <f aca="false">IF($E109="","",COUNTIF($E106:$E109,T$21)+COUNTIF($E106:$E109,$A$3))</f>
        <v/>
      </c>
      <c r="X109" s="53" t="n">
        <f aca="false">IF($F109="","",COUNTIF($F106:$F109,T$21)+COUNTIF($F106:$F109,$A$3))</f>
        <v>0</v>
      </c>
      <c r="Z109" s="65" t="n">
        <f aca="false">IF($B109="","",COUNTIF($B106:$B109,Z$21)+COUNTIF($B106:$B109,$A$3))</f>
        <v>0</v>
      </c>
      <c r="AA109" s="52" t="n">
        <f aca="false">IF($C109="","",COUNTIF($C106:$C109,Z$21)+COUNTIF($C106:$C109,$A$3))</f>
        <v>0</v>
      </c>
      <c r="AB109" s="52" t="n">
        <f aca="false">IF($D109="","",COUNTIF($D106:$D109,Z$21)+COUNTIF($D106:$D109,$A$3))</f>
        <v>0</v>
      </c>
      <c r="AC109" s="52" t="str">
        <f aca="false">IF($E109="","",COUNTIF($E106:$E109,Z$21)+COUNTIF($E106:$E109,$A$3))</f>
        <v/>
      </c>
      <c r="AD109" s="53" t="n">
        <f aca="false">IF($F109="","",COUNTIF($F106:$F109,Z$21)+COUNTIF($F106:$F109,$A$3))</f>
        <v>0</v>
      </c>
      <c r="AF109" s="65" t="n">
        <f aca="false">IF($B109="","",COUNTIF($B106:$B109,AF$21)+COUNTIF($B106:$B109,$A$3))</f>
        <v>0</v>
      </c>
      <c r="AG109" s="52" t="n">
        <f aca="false">IF($C109="","",COUNTIF($C106:$C109,AF$21)+COUNTIF($C106:$C109,$A$3))</f>
        <v>1</v>
      </c>
      <c r="AH109" s="52" t="n">
        <f aca="false">IF($D109="","",COUNTIF($D106:$D109,AF$21)+COUNTIF($D106:$D109,$A$3))</f>
        <v>1</v>
      </c>
      <c r="AI109" s="52" t="str">
        <f aca="false">IF($E109="","",COUNTIF($E106:$E109,AF$21)+COUNTIF($E106:$E109,$A$3))</f>
        <v/>
      </c>
      <c r="AJ109" s="53" t="n">
        <f aca="false">IF($F109="","",COUNTIF($F106:$F109,AF$21)+COUNTIF($F106:$F109,$A$3))</f>
        <v>0</v>
      </c>
      <c r="AL109" s="65" t="n">
        <f aca="false">IF($B109="","",COUNTIF($B106:$B109,AL$21)+COUNTIF($B106:$B109,$A$3))</f>
        <v>0</v>
      </c>
      <c r="AM109" s="52" t="n">
        <f aca="false">IF($C109="","",COUNTIF($C106:$C109,AL$21)+COUNTIF($C106:$C109,$A$3))</f>
        <v>1</v>
      </c>
      <c r="AN109" s="52" t="n">
        <f aca="false">IF($D109="","",COUNTIF($D106:$D109,AL$21)+COUNTIF($D106:$D109,$A$3))</f>
        <v>1</v>
      </c>
      <c r="AO109" s="52" t="str">
        <f aca="false">IF($E109="","",COUNTIF($E106:$E109,AL$21)+COUNTIF($E106:$E109,$A$3))</f>
        <v/>
      </c>
      <c r="AP109" s="53" t="n">
        <f aca="false">IF($F109="","",COUNTIF($F106:$F109,AL$21)+COUNTIF($F106:$F109,$A$3))</f>
        <v>0</v>
      </c>
      <c r="AR109" s="65" t="n">
        <f aca="false">IF($B109="","",COUNTIF($B106:$B109,AR$21)+COUNTIF($B106:$B109,$A$3))</f>
        <v>0</v>
      </c>
      <c r="AS109" s="52" t="n">
        <f aca="false">IF($C109="","",COUNTIF($C106:$C109,AR$21)+COUNTIF($C106:$C109,$A$3))</f>
        <v>0</v>
      </c>
      <c r="AT109" s="52" t="n">
        <f aca="false">IF($D109="","",COUNTIF($D106:$D109,AR$21)+COUNTIF($D106:$D109,$A$3))</f>
        <v>1</v>
      </c>
      <c r="AU109" s="52" t="str">
        <f aca="false">IF($E109="","",COUNTIF($E106:$E109,AR$21)+COUNTIF($E106:$E109,$A$3))</f>
        <v/>
      </c>
      <c r="AV109" s="53" t="n">
        <f aca="false">IF($F109="","",COUNTIF($F106:$F109,AR$21)+COUNTIF($F106:$F109,$A$3))</f>
        <v>1</v>
      </c>
      <c r="AX109" s="65" t="n">
        <f aca="false">IF($B109="","",COUNTIF($B106:$B109,AX$21)+COUNTIF($B106:$B109,$A$3))</f>
        <v>0</v>
      </c>
      <c r="AY109" s="52" t="n">
        <f aca="false">IF($C109="","",COUNTIF($C106:$C109,AX$21)+COUNTIF($C106:$C109,$A$3))</f>
        <v>1</v>
      </c>
      <c r="AZ109" s="52" t="n">
        <f aca="false">IF($D109="","",COUNTIF($D106:$D109,AX$21)+COUNTIF($D106:$D109,$A$3))</f>
        <v>0</v>
      </c>
      <c r="BA109" s="52" t="str">
        <f aca="false">IF($E109="","",COUNTIF($E106:$E109,AX$21)+COUNTIF($E106:$E109,$A$3))</f>
        <v/>
      </c>
      <c r="BB109" s="53" t="n">
        <f aca="false">IF($F109="","",COUNTIF($F106:$F109,AX$21)+COUNTIF($F106:$F109,$A$3))</f>
        <v>2</v>
      </c>
      <c r="BD109" s="65" t="n">
        <f aca="false">IF($B109="","",COUNTIF($B106:$B109,BD$21)+COUNTIF($B106:$B109,$A$3))</f>
        <v>1</v>
      </c>
      <c r="BE109" s="52" t="n">
        <f aca="false">IF($C109="","",COUNTIF($C106:$C109,BD$21)+COUNTIF($C106:$C109,$A$3))</f>
        <v>0</v>
      </c>
      <c r="BF109" s="52" t="n">
        <f aca="false">IF($D109="","",COUNTIF($D106:$D109,BD$21)+COUNTIF($D106:$D109,$A$3))</f>
        <v>1</v>
      </c>
      <c r="BG109" s="52" t="str">
        <f aca="false">IF($E109="","",COUNTIF($E106:$E109,BD$21)+COUNTIF($E106:$E109,$A$3))</f>
        <v/>
      </c>
      <c r="BH109" s="53" t="n">
        <f aca="false">IF($F109="","",COUNTIF($F106:$F109,BD$21)+COUNTIF($F106:$F109,$A$3))</f>
        <v>0</v>
      </c>
      <c r="BJ109" s="65" t="n">
        <f aca="false">IF($B109="","",COUNTIF($B106:$B109,BJ$21)+COUNTIF($B106:$B109,$A$3))</f>
        <v>1</v>
      </c>
      <c r="BK109" s="52" t="n">
        <f aca="false">IF($C109="","",COUNTIF($C106:$C109,BJ$21)+COUNTIF($C106:$C109,$A$3))</f>
        <v>0</v>
      </c>
      <c r="BL109" s="52" t="n">
        <f aca="false">IF($D109="","",COUNTIF($D106:$D109,BJ$21)+COUNTIF($D106:$D109,$A$3))</f>
        <v>0</v>
      </c>
      <c r="BM109" s="52" t="str">
        <f aca="false">IF($E109="","",COUNTIF($E106:$E109,BJ$21)+COUNTIF($E106:$E109,$A$3))</f>
        <v/>
      </c>
      <c r="BN109" s="53" t="n">
        <f aca="false">IF($F109="","",COUNTIF($F106:$F109,BJ$21)+COUNTIF($F106:$F109,$A$3))</f>
        <v>0</v>
      </c>
      <c r="BP109" s="65" t="n">
        <f aca="false">IF($B109="","",COUNTIF($B106:$B109,BP$21)+COUNTIF($B106:$B109,$A$3))</f>
        <v>0</v>
      </c>
      <c r="BQ109" s="52" t="n">
        <f aca="false">IF($C109="","",COUNTIF($C106:$C109,BP$21)+COUNTIF($C106:$C109,$A$3))</f>
        <v>0</v>
      </c>
      <c r="BR109" s="52" t="n">
        <f aca="false">IF($D109="","",COUNTIF($D106:$D109,BP$21)+COUNTIF($D106:$D109,$A$3))</f>
        <v>0</v>
      </c>
      <c r="BS109" s="52" t="str">
        <f aca="false">IF($E109="","",COUNTIF($E106:$E109,BP$21)+COUNTIF($E106:$E109,$A$3))</f>
        <v/>
      </c>
      <c r="BT109" s="53" t="n">
        <f aca="false">IF($F109="","",COUNTIF($F106:$F109,BP$21)+COUNTIF($F106:$F109,$A$3))</f>
        <v>0</v>
      </c>
    </row>
    <row r="110" customFormat="false" ht="15" hidden="false" customHeight="false" outlineLevel="0" collapsed="false">
      <c r="A110" s="13" t="n">
        <v>88</v>
      </c>
      <c r="B110" s="116" t="n">
        <f aca="false">IF('Game Info'!J93="","",'Game Info'!J93)</f>
        <v>9</v>
      </c>
      <c r="C110" s="116" t="str">
        <f aca="false">IF('Game Info'!K93="","",'Game Info'!K93)</f>
        <v>K</v>
      </c>
      <c r="D110" s="116" t="str">
        <f aca="false">IF('Game Info'!L93="","",'Game Info'!L93)</f>
        <v>SYM1</v>
      </c>
      <c r="E110" s="116" t="str">
        <f aca="false">IF('Game Info'!M93="","",'Game Info'!M93)</f>
        <v/>
      </c>
      <c r="F110" s="117" t="str">
        <f aca="false">IF('Game Info'!N93="","",'Game Info'!N93)</f>
        <v>SYM4</v>
      </c>
      <c r="H110" s="65" t="n">
        <f aca="false">IF($B110="","",COUNTIF($B107:$B110,H$21)+COUNTIF($B107:$B110,$A$3))</f>
        <v>0</v>
      </c>
      <c r="I110" s="52" t="n">
        <f aca="false">IF($C110="","",COUNTIF($C107:$C110,H$21)+COUNTIF($C107:$C110,$A$3))</f>
        <v>0</v>
      </c>
      <c r="J110" s="52" t="n">
        <f aca="false">IF($D110="","",COUNTIF($D107:$D110,H$21)+COUNTIF($D107:$D110,$A$3))</f>
        <v>1</v>
      </c>
      <c r="K110" s="52" t="str">
        <f aca="false">IF($E110="","",COUNTIF($E107:$E110,H$21)+COUNTIF($E107:$E110,$A$3))</f>
        <v/>
      </c>
      <c r="L110" s="53" t="n">
        <f aca="false">IF($F110="","",COUNTIF($F107:$F110,H$21)+COUNTIF($F107:$F110,$A$3))</f>
        <v>1</v>
      </c>
      <c r="N110" s="65" t="n">
        <f aca="false">IF($B110="","",COUNTIF($B107:$B110,N$21)+COUNTIF($B107:$B110,$A$3))</f>
        <v>1</v>
      </c>
      <c r="O110" s="52" t="n">
        <f aca="false">IF($C110="","",COUNTIF($C107:$C110,N$21)+COUNTIF($C107:$C110,$A$3))</f>
        <v>0</v>
      </c>
      <c r="P110" s="52" t="n">
        <f aca="false">IF($D110="","",COUNTIF($D107:$D110,N$21)+COUNTIF($D107:$D110,$A$3))</f>
        <v>0</v>
      </c>
      <c r="Q110" s="52" t="str">
        <f aca="false">IF($E110="","",COUNTIF($E107:$E110,N$21)+COUNTIF($E107:$E110,$A$3))</f>
        <v/>
      </c>
      <c r="R110" s="53" t="n">
        <f aca="false">IF($F110="","",COUNTIF($F107:$F110,N$21)+COUNTIF($F107:$F110,$A$3))</f>
        <v>0</v>
      </c>
      <c r="T110" s="65" t="n">
        <f aca="false">IF($B110="","",COUNTIF($B107:$B110,T$21)+COUNTIF($B107:$B110,$A$3))</f>
        <v>0</v>
      </c>
      <c r="U110" s="52" t="n">
        <f aca="false">IF($C110="","",COUNTIF($C107:$C110,T$21)+COUNTIF($C107:$C110,$A$3))</f>
        <v>0</v>
      </c>
      <c r="V110" s="52" t="n">
        <f aca="false">IF($D110="","",COUNTIF($D107:$D110,T$21)+COUNTIF($D107:$D110,$A$3))</f>
        <v>0</v>
      </c>
      <c r="W110" s="52" t="str">
        <f aca="false">IF($E110="","",COUNTIF($E107:$E110,T$21)+COUNTIF($E107:$E110,$A$3))</f>
        <v/>
      </c>
      <c r="X110" s="53" t="n">
        <f aca="false">IF($F110="","",COUNTIF($F107:$F110,T$21)+COUNTIF($F107:$F110,$A$3))</f>
        <v>0</v>
      </c>
      <c r="Z110" s="65" t="n">
        <f aca="false">IF($B110="","",COUNTIF($B107:$B110,Z$21)+COUNTIF($B107:$B110,$A$3))</f>
        <v>0</v>
      </c>
      <c r="AA110" s="52" t="n">
        <f aca="false">IF($C110="","",COUNTIF($C107:$C110,Z$21)+COUNTIF($C107:$C110,$A$3))</f>
        <v>0</v>
      </c>
      <c r="AB110" s="52" t="n">
        <f aca="false">IF($D110="","",COUNTIF($D107:$D110,Z$21)+COUNTIF($D107:$D110,$A$3))</f>
        <v>0</v>
      </c>
      <c r="AC110" s="52" t="str">
        <f aca="false">IF($E110="","",COUNTIF($E107:$E110,Z$21)+COUNTIF($E107:$E110,$A$3))</f>
        <v/>
      </c>
      <c r="AD110" s="53" t="n">
        <f aca="false">IF($F110="","",COUNTIF($F107:$F110,Z$21)+COUNTIF($F107:$F110,$A$3))</f>
        <v>1</v>
      </c>
      <c r="AF110" s="65" t="n">
        <f aca="false">IF($B110="","",COUNTIF($B107:$B110,AF$21)+COUNTIF($B107:$B110,$A$3))</f>
        <v>0</v>
      </c>
      <c r="AG110" s="52" t="n">
        <f aca="false">IF($C110="","",COUNTIF($C107:$C110,AF$21)+COUNTIF($C107:$C110,$A$3))</f>
        <v>1</v>
      </c>
      <c r="AH110" s="52" t="n">
        <f aca="false">IF($D110="","",COUNTIF($D107:$D110,AF$21)+COUNTIF($D107:$D110,$A$3))</f>
        <v>0</v>
      </c>
      <c r="AI110" s="52" t="str">
        <f aca="false">IF($E110="","",COUNTIF($E107:$E110,AF$21)+COUNTIF($E107:$E110,$A$3))</f>
        <v/>
      </c>
      <c r="AJ110" s="53" t="n">
        <f aca="false">IF($F110="","",COUNTIF($F107:$F110,AF$21)+COUNTIF($F107:$F110,$A$3))</f>
        <v>0</v>
      </c>
      <c r="AL110" s="65" t="n">
        <f aca="false">IF($B110="","",COUNTIF($B107:$B110,AL$21)+COUNTIF($B107:$B110,$A$3))</f>
        <v>0</v>
      </c>
      <c r="AM110" s="52" t="n">
        <f aca="false">IF($C110="","",COUNTIF($C107:$C110,AL$21)+COUNTIF($C107:$C110,$A$3))</f>
        <v>1</v>
      </c>
      <c r="AN110" s="52" t="n">
        <f aca="false">IF($D110="","",COUNTIF($D107:$D110,AL$21)+COUNTIF($D107:$D110,$A$3))</f>
        <v>1</v>
      </c>
      <c r="AO110" s="52" t="str">
        <f aca="false">IF($E110="","",COUNTIF($E107:$E110,AL$21)+COUNTIF($E107:$E110,$A$3))</f>
        <v/>
      </c>
      <c r="AP110" s="53" t="n">
        <f aca="false">IF($F110="","",COUNTIF($F107:$F110,AL$21)+COUNTIF($F107:$F110,$A$3))</f>
        <v>0</v>
      </c>
      <c r="AR110" s="65" t="n">
        <f aca="false">IF($B110="","",COUNTIF($B107:$B110,AR$21)+COUNTIF($B107:$B110,$A$3))</f>
        <v>0</v>
      </c>
      <c r="AS110" s="52" t="n">
        <f aca="false">IF($C110="","",COUNTIF($C107:$C110,AR$21)+COUNTIF($C107:$C110,$A$3))</f>
        <v>1</v>
      </c>
      <c r="AT110" s="52" t="n">
        <f aca="false">IF($D110="","",COUNTIF($D107:$D110,AR$21)+COUNTIF($D107:$D110,$A$3))</f>
        <v>1</v>
      </c>
      <c r="AU110" s="52" t="str">
        <f aca="false">IF($E110="","",COUNTIF($E107:$E110,AR$21)+COUNTIF($E107:$E110,$A$3))</f>
        <v/>
      </c>
      <c r="AV110" s="53" t="n">
        <f aca="false">IF($F110="","",COUNTIF($F107:$F110,AR$21)+COUNTIF($F107:$F110,$A$3))</f>
        <v>1</v>
      </c>
      <c r="AX110" s="65" t="n">
        <f aca="false">IF($B110="","",COUNTIF($B107:$B110,AX$21)+COUNTIF($B107:$B110,$A$3))</f>
        <v>0</v>
      </c>
      <c r="AY110" s="52" t="n">
        <f aca="false">IF($C110="","",COUNTIF($C107:$C110,AX$21)+COUNTIF($C107:$C110,$A$3))</f>
        <v>1</v>
      </c>
      <c r="AZ110" s="52" t="n">
        <f aca="false">IF($D110="","",COUNTIF($D107:$D110,AX$21)+COUNTIF($D107:$D110,$A$3))</f>
        <v>0</v>
      </c>
      <c r="BA110" s="52" t="str">
        <f aca="false">IF($E110="","",COUNTIF($E107:$E110,AX$21)+COUNTIF($E107:$E110,$A$3))</f>
        <v/>
      </c>
      <c r="BB110" s="53" t="n">
        <f aca="false">IF($F110="","",COUNTIF($F107:$F110,AX$21)+COUNTIF($F107:$F110,$A$3))</f>
        <v>1</v>
      </c>
      <c r="BD110" s="65" t="n">
        <f aca="false">IF($B110="","",COUNTIF($B107:$B110,BD$21)+COUNTIF($B107:$B110,$A$3))</f>
        <v>1</v>
      </c>
      <c r="BE110" s="52" t="n">
        <f aca="false">IF($C110="","",COUNTIF($C107:$C110,BD$21)+COUNTIF($C107:$C110,$A$3))</f>
        <v>0</v>
      </c>
      <c r="BF110" s="52" t="n">
        <f aca="false">IF($D110="","",COUNTIF($D107:$D110,BD$21)+COUNTIF($D107:$D110,$A$3))</f>
        <v>1</v>
      </c>
      <c r="BG110" s="52" t="str">
        <f aca="false">IF($E110="","",COUNTIF($E107:$E110,BD$21)+COUNTIF($E107:$E110,$A$3))</f>
        <v/>
      </c>
      <c r="BH110" s="53" t="n">
        <f aca="false">IF($F110="","",COUNTIF($F107:$F110,BD$21)+COUNTIF($F107:$F110,$A$3))</f>
        <v>0</v>
      </c>
      <c r="BJ110" s="65" t="n">
        <f aca="false">IF($B110="","",COUNTIF($B107:$B110,BJ$21)+COUNTIF($B107:$B110,$A$3))</f>
        <v>1</v>
      </c>
      <c r="BK110" s="52" t="n">
        <f aca="false">IF($C110="","",COUNTIF($C107:$C110,BJ$21)+COUNTIF($C107:$C110,$A$3))</f>
        <v>0</v>
      </c>
      <c r="BL110" s="52" t="n">
        <f aca="false">IF($D110="","",COUNTIF($D107:$D110,BJ$21)+COUNTIF($D107:$D110,$A$3))</f>
        <v>0</v>
      </c>
      <c r="BM110" s="52" t="str">
        <f aca="false">IF($E110="","",COUNTIF($E107:$E110,BJ$21)+COUNTIF($E107:$E110,$A$3))</f>
        <v/>
      </c>
      <c r="BN110" s="53" t="n">
        <f aca="false">IF($F110="","",COUNTIF($F107:$F110,BJ$21)+COUNTIF($F107:$F110,$A$3))</f>
        <v>0</v>
      </c>
      <c r="BP110" s="65" t="n">
        <f aca="false">IF($B110="","",COUNTIF($B107:$B110,BP$21)+COUNTIF($B107:$B110,$A$3))</f>
        <v>1</v>
      </c>
      <c r="BQ110" s="52" t="n">
        <f aca="false">IF($C110="","",COUNTIF($C107:$C110,BP$21)+COUNTIF($C107:$C110,$A$3))</f>
        <v>0</v>
      </c>
      <c r="BR110" s="52" t="n">
        <f aca="false">IF($D110="","",COUNTIF($D107:$D110,BP$21)+COUNTIF($D107:$D110,$A$3))</f>
        <v>0</v>
      </c>
      <c r="BS110" s="52" t="str">
        <f aca="false">IF($E110="","",COUNTIF($E107:$E110,BP$21)+COUNTIF($E107:$E110,$A$3))</f>
        <v/>
      </c>
      <c r="BT110" s="53" t="n">
        <f aca="false">IF($F110="","",COUNTIF($F107:$F110,BP$21)+COUNTIF($F107:$F110,$A$3))</f>
        <v>0</v>
      </c>
    </row>
    <row r="111" customFormat="false" ht="15" hidden="false" customHeight="false" outlineLevel="0" collapsed="false">
      <c r="A111" s="13" t="n">
        <v>89</v>
      </c>
      <c r="B111" s="116" t="str">
        <f aca="false">IF('Game Info'!J94="","",'Game Info'!J94)</f>
        <v>SYM3</v>
      </c>
      <c r="C111" s="116" t="str">
        <f aca="false">IF('Game Info'!K94="","",'Game Info'!K94)</f>
        <v>SYM5</v>
      </c>
      <c r="D111" s="116" t="str">
        <f aca="false">IF('Game Info'!L94="","",'Game Info'!L94)</f>
        <v>Q</v>
      </c>
      <c r="E111" s="116" t="str">
        <f aca="false">IF('Game Info'!M94="","",'Game Info'!M94)</f>
        <v/>
      </c>
      <c r="F111" s="117" t="str">
        <f aca="false">IF('Game Info'!N94="","",'Game Info'!N94)</f>
        <v>K</v>
      </c>
      <c r="H111" s="65" t="n">
        <f aca="false">IF($B111="","",COUNTIF($B108:$B111,H$21)+COUNTIF($B108:$B111,$A$3))</f>
        <v>0</v>
      </c>
      <c r="I111" s="52" t="n">
        <f aca="false">IF($C111="","",COUNTIF($C108:$C111,H$21)+COUNTIF($C108:$C111,$A$3))</f>
        <v>0</v>
      </c>
      <c r="J111" s="52" t="n">
        <f aca="false">IF($D111="","",COUNTIF($D108:$D111,H$21)+COUNTIF($D108:$D111,$A$3))</f>
        <v>1</v>
      </c>
      <c r="K111" s="52" t="str">
        <f aca="false">IF($E111="","",COUNTIF($E108:$E111,H$21)+COUNTIF($E108:$E111,$A$3))</f>
        <v/>
      </c>
      <c r="L111" s="53" t="n">
        <f aca="false">IF($F111="","",COUNTIF($F108:$F111,H$21)+COUNTIF($F108:$F111,$A$3))</f>
        <v>0</v>
      </c>
      <c r="N111" s="65" t="n">
        <f aca="false">IF($B111="","",COUNTIF($B108:$B111,N$21)+COUNTIF($B108:$B111,$A$3))</f>
        <v>1</v>
      </c>
      <c r="O111" s="52" t="n">
        <f aca="false">IF($C111="","",COUNTIF($C108:$C111,N$21)+COUNTIF($C108:$C111,$A$3))</f>
        <v>0</v>
      </c>
      <c r="P111" s="52" t="n">
        <f aca="false">IF($D111="","",COUNTIF($D108:$D111,N$21)+COUNTIF($D108:$D111,$A$3))</f>
        <v>0</v>
      </c>
      <c r="Q111" s="52" t="str">
        <f aca="false">IF($E111="","",COUNTIF($E108:$E111,N$21)+COUNTIF($E108:$E111,$A$3))</f>
        <v/>
      </c>
      <c r="R111" s="53" t="n">
        <f aca="false">IF($F111="","",COUNTIF($F108:$F111,N$21)+COUNTIF($F108:$F111,$A$3))</f>
        <v>0</v>
      </c>
      <c r="T111" s="65" t="n">
        <f aca="false">IF($B111="","",COUNTIF($B108:$B111,T$21)+COUNTIF($B108:$B111,$A$3))</f>
        <v>1</v>
      </c>
      <c r="U111" s="52" t="n">
        <f aca="false">IF($C111="","",COUNTIF($C108:$C111,T$21)+COUNTIF($C108:$C111,$A$3))</f>
        <v>0</v>
      </c>
      <c r="V111" s="52" t="n">
        <f aca="false">IF($D111="","",COUNTIF($D108:$D111,T$21)+COUNTIF($D108:$D111,$A$3))</f>
        <v>0</v>
      </c>
      <c r="W111" s="52" t="str">
        <f aca="false">IF($E111="","",COUNTIF($E108:$E111,T$21)+COUNTIF($E108:$E111,$A$3))</f>
        <v/>
      </c>
      <c r="X111" s="53" t="n">
        <f aca="false">IF($F111="","",COUNTIF($F108:$F111,T$21)+COUNTIF($F108:$F111,$A$3))</f>
        <v>0</v>
      </c>
      <c r="Z111" s="65" t="n">
        <f aca="false">IF($B111="","",COUNTIF($B108:$B111,Z$21)+COUNTIF($B108:$B111,$A$3))</f>
        <v>0</v>
      </c>
      <c r="AA111" s="52" t="n">
        <f aca="false">IF($C111="","",COUNTIF($C108:$C111,Z$21)+COUNTIF($C108:$C111,$A$3))</f>
        <v>0</v>
      </c>
      <c r="AB111" s="52" t="n">
        <f aca="false">IF($D111="","",COUNTIF($D108:$D111,Z$21)+COUNTIF($D108:$D111,$A$3))</f>
        <v>0</v>
      </c>
      <c r="AC111" s="52" t="str">
        <f aca="false">IF($E111="","",COUNTIF($E108:$E111,Z$21)+COUNTIF($E108:$E111,$A$3))</f>
        <v/>
      </c>
      <c r="AD111" s="53" t="n">
        <f aca="false">IF($F111="","",COUNTIF($F108:$F111,Z$21)+COUNTIF($F108:$F111,$A$3))</f>
        <v>1</v>
      </c>
      <c r="AF111" s="65" t="n">
        <f aca="false">IF($B111="","",COUNTIF($B108:$B111,AF$21)+COUNTIF($B108:$B111,$A$3))</f>
        <v>0</v>
      </c>
      <c r="AG111" s="52" t="n">
        <f aca="false">IF($C111="","",COUNTIF($C108:$C111,AF$21)+COUNTIF($C108:$C111,$A$3))</f>
        <v>2</v>
      </c>
      <c r="AH111" s="52" t="n">
        <f aca="false">IF($D111="","",COUNTIF($D108:$D111,AF$21)+COUNTIF($D108:$D111,$A$3))</f>
        <v>0</v>
      </c>
      <c r="AI111" s="52" t="str">
        <f aca="false">IF($E111="","",COUNTIF($E108:$E111,AF$21)+COUNTIF($E108:$E111,$A$3))</f>
        <v/>
      </c>
      <c r="AJ111" s="53" t="n">
        <f aca="false">IF($F111="","",COUNTIF($F108:$F111,AF$21)+COUNTIF($F108:$F111,$A$3))</f>
        <v>0</v>
      </c>
      <c r="AL111" s="65" t="n">
        <f aca="false">IF($B111="","",COUNTIF($B108:$B111,AL$21)+COUNTIF($B108:$B111,$A$3))</f>
        <v>0</v>
      </c>
      <c r="AM111" s="52" t="n">
        <f aca="false">IF($C111="","",COUNTIF($C108:$C111,AL$21)+COUNTIF($C108:$C111,$A$3))</f>
        <v>0</v>
      </c>
      <c r="AN111" s="52" t="n">
        <f aca="false">IF($D111="","",COUNTIF($D108:$D111,AL$21)+COUNTIF($D108:$D111,$A$3))</f>
        <v>1</v>
      </c>
      <c r="AO111" s="52" t="str">
        <f aca="false">IF($E111="","",COUNTIF($E108:$E111,AL$21)+COUNTIF($E108:$E111,$A$3))</f>
        <v/>
      </c>
      <c r="AP111" s="53" t="n">
        <f aca="false">IF($F111="","",COUNTIF($F108:$F111,AL$21)+COUNTIF($F108:$F111,$A$3))</f>
        <v>0</v>
      </c>
      <c r="AR111" s="65" t="n">
        <f aca="false">IF($B111="","",COUNTIF($B108:$B111,AR$21)+COUNTIF($B108:$B111,$A$3))</f>
        <v>0</v>
      </c>
      <c r="AS111" s="52" t="n">
        <f aca="false">IF($C111="","",COUNTIF($C108:$C111,AR$21)+COUNTIF($C108:$C111,$A$3))</f>
        <v>1</v>
      </c>
      <c r="AT111" s="52" t="n">
        <f aca="false">IF($D111="","",COUNTIF($D108:$D111,AR$21)+COUNTIF($D108:$D111,$A$3))</f>
        <v>0</v>
      </c>
      <c r="AU111" s="52" t="str">
        <f aca="false">IF($E111="","",COUNTIF($E108:$E111,AR$21)+COUNTIF($E108:$E111,$A$3))</f>
        <v/>
      </c>
      <c r="AV111" s="53" t="n">
        <f aca="false">IF($F111="","",COUNTIF($F108:$F111,AR$21)+COUNTIF($F108:$F111,$A$3))</f>
        <v>2</v>
      </c>
      <c r="AX111" s="65" t="n">
        <f aca="false">IF($B111="","",COUNTIF($B108:$B111,AX$21)+COUNTIF($B108:$B111,$A$3))</f>
        <v>0</v>
      </c>
      <c r="AY111" s="52" t="n">
        <f aca="false">IF($C111="","",COUNTIF($C108:$C111,AX$21)+COUNTIF($C108:$C111,$A$3))</f>
        <v>1</v>
      </c>
      <c r="AZ111" s="52" t="n">
        <f aca="false">IF($D111="","",COUNTIF($D108:$D111,AX$21)+COUNTIF($D108:$D111,$A$3))</f>
        <v>1</v>
      </c>
      <c r="BA111" s="52" t="str">
        <f aca="false">IF($E111="","",COUNTIF($E108:$E111,AX$21)+COUNTIF($E108:$E111,$A$3))</f>
        <v/>
      </c>
      <c r="BB111" s="53" t="n">
        <f aca="false">IF($F111="","",COUNTIF($F108:$F111,AX$21)+COUNTIF($F108:$F111,$A$3))</f>
        <v>1</v>
      </c>
      <c r="BD111" s="65" t="n">
        <f aca="false">IF($B111="","",COUNTIF($B108:$B111,BD$21)+COUNTIF($B108:$B111,$A$3))</f>
        <v>0</v>
      </c>
      <c r="BE111" s="52" t="n">
        <f aca="false">IF($C111="","",COUNTIF($C108:$C111,BD$21)+COUNTIF($C108:$C111,$A$3))</f>
        <v>0</v>
      </c>
      <c r="BF111" s="52" t="n">
        <f aca="false">IF($D111="","",COUNTIF($D108:$D111,BD$21)+COUNTIF($D108:$D111,$A$3))</f>
        <v>1</v>
      </c>
      <c r="BG111" s="52" t="str">
        <f aca="false">IF($E111="","",COUNTIF($E108:$E111,BD$21)+COUNTIF($E108:$E111,$A$3))</f>
        <v/>
      </c>
      <c r="BH111" s="53" t="n">
        <f aca="false">IF($F111="","",COUNTIF($F108:$F111,BD$21)+COUNTIF($F108:$F111,$A$3))</f>
        <v>0</v>
      </c>
      <c r="BJ111" s="65" t="n">
        <f aca="false">IF($B111="","",COUNTIF($B108:$B111,BJ$21)+COUNTIF($B108:$B111,$A$3))</f>
        <v>1</v>
      </c>
      <c r="BK111" s="52" t="n">
        <f aca="false">IF($C111="","",COUNTIF($C108:$C111,BJ$21)+COUNTIF($C108:$C111,$A$3))</f>
        <v>0</v>
      </c>
      <c r="BL111" s="52" t="n">
        <f aca="false">IF($D111="","",COUNTIF($D108:$D111,BJ$21)+COUNTIF($D108:$D111,$A$3))</f>
        <v>0</v>
      </c>
      <c r="BM111" s="52" t="str">
        <f aca="false">IF($E111="","",COUNTIF($E108:$E111,BJ$21)+COUNTIF($E108:$E111,$A$3))</f>
        <v/>
      </c>
      <c r="BN111" s="53" t="n">
        <f aca="false">IF($F111="","",COUNTIF($F108:$F111,BJ$21)+COUNTIF($F108:$F111,$A$3))</f>
        <v>0</v>
      </c>
      <c r="BP111" s="65" t="n">
        <f aca="false">IF($B111="","",COUNTIF($B108:$B111,BP$21)+COUNTIF($B108:$B111,$A$3))</f>
        <v>1</v>
      </c>
      <c r="BQ111" s="52" t="n">
        <f aca="false">IF($C111="","",COUNTIF($C108:$C111,BP$21)+COUNTIF($C108:$C111,$A$3))</f>
        <v>0</v>
      </c>
      <c r="BR111" s="52" t="n">
        <f aca="false">IF($D111="","",COUNTIF($D108:$D111,BP$21)+COUNTIF($D108:$D111,$A$3))</f>
        <v>0</v>
      </c>
      <c r="BS111" s="52" t="str">
        <f aca="false">IF($E111="","",COUNTIF($E108:$E111,BP$21)+COUNTIF($E108:$E111,$A$3))</f>
        <v/>
      </c>
      <c r="BT111" s="53" t="n">
        <f aca="false">IF($F111="","",COUNTIF($F108:$F111,BP$21)+COUNTIF($F108:$F111,$A$3))</f>
        <v>0</v>
      </c>
    </row>
    <row r="112" customFormat="false" ht="15" hidden="false" customHeight="false" outlineLevel="0" collapsed="false">
      <c r="A112" s="13" t="n">
        <v>90</v>
      </c>
      <c r="B112" s="116" t="str">
        <f aca="false">IF('Game Info'!J95="","",'Game Info'!J95)</f>
        <v>Q</v>
      </c>
      <c r="C112" s="116" t="str">
        <f aca="false">IF('Game Info'!K95="","",'Game Info'!K95)</f>
        <v>J</v>
      </c>
      <c r="D112" s="116" t="str">
        <f aca="false">IF('Game Info'!L95="","",'Game Info'!L95)</f>
        <v>SYM3</v>
      </c>
      <c r="E112" s="116" t="str">
        <f aca="false">IF('Game Info'!M95="","",'Game Info'!M95)</f>
        <v/>
      </c>
      <c r="F112" s="117" t="str">
        <f aca="false">IF('Game Info'!N95="","",'Game Info'!N95)</f>
        <v>SYM1</v>
      </c>
      <c r="H112" s="65" t="n">
        <f aca="false">IF($B112="","",COUNTIF($B109:$B112,H$21)+COUNTIF($B109:$B112,$A$3))</f>
        <v>0</v>
      </c>
      <c r="I112" s="52" t="n">
        <f aca="false">IF($C112="","",COUNTIF($C109:$C112,H$21)+COUNTIF($C109:$C112,$A$3))</f>
        <v>0</v>
      </c>
      <c r="J112" s="52" t="n">
        <f aca="false">IF($D112="","",COUNTIF($D109:$D112,H$21)+COUNTIF($D109:$D112,$A$3))</f>
        <v>1</v>
      </c>
      <c r="K112" s="52" t="str">
        <f aca="false">IF($E112="","",COUNTIF($E109:$E112,H$21)+COUNTIF($E109:$E112,$A$3))</f>
        <v/>
      </c>
      <c r="L112" s="53" t="n">
        <f aca="false">IF($F112="","",COUNTIF($F109:$F112,H$21)+COUNTIF($F109:$F112,$A$3))</f>
        <v>1</v>
      </c>
      <c r="N112" s="65" t="n">
        <f aca="false">IF($B112="","",COUNTIF($B109:$B112,N$21)+COUNTIF($B109:$B112,$A$3))</f>
        <v>1</v>
      </c>
      <c r="O112" s="52" t="n">
        <f aca="false">IF($C112="","",COUNTIF($C109:$C112,N$21)+COUNTIF($C109:$C112,$A$3))</f>
        <v>0</v>
      </c>
      <c r="P112" s="52" t="n">
        <f aca="false">IF($D112="","",COUNTIF($D109:$D112,N$21)+COUNTIF($D109:$D112,$A$3))</f>
        <v>0</v>
      </c>
      <c r="Q112" s="52" t="str">
        <f aca="false">IF($E112="","",COUNTIF($E109:$E112,N$21)+COUNTIF($E109:$E112,$A$3))</f>
        <v/>
      </c>
      <c r="R112" s="53" t="n">
        <f aca="false">IF($F112="","",COUNTIF($F109:$F112,N$21)+COUNTIF($F109:$F112,$A$3))</f>
        <v>0</v>
      </c>
      <c r="T112" s="65" t="n">
        <f aca="false">IF($B112="","",COUNTIF($B109:$B112,T$21)+COUNTIF($B109:$B112,$A$3))</f>
        <v>1</v>
      </c>
      <c r="U112" s="52" t="n">
        <f aca="false">IF($C112="","",COUNTIF($C109:$C112,T$21)+COUNTIF($C109:$C112,$A$3))</f>
        <v>0</v>
      </c>
      <c r="V112" s="52" t="n">
        <f aca="false">IF($D112="","",COUNTIF($D109:$D112,T$21)+COUNTIF($D109:$D112,$A$3))</f>
        <v>1</v>
      </c>
      <c r="W112" s="52" t="str">
        <f aca="false">IF($E112="","",COUNTIF($E109:$E112,T$21)+COUNTIF($E109:$E112,$A$3))</f>
        <v/>
      </c>
      <c r="X112" s="53" t="n">
        <f aca="false">IF($F112="","",COUNTIF($F109:$F112,T$21)+COUNTIF($F109:$F112,$A$3))</f>
        <v>0</v>
      </c>
      <c r="Z112" s="65" t="n">
        <f aca="false">IF($B112="","",COUNTIF($B109:$B112,Z$21)+COUNTIF($B109:$B112,$A$3))</f>
        <v>0</v>
      </c>
      <c r="AA112" s="52" t="n">
        <f aca="false">IF($C112="","",COUNTIF($C109:$C112,Z$21)+COUNTIF($C109:$C112,$A$3))</f>
        <v>0</v>
      </c>
      <c r="AB112" s="52" t="n">
        <f aca="false">IF($D112="","",COUNTIF($D109:$D112,Z$21)+COUNTIF($D109:$D112,$A$3))</f>
        <v>0</v>
      </c>
      <c r="AC112" s="52" t="str">
        <f aca="false">IF($E112="","",COUNTIF($E109:$E112,Z$21)+COUNTIF($E109:$E112,$A$3))</f>
        <v/>
      </c>
      <c r="AD112" s="53" t="n">
        <f aca="false">IF($F112="","",COUNTIF($F109:$F112,Z$21)+COUNTIF($F109:$F112,$A$3))</f>
        <v>1</v>
      </c>
      <c r="AF112" s="65" t="n">
        <f aca="false">IF($B112="","",COUNTIF($B109:$B112,AF$21)+COUNTIF($B109:$B112,$A$3))</f>
        <v>0</v>
      </c>
      <c r="AG112" s="52" t="n">
        <f aca="false">IF($C112="","",COUNTIF($C109:$C112,AF$21)+COUNTIF($C109:$C112,$A$3))</f>
        <v>2</v>
      </c>
      <c r="AH112" s="52" t="n">
        <f aca="false">IF($D112="","",COUNTIF($D109:$D112,AF$21)+COUNTIF($D109:$D112,$A$3))</f>
        <v>0</v>
      </c>
      <c r="AI112" s="52" t="str">
        <f aca="false">IF($E112="","",COUNTIF($E109:$E112,AF$21)+COUNTIF($E109:$E112,$A$3))</f>
        <v/>
      </c>
      <c r="AJ112" s="53" t="n">
        <f aca="false">IF($F112="","",COUNTIF($F109:$F112,AF$21)+COUNTIF($F109:$F112,$A$3))</f>
        <v>0</v>
      </c>
      <c r="AL112" s="65" t="n">
        <f aca="false">IF($B112="","",COUNTIF($B109:$B112,AL$21)+COUNTIF($B109:$B112,$A$3))</f>
        <v>0</v>
      </c>
      <c r="AM112" s="52" t="n">
        <f aca="false">IF($C112="","",COUNTIF($C109:$C112,AL$21)+COUNTIF($C109:$C112,$A$3))</f>
        <v>0</v>
      </c>
      <c r="AN112" s="52" t="n">
        <f aca="false">IF($D112="","",COUNTIF($D109:$D112,AL$21)+COUNTIF($D109:$D112,$A$3))</f>
        <v>0</v>
      </c>
      <c r="AO112" s="52" t="str">
        <f aca="false">IF($E112="","",COUNTIF($E109:$E112,AL$21)+COUNTIF($E109:$E112,$A$3))</f>
        <v/>
      </c>
      <c r="AP112" s="53" t="n">
        <f aca="false">IF($F112="","",COUNTIF($F109:$F112,AL$21)+COUNTIF($F109:$F112,$A$3))</f>
        <v>0</v>
      </c>
      <c r="AR112" s="65" t="n">
        <f aca="false">IF($B112="","",COUNTIF($B109:$B112,AR$21)+COUNTIF($B109:$B112,$A$3))</f>
        <v>0</v>
      </c>
      <c r="AS112" s="52" t="n">
        <f aca="false">IF($C112="","",COUNTIF($C109:$C112,AR$21)+COUNTIF($C109:$C112,$A$3))</f>
        <v>1</v>
      </c>
      <c r="AT112" s="52" t="n">
        <f aca="false">IF($D112="","",COUNTIF($D109:$D112,AR$21)+COUNTIF($D109:$D112,$A$3))</f>
        <v>0</v>
      </c>
      <c r="AU112" s="52" t="str">
        <f aca="false">IF($E112="","",COUNTIF($E109:$E112,AR$21)+COUNTIF($E109:$E112,$A$3))</f>
        <v/>
      </c>
      <c r="AV112" s="53" t="n">
        <f aca="false">IF($F112="","",COUNTIF($F109:$F112,AR$21)+COUNTIF($F109:$F112,$A$3))</f>
        <v>1</v>
      </c>
      <c r="AX112" s="65" t="n">
        <f aca="false">IF($B112="","",COUNTIF($B109:$B112,AX$21)+COUNTIF($B109:$B112,$A$3))</f>
        <v>1</v>
      </c>
      <c r="AY112" s="52" t="n">
        <f aca="false">IF($C112="","",COUNTIF($C109:$C112,AX$21)+COUNTIF($C109:$C112,$A$3))</f>
        <v>0</v>
      </c>
      <c r="AZ112" s="52" t="n">
        <f aca="false">IF($D112="","",COUNTIF($D109:$D112,AX$21)+COUNTIF($D109:$D112,$A$3))</f>
        <v>1</v>
      </c>
      <c r="BA112" s="52" t="str">
        <f aca="false">IF($E112="","",COUNTIF($E109:$E112,AX$21)+COUNTIF($E109:$E112,$A$3))</f>
        <v/>
      </c>
      <c r="BB112" s="53" t="n">
        <f aca="false">IF($F112="","",COUNTIF($F109:$F112,AX$21)+COUNTIF($F109:$F112,$A$3))</f>
        <v>1</v>
      </c>
      <c r="BD112" s="65" t="n">
        <f aca="false">IF($B112="","",COUNTIF($B109:$B112,BD$21)+COUNTIF($B109:$B112,$A$3))</f>
        <v>0</v>
      </c>
      <c r="BE112" s="52" t="n">
        <f aca="false">IF($C112="","",COUNTIF($C109:$C112,BD$21)+COUNTIF($C109:$C112,$A$3))</f>
        <v>1</v>
      </c>
      <c r="BF112" s="52" t="n">
        <f aca="false">IF($D112="","",COUNTIF($D109:$D112,BD$21)+COUNTIF($D109:$D112,$A$3))</f>
        <v>1</v>
      </c>
      <c r="BG112" s="52" t="str">
        <f aca="false">IF($E112="","",COUNTIF($E109:$E112,BD$21)+COUNTIF($E109:$E112,$A$3))</f>
        <v/>
      </c>
      <c r="BH112" s="53" t="n">
        <f aca="false">IF($F112="","",COUNTIF($F109:$F112,BD$21)+COUNTIF($F109:$F112,$A$3))</f>
        <v>0</v>
      </c>
      <c r="BJ112" s="65" t="n">
        <f aca="false">IF($B112="","",COUNTIF($B109:$B112,BJ$21)+COUNTIF($B109:$B112,$A$3))</f>
        <v>0</v>
      </c>
      <c r="BK112" s="52" t="n">
        <f aca="false">IF($C112="","",COUNTIF($C109:$C112,BJ$21)+COUNTIF($C109:$C112,$A$3))</f>
        <v>0</v>
      </c>
      <c r="BL112" s="52" t="n">
        <f aca="false">IF($D112="","",COUNTIF($D109:$D112,BJ$21)+COUNTIF($D109:$D112,$A$3))</f>
        <v>0</v>
      </c>
      <c r="BM112" s="52" t="str">
        <f aca="false">IF($E112="","",COUNTIF($E109:$E112,BJ$21)+COUNTIF($E109:$E112,$A$3))</f>
        <v/>
      </c>
      <c r="BN112" s="53" t="n">
        <f aca="false">IF($F112="","",COUNTIF($F109:$F112,BJ$21)+COUNTIF($F109:$F112,$A$3))</f>
        <v>0</v>
      </c>
      <c r="BP112" s="65" t="n">
        <f aca="false">IF($B112="","",COUNTIF($B109:$B112,BP$21)+COUNTIF($B109:$B112,$A$3))</f>
        <v>1</v>
      </c>
      <c r="BQ112" s="52" t="n">
        <f aca="false">IF($C112="","",COUNTIF($C109:$C112,BP$21)+COUNTIF($C109:$C112,$A$3))</f>
        <v>0</v>
      </c>
      <c r="BR112" s="52" t="n">
        <f aca="false">IF($D112="","",COUNTIF($D109:$D112,BP$21)+COUNTIF($D109:$D112,$A$3))</f>
        <v>0</v>
      </c>
      <c r="BS112" s="52" t="str">
        <f aca="false">IF($E112="","",COUNTIF($E109:$E112,BP$21)+COUNTIF($E109:$E112,$A$3))</f>
        <v/>
      </c>
      <c r="BT112" s="53" t="n">
        <f aca="false">IF($F112="","",COUNTIF($F109:$F112,BP$21)+COUNTIF($F109:$F112,$A$3))</f>
        <v>0</v>
      </c>
    </row>
    <row r="113" customFormat="false" ht="15" hidden="false" customHeight="false" outlineLevel="0" collapsed="false">
      <c r="A113" s="13" t="n">
        <v>91</v>
      </c>
      <c r="B113" s="116" t="str">
        <f aca="false">IF('Game Info'!J96="","",'Game Info'!J96)</f>
        <v>SYM1</v>
      </c>
      <c r="C113" s="116" t="n">
        <f aca="false">IF('Game Info'!K96="","",'Game Info'!K96)</f>
        <v>9</v>
      </c>
      <c r="D113" s="116" t="str">
        <f aca="false">IF('Game Info'!L96="","",'Game Info'!L96)</f>
        <v>A</v>
      </c>
      <c r="E113" s="116" t="str">
        <f aca="false">IF('Game Info'!M96="","",'Game Info'!M96)</f>
        <v/>
      </c>
      <c r="F113" s="117" t="n">
        <f aca="false">IF('Game Info'!N96="","",'Game Info'!N96)</f>
        <v>10</v>
      </c>
      <c r="H113" s="65" t="n">
        <f aca="false">IF($B113="","",COUNTIF($B110:$B113,H$21)+COUNTIF($B110:$B113,$A$3))</f>
        <v>1</v>
      </c>
      <c r="I113" s="52" t="n">
        <f aca="false">IF($C113="","",COUNTIF($C110:$C113,H$21)+COUNTIF($C110:$C113,$A$3))</f>
        <v>0</v>
      </c>
      <c r="J113" s="52" t="n">
        <f aca="false">IF($D113="","",COUNTIF($D110:$D113,H$21)+COUNTIF($D110:$D113,$A$3))</f>
        <v>1</v>
      </c>
      <c r="K113" s="52" t="str">
        <f aca="false">IF($E113="","",COUNTIF($E110:$E113,H$21)+COUNTIF($E110:$E113,$A$3))</f>
        <v/>
      </c>
      <c r="L113" s="53" t="n">
        <f aca="false">IF($F113="","",COUNTIF($F110:$F113,H$21)+COUNTIF($F110:$F113,$A$3))</f>
        <v>1</v>
      </c>
      <c r="N113" s="65" t="n">
        <f aca="false">IF($B113="","",COUNTIF($B110:$B113,N$21)+COUNTIF($B110:$B113,$A$3))</f>
        <v>0</v>
      </c>
      <c r="O113" s="52" t="n">
        <f aca="false">IF($C113="","",COUNTIF($C110:$C113,N$21)+COUNTIF($C110:$C113,$A$3))</f>
        <v>0</v>
      </c>
      <c r="P113" s="52" t="n">
        <f aca="false">IF($D113="","",COUNTIF($D110:$D113,N$21)+COUNTIF($D110:$D113,$A$3))</f>
        <v>0</v>
      </c>
      <c r="Q113" s="52" t="str">
        <f aca="false">IF($E113="","",COUNTIF($E110:$E113,N$21)+COUNTIF($E110:$E113,$A$3))</f>
        <v/>
      </c>
      <c r="R113" s="53" t="n">
        <f aca="false">IF($F113="","",COUNTIF($F110:$F113,N$21)+COUNTIF($F110:$F113,$A$3))</f>
        <v>0</v>
      </c>
      <c r="T113" s="65" t="n">
        <f aca="false">IF($B113="","",COUNTIF($B110:$B113,T$21)+COUNTIF($B110:$B113,$A$3))</f>
        <v>1</v>
      </c>
      <c r="U113" s="52" t="n">
        <f aca="false">IF($C113="","",COUNTIF($C110:$C113,T$21)+COUNTIF($C110:$C113,$A$3))</f>
        <v>0</v>
      </c>
      <c r="V113" s="52" t="n">
        <f aca="false">IF($D113="","",COUNTIF($D110:$D113,T$21)+COUNTIF($D110:$D113,$A$3))</f>
        <v>1</v>
      </c>
      <c r="W113" s="52" t="str">
        <f aca="false">IF($E113="","",COUNTIF($E110:$E113,T$21)+COUNTIF($E110:$E113,$A$3))</f>
        <v/>
      </c>
      <c r="X113" s="53" t="n">
        <f aca="false">IF($F113="","",COUNTIF($F110:$F113,T$21)+COUNTIF($F110:$F113,$A$3))</f>
        <v>0</v>
      </c>
      <c r="Z113" s="65" t="n">
        <f aca="false">IF($B113="","",COUNTIF($B110:$B113,Z$21)+COUNTIF($B110:$B113,$A$3))</f>
        <v>0</v>
      </c>
      <c r="AA113" s="52" t="n">
        <f aca="false">IF($C113="","",COUNTIF($C110:$C113,Z$21)+COUNTIF($C110:$C113,$A$3))</f>
        <v>0</v>
      </c>
      <c r="AB113" s="52" t="n">
        <f aca="false">IF($D113="","",COUNTIF($D110:$D113,Z$21)+COUNTIF($D110:$D113,$A$3))</f>
        <v>0</v>
      </c>
      <c r="AC113" s="52" t="str">
        <f aca="false">IF($E113="","",COUNTIF($E110:$E113,Z$21)+COUNTIF($E110:$E113,$A$3))</f>
        <v/>
      </c>
      <c r="AD113" s="53" t="n">
        <f aca="false">IF($F113="","",COUNTIF($F110:$F113,Z$21)+COUNTIF($F110:$F113,$A$3))</f>
        <v>1</v>
      </c>
      <c r="AF113" s="65" t="n">
        <f aca="false">IF($B113="","",COUNTIF($B110:$B113,AF$21)+COUNTIF($B110:$B113,$A$3))</f>
        <v>0</v>
      </c>
      <c r="AG113" s="52" t="n">
        <f aca="false">IF($C113="","",COUNTIF($C110:$C113,AF$21)+COUNTIF($C110:$C113,$A$3))</f>
        <v>1</v>
      </c>
      <c r="AH113" s="52" t="n">
        <f aca="false">IF($D113="","",COUNTIF($D110:$D113,AF$21)+COUNTIF($D110:$D113,$A$3))</f>
        <v>0</v>
      </c>
      <c r="AI113" s="52" t="str">
        <f aca="false">IF($E113="","",COUNTIF($E110:$E113,AF$21)+COUNTIF($E110:$E113,$A$3))</f>
        <v/>
      </c>
      <c r="AJ113" s="53" t="n">
        <f aca="false">IF($F113="","",COUNTIF($F110:$F113,AF$21)+COUNTIF($F110:$F113,$A$3))</f>
        <v>0</v>
      </c>
      <c r="AL113" s="65" t="n">
        <f aca="false">IF($B113="","",COUNTIF($B110:$B113,AL$21)+COUNTIF($B110:$B113,$A$3))</f>
        <v>0</v>
      </c>
      <c r="AM113" s="52" t="n">
        <f aca="false">IF($C113="","",COUNTIF($C110:$C113,AL$21)+COUNTIF($C110:$C113,$A$3))</f>
        <v>0</v>
      </c>
      <c r="AN113" s="52" t="n">
        <f aca="false">IF($D113="","",COUNTIF($D110:$D113,AL$21)+COUNTIF($D110:$D113,$A$3))</f>
        <v>1</v>
      </c>
      <c r="AO113" s="52" t="str">
        <f aca="false">IF($E113="","",COUNTIF($E110:$E113,AL$21)+COUNTIF($E110:$E113,$A$3))</f>
        <v/>
      </c>
      <c r="AP113" s="53" t="n">
        <f aca="false">IF($F113="","",COUNTIF($F110:$F113,AL$21)+COUNTIF($F110:$F113,$A$3))</f>
        <v>0</v>
      </c>
      <c r="AR113" s="65" t="n">
        <f aca="false">IF($B113="","",COUNTIF($B110:$B113,AR$21)+COUNTIF($B110:$B113,$A$3))</f>
        <v>0</v>
      </c>
      <c r="AS113" s="52" t="n">
        <f aca="false">IF($C113="","",COUNTIF($C110:$C113,AR$21)+COUNTIF($C110:$C113,$A$3))</f>
        <v>1</v>
      </c>
      <c r="AT113" s="52" t="n">
        <f aca="false">IF($D113="","",COUNTIF($D110:$D113,AR$21)+COUNTIF($D110:$D113,$A$3))</f>
        <v>0</v>
      </c>
      <c r="AU113" s="52" t="str">
        <f aca="false">IF($E113="","",COUNTIF($E110:$E113,AR$21)+COUNTIF($E110:$E113,$A$3))</f>
        <v/>
      </c>
      <c r="AV113" s="53" t="n">
        <f aca="false">IF($F113="","",COUNTIF($F110:$F113,AR$21)+COUNTIF($F110:$F113,$A$3))</f>
        <v>1</v>
      </c>
      <c r="AX113" s="65" t="n">
        <f aca="false">IF($B113="","",COUNTIF($B110:$B113,AX$21)+COUNTIF($B110:$B113,$A$3))</f>
        <v>1</v>
      </c>
      <c r="AY113" s="52" t="n">
        <f aca="false">IF($C113="","",COUNTIF($C110:$C113,AX$21)+COUNTIF($C110:$C113,$A$3))</f>
        <v>0</v>
      </c>
      <c r="AZ113" s="52" t="n">
        <f aca="false">IF($D113="","",COUNTIF($D110:$D113,AX$21)+COUNTIF($D110:$D113,$A$3))</f>
        <v>1</v>
      </c>
      <c r="BA113" s="52" t="str">
        <f aca="false">IF($E113="","",COUNTIF($E110:$E113,AX$21)+COUNTIF($E110:$E113,$A$3))</f>
        <v/>
      </c>
      <c r="BB113" s="53" t="n">
        <f aca="false">IF($F113="","",COUNTIF($F110:$F113,AX$21)+COUNTIF($F110:$F113,$A$3))</f>
        <v>0</v>
      </c>
      <c r="BD113" s="65" t="n">
        <f aca="false">IF($B113="","",COUNTIF($B110:$B113,BD$21)+COUNTIF($B110:$B113,$A$3))</f>
        <v>0</v>
      </c>
      <c r="BE113" s="52" t="n">
        <f aca="false">IF($C113="","",COUNTIF($C110:$C113,BD$21)+COUNTIF($C110:$C113,$A$3))</f>
        <v>1</v>
      </c>
      <c r="BF113" s="52" t="n">
        <f aca="false">IF($D113="","",COUNTIF($D110:$D113,BD$21)+COUNTIF($D110:$D113,$A$3))</f>
        <v>0</v>
      </c>
      <c r="BG113" s="52" t="str">
        <f aca="false">IF($E113="","",COUNTIF($E110:$E113,BD$21)+COUNTIF($E110:$E113,$A$3))</f>
        <v/>
      </c>
      <c r="BH113" s="53" t="n">
        <f aca="false">IF($F113="","",COUNTIF($F110:$F113,BD$21)+COUNTIF($F110:$F113,$A$3))</f>
        <v>0</v>
      </c>
      <c r="BJ113" s="65" t="n">
        <f aca="false">IF($B113="","",COUNTIF($B110:$B113,BJ$21)+COUNTIF($B110:$B113,$A$3))</f>
        <v>0</v>
      </c>
      <c r="BK113" s="52" t="n">
        <f aca="false">IF($C113="","",COUNTIF($C110:$C113,BJ$21)+COUNTIF($C110:$C113,$A$3))</f>
        <v>0</v>
      </c>
      <c r="BL113" s="52" t="n">
        <f aca="false">IF($D113="","",COUNTIF($D110:$D113,BJ$21)+COUNTIF($D110:$D113,$A$3))</f>
        <v>0</v>
      </c>
      <c r="BM113" s="52" t="str">
        <f aca="false">IF($E113="","",COUNTIF($E110:$E113,BJ$21)+COUNTIF($E110:$E113,$A$3))</f>
        <v/>
      </c>
      <c r="BN113" s="53" t="n">
        <f aca="false">IF($F113="","",COUNTIF($F110:$F113,BJ$21)+COUNTIF($F110:$F113,$A$3))</f>
        <v>1</v>
      </c>
      <c r="BP113" s="65" t="n">
        <f aca="false">IF($B113="","",COUNTIF($B110:$B113,BP$21)+COUNTIF($B110:$B113,$A$3))</f>
        <v>1</v>
      </c>
      <c r="BQ113" s="52" t="n">
        <f aca="false">IF($C113="","",COUNTIF($C110:$C113,BP$21)+COUNTIF($C110:$C113,$A$3))</f>
        <v>1</v>
      </c>
      <c r="BR113" s="52" t="n">
        <f aca="false">IF($D113="","",COUNTIF($D110:$D113,BP$21)+COUNTIF($D110:$D113,$A$3))</f>
        <v>0</v>
      </c>
      <c r="BS113" s="52" t="str">
        <f aca="false">IF($E113="","",COUNTIF($E110:$E113,BP$21)+COUNTIF($E110:$E113,$A$3))</f>
        <v/>
      </c>
      <c r="BT113" s="53" t="n">
        <f aca="false">IF($F113="","",COUNTIF($F110:$F113,BP$21)+COUNTIF($F110:$F113,$A$3))</f>
        <v>0</v>
      </c>
    </row>
    <row r="114" customFormat="false" ht="15" hidden="false" customHeight="false" outlineLevel="0" collapsed="false">
      <c r="A114" s="13" t="n">
        <v>92</v>
      </c>
      <c r="B114" s="116" t="n">
        <f aca="false">IF('Game Info'!J97="","",'Game Info'!J97)</f>
        <v>10</v>
      </c>
      <c r="C114" s="116" t="n">
        <f aca="false">IF('Game Info'!K97="","",'Game Info'!K97)</f>
        <v>10</v>
      </c>
      <c r="D114" s="116" t="str">
        <f aca="false">IF('Game Info'!L97="","",'Game Info'!L97)</f>
        <v>SYM5</v>
      </c>
      <c r="E114" s="116" t="str">
        <f aca="false">IF('Game Info'!M97="","",'Game Info'!M97)</f>
        <v/>
      </c>
      <c r="F114" s="117" t="str">
        <f aca="false">IF('Game Info'!N97="","",'Game Info'!N97)</f>
        <v>SYM3</v>
      </c>
      <c r="H114" s="65" t="n">
        <f aca="false">IF($B114="","",COUNTIF($B111:$B114,H$21)+COUNTIF($B111:$B114,$A$3))</f>
        <v>1</v>
      </c>
      <c r="I114" s="52" t="n">
        <f aca="false">IF($C114="","",COUNTIF($C111:$C114,H$21)+COUNTIF($C111:$C114,$A$3))</f>
        <v>0</v>
      </c>
      <c r="J114" s="52" t="n">
        <f aca="false">IF($D114="","",COUNTIF($D111:$D114,H$21)+COUNTIF($D111:$D114,$A$3))</f>
        <v>0</v>
      </c>
      <c r="K114" s="52" t="str">
        <f aca="false">IF($E114="","",COUNTIF($E111:$E114,H$21)+COUNTIF($E111:$E114,$A$3))</f>
        <v/>
      </c>
      <c r="L114" s="53" t="n">
        <f aca="false">IF($F114="","",COUNTIF($F111:$F114,H$21)+COUNTIF($F111:$F114,$A$3))</f>
        <v>1</v>
      </c>
      <c r="N114" s="65" t="n">
        <f aca="false">IF($B114="","",COUNTIF($B111:$B114,N$21)+COUNTIF($B111:$B114,$A$3))</f>
        <v>0</v>
      </c>
      <c r="O114" s="52" t="n">
        <f aca="false">IF($C114="","",COUNTIF($C111:$C114,N$21)+COUNTIF($C111:$C114,$A$3))</f>
        <v>0</v>
      </c>
      <c r="P114" s="52" t="n">
        <f aca="false">IF($D114="","",COUNTIF($D111:$D114,N$21)+COUNTIF($D111:$D114,$A$3))</f>
        <v>0</v>
      </c>
      <c r="Q114" s="52" t="str">
        <f aca="false">IF($E114="","",COUNTIF($E111:$E114,N$21)+COUNTIF($E111:$E114,$A$3))</f>
        <v/>
      </c>
      <c r="R114" s="53" t="n">
        <f aca="false">IF($F114="","",COUNTIF($F111:$F114,N$21)+COUNTIF($F111:$F114,$A$3))</f>
        <v>0</v>
      </c>
      <c r="T114" s="65" t="n">
        <f aca="false">IF($B114="","",COUNTIF($B111:$B114,T$21)+COUNTIF($B111:$B114,$A$3))</f>
        <v>1</v>
      </c>
      <c r="U114" s="52" t="n">
        <f aca="false">IF($C114="","",COUNTIF($C111:$C114,T$21)+COUNTIF($C111:$C114,$A$3))</f>
        <v>0</v>
      </c>
      <c r="V114" s="52" t="n">
        <f aca="false">IF($D114="","",COUNTIF($D111:$D114,T$21)+COUNTIF($D111:$D114,$A$3))</f>
        <v>1</v>
      </c>
      <c r="W114" s="52" t="str">
        <f aca="false">IF($E114="","",COUNTIF($E111:$E114,T$21)+COUNTIF($E111:$E114,$A$3))</f>
        <v/>
      </c>
      <c r="X114" s="53" t="n">
        <f aca="false">IF($F114="","",COUNTIF($F111:$F114,T$21)+COUNTIF($F111:$F114,$A$3))</f>
        <v>1</v>
      </c>
      <c r="Z114" s="65" t="n">
        <f aca="false">IF($B114="","",COUNTIF($B111:$B114,Z$21)+COUNTIF($B111:$B114,$A$3))</f>
        <v>0</v>
      </c>
      <c r="AA114" s="52" t="n">
        <f aca="false">IF($C114="","",COUNTIF($C111:$C114,Z$21)+COUNTIF($C111:$C114,$A$3))</f>
        <v>0</v>
      </c>
      <c r="AB114" s="52" t="n">
        <f aca="false">IF($D114="","",COUNTIF($D111:$D114,Z$21)+COUNTIF($D111:$D114,$A$3))</f>
        <v>0</v>
      </c>
      <c r="AC114" s="52" t="str">
        <f aca="false">IF($E114="","",COUNTIF($E111:$E114,Z$21)+COUNTIF($E111:$E114,$A$3))</f>
        <v/>
      </c>
      <c r="AD114" s="53" t="n">
        <f aca="false">IF($F114="","",COUNTIF($F111:$F114,Z$21)+COUNTIF($F111:$F114,$A$3))</f>
        <v>0</v>
      </c>
      <c r="AF114" s="65" t="n">
        <f aca="false">IF($B114="","",COUNTIF($B111:$B114,AF$21)+COUNTIF($B111:$B114,$A$3))</f>
        <v>0</v>
      </c>
      <c r="AG114" s="52" t="n">
        <f aca="false">IF($C114="","",COUNTIF($C111:$C114,AF$21)+COUNTIF($C111:$C114,$A$3))</f>
        <v>1</v>
      </c>
      <c r="AH114" s="52" t="n">
        <f aca="false">IF($D114="","",COUNTIF($D111:$D114,AF$21)+COUNTIF($D111:$D114,$A$3))</f>
        <v>1</v>
      </c>
      <c r="AI114" s="52" t="str">
        <f aca="false">IF($E114="","",COUNTIF($E111:$E114,AF$21)+COUNTIF($E111:$E114,$A$3))</f>
        <v/>
      </c>
      <c r="AJ114" s="53" t="n">
        <f aca="false">IF($F114="","",COUNTIF($F111:$F114,AF$21)+COUNTIF($F111:$F114,$A$3))</f>
        <v>0</v>
      </c>
      <c r="AL114" s="65" t="n">
        <f aca="false">IF($B114="","",COUNTIF($B111:$B114,AL$21)+COUNTIF($B111:$B114,$A$3))</f>
        <v>0</v>
      </c>
      <c r="AM114" s="52" t="n">
        <f aca="false">IF($C114="","",COUNTIF($C111:$C114,AL$21)+COUNTIF($C111:$C114,$A$3))</f>
        <v>0</v>
      </c>
      <c r="AN114" s="52" t="n">
        <f aca="false">IF($D114="","",COUNTIF($D111:$D114,AL$21)+COUNTIF($D111:$D114,$A$3))</f>
        <v>1</v>
      </c>
      <c r="AO114" s="52" t="str">
        <f aca="false">IF($E114="","",COUNTIF($E111:$E114,AL$21)+COUNTIF($E111:$E114,$A$3))</f>
        <v/>
      </c>
      <c r="AP114" s="53" t="n">
        <f aca="false">IF($F114="","",COUNTIF($F111:$F114,AL$21)+COUNTIF($F111:$F114,$A$3))</f>
        <v>0</v>
      </c>
      <c r="AR114" s="65" t="n">
        <f aca="false">IF($B114="","",COUNTIF($B111:$B114,AR$21)+COUNTIF($B111:$B114,$A$3))</f>
        <v>0</v>
      </c>
      <c r="AS114" s="52" t="n">
        <f aca="false">IF($C114="","",COUNTIF($C111:$C114,AR$21)+COUNTIF($C111:$C114,$A$3))</f>
        <v>0</v>
      </c>
      <c r="AT114" s="52" t="n">
        <f aca="false">IF($D114="","",COUNTIF($D111:$D114,AR$21)+COUNTIF($D111:$D114,$A$3))</f>
        <v>0</v>
      </c>
      <c r="AU114" s="52" t="str">
        <f aca="false">IF($E114="","",COUNTIF($E111:$E114,AR$21)+COUNTIF($E111:$E114,$A$3))</f>
        <v/>
      </c>
      <c r="AV114" s="53" t="n">
        <f aca="false">IF($F114="","",COUNTIF($F111:$F114,AR$21)+COUNTIF($F111:$F114,$A$3))</f>
        <v>1</v>
      </c>
      <c r="AX114" s="65" t="n">
        <f aca="false">IF($B114="","",COUNTIF($B111:$B114,AX$21)+COUNTIF($B111:$B114,$A$3))</f>
        <v>1</v>
      </c>
      <c r="AY114" s="52" t="n">
        <f aca="false">IF($C114="","",COUNTIF($C111:$C114,AX$21)+COUNTIF($C111:$C114,$A$3))</f>
        <v>0</v>
      </c>
      <c r="AZ114" s="52" t="n">
        <f aca="false">IF($D114="","",COUNTIF($D111:$D114,AX$21)+COUNTIF($D111:$D114,$A$3))</f>
        <v>1</v>
      </c>
      <c r="BA114" s="52" t="str">
        <f aca="false">IF($E114="","",COUNTIF($E111:$E114,AX$21)+COUNTIF($E111:$E114,$A$3))</f>
        <v/>
      </c>
      <c r="BB114" s="53" t="n">
        <f aca="false">IF($F114="","",COUNTIF($F111:$F114,AX$21)+COUNTIF($F111:$F114,$A$3))</f>
        <v>0</v>
      </c>
      <c r="BD114" s="65" t="n">
        <f aca="false">IF($B114="","",COUNTIF($B111:$B114,BD$21)+COUNTIF($B111:$B114,$A$3))</f>
        <v>0</v>
      </c>
      <c r="BE114" s="52" t="n">
        <f aca="false">IF($C114="","",COUNTIF($C111:$C114,BD$21)+COUNTIF($C111:$C114,$A$3))</f>
        <v>1</v>
      </c>
      <c r="BF114" s="52" t="n">
        <f aca="false">IF($D114="","",COUNTIF($D111:$D114,BD$21)+COUNTIF($D111:$D114,$A$3))</f>
        <v>0</v>
      </c>
      <c r="BG114" s="52" t="str">
        <f aca="false">IF($E114="","",COUNTIF($E111:$E114,BD$21)+COUNTIF($E111:$E114,$A$3))</f>
        <v/>
      </c>
      <c r="BH114" s="53" t="n">
        <f aca="false">IF($F114="","",COUNTIF($F111:$F114,BD$21)+COUNTIF($F111:$F114,$A$3))</f>
        <v>0</v>
      </c>
      <c r="BJ114" s="65" t="n">
        <f aca="false">IF($B114="","",COUNTIF($B111:$B114,BJ$21)+COUNTIF($B111:$B114,$A$3))</f>
        <v>1</v>
      </c>
      <c r="BK114" s="52" t="n">
        <f aca="false">IF($C114="","",COUNTIF($C111:$C114,BJ$21)+COUNTIF($C111:$C114,$A$3))</f>
        <v>1</v>
      </c>
      <c r="BL114" s="52" t="n">
        <f aca="false">IF($D114="","",COUNTIF($D111:$D114,BJ$21)+COUNTIF($D111:$D114,$A$3))</f>
        <v>0</v>
      </c>
      <c r="BM114" s="52" t="str">
        <f aca="false">IF($E114="","",COUNTIF($E111:$E114,BJ$21)+COUNTIF($E111:$E114,$A$3))</f>
        <v/>
      </c>
      <c r="BN114" s="53" t="n">
        <f aca="false">IF($F114="","",COUNTIF($F111:$F114,BJ$21)+COUNTIF($F111:$F114,$A$3))</f>
        <v>1</v>
      </c>
      <c r="BP114" s="65" t="n">
        <f aca="false">IF($B114="","",COUNTIF($B111:$B114,BP$21)+COUNTIF($B111:$B114,$A$3))</f>
        <v>0</v>
      </c>
      <c r="BQ114" s="52" t="n">
        <f aca="false">IF($C114="","",COUNTIF($C111:$C114,BP$21)+COUNTIF($C111:$C114,$A$3))</f>
        <v>1</v>
      </c>
      <c r="BR114" s="52" t="n">
        <f aca="false">IF($D114="","",COUNTIF($D111:$D114,BP$21)+COUNTIF($D111:$D114,$A$3))</f>
        <v>0</v>
      </c>
      <c r="BS114" s="52" t="str">
        <f aca="false">IF($E114="","",COUNTIF($E111:$E114,BP$21)+COUNTIF($E111:$E114,$A$3))</f>
        <v/>
      </c>
      <c r="BT114" s="53" t="n">
        <f aca="false">IF($F114="","",COUNTIF($F111:$F114,BP$21)+COUNTIF($F111:$F114,$A$3))</f>
        <v>0</v>
      </c>
    </row>
    <row r="115" customFormat="false" ht="15" hidden="false" customHeight="false" outlineLevel="0" collapsed="false">
      <c r="A115" s="13" t="n">
        <v>93</v>
      </c>
      <c r="B115" s="116" t="str">
        <f aca="false">IF('Game Info'!J98="","",'Game Info'!J98)</f>
        <v>SYM3</v>
      </c>
      <c r="C115" s="116" t="str">
        <f aca="false">IF('Game Info'!K98="","",'Game Info'!K98)</f>
        <v>SYM2</v>
      </c>
      <c r="D115" s="116" t="str">
        <f aca="false">IF('Game Info'!L98="","",'Game Info'!L98)</f>
        <v>Q</v>
      </c>
      <c r="E115" s="116" t="str">
        <f aca="false">IF('Game Info'!M98="","",'Game Info'!M98)</f>
        <v/>
      </c>
      <c r="F115" s="117" t="str">
        <f aca="false">IF('Game Info'!N98="","",'Game Info'!N98)</f>
        <v>Q</v>
      </c>
      <c r="H115" s="65" t="n">
        <f aca="false">IF($B115="","",COUNTIF($B112:$B115,H$21)+COUNTIF($B112:$B115,$A$3))</f>
        <v>1</v>
      </c>
      <c r="I115" s="52" t="n">
        <f aca="false">IF($C115="","",COUNTIF($C112:$C115,H$21)+COUNTIF($C112:$C115,$A$3))</f>
        <v>0</v>
      </c>
      <c r="J115" s="52" t="n">
        <f aca="false">IF($D115="","",COUNTIF($D112:$D115,H$21)+COUNTIF($D112:$D115,$A$3))</f>
        <v>0</v>
      </c>
      <c r="K115" s="52" t="str">
        <f aca="false">IF($E115="","",COUNTIF($E112:$E115,H$21)+COUNTIF($E112:$E115,$A$3))</f>
        <v/>
      </c>
      <c r="L115" s="53" t="n">
        <f aca="false">IF($F115="","",COUNTIF($F112:$F115,H$21)+COUNTIF($F112:$F115,$A$3))</f>
        <v>1</v>
      </c>
      <c r="N115" s="65" t="n">
        <f aca="false">IF($B115="","",COUNTIF($B112:$B115,N$21)+COUNTIF($B112:$B115,$A$3))</f>
        <v>0</v>
      </c>
      <c r="O115" s="52" t="n">
        <f aca="false">IF($C115="","",COUNTIF($C112:$C115,N$21)+COUNTIF($C112:$C115,$A$3))</f>
        <v>1</v>
      </c>
      <c r="P115" s="52" t="n">
        <f aca="false">IF($D115="","",COUNTIF($D112:$D115,N$21)+COUNTIF($D112:$D115,$A$3))</f>
        <v>0</v>
      </c>
      <c r="Q115" s="52" t="str">
        <f aca="false">IF($E115="","",COUNTIF($E112:$E115,N$21)+COUNTIF($E112:$E115,$A$3))</f>
        <v/>
      </c>
      <c r="R115" s="53" t="n">
        <f aca="false">IF($F115="","",COUNTIF($F112:$F115,N$21)+COUNTIF($F112:$F115,$A$3))</f>
        <v>0</v>
      </c>
      <c r="T115" s="65" t="n">
        <f aca="false">IF($B115="","",COUNTIF($B112:$B115,T$21)+COUNTIF($B112:$B115,$A$3))</f>
        <v>1</v>
      </c>
      <c r="U115" s="52" t="n">
        <f aca="false">IF($C115="","",COUNTIF($C112:$C115,T$21)+COUNTIF($C112:$C115,$A$3))</f>
        <v>0</v>
      </c>
      <c r="V115" s="52" t="n">
        <f aca="false">IF($D115="","",COUNTIF($D112:$D115,T$21)+COUNTIF($D112:$D115,$A$3))</f>
        <v>1</v>
      </c>
      <c r="W115" s="52" t="str">
        <f aca="false">IF($E115="","",COUNTIF($E112:$E115,T$21)+COUNTIF($E112:$E115,$A$3))</f>
        <v/>
      </c>
      <c r="X115" s="53" t="n">
        <f aca="false">IF($F115="","",COUNTIF($F112:$F115,T$21)+COUNTIF($F112:$F115,$A$3))</f>
        <v>1</v>
      </c>
      <c r="Z115" s="65" t="n">
        <f aca="false">IF($B115="","",COUNTIF($B112:$B115,Z$21)+COUNTIF($B112:$B115,$A$3))</f>
        <v>0</v>
      </c>
      <c r="AA115" s="52" t="n">
        <f aca="false">IF($C115="","",COUNTIF($C112:$C115,Z$21)+COUNTIF($C112:$C115,$A$3))</f>
        <v>0</v>
      </c>
      <c r="AB115" s="52" t="n">
        <f aca="false">IF($D115="","",COUNTIF($D112:$D115,Z$21)+COUNTIF($D112:$D115,$A$3))</f>
        <v>0</v>
      </c>
      <c r="AC115" s="52" t="str">
        <f aca="false">IF($E115="","",COUNTIF($E112:$E115,Z$21)+COUNTIF($E112:$E115,$A$3))</f>
        <v/>
      </c>
      <c r="AD115" s="53" t="n">
        <f aca="false">IF($F115="","",COUNTIF($F112:$F115,Z$21)+COUNTIF($F112:$F115,$A$3))</f>
        <v>0</v>
      </c>
      <c r="AF115" s="65" t="n">
        <f aca="false">IF($B115="","",COUNTIF($B112:$B115,AF$21)+COUNTIF($B112:$B115,$A$3))</f>
        <v>0</v>
      </c>
      <c r="AG115" s="52" t="n">
        <f aca="false">IF($C115="","",COUNTIF($C112:$C115,AF$21)+COUNTIF($C112:$C115,$A$3))</f>
        <v>0</v>
      </c>
      <c r="AH115" s="52" t="n">
        <f aca="false">IF($D115="","",COUNTIF($D112:$D115,AF$21)+COUNTIF($D112:$D115,$A$3))</f>
        <v>1</v>
      </c>
      <c r="AI115" s="52" t="str">
        <f aca="false">IF($E115="","",COUNTIF($E112:$E115,AF$21)+COUNTIF($E112:$E115,$A$3))</f>
        <v/>
      </c>
      <c r="AJ115" s="53" t="n">
        <f aca="false">IF($F115="","",COUNTIF($F112:$F115,AF$21)+COUNTIF($F112:$F115,$A$3))</f>
        <v>0</v>
      </c>
      <c r="AL115" s="65" t="n">
        <f aca="false">IF($B115="","",COUNTIF($B112:$B115,AL$21)+COUNTIF($B112:$B115,$A$3))</f>
        <v>0</v>
      </c>
      <c r="AM115" s="52" t="n">
        <f aca="false">IF($C115="","",COUNTIF($C112:$C115,AL$21)+COUNTIF($C112:$C115,$A$3))</f>
        <v>0</v>
      </c>
      <c r="AN115" s="52" t="n">
        <f aca="false">IF($D115="","",COUNTIF($D112:$D115,AL$21)+COUNTIF($D112:$D115,$A$3))</f>
        <v>1</v>
      </c>
      <c r="AO115" s="52" t="str">
        <f aca="false">IF($E115="","",COUNTIF($E112:$E115,AL$21)+COUNTIF($E112:$E115,$A$3))</f>
        <v/>
      </c>
      <c r="AP115" s="53" t="n">
        <f aca="false">IF($F115="","",COUNTIF($F112:$F115,AL$21)+COUNTIF($F112:$F115,$A$3))</f>
        <v>0</v>
      </c>
      <c r="AR115" s="65" t="n">
        <f aca="false">IF($B115="","",COUNTIF($B112:$B115,AR$21)+COUNTIF($B112:$B115,$A$3))</f>
        <v>0</v>
      </c>
      <c r="AS115" s="52" t="n">
        <f aca="false">IF($C115="","",COUNTIF($C112:$C115,AR$21)+COUNTIF($C112:$C115,$A$3))</f>
        <v>0</v>
      </c>
      <c r="AT115" s="52" t="n">
        <f aca="false">IF($D115="","",COUNTIF($D112:$D115,AR$21)+COUNTIF($D112:$D115,$A$3))</f>
        <v>0</v>
      </c>
      <c r="AU115" s="52" t="str">
        <f aca="false">IF($E115="","",COUNTIF($E112:$E115,AR$21)+COUNTIF($E112:$E115,$A$3))</f>
        <v/>
      </c>
      <c r="AV115" s="53" t="n">
        <f aca="false">IF($F115="","",COUNTIF($F112:$F115,AR$21)+COUNTIF($F112:$F115,$A$3))</f>
        <v>0</v>
      </c>
      <c r="AX115" s="65" t="n">
        <f aca="false">IF($B115="","",COUNTIF($B112:$B115,AX$21)+COUNTIF($B112:$B115,$A$3))</f>
        <v>1</v>
      </c>
      <c r="AY115" s="52" t="n">
        <f aca="false">IF($C115="","",COUNTIF($C112:$C115,AX$21)+COUNTIF($C112:$C115,$A$3))</f>
        <v>0</v>
      </c>
      <c r="AZ115" s="52" t="n">
        <f aca="false">IF($D115="","",COUNTIF($D112:$D115,AX$21)+COUNTIF($D112:$D115,$A$3))</f>
        <v>1</v>
      </c>
      <c r="BA115" s="52" t="str">
        <f aca="false">IF($E115="","",COUNTIF($E112:$E115,AX$21)+COUNTIF($E112:$E115,$A$3))</f>
        <v/>
      </c>
      <c r="BB115" s="53" t="n">
        <f aca="false">IF($F115="","",COUNTIF($F112:$F115,AX$21)+COUNTIF($F112:$F115,$A$3))</f>
        <v>1</v>
      </c>
      <c r="BD115" s="65" t="n">
        <f aca="false">IF($B115="","",COUNTIF($B112:$B115,BD$21)+COUNTIF($B112:$B115,$A$3))</f>
        <v>0</v>
      </c>
      <c r="BE115" s="52" t="n">
        <f aca="false">IF($C115="","",COUNTIF($C112:$C115,BD$21)+COUNTIF($C112:$C115,$A$3))</f>
        <v>1</v>
      </c>
      <c r="BF115" s="52" t="n">
        <f aca="false">IF($D115="","",COUNTIF($D112:$D115,BD$21)+COUNTIF($D112:$D115,$A$3))</f>
        <v>0</v>
      </c>
      <c r="BG115" s="52" t="str">
        <f aca="false">IF($E115="","",COUNTIF($E112:$E115,BD$21)+COUNTIF($E112:$E115,$A$3))</f>
        <v/>
      </c>
      <c r="BH115" s="53" t="n">
        <f aca="false">IF($F115="","",COUNTIF($F112:$F115,BD$21)+COUNTIF($F112:$F115,$A$3))</f>
        <v>0</v>
      </c>
      <c r="BJ115" s="65" t="n">
        <f aca="false">IF($B115="","",COUNTIF($B112:$B115,BJ$21)+COUNTIF($B112:$B115,$A$3))</f>
        <v>1</v>
      </c>
      <c r="BK115" s="52" t="n">
        <f aca="false">IF($C115="","",COUNTIF($C112:$C115,BJ$21)+COUNTIF($C112:$C115,$A$3))</f>
        <v>1</v>
      </c>
      <c r="BL115" s="52" t="n">
        <f aca="false">IF($D115="","",COUNTIF($D112:$D115,BJ$21)+COUNTIF($D112:$D115,$A$3))</f>
        <v>0</v>
      </c>
      <c r="BM115" s="52" t="str">
        <f aca="false">IF($E115="","",COUNTIF($E112:$E115,BJ$21)+COUNTIF($E112:$E115,$A$3))</f>
        <v/>
      </c>
      <c r="BN115" s="53" t="n">
        <f aca="false">IF($F115="","",COUNTIF($F112:$F115,BJ$21)+COUNTIF($F112:$F115,$A$3))</f>
        <v>1</v>
      </c>
      <c r="BP115" s="65" t="n">
        <f aca="false">IF($B115="","",COUNTIF($B112:$B115,BP$21)+COUNTIF($B112:$B115,$A$3))</f>
        <v>0</v>
      </c>
      <c r="BQ115" s="52" t="n">
        <f aca="false">IF($C115="","",COUNTIF($C112:$C115,BP$21)+COUNTIF($C112:$C115,$A$3))</f>
        <v>1</v>
      </c>
      <c r="BR115" s="52" t="n">
        <f aca="false">IF($D115="","",COUNTIF($D112:$D115,BP$21)+COUNTIF($D112:$D115,$A$3))</f>
        <v>0</v>
      </c>
      <c r="BS115" s="52" t="str">
        <f aca="false">IF($E115="","",COUNTIF($E112:$E115,BP$21)+COUNTIF($E112:$E115,$A$3))</f>
        <v/>
      </c>
      <c r="BT115" s="53" t="n">
        <f aca="false">IF($F115="","",COUNTIF($F112:$F115,BP$21)+COUNTIF($F112:$F115,$A$3))</f>
        <v>0</v>
      </c>
    </row>
    <row r="116" customFormat="false" ht="15" hidden="false" customHeight="false" outlineLevel="0" collapsed="false">
      <c r="A116" s="13" t="n">
        <v>94</v>
      </c>
      <c r="B116" s="116" t="n">
        <f aca="false">IF('Game Info'!J99="","",'Game Info'!J99)</f>
        <v>9</v>
      </c>
      <c r="C116" s="116" t="str">
        <f aca="false">IF('Game Info'!K99="","",'Game Info'!K99)</f>
        <v>J</v>
      </c>
      <c r="D116" s="116" t="str">
        <f aca="false">IF('Game Info'!L99="","",'Game Info'!L99)</f>
        <v>SYM3</v>
      </c>
      <c r="E116" s="116" t="str">
        <f aca="false">IF('Game Info'!M99="","",'Game Info'!M99)</f>
        <v/>
      </c>
      <c r="F116" s="117" t="str">
        <f aca="false">IF('Game Info'!N99="","",'Game Info'!N99)</f>
        <v>A</v>
      </c>
      <c r="H116" s="65" t="n">
        <f aca="false">IF($B116="","",COUNTIF($B113:$B116,H$21)+COUNTIF($B113:$B116,$A$3))</f>
        <v>1</v>
      </c>
      <c r="I116" s="52" t="n">
        <f aca="false">IF($C116="","",COUNTIF($C113:$C116,H$21)+COUNTIF($C113:$C116,$A$3))</f>
        <v>0</v>
      </c>
      <c r="J116" s="52" t="n">
        <f aca="false">IF($D116="","",COUNTIF($D113:$D116,H$21)+COUNTIF($D113:$D116,$A$3))</f>
        <v>0</v>
      </c>
      <c r="K116" s="52" t="str">
        <f aca="false">IF($E116="","",COUNTIF($E113:$E116,H$21)+COUNTIF($E113:$E116,$A$3))</f>
        <v/>
      </c>
      <c r="L116" s="53" t="n">
        <f aca="false">IF($F116="","",COUNTIF($F113:$F116,H$21)+COUNTIF($F113:$F116,$A$3))</f>
        <v>0</v>
      </c>
      <c r="N116" s="65" t="n">
        <f aca="false">IF($B116="","",COUNTIF($B113:$B116,N$21)+COUNTIF($B113:$B116,$A$3))</f>
        <v>0</v>
      </c>
      <c r="O116" s="52" t="n">
        <f aca="false">IF($C116="","",COUNTIF($C113:$C116,N$21)+COUNTIF($C113:$C116,$A$3))</f>
        <v>1</v>
      </c>
      <c r="P116" s="52" t="n">
        <f aca="false">IF($D116="","",COUNTIF($D113:$D116,N$21)+COUNTIF($D113:$D116,$A$3))</f>
        <v>0</v>
      </c>
      <c r="Q116" s="52" t="str">
        <f aca="false">IF($E116="","",COUNTIF($E113:$E116,N$21)+COUNTIF($E113:$E116,$A$3))</f>
        <v/>
      </c>
      <c r="R116" s="53" t="n">
        <f aca="false">IF($F116="","",COUNTIF($F113:$F116,N$21)+COUNTIF($F113:$F116,$A$3))</f>
        <v>0</v>
      </c>
      <c r="T116" s="65" t="n">
        <f aca="false">IF($B116="","",COUNTIF($B113:$B116,T$21)+COUNTIF($B113:$B116,$A$3))</f>
        <v>1</v>
      </c>
      <c r="U116" s="52" t="n">
        <f aca="false">IF($C116="","",COUNTIF($C113:$C116,T$21)+COUNTIF($C113:$C116,$A$3))</f>
        <v>0</v>
      </c>
      <c r="V116" s="52" t="n">
        <f aca="false">IF($D116="","",COUNTIF($D113:$D116,T$21)+COUNTIF($D113:$D116,$A$3))</f>
        <v>1</v>
      </c>
      <c r="W116" s="52" t="str">
        <f aca="false">IF($E116="","",COUNTIF($E113:$E116,T$21)+COUNTIF($E113:$E116,$A$3))</f>
        <v/>
      </c>
      <c r="X116" s="53" t="n">
        <f aca="false">IF($F116="","",COUNTIF($F113:$F116,T$21)+COUNTIF($F113:$F116,$A$3))</f>
        <v>1</v>
      </c>
      <c r="Z116" s="65" t="n">
        <f aca="false">IF($B116="","",COUNTIF($B113:$B116,Z$21)+COUNTIF($B113:$B116,$A$3))</f>
        <v>0</v>
      </c>
      <c r="AA116" s="52" t="n">
        <f aca="false">IF($C116="","",COUNTIF($C113:$C116,Z$21)+COUNTIF($C113:$C116,$A$3))</f>
        <v>0</v>
      </c>
      <c r="AB116" s="52" t="n">
        <f aca="false">IF($D116="","",COUNTIF($D113:$D116,Z$21)+COUNTIF($D113:$D116,$A$3))</f>
        <v>0</v>
      </c>
      <c r="AC116" s="52" t="str">
        <f aca="false">IF($E116="","",COUNTIF($E113:$E116,Z$21)+COUNTIF($E113:$E116,$A$3))</f>
        <v/>
      </c>
      <c r="AD116" s="53" t="n">
        <f aca="false">IF($F116="","",COUNTIF($F113:$F116,Z$21)+COUNTIF($F113:$F116,$A$3))</f>
        <v>0</v>
      </c>
      <c r="AF116" s="65" t="n">
        <f aca="false">IF($B116="","",COUNTIF($B113:$B116,AF$21)+COUNTIF($B113:$B116,$A$3))</f>
        <v>0</v>
      </c>
      <c r="AG116" s="52" t="n">
        <f aca="false">IF($C116="","",COUNTIF($C113:$C116,AF$21)+COUNTIF($C113:$C116,$A$3))</f>
        <v>0</v>
      </c>
      <c r="AH116" s="52" t="n">
        <f aca="false">IF($D116="","",COUNTIF($D113:$D116,AF$21)+COUNTIF($D113:$D116,$A$3))</f>
        <v>1</v>
      </c>
      <c r="AI116" s="52" t="str">
        <f aca="false">IF($E116="","",COUNTIF($E113:$E116,AF$21)+COUNTIF($E113:$E116,$A$3))</f>
        <v/>
      </c>
      <c r="AJ116" s="53" t="n">
        <f aca="false">IF($F116="","",COUNTIF($F113:$F116,AF$21)+COUNTIF($F113:$F116,$A$3))</f>
        <v>0</v>
      </c>
      <c r="AL116" s="65" t="n">
        <f aca="false">IF($B116="","",COUNTIF($B113:$B116,AL$21)+COUNTIF($B113:$B116,$A$3))</f>
        <v>0</v>
      </c>
      <c r="AM116" s="52" t="n">
        <f aca="false">IF($C116="","",COUNTIF($C113:$C116,AL$21)+COUNTIF($C113:$C116,$A$3))</f>
        <v>0</v>
      </c>
      <c r="AN116" s="52" t="n">
        <f aca="false">IF($D116="","",COUNTIF($D113:$D116,AL$21)+COUNTIF($D113:$D116,$A$3))</f>
        <v>1</v>
      </c>
      <c r="AO116" s="52" t="str">
        <f aca="false">IF($E116="","",COUNTIF($E113:$E116,AL$21)+COUNTIF($E113:$E116,$A$3))</f>
        <v/>
      </c>
      <c r="AP116" s="53" t="n">
        <f aca="false">IF($F116="","",COUNTIF($F113:$F116,AL$21)+COUNTIF($F113:$F116,$A$3))</f>
        <v>1</v>
      </c>
      <c r="AR116" s="65" t="n">
        <f aca="false">IF($B116="","",COUNTIF($B113:$B116,AR$21)+COUNTIF($B113:$B116,$A$3))</f>
        <v>0</v>
      </c>
      <c r="AS116" s="52" t="n">
        <f aca="false">IF($C116="","",COUNTIF($C113:$C116,AR$21)+COUNTIF($C113:$C116,$A$3))</f>
        <v>0</v>
      </c>
      <c r="AT116" s="52" t="n">
        <f aca="false">IF($D116="","",COUNTIF($D113:$D116,AR$21)+COUNTIF($D113:$D116,$A$3))</f>
        <v>0</v>
      </c>
      <c r="AU116" s="52" t="str">
        <f aca="false">IF($E116="","",COUNTIF($E113:$E116,AR$21)+COUNTIF($E113:$E116,$A$3))</f>
        <v/>
      </c>
      <c r="AV116" s="53" t="n">
        <f aca="false">IF($F116="","",COUNTIF($F113:$F116,AR$21)+COUNTIF($F113:$F116,$A$3))</f>
        <v>0</v>
      </c>
      <c r="AX116" s="65" t="n">
        <f aca="false">IF($B116="","",COUNTIF($B113:$B116,AX$21)+COUNTIF($B113:$B116,$A$3))</f>
        <v>0</v>
      </c>
      <c r="AY116" s="52" t="n">
        <f aca="false">IF($C116="","",COUNTIF($C113:$C116,AX$21)+COUNTIF($C113:$C116,$A$3))</f>
        <v>0</v>
      </c>
      <c r="AZ116" s="52" t="n">
        <f aca="false">IF($D116="","",COUNTIF($D113:$D116,AX$21)+COUNTIF($D113:$D116,$A$3))</f>
        <v>1</v>
      </c>
      <c r="BA116" s="52" t="str">
        <f aca="false">IF($E116="","",COUNTIF($E113:$E116,AX$21)+COUNTIF($E113:$E116,$A$3))</f>
        <v/>
      </c>
      <c r="BB116" s="53" t="n">
        <f aca="false">IF($F116="","",COUNTIF($F113:$F116,AX$21)+COUNTIF($F113:$F116,$A$3))</f>
        <v>1</v>
      </c>
      <c r="BD116" s="65" t="n">
        <f aca="false">IF($B116="","",COUNTIF($B113:$B116,BD$21)+COUNTIF($B113:$B116,$A$3))</f>
        <v>0</v>
      </c>
      <c r="BE116" s="52" t="n">
        <f aca="false">IF($C116="","",COUNTIF($C113:$C116,BD$21)+COUNTIF($C113:$C116,$A$3))</f>
        <v>1</v>
      </c>
      <c r="BF116" s="52" t="n">
        <f aca="false">IF($D116="","",COUNTIF($D113:$D116,BD$21)+COUNTIF($D113:$D116,$A$3))</f>
        <v>0</v>
      </c>
      <c r="BG116" s="52" t="str">
        <f aca="false">IF($E116="","",COUNTIF($E113:$E116,BD$21)+COUNTIF($E113:$E116,$A$3))</f>
        <v/>
      </c>
      <c r="BH116" s="53" t="n">
        <f aca="false">IF($F116="","",COUNTIF($F113:$F116,BD$21)+COUNTIF($F113:$F116,$A$3))</f>
        <v>0</v>
      </c>
      <c r="BJ116" s="65" t="n">
        <f aca="false">IF($B116="","",COUNTIF($B113:$B116,BJ$21)+COUNTIF($B113:$B116,$A$3))</f>
        <v>1</v>
      </c>
      <c r="BK116" s="52" t="n">
        <f aca="false">IF($C116="","",COUNTIF($C113:$C116,BJ$21)+COUNTIF($C113:$C116,$A$3))</f>
        <v>1</v>
      </c>
      <c r="BL116" s="52" t="n">
        <f aca="false">IF($D116="","",COUNTIF($D113:$D116,BJ$21)+COUNTIF($D113:$D116,$A$3))</f>
        <v>0</v>
      </c>
      <c r="BM116" s="52" t="str">
        <f aca="false">IF($E116="","",COUNTIF($E113:$E116,BJ$21)+COUNTIF($E113:$E116,$A$3))</f>
        <v/>
      </c>
      <c r="BN116" s="53" t="n">
        <f aca="false">IF($F116="","",COUNTIF($F113:$F116,BJ$21)+COUNTIF($F113:$F116,$A$3))</f>
        <v>1</v>
      </c>
      <c r="BP116" s="65" t="n">
        <f aca="false">IF($B116="","",COUNTIF($B113:$B116,BP$21)+COUNTIF($B113:$B116,$A$3))</f>
        <v>1</v>
      </c>
      <c r="BQ116" s="52" t="n">
        <f aca="false">IF($C116="","",COUNTIF($C113:$C116,BP$21)+COUNTIF($C113:$C116,$A$3))</f>
        <v>1</v>
      </c>
      <c r="BR116" s="52" t="n">
        <f aca="false">IF($D116="","",COUNTIF($D113:$D116,BP$21)+COUNTIF($D113:$D116,$A$3))</f>
        <v>0</v>
      </c>
      <c r="BS116" s="52" t="str">
        <f aca="false">IF($E116="","",COUNTIF($E113:$E116,BP$21)+COUNTIF($E113:$E116,$A$3))</f>
        <v/>
      </c>
      <c r="BT116" s="53" t="n">
        <f aca="false">IF($F116="","",COUNTIF($F113:$F116,BP$21)+COUNTIF($F113:$F116,$A$3))</f>
        <v>0</v>
      </c>
    </row>
    <row r="117" customFormat="false" ht="15" hidden="false" customHeight="false" outlineLevel="0" collapsed="false">
      <c r="A117" s="13" t="n">
        <v>95</v>
      </c>
      <c r="B117" s="116" t="str">
        <f aca="false">IF('Game Info'!J100="","",'Game Info'!J100)</f>
        <v>SYM2</v>
      </c>
      <c r="C117" s="116" t="str">
        <f aca="false">IF('Game Info'!K100="","",'Game Info'!K100)</f>
        <v>K</v>
      </c>
      <c r="D117" s="116" t="n">
        <f aca="false">IF('Game Info'!L100="","",'Game Info'!L100)</f>
        <v>10</v>
      </c>
      <c r="E117" s="116" t="str">
        <f aca="false">IF('Game Info'!M100="","",'Game Info'!M100)</f>
        <v/>
      </c>
      <c r="F117" s="117" t="str">
        <f aca="false">IF('Game Info'!N100="","",'Game Info'!N100)</f>
        <v>SYM4</v>
      </c>
      <c r="H117" s="65" t="n">
        <f aca="false">IF($B117="","",COUNTIF($B114:$B117,H$21)+COUNTIF($B114:$B117,$A$3))</f>
        <v>0</v>
      </c>
      <c r="I117" s="52" t="n">
        <f aca="false">IF($C117="","",COUNTIF($C114:$C117,H$21)+COUNTIF($C114:$C117,$A$3))</f>
        <v>0</v>
      </c>
      <c r="J117" s="52" t="n">
        <f aca="false">IF($D117="","",COUNTIF($D114:$D117,H$21)+COUNTIF($D114:$D117,$A$3))</f>
        <v>0</v>
      </c>
      <c r="K117" s="52" t="str">
        <f aca="false">IF($E117="","",COUNTIF($E114:$E117,H$21)+COUNTIF($E114:$E117,$A$3))</f>
        <v/>
      </c>
      <c r="L117" s="53" t="n">
        <f aca="false">IF($F117="","",COUNTIF($F114:$F117,H$21)+COUNTIF($F114:$F117,$A$3))</f>
        <v>0</v>
      </c>
      <c r="N117" s="65" t="n">
        <f aca="false">IF($B117="","",COUNTIF($B114:$B117,N$21)+COUNTIF($B114:$B117,$A$3))</f>
        <v>1</v>
      </c>
      <c r="O117" s="52" t="n">
        <f aca="false">IF($C117="","",COUNTIF($C114:$C117,N$21)+COUNTIF($C114:$C117,$A$3))</f>
        <v>1</v>
      </c>
      <c r="P117" s="52" t="n">
        <f aca="false">IF($D117="","",COUNTIF($D114:$D117,N$21)+COUNTIF($D114:$D117,$A$3))</f>
        <v>0</v>
      </c>
      <c r="Q117" s="52" t="str">
        <f aca="false">IF($E117="","",COUNTIF($E114:$E117,N$21)+COUNTIF($E114:$E117,$A$3))</f>
        <v/>
      </c>
      <c r="R117" s="53" t="n">
        <f aca="false">IF($F117="","",COUNTIF($F114:$F117,N$21)+COUNTIF($F114:$F117,$A$3))</f>
        <v>0</v>
      </c>
      <c r="T117" s="65" t="n">
        <f aca="false">IF($B117="","",COUNTIF($B114:$B117,T$21)+COUNTIF($B114:$B117,$A$3))</f>
        <v>1</v>
      </c>
      <c r="U117" s="52" t="n">
        <f aca="false">IF($C117="","",COUNTIF($C114:$C117,T$21)+COUNTIF($C114:$C117,$A$3))</f>
        <v>0</v>
      </c>
      <c r="V117" s="52" t="n">
        <f aca="false">IF($D117="","",COUNTIF($D114:$D117,T$21)+COUNTIF($D114:$D117,$A$3))</f>
        <v>1</v>
      </c>
      <c r="W117" s="52" t="str">
        <f aca="false">IF($E117="","",COUNTIF($E114:$E117,T$21)+COUNTIF($E114:$E117,$A$3))</f>
        <v/>
      </c>
      <c r="X117" s="53" t="n">
        <f aca="false">IF($F117="","",COUNTIF($F114:$F117,T$21)+COUNTIF($F114:$F117,$A$3))</f>
        <v>1</v>
      </c>
      <c r="Z117" s="65" t="n">
        <f aca="false">IF($B117="","",COUNTIF($B114:$B117,Z$21)+COUNTIF($B114:$B117,$A$3))</f>
        <v>0</v>
      </c>
      <c r="AA117" s="52" t="n">
        <f aca="false">IF($C117="","",COUNTIF($C114:$C117,Z$21)+COUNTIF($C114:$C117,$A$3))</f>
        <v>0</v>
      </c>
      <c r="AB117" s="52" t="n">
        <f aca="false">IF($D117="","",COUNTIF($D114:$D117,Z$21)+COUNTIF($D114:$D117,$A$3))</f>
        <v>0</v>
      </c>
      <c r="AC117" s="52" t="str">
        <f aca="false">IF($E117="","",COUNTIF($E114:$E117,Z$21)+COUNTIF($E114:$E117,$A$3))</f>
        <v/>
      </c>
      <c r="AD117" s="53" t="n">
        <f aca="false">IF($F117="","",COUNTIF($F114:$F117,Z$21)+COUNTIF($F114:$F117,$A$3))</f>
        <v>1</v>
      </c>
      <c r="AF117" s="65" t="n">
        <f aca="false">IF($B117="","",COUNTIF($B114:$B117,AF$21)+COUNTIF($B114:$B117,$A$3))</f>
        <v>0</v>
      </c>
      <c r="AG117" s="52" t="n">
        <f aca="false">IF($C117="","",COUNTIF($C114:$C117,AF$21)+COUNTIF($C114:$C117,$A$3))</f>
        <v>0</v>
      </c>
      <c r="AH117" s="52" t="n">
        <f aca="false">IF($D117="","",COUNTIF($D114:$D117,AF$21)+COUNTIF($D114:$D117,$A$3))</f>
        <v>1</v>
      </c>
      <c r="AI117" s="52" t="str">
        <f aca="false">IF($E117="","",COUNTIF($E114:$E117,AF$21)+COUNTIF($E114:$E117,$A$3))</f>
        <v/>
      </c>
      <c r="AJ117" s="53" t="n">
        <f aca="false">IF($F117="","",COUNTIF($F114:$F117,AF$21)+COUNTIF($F114:$F117,$A$3))</f>
        <v>0</v>
      </c>
      <c r="AL117" s="65" t="n">
        <f aca="false">IF($B117="","",COUNTIF($B114:$B117,AL$21)+COUNTIF($B114:$B117,$A$3))</f>
        <v>0</v>
      </c>
      <c r="AM117" s="52" t="n">
        <f aca="false">IF($C117="","",COUNTIF($C114:$C117,AL$21)+COUNTIF($C114:$C117,$A$3))</f>
        <v>0</v>
      </c>
      <c r="AN117" s="52" t="n">
        <f aca="false">IF($D117="","",COUNTIF($D114:$D117,AL$21)+COUNTIF($D114:$D117,$A$3))</f>
        <v>0</v>
      </c>
      <c r="AO117" s="52" t="str">
        <f aca="false">IF($E117="","",COUNTIF($E114:$E117,AL$21)+COUNTIF($E114:$E117,$A$3))</f>
        <v/>
      </c>
      <c r="AP117" s="53" t="n">
        <f aca="false">IF($F117="","",COUNTIF($F114:$F117,AL$21)+COUNTIF($F114:$F117,$A$3))</f>
        <v>1</v>
      </c>
      <c r="AR117" s="65" t="n">
        <f aca="false">IF($B117="","",COUNTIF($B114:$B117,AR$21)+COUNTIF($B114:$B117,$A$3))</f>
        <v>0</v>
      </c>
      <c r="AS117" s="52" t="n">
        <f aca="false">IF($C117="","",COUNTIF($C114:$C117,AR$21)+COUNTIF($C114:$C117,$A$3))</f>
        <v>1</v>
      </c>
      <c r="AT117" s="52" t="n">
        <f aca="false">IF($D117="","",COUNTIF($D114:$D117,AR$21)+COUNTIF($D114:$D117,$A$3))</f>
        <v>0</v>
      </c>
      <c r="AU117" s="52" t="str">
        <f aca="false">IF($E117="","",COUNTIF($E114:$E117,AR$21)+COUNTIF($E114:$E117,$A$3))</f>
        <v/>
      </c>
      <c r="AV117" s="53" t="n">
        <f aca="false">IF($F117="","",COUNTIF($F114:$F117,AR$21)+COUNTIF($F114:$F117,$A$3))</f>
        <v>0</v>
      </c>
      <c r="AX117" s="65" t="n">
        <f aca="false">IF($B117="","",COUNTIF($B114:$B117,AX$21)+COUNTIF($B114:$B117,$A$3))</f>
        <v>0</v>
      </c>
      <c r="AY117" s="52" t="n">
        <f aca="false">IF($C117="","",COUNTIF($C114:$C117,AX$21)+COUNTIF($C114:$C117,$A$3))</f>
        <v>0</v>
      </c>
      <c r="AZ117" s="52" t="n">
        <f aca="false">IF($D117="","",COUNTIF($D114:$D117,AX$21)+COUNTIF($D114:$D117,$A$3))</f>
        <v>1</v>
      </c>
      <c r="BA117" s="52" t="str">
        <f aca="false">IF($E117="","",COUNTIF($E114:$E117,AX$21)+COUNTIF($E114:$E117,$A$3))</f>
        <v/>
      </c>
      <c r="BB117" s="53" t="n">
        <f aca="false">IF($F117="","",COUNTIF($F114:$F117,AX$21)+COUNTIF($F114:$F117,$A$3))</f>
        <v>1</v>
      </c>
      <c r="BD117" s="65" t="n">
        <f aca="false">IF($B117="","",COUNTIF($B114:$B117,BD$21)+COUNTIF($B114:$B117,$A$3))</f>
        <v>0</v>
      </c>
      <c r="BE117" s="52" t="n">
        <f aca="false">IF($C117="","",COUNTIF($C114:$C117,BD$21)+COUNTIF($C114:$C117,$A$3))</f>
        <v>1</v>
      </c>
      <c r="BF117" s="52" t="n">
        <f aca="false">IF($D117="","",COUNTIF($D114:$D117,BD$21)+COUNTIF($D114:$D117,$A$3))</f>
        <v>0</v>
      </c>
      <c r="BG117" s="52" t="str">
        <f aca="false">IF($E117="","",COUNTIF($E114:$E117,BD$21)+COUNTIF($E114:$E117,$A$3))</f>
        <v/>
      </c>
      <c r="BH117" s="53" t="n">
        <f aca="false">IF($F117="","",COUNTIF($F114:$F117,BD$21)+COUNTIF($F114:$F117,$A$3))</f>
        <v>0</v>
      </c>
      <c r="BJ117" s="65" t="n">
        <f aca="false">IF($B117="","",COUNTIF($B114:$B117,BJ$21)+COUNTIF($B114:$B117,$A$3))</f>
        <v>1</v>
      </c>
      <c r="BK117" s="52" t="n">
        <f aca="false">IF($C117="","",COUNTIF($C114:$C117,BJ$21)+COUNTIF($C114:$C117,$A$3))</f>
        <v>1</v>
      </c>
      <c r="BL117" s="52" t="n">
        <f aca="false">IF($D117="","",COUNTIF($D114:$D117,BJ$21)+COUNTIF($D114:$D117,$A$3))</f>
        <v>1</v>
      </c>
      <c r="BM117" s="52" t="str">
        <f aca="false">IF($E117="","",COUNTIF($E114:$E117,BJ$21)+COUNTIF($E114:$E117,$A$3))</f>
        <v/>
      </c>
      <c r="BN117" s="53" t="n">
        <f aca="false">IF($F117="","",COUNTIF($F114:$F117,BJ$21)+COUNTIF($F114:$F117,$A$3))</f>
        <v>0</v>
      </c>
      <c r="BP117" s="65" t="n">
        <f aca="false">IF($B117="","",COUNTIF($B114:$B117,BP$21)+COUNTIF($B114:$B117,$A$3))</f>
        <v>1</v>
      </c>
      <c r="BQ117" s="52" t="n">
        <f aca="false">IF($C117="","",COUNTIF($C114:$C117,BP$21)+COUNTIF($C114:$C117,$A$3))</f>
        <v>0</v>
      </c>
      <c r="BR117" s="52" t="n">
        <f aca="false">IF($D117="","",COUNTIF($D114:$D117,BP$21)+COUNTIF($D114:$D117,$A$3))</f>
        <v>0</v>
      </c>
      <c r="BS117" s="52" t="str">
        <f aca="false">IF($E117="","",COUNTIF($E114:$E117,BP$21)+COUNTIF($E114:$E117,$A$3))</f>
        <v/>
      </c>
      <c r="BT117" s="53" t="n">
        <f aca="false">IF($F117="","",COUNTIF($F114:$F117,BP$21)+COUNTIF($F114:$F117,$A$3))</f>
        <v>0</v>
      </c>
    </row>
    <row r="118" customFormat="false" ht="15" hidden="false" customHeight="false" outlineLevel="0" collapsed="false">
      <c r="A118" s="13" t="n">
        <v>96</v>
      </c>
      <c r="B118" s="116" t="str">
        <f aca="false">IF('Game Info'!J101="","",'Game Info'!J101)</f>
        <v>K</v>
      </c>
      <c r="C118" s="116" t="str">
        <f aca="false">IF('Game Info'!K101="","",'Game Info'!K101)</f>
        <v>FG</v>
      </c>
      <c r="D118" s="116" t="str">
        <f aca="false">IF('Game Info'!L101="","",'Game Info'!L101)</f>
        <v>SYM4</v>
      </c>
      <c r="E118" s="116" t="str">
        <f aca="false">IF('Game Info'!M101="","",'Game Info'!M101)</f>
        <v/>
      </c>
      <c r="F118" s="117" t="str">
        <f aca="false">IF('Game Info'!N101="","",'Game Info'!N101)</f>
        <v>K</v>
      </c>
      <c r="H118" s="65" t="n">
        <f aca="false">IF($B118="","",COUNTIF($B115:$B118,H$21)+COUNTIF($B115:$B118,$A$3))</f>
        <v>0</v>
      </c>
      <c r="I118" s="52" t="n">
        <f aca="false">IF($C118="","",COUNTIF($C115:$C118,H$21)+COUNTIF($C115:$C118,$A$3))</f>
        <v>0</v>
      </c>
      <c r="J118" s="52" t="n">
        <f aca="false">IF($D118="","",COUNTIF($D115:$D118,H$21)+COUNTIF($D115:$D118,$A$3))</f>
        <v>0</v>
      </c>
      <c r="K118" s="52" t="str">
        <f aca="false">IF($E118="","",COUNTIF($E115:$E118,H$21)+COUNTIF($E115:$E118,$A$3))</f>
        <v/>
      </c>
      <c r="L118" s="53" t="n">
        <f aca="false">IF($F118="","",COUNTIF($F115:$F118,H$21)+COUNTIF($F115:$F118,$A$3))</f>
        <v>0</v>
      </c>
      <c r="N118" s="65" t="n">
        <f aca="false">IF($B118="","",COUNTIF($B115:$B118,N$21)+COUNTIF($B115:$B118,$A$3))</f>
        <v>1</v>
      </c>
      <c r="O118" s="52" t="n">
        <f aca="false">IF($C118="","",COUNTIF($C115:$C118,N$21)+COUNTIF($C115:$C118,$A$3))</f>
        <v>1</v>
      </c>
      <c r="P118" s="52" t="n">
        <f aca="false">IF($D118="","",COUNTIF($D115:$D118,N$21)+COUNTIF($D115:$D118,$A$3))</f>
        <v>0</v>
      </c>
      <c r="Q118" s="52" t="str">
        <f aca="false">IF($E118="","",COUNTIF($E115:$E118,N$21)+COUNTIF($E115:$E118,$A$3))</f>
        <v/>
      </c>
      <c r="R118" s="53" t="n">
        <f aca="false">IF($F118="","",COUNTIF($F115:$F118,N$21)+COUNTIF($F115:$F118,$A$3))</f>
        <v>0</v>
      </c>
      <c r="T118" s="65" t="n">
        <f aca="false">IF($B118="","",COUNTIF($B115:$B118,T$21)+COUNTIF($B115:$B118,$A$3))</f>
        <v>1</v>
      </c>
      <c r="U118" s="52" t="n">
        <f aca="false">IF($C118="","",COUNTIF($C115:$C118,T$21)+COUNTIF($C115:$C118,$A$3))</f>
        <v>0</v>
      </c>
      <c r="V118" s="52" t="n">
        <f aca="false">IF($D118="","",COUNTIF($D115:$D118,T$21)+COUNTIF($D115:$D118,$A$3))</f>
        <v>1</v>
      </c>
      <c r="W118" s="52" t="str">
        <f aca="false">IF($E118="","",COUNTIF($E115:$E118,T$21)+COUNTIF($E115:$E118,$A$3))</f>
        <v/>
      </c>
      <c r="X118" s="53" t="n">
        <f aca="false">IF($F118="","",COUNTIF($F115:$F118,T$21)+COUNTIF($F115:$F118,$A$3))</f>
        <v>0</v>
      </c>
      <c r="Z118" s="65" t="n">
        <f aca="false">IF($B118="","",COUNTIF($B115:$B118,Z$21)+COUNTIF($B115:$B118,$A$3))</f>
        <v>0</v>
      </c>
      <c r="AA118" s="52" t="n">
        <f aca="false">IF($C118="","",COUNTIF($C115:$C118,Z$21)+COUNTIF($C115:$C118,$A$3))</f>
        <v>0</v>
      </c>
      <c r="AB118" s="52" t="n">
        <f aca="false">IF($D118="","",COUNTIF($D115:$D118,Z$21)+COUNTIF($D115:$D118,$A$3))</f>
        <v>1</v>
      </c>
      <c r="AC118" s="52" t="str">
        <f aca="false">IF($E118="","",COUNTIF($E115:$E118,Z$21)+COUNTIF($E115:$E118,$A$3))</f>
        <v/>
      </c>
      <c r="AD118" s="53" t="n">
        <f aca="false">IF($F118="","",COUNTIF($F115:$F118,Z$21)+COUNTIF($F115:$F118,$A$3))</f>
        <v>1</v>
      </c>
      <c r="AF118" s="65" t="n">
        <f aca="false">IF($B118="","",COUNTIF($B115:$B118,AF$21)+COUNTIF($B115:$B118,$A$3))</f>
        <v>0</v>
      </c>
      <c r="AG118" s="52" t="n">
        <f aca="false">IF($C118="","",COUNTIF($C115:$C118,AF$21)+COUNTIF($C115:$C118,$A$3))</f>
        <v>0</v>
      </c>
      <c r="AH118" s="52" t="n">
        <f aca="false">IF($D118="","",COUNTIF($D115:$D118,AF$21)+COUNTIF($D115:$D118,$A$3))</f>
        <v>0</v>
      </c>
      <c r="AI118" s="52" t="str">
        <f aca="false">IF($E118="","",COUNTIF($E115:$E118,AF$21)+COUNTIF($E115:$E118,$A$3))</f>
        <v/>
      </c>
      <c r="AJ118" s="53" t="n">
        <f aca="false">IF($F118="","",COUNTIF($F115:$F118,AF$21)+COUNTIF($F115:$F118,$A$3))</f>
        <v>0</v>
      </c>
      <c r="AL118" s="65" t="n">
        <f aca="false">IF($B118="","",COUNTIF($B115:$B118,AL$21)+COUNTIF($B115:$B118,$A$3))</f>
        <v>0</v>
      </c>
      <c r="AM118" s="52" t="n">
        <f aca="false">IF($C118="","",COUNTIF($C115:$C118,AL$21)+COUNTIF($C115:$C118,$A$3))</f>
        <v>0</v>
      </c>
      <c r="AN118" s="52" t="n">
        <f aca="false">IF($D118="","",COUNTIF($D115:$D118,AL$21)+COUNTIF($D115:$D118,$A$3))</f>
        <v>0</v>
      </c>
      <c r="AO118" s="52" t="str">
        <f aca="false">IF($E118="","",COUNTIF($E115:$E118,AL$21)+COUNTIF($E115:$E118,$A$3))</f>
        <v/>
      </c>
      <c r="AP118" s="53" t="n">
        <f aca="false">IF($F118="","",COUNTIF($F115:$F118,AL$21)+COUNTIF($F115:$F118,$A$3))</f>
        <v>1</v>
      </c>
      <c r="AR118" s="65" t="n">
        <f aca="false">IF($B118="","",COUNTIF($B115:$B118,AR$21)+COUNTIF($B115:$B118,$A$3))</f>
        <v>1</v>
      </c>
      <c r="AS118" s="52" t="n">
        <f aca="false">IF($C118="","",COUNTIF($C115:$C118,AR$21)+COUNTIF($C115:$C118,$A$3))</f>
        <v>1</v>
      </c>
      <c r="AT118" s="52" t="n">
        <f aca="false">IF($D118="","",COUNTIF($D115:$D118,AR$21)+COUNTIF($D115:$D118,$A$3))</f>
        <v>0</v>
      </c>
      <c r="AU118" s="52" t="str">
        <f aca="false">IF($E118="","",COUNTIF($E115:$E118,AR$21)+COUNTIF($E115:$E118,$A$3))</f>
        <v/>
      </c>
      <c r="AV118" s="53" t="n">
        <f aca="false">IF($F118="","",COUNTIF($F115:$F118,AR$21)+COUNTIF($F115:$F118,$A$3))</f>
        <v>1</v>
      </c>
      <c r="AX118" s="65" t="n">
        <f aca="false">IF($B118="","",COUNTIF($B115:$B118,AX$21)+COUNTIF($B115:$B118,$A$3))</f>
        <v>0</v>
      </c>
      <c r="AY118" s="52" t="n">
        <f aca="false">IF($C118="","",COUNTIF($C115:$C118,AX$21)+COUNTIF($C115:$C118,$A$3))</f>
        <v>0</v>
      </c>
      <c r="AZ118" s="52" t="n">
        <f aca="false">IF($D118="","",COUNTIF($D115:$D118,AX$21)+COUNTIF($D115:$D118,$A$3))</f>
        <v>1</v>
      </c>
      <c r="BA118" s="52" t="str">
        <f aca="false">IF($E118="","",COUNTIF($E115:$E118,AX$21)+COUNTIF($E115:$E118,$A$3))</f>
        <v/>
      </c>
      <c r="BB118" s="53" t="n">
        <f aca="false">IF($F118="","",COUNTIF($F115:$F118,AX$21)+COUNTIF($F115:$F118,$A$3))</f>
        <v>1</v>
      </c>
      <c r="BD118" s="65" t="n">
        <f aca="false">IF($B118="","",COUNTIF($B115:$B118,BD$21)+COUNTIF($B115:$B118,$A$3))</f>
        <v>0</v>
      </c>
      <c r="BE118" s="52" t="n">
        <f aca="false">IF($C118="","",COUNTIF($C115:$C118,BD$21)+COUNTIF($C115:$C118,$A$3))</f>
        <v>1</v>
      </c>
      <c r="BF118" s="52" t="n">
        <f aca="false">IF($D118="","",COUNTIF($D115:$D118,BD$21)+COUNTIF($D115:$D118,$A$3))</f>
        <v>0</v>
      </c>
      <c r="BG118" s="52" t="str">
        <f aca="false">IF($E118="","",COUNTIF($E115:$E118,BD$21)+COUNTIF($E115:$E118,$A$3))</f>
        <v/>
      </c>
      <c r="BH118" s="53" t="n">
        <f aca="false">IF($F118="","",COUNTIF($F115:$F118,BD$21)+COUNTIF($F115:$F118,$A$3))</f>
        <v>0</v>
      </c>
      <c r="BJ118" s="65" t="n">
        <f aca="false">IF($B118="","",COUNTIF($B115:$B118,BJ$21)+COUNTIF($B115:$B118,$A$3))</f>
        <v>0</v>
      </c>
      <c r="BK118" s="52" t="n">
        <f aca="false">IF($C118="","",COUNTIF($C115:$C118,BJ$21)+COUNTIF($C115:$C118,$A$3))</f>
        <v>0</v>
      </c>
      <c r="BL118" s="52" t="n">
        <f aca="false">IF($D118="","",COUNTIF($D115:$D118,BJ$21)+COUNTIF($D115:$D118,$A$3))</f>
        <v>1</v>
      </c>
      <c r="BM118" s="52" t="str">
        <f aca="false">IF($E118="","",COUNTIF($E115:$E118,BJ$21)+COUNTIF($E115:$E118,$A$3))</f>
        <v/>
      </c>
      <c r="BN118" s="53" t="n">
        <f aca="false">IF($F118="","",COUNTIF($F115:$F118,BJ$21)+COUNTIF($F115:$F118,$A$3))</f>
        <v>0</v>
      </c>
      <c r="BP118" s="65" t="n">
        <f aca="false">IF($B118="","",COUNTIF($B115:$B118,BP$21)+COUNTIF($B115:$B118,$A$3))</f>
        <v>1</v>
      </c>
      <c r="BQ118" s="52" t="n">
        <f aca="false">IF($C118="","",COUNTIF($C115:$C118,BP$21)+COUNTIF($C115:$C118,$A$3))</f>
        <v>0</v>
      </c>
      <c r="BR118" s="52" t="n">
        <f aca="false">IF($D118="","",COUNTIF($D115:$D118,BP$21)+COUNTIF($D115:$D118,$A$3))</f>
        <v>0</v>
      </c>
      <c r="BS118" s="52" t="str">
        <f aca="false">IF($E118="","",COUNTIF($E115:$E118,BP$21)+COUNTIF($E115:$E118,$A$3))</f>
        <v/>
      </c>
      <c r="BT118" s="53" t="n">
        <f aca="false">IF($F118="","",COUNTIF($F115:$F118,BP$21)+COUNTIF($F115:$F118,$A$3))</f>
        <v>0</v>
      </c>
    </row>
    <row r="119" customFormat="false" ht="15" hidden="false" customHeight="false" outlineLevel="0" collapsed="false">
      <c r="A119" s="13" t="n">
        <v>97</v>
      </c>
      <c r="B119" s="116" t="str">
        <f aca="false">IF('Game Info'!J102="","",'Game Info'!J102)</f>
        <v>SYM3</v>
      </c>
      <c r="C119" s="116" t="str">
        <f aca="false">IF('Game Info'!K102="","",'Game Info'!K102)</f>
        <v>J</v>
      </c>
      <c r="D119" s="116" t="str">
        <f aca="false">IF('Game Info'!L102="","",'Game Info'!L102)</f>
        <v>Q</v>
      </c>
      <c r="E119" s="116" t="str">
        <f aca="false">IF('Game Info'!M102="","",'Game Info'!M102)</f>
        <v/>
      </c>
      <c r="F119" s="117" t="str">
        <f aca="false">IF('Game Info'!N102="","",'Game Info'!N102)</f>
        <v>SYM1</v>
      </c>
      <c r="H119" s="65" t="n">
        <f aca="false">IF($B119="","",COUNTIF($B116:$B119,H$21)+COUNTIF($B116:$B119,$A$3))</f>
        <v>0</v>
      </c>
      <c r="I119" s="52" t="n">
        <f aca="false">IF($C119="","",COUNTIF($C116:$C119,H$21)+COUNTIF($C116:$C119,$A$3))</f>
        <v>0</v>
      </c>
      <c r="J119" s="52" t="n">
        <f aca="false">IF($D119="","",COUNTIF($D116:$D119,H$21)+COUNTIF($D116:$D119,$A$3))</f>
        <v>0</v>
      </c>
      <c r="K119" s="52" t="str">
        <f aca="false">IF($E119="","",COUNTIF($E116:$E119,H$21)+COUNTIF($E116:$E119,$A$3))</f>
        <v/>
      </c>
      <c r="L119" s="53" t="n">
        <f aca="false">IF($F119="","",COUNTIF($F116:$F119,H$21)+COUNTIF($F116:$F119,$A$3))</f>
        <v>1</v>
      </c>
      <c r="N119" s="65" t="n">
        <f aca="false">IF($B119="","",COUNTIF($B116:$B119,N$21)+COUNTIF($B116:$B119,$A$3))</f>
        <v>1</v>
      </c>
      <c r="O119" s="52" t="n">
        <f aca="false">IF($C119="","",COUNTIF($C116:$C119,N$21)+COUNTIF($C116:$C119,$A$3))</f>
        <v>0</v>
      </c>
      <c r="P119" s="52" t="n">
        <f aca="false">IF($D119="","",COUNTIF($D116:$D119,N$21)+COUNTIF($D116:$D119,$A$3))</f>
        <v>0</v>
      </c>
      <c r="Q119" s="52" t="str">
        <f aca="false">IF($E119="","",COUNTIF($E116:$E119,N$21)+COUNTIF($E116:$E119,$A$3))</f>
        <v/>
      </c>
      <c r="R119" s="53" t="n">
        <f aca="false">IF($F119="","",COUNTIF($F116:$F119,N$21)+COUNTIF($F116:$F119,$A$3))</f>
        <v>0</v>
      </c>
      <c r="T119" s="65" t="n">
        <f aca="false">IF($B119="","",COUNTIF($B116:$B119,T$21)+COUNTIF($B116:$B119,$A$3))</f>
        <v>1</v>
      </c>
      <c r="U119" s="52" t="n">
        <f aca="false">IF($C119="","",COUNTIF($C116:$C119,T$21)+COUNTIF($C116:$C119,$A$3))</f>
        <v>0</v>
      </c>
      <c r="V119" s="52" t="n">
        <f aca="false">IF($D119="","",COUNTIF($D116:$D119,T$21)+COUNTIF($D116:$D119,$A$3))</f>
        <v>1</v>
      </c>
      <c r="W119" s="52" t="str">
        <f aca="false">IF($E119="","",COUNTIF($E116:$E119,T$21)+COUNTIF($E116:$E119,$A$3))</f>
        <v/>
      </c>
      <c r="X119" s="53" t="n">
        <f aca="false">IF($F119="","",COUNTIF($F116:$F119,T$21)+COUNTIF($F116:$F119,$A$3))</f>
        <v>0</v>
      </c>
      <c r="Z119" s="65" t="n">
        <f aca="false">IF($B119="","",COUNTIF($B116:$B119,Z$21)+COUNTIF($B116:$B119,$A$3))</f>
        <v>0</v>
      </c>
      <c r="AA119" s="52" t="n">
        <f aca="false">IF($C119="","",COUNTIF($C116:$C119,Z$21)+COUNTIF($C116:$C119,$A$3))</f>
        <v>0</v>
      </c>
      <c r="AB119" s="52" t="n">
        <f aca="false">IF($D119="","",COUNTIF($D116:$D119,Z$21)+COUNTIF($D116:$D119,$A$3))</f>
        <v>1</v>
      </c>
      <c r="AC119" s="52" t="str">
        <f aca="false">IF($E119="","",COUNTIF($E116:$E119,Z$21)+COUNTIF($E116:$E119,$A$3))</f>
        <v/>
      </c>
      <c r="AD119" s="53" t="n">
        <f aca="false">IF($F119="","",COUNTIF($F116:$F119,Z$21)+COUNTIF($F116:$F119,$A$3))</f>
        <v>1</v>
      </c>
      <c r="AF119" s="65" t="n">
        <f aca="false">IF($B119="","",COUNTIF($B116:$B119,AF$21)+COUNTIF($B116:$B119,$A$3))</f>
        <v>0</v>
      </c>
      <c r="AG119" s="52" t="n">
        <f aca="false">IF($C119="","",COUNTIF($C116:$C119,AF$21)+COUNTIF($C116:$C119,$A$3))</f>
        <v>0</v>
      </c>
      <c r="AH119" s="52" t="n">
        <f aca="false">IF($D119="","",COUNTIF($D116:$D119,AF$21)+COUNTIF($D116:$D119,$A$3))</f>
        <v>0</v>
      </c>
      <c r="AI119" s="52" t="str">
        <f aca="false">IF($E119="","",COUNTIF($E116:$E119,AF$21)+COUNTIF($E116:$E119,$A$3))</f>
        <v/>
      </c>
      <c r="AJ119" s="53" t="n">
        <f aca="false">IF($F119="","",COUNTIF($F116:$F119,AF$21)+COUNTIF($F116:$F119,$A$3))</f>
        <v>0</v>
      </c>
      <c r="AL119" s="65" t="n">
        <f aca="false">IF($B119="","",COUNTIF($B116:$B119,AL$21)+COUNTIF($B116:$B119,$A$3))</f>
        <v>0</v>
      </c>
      <c r="AM119" s="52" t="n">
        <f aca="false">IF($C119="","",COUNTIF($C116:$C119,AL$21)+COUNTIF($C116:$C119,$A$3))</f>
        <v>0</v>
      </c>
      <c r="AN119" s="52" t="n">
        <f aca="false">IF($D119="","",COUNTIF($D116:$D119,AL$21)+COUNTIF($D116:$D119,$A$3))</f>
        <v>0</v>
      </c>
      <c r="AO119" s="52" t="str">
        <f aca="false">IF($E119="","",COUNTIF($E116:$E119,AL$21)+COUNTIF($E116:$E119,$A$3))</f>
        <v/>
      </c>
      <c r="AP119" s="53" t="n">
        <f aca="false">IF($F119="","",COUNTIF($F116:$F119,AL$21)+COUNTIF($F116:$F119,$A$3))</f>
        <v>1</v>
      </c>
      <c r="AR119" s="65" t="n">
        <f aca="false">IF($B119="","",COUNTIF($B116:$B119,AR$21)+COUNTIF($B116:$B119,$A$3))</f>
        <v>1</v>
      </c>
      <c r="AS119" s="52" t="n">
        <f aca="false">IF($C119="","",COUNTIF($C116:$C119,AR$21)+COUNTIF($C116:$C119,$A$3))</f>
        <v>1</v>
      </c>
      <c r="AT119" s="52" t="n">
        <f aca="false">IF($D119="","",COUNTIF($D116:$D119,AR$21)+COUNTIF($D116:$D119,$A$3))</f>
        <v>0</v>
      </c>
      <c r="AU119" s="52" t="str">
        <f aca="false">IF($E119="","",COUNTIF($E116:$E119,AR$21)+COUNTIF($E116:$E119,$A$3))</f>
        <v/>
      </c>
      <c r="AV119" s="53" t="n">
        <f aca="false">IF($F119="","",COUNTIF($F116:$F119,AR$21)+COUNTIF($F116:$F119,$A$3))</f>
        <v>1</v>
      </c>
      <c r="AX119" s="65" t="n">
        <f aca="false">IF($B119="","",COUNTIF($B116:$B119,AX$21)+COUNTIF($B116:$B119,$A$3))</f>
        <v>0</v>
      </c>
      <c r="AY119" s="52" t="n">
        <f aca="false">IF($C119="","",COUNTIF($C116:$C119,AX$21)+COUNTIF($C116:$C119,$A$3))</f>
        <v>0</v>
      </c>
      <c r="AZ119" s="52" t="n">
        <f aca="false">IF($D119="","",COUNTIF($D116:$D119,AX$21)+COUNTIF($D116:$D119,$A$3))</f>
        <v>1</v>
      </c>
      <c r="BA119" s="52" t="str">
        <f aca="false">IF($E119="","",COUNTIF($E116:$E119,AX$21)+COUNTIF($E116:$E119,$A$3))</f>
        <v/>
      </c>
      <c r="BB119" s="53" t="n">
        <f aca="false">IF($F119="","",COUNTIF($F116:$F119,AX$21)+COUNTIF($F116:$F119,$A$3))</f>
        <v>0</v>
      </c>
      <c r="BD119" s="65" t="n">
        <f aca="false">IF($B119="","",COUNTIF($B116:$B119,BD$21)+COUNTIF($B116:$B119,$A$3))</f>
        <v>0</v>
      </c>
      <c r="BE119" s="52" t="n">
        <f aca="false">IF($C119="","",COUNTIF($C116:$C119,BD$21)+COUNTIF($C116:$C119,$A$3))</f>
        <v>2</v>
      </c>
      <c r="BF119" s="52" t="n">
        <f aca="false">IF($D119="","",COUNTIF($D116:$D119,BD$21)+COUNTIF($D116:$D119,$A$3))</f>
        <v>0</v>
      </c>
      <c r="BG119" s="52" t="str">
        <f aca="false">IF($E119="","",COUNTIF($E116:$E119,BD$21)+COUNTIF($E116:$E119,$A$3))</f>
        <v/>
      </c>
      <c r="BH119" s="53" t="n">
        <f aca="false">IF($F119="","",COUNTIF($F116:$F119,BD$21)+COUNTIF($F116:$F119,$A$3))</f>
        <v>0</v>
      </c>
      <c r="BJ119" s="65" t="n">
        <f aca="false">IF($B119="","",COUNTIF($B116:$B119,BJ$21)+COUNTIF($B116:$B119,$A$3))</f>
        <v>0</v>
      </c>
      <c r="BK119" s="52" t="n">
        <f aca="false">IF($C119="","",COUNTIF($C116:$C119,BJ$21)+COUNTIF($C116:$C119,$A$3))</f>
        <v>0</v>
      </c>
      <c r="BL119" s="52" t="n">
        <f aca="false">IF($D119="","",COUNTIF($D116:$D119,BJ$21)+COUNTIF($D116:$D119,$A$3))</f>
        <v>1</v>
      </c>
      <c r="BM119" s="52" t="str">
        <f aca="false">IF($E119="","",COUNTIF($E116:$E119,BJ$21)+COUNTIF($E116:$E119,$A$3))</f>
        <v/>
      </c>
      <c r="BN119" s="53" t="n">
        <f aca="false">IF($F119="","",COUNTIF($F116:$F119,BJ$21)+COUNTIF($F116:$F119,$A$3))</f>
        <v>0</v>
      </c>
      <c r="BP119" s="65" t="n">
        <f aca="false">IF($B119="","",COUNTIF($B116:$B119,BP$21)+COUNTIF($B116:$B119,$A$3))</f>
        <v>1</v>
      </c>
      <c r="BQ119" s="52" t="n">
        <f aca="false">IF($C119="","",COUNTIF($C116:$C119,BP$21)+COUNTIF($C116:$C119,$A$3))</f>
        <v>0</v>
      </c>
      <c r="BR119" s="52" t="n">
        <f aca="false">IF($D119="","",COUNTIF($D116:$D119,BP$21)+COUNTIF($D116:$D119,$A$3))</f>
        <v>0</v>
      </c>
      <c r="BS119" s="52" t="str">
        <f aca="false">IF($E119="","",COUNTIF($E116:$E119,BP$21)+COUNTIF($E116:$E119,$A$3))</f>
        <v/>
      </c>
      <c r="BT119" s="53" t="n">
        <f aca="false">IF($F119="","",COUNTIF($F116:$F119,BP$21)+COUNTIF($F116:$F119,$A$3))</f>
        <v>0</v>
      </c>
    </row>
    <row r="120" customFormat="false" ht="15" hidden="false" customHeight="false" outlineLevel="0" collapsed="false">
      <c r="A120" s="13" t="n">
        <v>98</v>
      </c>
      <c r="B120" s="116" t="str">
        <f aca="false">IF('Game Info'!J103="","",'Game Info'!J103)</f>
        <v>Q</v>
      </c>
      <c r="C120" s="116" t="str">
        <f aca="false">IF('Game Info'!K103="","",'Game Info'!K103)</f>
        <v>Q</v>
      </c>
      <c r="D120" s="116" t="str">
        <f aca="false">IF('Game Info'!L103="","",'Game Info'!L103)</f>
        <v>K</v>
      </c>
      <c r="E120" s="116" t="str">
        <f aca="false">IF('Game Info'!M103="","",'Game Info'!M103)</f>
        <v/>
      </c>
      <c r="F120" s="117" t="n">
        <f aca="false">IF('Game Info'!N103="","",'Game Info'!N103)</f>
        <v>10</v>
      </c>
      <c r="H120" s="65" t="n">
        <f aca="false">IF($B120="","",COUNTIF($B117:$B120,H$21)+COUNTIF($B117:$B120,$A$3))</f>
        <v>0</v>
      </c>
      <c r="I120" s="52" t="n">
        <f aca="false">IF($C120="","",COUNTIF($C117:$C120,H$21)+COUNTIF($C117:$C120,$A$3))</f>
        <v>0</v>
      </c>
      <c r="J120" s="52" t="n">
        <f aca="false">IF($D120="","",COUNTIF($D117:$D120,H$21)+COUNTIF($D117:$D120,$A$3))</f>
        <v>0</v>
      </c>
      <c r="K120" s="52" t="str">
        <f aca="false">IF($E120="","",COUNTIF($E117:$E120,H$21)+COUNTIF($E117:$E120,$A$3))</f>
        <v/>
      </c>
      <c r="L120" s="53" t="n">
        <f aca="false">IF($F120="","",COUNTIF($F117:$F120,H$21)+COUNTIF($F117:$F120,$A$3))</f>
        <v>1</v>
      </c>
      <c r="N120" s="65" t="n">
        <f aca="false">IF($B120="","",COUNTIF($B117:$B120,N$21)+COUNTIF($B117:$B120,$A$3))</f>
        <v>1</v>
      </c>
      <c r="O120" s="52" t="n">
        <f aca="false">IF($C120="","",COUNTIF($C117:$C120,N$21)+COUNTIF($C117:$C120,$A$3))</f>
        <v>0</v>
      </c>
      <c r="P120" s="52" t="n">
        <f aca="false">IF($D120="","",COUNTIF($D117:$D120,N$21)+COUNTIF($D117:$D120,$A$3))</f>
        <v>0</v>
      </c>
      <c r="Q120" s="52" t="str">
        <f aca="false">IF($E120="","",COUNTIF($E117:$E120,N$21)+COUNTIF($E117:$E120,$A$3))</f>
        <v/>
      </c>
      <c r="R120" s="53" t="n">
        <f aca="false">IF($F120="","",COUNTIF($F117:$F120,N$21)+COUNTIF($F117:$F120,$A$3))</f>
        <v>0</v>
      </c>
      <c r="T120" s="65" t="n">
        <f aca="false">IF($B120="","",COUNTIF($B117:$B120,T$21)+COUNTIF($B117:$B120,$A$3))</f>
        <v>1</v>
      </c>
      <c r="U120" s="52" t="n">
        <f aca="false">IF($C120="","",COUNTIF($C117:$C120,T$21)+COUNTIF($C117:$C120,$A$3))</f>
        <v>0</v>
      </c>
      <c r="V120" s="52" t="n">
        <f aca="false">IF($D120="","",COUNTIF($D117:$D120,T$21)+COUNTIF($D117:$D120,$A$3))</f>
        <v>0</v>
      </c>
      <c r="W120" s="52" t="str">
        <f aca="false">IF($E120="","",COUNTIF($E117:$E120,T$21)+COUNTIF($E117:$E120,$A$3))</f>
        <v/>
      </c>
      <c r="X120" s="53" t="n">
        <f aca="false">IF($F120="","",COUNTIF($F117:$F120,T$21)+COUNTIF($F117:$F120,$A$3))</f>
        <v>0</v>
      </c>
      <c r="Z120" s="65" t="n">
        <f aca="false">IF($B120="","",COUNTIF($B117:$B120,Z$21)+COUNTIF($B117:$B120,$A$3))</f>
        <v>0</v>
      </c>
      <c r="AA120" s="52" t="n">
        <f aca="false">IF($C120="","",COUNTIF($C117:$C120,Z$21)+COUNTIF($C117:$C120,$A$3))</f>
        <v>0</v>
      </c>
      <c r="AB120" s="52" t="n">
        <f aca="false">IF($D120="","",COUNTIF($D117:$D120,Z$21)+COUNTIF($D117:$D120,$A$3))</f>
        <v>1</v>
      </c>
      <c r="AC120" s="52" t="str">
        <f aca="false">IF($E120="","",COUNTIF($E117:$E120,Z$21)+COUNTIF($E117:$E120,$A$3))</f>
        <v/>
      </c>
      <c r="AD120" s="53" t="n">
        <f aca="false">IF($F120="","",COUNTIF($F117:$F120,Z$21)+COUNTIF($F117:$F120,$A$3))</f>
        <v>1</v>
      </c>
      <c r="AF120" s="65" t="n">
        <f aca="false">IF($B120="","",COUNTIF($B117:$B120,AF$21)+COUNTIF($B117:$B120,$A$3))</f>
        <v>0</v>
      </c>
      <c r="AG120" s="52" t="n">
        <f aca="false">IF($C120="","",COUNTIF($C117:$C120,AF$21)+COUNTIF($C117:$C120,$A$3))</f>
        <v>0</v>
      </c>
      <c r="AH120" s="52" t="n">
        <f aca="false">IF($D120="","",COUNTIF($D117:$D120,AF$21)+COUNTIF($D117:$D120,$A$3))</f>
        <v>0</v>
      </c>
      <c r="AI120" s="52" t="str">
        <f aca="false">IF($E120="","",COUNTIF($E117:$E120,AF$21)+COUNTIF($E117:$E120,$A$3))</f>
        <v/>
      </c>
      <c r="AJ120" s="53" t="n">
        <f aca="false">IF($F120="","",COUNTIF($F117:$F120,AF$21)+COUNTIF($F117:$F120,$A$3))</f>
        <v>0</v>
      </c>
      <c r="AL120" s="65" t="n">
        <f aca="false">IF($B120="","",COUNTIF($B117:$B120,AL$21)+COUNTIF($B117:$B120,$A$3))</f>
        <v>0</v>
      </c>
      <c r="AM120" s="52" t="n">
        <f aca="false">IF($C120="","",COUNTIF($C117:$C120,AL$21)+COUNTIF($C117:$C120,$A$3))</f>
        <v>0</v>
      </c>
      <c r="AN120" s="52" t="n">
        <f aca="false">IF($D120="","",COUNTIF($D117:$D120,AL$21)+COUNTIF($D117:$D120,$A$3))</f>
        <v>0</v>
      </c>
      <c r="AO120" s="52" t="str">
        <f aca="false">IF($E120="","",COUNTIF($E117:$E120,AL$21)+COUNTIF($E117:$E120,$A$3))</f>
        <v/>
      </c>
      <c r="AP120" s="53" t="n">
        <f aca="false">IF($F120="","",COUNTIF($F117:$F120,AL$21)+COUNTIF($F117:$F120,$A$3))</f>
        <v>0</v>
      </c>
      <c r="AR120" s="65" t="n">
        <f aca="false">IF($B120="","",COUNTIF($B117:$B120,AR$21)+COUNTIF($B117:$B120,$A$3))</f>
        <v>1</v>
      </c>
      <c r="AS120" s="52" t="n">
        <f aca="false">IF($C120="","",COUNTIF($C117:$C120,AR$21)+COUNTIF($C117:$C120,$A$3))</f>
        <v>1</v>
      </c>
      <c r="AT120" s="52" t="n">
        <f aca="false">IF($D120="","",COUNTIF($D117:$D120,AR$21)+COUNTIF($D117:$D120,$A$3))</f>
        <v>1</v>
      </c>
      <c r="AU120" s="52" t="str">
        <f aca="false">IF($E120="","",COUNTIF($E117:$E120,AR$21)+COUNTIF($E117:$E120,$A$3))</f>
        <v/>
      </c>
      <c r="AV120" s="53" t="n">
        <f aca="false">IF($F120="","",COUNTIF($F117:$F120,AR$21)+COUNTIF($F117:$F120,$A$3))</f>
        <v>1</v>
      </c>
      <c r="AX120" s="65" t="n">
        <f aca="false">IF($B120="","",COUNTIF($B117:$B120,AX$21)+COUNTIF($B117:$B120,$A$3))</f>
        <v>1</v>
      </c>
      <c r="AY120" s="52" t="n">
        <f aca="false">IF($C120="","",COUNTIF($C117:$C120,AX$21)+COUNTIF($C117:$C120,$A$3))</f>
        <v>1</v>
      </c>
      <c r="AZ120" s="52" t="n">
        <f aca="false">IF($D120="","",COUNTIF($D117:$D120,AX$21)+COUNTIF($D117:$D120,$A$3))</f>
        <v>1</v>
      </c>
      <c r="BA120" s="52" t="str">
        <f aca="false">IF($E120="","",COUNTIF($E117:$E120,AX$21)+COUNTIF($E117:$E120,$A$3))</f>
        <v/>
      </c>
      <c r="BB120" s="53" t="n">
        <f aca="false">IF($F120="","",COUNTIF($F117:$F120,AX$21)+COUNTIF($F117:$F120,$A$3))</f>
        <v>0</v>
      </c>
      <c r="BD120" s="65" t="n">
        <f aca="false">IF($B120="","",COUNTIF($B117:$B120,BD$21)+COUNTIF($B117:$B120,$A$3))</f>
        <v>0</v>
      </c>
      <c r="BE120" s="52" t="n">
        <f aca="false">IF($C120="","",COUNTIF($C117:$C120,BD$21)+COUNTIF($C117:$C120,$A$3))</f>
        <v>1</v>
      </c>
      <c r="BF120" s="52" t="n">
        <f aca="false">IF($D120="","",COUNTIF($D117:$D120,BD$21)+COUNTIF($D117:$D120,$A$3))</f>
        <v>0</v>
      </c>
      <c r="BG120" s="52" t="str">
        <f aca="false">IF($E120="","",COUNTIF($E117:$E120,BD$21)+COUNTIF($E117:$E120,$A$3))</f>
        <v/>
      </c>
      <c r="BH120" s="53" t="n">
        <f aca="false">IF($F120="","",COUNTIF($F117:$F120,BD$21)+COUNTIF($F117:$F120,$A$3))</f>
        <v>0</v>
      </c>
      <c r="BJ120" s="65" t="n">
        <f aca="false">IF($B120="","",COUNTIF($B117:$B120,BJ$21)+COUNTIF($B117:$B120,$A$3))</f>
        <v>0</v>
      </c>
      <c r="BK120" s="52" t="n">
        <f aca="false">IF($C120="","",COUNTIF($C117:$C120,BJ$21)+COUNTIF($C117:$C120,$A$3))</f>
        <v>0</v>
      </c>
      <c r="BL120" s="52" t="n">
        <f aca="false">IF($D120="","",COUNTIF($D117:$D120,BJ$21)+COUNTIF($D117:$D120,$A$3))</f>
        <v>1</v>
      </c>
      <c r="BM120" s="52" t="str">
        <f aca="false">IF($E120="","",COUNTIF($E117:$E120,BJ$21)+COUNTIF($E117:$E120,$A$3))</f>
        <v/>
      </c>
      <c r="BN120" s="53" t="n">
        <f aca="false">IF($F120="","",COUNTIF($F117:$F120,BJ$21)+COUNTIF($F117:$F120,$A$3))</f>
        <v>1</v>
      </c>
      <c r="BP120" s="65" t="n">
        <f aca="false">IF($B120="","",COUNTIF($B117:$B120,BP$21)+COUNTIF($B117:$B120,$A$3))</f>
        <v>0</v>
      </c>
      <c r="BQ120" s="52" t="n">
        <f aca="false">IF($C120="","",COUNTIF($C117:$C120,BP$21)+COUNTIF($C117:$C120,$A$3))</f>
        <v>0</v>
      </c>
      <c r="BR120" s="52" t="n">
        <f aca="false">IF($D120="","",COUNTIF($D117:$D120,BP$21)+COUNTIF($D117:$D120,$A$3))</f>
        <v>0</v>
      </c>
      <c r="BS120" s="52" t="str">
        <f aca="false">IF($E120="","",COUNTIF($E117:$E120,BP$21)+COUNTIF($E117:$E120,$A$3))</f>
        <v/>
      </c>
      <c r="BT120" s="53" t="n">
        <f aca="false">IF($F120="","",COUNTIF($F117:$F120,BP$21)+COUNTIF($F117:$F120,$A$3))</f>
        <v>0</v>
      </c>
    </row>
    <row r="121" customFormat="false" ht="15" hidden="false" customHeight="false" outlineLevel="0" collapsed="false">
      <c r="A121" s="13" t="n">
        <v>99</v>
      </c>
      <c r="B121" s="116" t="n">
        <f aca="false">IF('Game Info'!J104="","",'Game Info'!J104)</f>
        <v>10</v>
      </c>
      <c r="C121" s="116" t="n">
        <f aca="false">IF('Game Info'!K104="","",'Game Info'!K104)</f>
        <v>10</v>
      </c>
      <c r="D121" s="116" t="str">
        <f aca="false">IF('Game Info'!L104="","",'Game Info'!L104)</f>
        <v>FG</v>
      </c>
      <c r="E121" s="116" t="str">
        <f aca="false">IF('Game Info'!M104="","",'Game Info'!M104)</f>
        <v/>
      </c>
      <c r="F121" s="117" t="str">
        <f aca="false">IF('Game Info'!N104="","",'Game Info'!N104)</f>
        <v>SYM3</v>
      </c>
      <c r="H121" s="65" t="n">
        <f aca="false">IF($B121="","",COUNTIF($B118:$B121,H$21)+COUNTIF($B118:$B121,$A$3))</f>
        <v>0</v>
      </c>
      <c r="I121" s="52" t="n">
        <f aca="false">IF($C121="","",COUNTIF($C118:$C121,H$21)+COUNTIF($C118:$C121,$A$3))</f>
        <v>0</v>
      </c>
      <c r="J121" s="52" t="n">
        <f aca="false">IF($D121="","",COUNTIF($D118:$D121,H$21)+COUNTIF($D118:$D121,$A$3))</f>
        <v>0</v>
      </c>
      <c r="K121" s="52" t="str">
        <f aca="false">IF($E121="","",COUNTIF($E118:$E121,H$21)+COUNTIF($E118:$E121,$A$3))</f>
        <v/>
      </c>
      <c r="L121" s="53" t="n">
        <f aca="false">IF($F121="","",COUNTIF($F118:$F121,H$21)+COUNTIF($F118:$F121,$A$3))</f>
        <v>1</v>
      </c>
      <c r="N121" s="65" t="n">
        <f aca="false">IF($B121="","",COUNTIF($B118:$B121,N$21)+COUNTIF($B118:$B121,$A$3))</f>
        <v>0</v>
      </c>
      <c r="O121" s="52" t="n">
        <f aca="false">IF($C121="","",COUNTIF($C118:$C121,N$21)+COUNTIF($C118:$C121,$A$3))</f>
        <v>0</v>
      </c>
      <c r="P121" s="52" t="n">
        <f aca="false">IF($D121="","",COUNTIF($D118:$D121,N$21)+COUNTIF($D118:$D121,$A$3))</f>
        <v>0</v>
      </c>
      <c r="Q121" s="52" t="str">
        <f aca="false">IF($E121="","",COUNTIF($E118:$E121,N$21)+COUNTIF($E118:$E121,$A$3))</f>
        <v/>
      </c>
      <c r="R121" s="53" t="n">
        <f aca="false">IF($F121="","",COUNTIF($F118:$F121,N$21)+COUNTIF($F118:$F121,$A$3))</f>
        <v>0</v>
      </c>
      <c r="T121" s="65" t="n">
        <f aca="false">IF($B121="","",COUNTIF($B118:$B121,T$21)+COUNTIF($B118:$B121,$A$3))</f>
        <v>1</v>
      </c>
      <c r="U121" s="52" t="n">
        <f aca="false">IF($C121="","",COUNTIF($C118:$C121,T$21)+COUNTIF($C118:$C121,$A$3))</f>
        <v>0</v>
      </c>
      <c r="V121" s="52" t="n">
        <f aca="false">IF($D121="","",COUNTIF($D118:$D121,T$21)+COUNTIF($D118:$D121,$A$3))</f>
        <v>0</v>
      </c>
      <c r="W121" s="52" t="str">
        <f aca="false">IF($E121="","",COUNTIF($E118:$E121,T$21)+COUNTIF($E118:$E121,$A$3))</f>
        <v/>
      </c>
      <c r="X121" s="53" t="n">
        <f aca="false">IF($F121="","",COUNTIF($F118:$F121,T$21)+COUNTIF($F118:$F121,$A$3))</f>
        <v>1</v>
      </c>
      <c r="Z121" s="65" t="n">
        <f aca="false">IF($B121="","",COUNTIF($B118:$B121,Z$21)+COUNTIF($B118:$B121,$A$3))</f>
        <v>0</v>
      </c>
      <c r="AA121" s="52" t="n">
        <f aca="false">IF($C121="","",COUNTIF($C118:$C121,Z$21)+COUNTIF($C118:$C121,$A$3))</f>
        <v>0</v>
      </c>
      <c r="AB121" s="52" t="n">
        <f aca="false">IF($D121="","",COUNTIF($D118:$D121,Z$21)+COUNTIF($D118:$D121,$A$3))</f>
        <v>1</v>
      </c>
      <c r="AC121" s="52" t="str">
        <f aca="false">IF($E121="","",COUNTIF($E118:$E121,Z$21)+COUNTIF($E118:$E121,$A$3))</f>
        <v/>
      </c>
      <c r="AD121" s="53" t="n">
        <f aca="false">IF($F121="","",COUNTIF($F118:$F121,Z$21)+COUNTIF($F118:$F121,$A$3))</f>
        <v>0</v>
      </c>
      <c r="AF121" s="65" t="n">
        <f aca="false">IF($B121="","",COUNTIF($B118:$B121,AF$21)+COUNTIF($B118:$B121,$A$3))</f>
        <v>0</v>
      </c>
      <c r="AG121" s="52" t="n">
        <f aca="false">IF($C121="","",COUNTIF($C118:$C121,AF$21)+COUNTIF($C118:$C121,$A$3))</f>
        <v>0</v>
      </c>
      <c r="AH121" s="52" t="n">
        <f aca="false">IF($D121="","",COUNTIF($D118:$D121,AF$21)+COUNTIF($D118:$D121,$A$3))</f>
        <v>0</v>
      </c>
      <c r="AI121" s="52" t="str">
        <f aca="false">IF($E121="","",COUNTIF($E118:$E121,AF$21)+COUNTIF($E118:$E121,$A$3))</f>
        <v/>
      </c>
      <c r="AJ121" s="53" t="n">
        <f aca="false">IF($F121="","",COUNTIF($F118:$F121,AF$21)+COUNTIF($F118:$F121,$A$3))</f>
        <v>0</v>
      </c>
      <c r="AL121" s="65" t="n">
        <f aca="false">IF($B121="","",COUNTIF($B118:$B121,AL$21)+COUNTIF($B118:$B121,$A$3))</f>
        <v>0</v>
      </c>
      <c r="AM121" s="52" t="n">
        <f aca="false">IF($C121="","",COUNTIF($C118:$C121,AL$21)+COUNTIF($C118:$C121,$A$3))</f>
        <v>0</v>
      </c>
      <c r="AN121" s="52" t="n">
        <f aca="false">IF($D121="","",COUNTIF($D118:$D121,AL$21)+COUNTIF($D118:$D121,$A$3))</f>
        <v>0</v>
      </c>
      <c r="AO121" s="52" t="str">
        <f aca="false">IF($E121="","",COUNTIF($E118:$E121,AL$21)+COUNTIF($E118:$E121,$A$3))</f>
        <v/>
      </c>
      <c r="AP121" s="53" t="n">
        <f aca="false">IF($F121="","",COUNTIF($F118:$F121,AL$21)+COUNTIF($F118:$F121,$A$3))</f>
        <v>0</v>
      </c>
      <c r="AR121" s="65" t="n">
        <f aca="false">IF($B121="","",COUNTIF($B118:$B121,AR$21)+COUNTIF($B118:$B121,$A$3))</f>
        <v>1</v>
      </c>
      <c r="AS121" s="52" t="n">
        <f aca="false">IF($C121="","",COUNTIF($C118:$C121,AR$21)+COUNTIF($C118:$C121,$A$3))</f>
        <v>0</v>
      </c>
      <c r="AT121" s="52" t="n">
        <f aca="false">IF($D121="","",COUNTIF($D118:$D121,AR$21)+COUNTIF($D118:$D121,$A$3))</f>
        <v>1</v>
      </c>
      <c r="AU121" s="52" t="str">
        <f aca="false">IF($E121="","",COUNTIF($E118:$E121,AR$21)+COUNTIF($E118:$E121,$A$3))</f>
        <v/>
      </c>
      <c r="AV121" s="53" t="n">
        <f aca="false">IF($F121="","",COUNTIF($F118:$F121,AR$21)+COUNTIF($F118:$F121,$A$3))</f>
        <v>1</v>
      </c>
      <c r="AX121" s="65" t="n">
        <f aca="false">IF($B121="","",COUNTIF($B118:$B121,AX$21)+COUNTIF($B118:$B121,$A$3))</f>
        <v>1</v>
      </c>
      <c r="AY121" s="52" t="n">
        <f aca="false">IF($C121="","",COUNTIF($C118:$C121,AX$21)+COUNTIF($C118:$C121,$A$3))</f>
        <v>1</v>
      </c>
      <c r="AZ121" s="52" t="n">
        <f aca="false">IF($D121="","",COUNTIF($D118:$D121,AX$21)+COUNTIF($D118:$D121,$A$3))</f>
        <v>1</v>
      </c>
      <c r="BA121" s="52" t="str">
        <f aca="false">IF($E121="","",COUNTIF($E118:$E121,AX$21)+COUNTIF($E118:$E121,$A$3))</f>
        <v/>
      </c>
      <c r="BB121" s="53" t="n">
        <f aca="false">IF($F121="","",COUNTIF($F118:$F121,AX$21)+COUNTIF($F118:$F121,$A$3))</f>
        <v>0</v>
      </c>
      <c r="BD121" s="65" t="n">
        <f aca="false">IF($B121="","",COUNTIF($B118:$B121,BD$21)+COUNTIF($B118:$B121,$A$3))</f>
        <v>0</v>
      </c>
      <c r="BE121" s="52" t="n">
        <f aca="false">IF($C121="","",COUNTIF($C118:$C121,BD$21)+COUNTIF($C118:$C121,$A$3))</f>
        <v>1</v>
      </c>
      <c r="BF121" s="52" t="n">
        <f aca="false">IF($D121="","",COUNTIF($D118:$D121,BD$21)+COUNTIF($D118:$D121,$A$3))</f>
        <v>0</v>
      </c>
      <c r="BG121" s="52" t="str">
        <f aca="false">IF($E121="","",COUNTIF($E118:$E121,BD$21)+COUNTIF($E118:$E121,$A$3))</f>
        <v/>
      </c>
      <c r="BH121" s="53" t="n">
        <f aca="false">IF($F121="","",COUNTIF($F118:$F121,BD$21)+COUNTIF($F118:$F121,$A$3))</f>
        <v>0</v>
      </c>
      <c r="BJ121" s="65" t="n">
        <f aca="false">IF($B121="","",COUNTIF($B118:$B121,BJ$21)+COUNTIF($B118:$B121,$A$3))</f>
        <v>1</v>
      </c>
      <c r="BK121" s="52" t="n">
        <f aca="false">IF($C121="","",COUNTIF($C118:$C121,BJ$21)+COUNTIF($C118:$C121,$A$3))</f>
        <v>1</v>
      </c>
      <c r="BL121" s="52" t="n">
        <f aca="false">IF($D121="","",COUNTIF($D118:$D121,BJ$21)+COUNTIF($D118:$D121,$A$3))</f>
        <v>0</v>
      </c>
      <c r="BM121" s="52" t="str">
        <f aca="false">IF($E121="","",COUNTIF($E118:$E121,BJ$21)+COUNTIF($E118:$E121,$A$3))</f>
        <v/>
      </c>
      <c r="BN121" s="53" t="n">
        <f aca="false">IF($F121="","",COUNTIF($F118:$F121,BJ$21)+COUNTIF($F118:$F121,$A$3))</f>
        <v>1</v>
      </c>
      <c r="BP121" s="65" t="n">
        <f aca="false">IF($B121="","",COUNTIF($B118:$B121,BP$21)+COUNTIF($B118:$B121,$A$3))</f>
        <v>0</v>
      </c>
      <c r="BQ121" s="52" t="n">
        <f aca="false">IF($C121="","",COUNTIF($C118:$C121,BP$21)+COUNTIF($C118:$C121,$A$3))</f>
        <v>0</v>
      </c>
      <c r="BR121" s="52" t="n">
        <f aca="false">IF($D121="","",COUNTIF($D118:$D121,BP$21)+COUNTIF($D118:$D121,$A$3))</f>
        <v>0</v>
      </c>
      <c r="BS121" s="52" t="str">
        <f aca="false">IF($E121="","",COUNTIF($E118:$E121,BP$21)+COUNTIF($E118:$E121,$A$3))</f>
        <v/>
      </c>
      <c r="BT121" s="53" t="n">
        <f aca="false">IF($F121="","",COUNTIF($F118:$F121,BP$21)+COUNTIF($F118:$F121,$A$3))</f>
        <v>0</v>
      </c>
    </row>
    <row r="122" customFormat="false" ht="15" hidden="false" customHeight="false" outlineLevel="0" collapsed="false">
      <c r="A122" s="13" t="n">
        <v>100</v>
      </c>
      <c r="B122" s="116" t="str">
        <f aca="false">IF('Game Info'!J105="","",'Game Info'!J105)</f>
        <v>SYM3</v>
      </c>
      <c r="C122" s="116" t="str">
        <f aca="false">IF('Game Info'!K105="","",'Game Info'!K105)</f>
        <v>SYM3</v>
      </c>
      <c r="D122" s="116" t="str">
        <f aca="false">IF('Game Info'!L105="","",'Game Info'!L105)</f>
        <v>J</v>
      </c>
      <c r="E122" s="116" t="str">
        <f aca="false">IF('Game Info'!M105="","",'Game Info'!M105)</f>
        <v/>
      </c>
      <c r="F122" s="117" t="str">
        <f aca="false">IF('Game Info'!N105="","",'Game Info'!N105)</f>
        <v>Q</v>
      </c>
      <c r="H122" s="65" t="n">
        <f aca="false">IF($B122="","",COUNTIF($B119:$B122,H$21)+COUNTIF($B119:$B122,$A$3))</f>
        <v>0</v>
      </c>
      <c r="I122" s="52" t="n">
        <f aca="false">IF($C122="","",COUNTIF($C119:$C122,H$21)+COUNTIF($C119:$C122,$A$3))</f>
        <v>0</v>
      </c>
      <c r="J122" s="52" t="n">
        <f aca="false">IF($D122="","",COUNTIF($D119:$D122,H$21)+COUNTIF($D119:$D122,$A$3))</f>
        <v>0</v>
      </c>
      <c r="K122" s="52" t="str">
        <f aca="false">IF($E122="","",COUNTIF($E119:$E122,H$21)+COUNTIF($E119:$E122,$A$3))</f>
        <v/>
      </c>
      <c r="L122" s="53" t="n">
        <f aca="false">IF($F122="","",COUNTIF($F119:$F122,H$21)+COUNTIF($F119:$F122,$A$3))</f>
        <v>1</v>
      </c>
      <c r="N122" s="65" t="n">
        <f aca="false">IF($B122="","",COUNTIF($B119:$B122,N$21)+COUNTIF($B119:$B122,$A$3))</f>
        <v>0</v>
      </c>
      <c r="O122" s="52" t="n">
        <f aca="false">IF($C122="","",COUNTIF($C119:$C122,N$21)+COUNTIF($C119:$C122,$A$3))</f>
        <v>0</v>
      </c>
      <c r="P122" s="52" t="n">
        <f aca="false">IF($D122="","",COUNTIF($D119:$D122,N$21)+COUNTIF($D119:$D122,$A$3))</f>
        <v>0</v>
      </c>
      <c r="Q122" s="52" t="str">
        <f aca="false">IF($E122="","",COUNTIF($E119:$E122,N$21)+COUNTIF($E119:$E122,$A$3))</f>
        <v/>
      </c>
      <c r="R122" s="53" t="n">
        <f aca="false">IF($F122="","",COUNTIF($F119:$F122,N$21)+COUNTIF($F119:$F122,$A$3))</f>
        <v>0</v>
      </c>
      <c r="T122" s="65" t="n">
        <f aca="false">IF($B122="","",COUNTIF($B119:$B122,T$21)+COUNTIF($B119:$B122,$A$3))</f>
        <v>2</v>
      </c>
      <c r="U122" s="52" t="n">
        <f aca="false">IF($C122="","",COUNTIF($C119:$C122,T$21)+COUNTIF($C119:$C122,$A$3))</f>
        <v>1</v>
      </c>
      <c r="V122" s="52" t="n">
        <f aca="false">IF($D122="","",COUNTIF($D119:$D122,T$21)+COUNTIF($D119:$D122,$A$3))</f>
        <v>0</v>
      </c>
      <c r="W122" s="52" t="str">
        <f aca="false">IF($E122="","",COUNTIF($E119:$E122,T$21)+COUNTIF($E119:$E122,$A$3))</f>
        <v/>
      </c>
      <c r="X122" s="53" t="n">
        <f aca="false">IF($F122="","",COUNTIF($F119:$F122,T$21)+COUNTIF($F119:$F122,$A$3))</f>
        <v>1</v>
      </c>
      <c r="Z122" s="65" t="n">
        <f aca="false">IF($B122="","",COUNTIF($B119:$B122,Z$21)+COUNTIF($B119:$B122,$A$3))</f>
        <v>0</v>
      </c>
      <c r="AA122" s="52" t="n">
        <f aca="false">IF($C122="","",COUNTIF($C119:$C122,Z$21)+COUNTIF($C119:$C122,$A$3))</f>
        <v>0</v>
      </c>
      <c r="AB122" s="52" t="n">
        <f aca="false">IF($D122="","",COUNTIF($D119:$D122,Z$21)+COUNTIF($D119:$D122,$A$3))</f>
        <v>0</v>
      </c>
      <c r="AC122" s="52" t="str">
        <f aca="false">IF($E122="","",COUNTIF($E119:$E122,Z$21)+COUNTIF($E119:$E122,$A$3))</f>
        <v/>
      </c>
      <c r="AD122" s="53" t="n">
        <f aca="false">IF($F122="","",COUNTIF($F119:$F122,Z$21)+COUNTIF($F119:$F122,$A$3))</f>
        <v>0</v>
      </c>
      <c r="AF122" s="65" t="n">
        <f aca="false">IF($B122="","",COUNTIF($B119:$B122,AF$21)+COUNTIF($B119:$B122,$A$3))</f>
        <v>0</v>
      </c>
      <c r="AG122" s="52" t="n">
        <f aca="false">IF($C122="","",COUNTIF($C119:$C122,AF$21)+COUNTIF($C119:$C122,$A$3))</f>
        <v>0</v>
      </c>
      <c r="AH122" s="52" t="n">
        <f aca="false">IF($D122="","",COUNTIF($D119:$D122,AF$21)+COUNTIF($D119:$D122,$A$3))</f>
        <v>0</v>
      </c>
      <c r="AI122" s="52" t="str">
        <f aca="false">IF($E122="","",COUNTIF($E119:$E122,AF$21)+COUNTIF($E119:$E122,$A$3))</f>
        <v/>
      </c>
      <c r="AJ122" s="53" t="n">
        <f aca="false">IF($F122="","",COUNTIF($F119:$F122,AF$21)+COUNTIF($F119:$F122,$A$3))</f>
        <v>0</v>
      </c>
      <c r="AL122" s="65" t="n">
        <f aca="false">IF($B122="","",COUNTIF($B119:$B122,AL$21)+COUNTIF($B119:$B122,$A$3))</f>
        <v>0</v>
      </c>
      <c r="AM122" s="52" t="n">
        <f aca="false">IF($C122="","",COUNTIF($C119:$C122,AL$21)+COUNTIF($C119:$C122,$A$3))</f>
        <v>0</v>
      </c>
      <c r="AN122" s="52" t="n">
        <f aca="false">IF($D122="","",COUNTIF($D119:$D122,AL$21)+COUNTIF($D119:$D122,$A$3))</f>
        <v>0</v>
      </c>
      <c r="AO122" s="52" t="str">
        <f aca="false">IF($E122="","",COUNTIF($E119:$E122,AL$21)+COUNTIF($E119:$E122,$A$3))</f>
        <v/>
      </c>
      <c r="AP122" s="53" t="n">
        <f aca="false">IF($F122="","",COUNTIF($F119:$F122,AL$21)+COUNTIF($F119:$F122,$A$3))</f>
        <v>0</v>
      </c>
      <c r="AR122" s="65" t="n">
        <f aca="false">IF($B122="","",COUNTIF($B119:$B122,AR$21)+COUNTIF($B119:$B122,$A$3))</f>
        <v>0</v>
      </c>
      <c r="AS122" s="52" t="n">
        <f aca="false">IF($C122="","",COUNTIF($C119:$C122,AR$21)+COUNTIF($C119:$C122,$A$3))</f>
        <v>0</v>
      </c>
      <c r="AT122" s="52" t="n">
        <f aca="false">IF($D122="","",COUNTIF($D119:$D122,AR$21)+COUNTIF($D119:$D122,$A$3))</f>
        <v>1</v>
      </c>
      <c r="AU122" s="52" t="str">
        <f aca="false">IF($E122="","",COUNTIF($E119:$E122,AR$21)+COUNTIF($E119:$E122,$A$3))</f>
        <v/>
      </c>
      <c r="AV122" s="53" t="n">
        <f aca="false">IF($F122="","",COUNTIF($F119:$F122,AR$21)+COUNTIF($F119:$F122,$A$3))</f>
        <v>0</v>
      </c>
      <c r="AX122" s="65" t="n">
        <f aca="false">IF($B122="","",COUNTIF($B119:$B122,AX$21)+COUNTIF($B119:$B122,$A$3))</f>
        <v>1</v>
      </c>
      <c r="AY122" s="52" t="n">
        <f aca="false">IF($C122="","",COUNTIF($C119:$C122,AX$21)+COUNTIF($C119:$C122,$A$3))</f>
        <v>1</v>
      </c>
      <c r="AZ122" s="52" t="n">
        <f aca="false">IF($D122="","",COUNTIF($D119:$D122,AX$21)+COUNTIF($D119:$D122,$A$3))</f>
        <v>1</v>
      </c>
      <c r="BA122" s="52" t="str">
        <f aca="false">IF($E122="","",COUNTIF($E119:$E122,AX$21)+COUNTIF($E119:$E122,$A$3))</f>
        <v/>
      </c>
      <c r="BB122" s="53" t="n">
        <f aca="false">IF($F122="","",COUNTIF($F119:$F122,AX$21)+COUNTIF($F119:$F122,$A$3))</f>
        <v>1</v>
      </c>
      <c r="BD122" s="65" t="n">
        <f aca="false">IF($B122="","",COUNTIF($B119:$B122,BD$21)+COUNTIF($B119:$B122,$A$3))</f>
        <v>0</v>
      </c>
      <c r="BE122" s="52" t="n">
        <f aca="false">IF($C122="","",COUNTIF($C119:$C122,BD$21)+COUNTIF($C119:$C122,$A$3))</f>
        <v>1</v>
      </c>
      <c r="BF122" s="52" t="n">
        <f aca="false">IF($D122="","",COUNTIF($D119:$D122,BD$21)+COUNTIF($D119:$D122,$A$3))</f>
        <v>1</v>
      </c>
      <c r="BG122" s="52" t="str">
        <f aca="false">IF($E122="","",COUNTIF($E119:$E122,BD$21)+COUNTIF($E119:$E122,$A$3))</f>
        <v/>
      </c>
      <c r="BH122" s="53" t="n">
        <f aca="false">IF($F122="","",COUNTIF($F119:$F122,BD$21)+COUNTIF($F119:$F122,$A$3))</f>
        <v>0</v>
      </c>
      <c r="BJ122" s="65" t="n">
        <f aca="false">IF($B122="","",COUNTIF($B119:$B122,BJ$21)+COUNTIF($B119:$B122,$A$3))</f>
        <v>1</v>
      </c>
      <c r="BK122" s="52" t="n">
        <f aca="false">IF($C122="","",COUNTIF($C119:$C122,BJ$21)+COUNTIF($C119:$C122,$A$3))</f>
        <v>1</v>
      </c>
      <c r="BL122" s="52" t="n">
        <f aca="false">IF($D122="","",COUNTIF($D119:$D122,BJ$21)+COUNTIF($D119:$D122,$A$3))</f>
        <v>0</v>
      </c>
      <c r="BM122" s="52" t="str">
        <f aca="false">IF($E122="","",COUNTIF($E119:$E122,BJ$21)+COUNTIF($E119:$E122,$A$3))</f>
        <v/>
      </c>
      <c r="BN122" s="53" t="n">
        <f aca="false">IF($F122="","",COUNTIF($F119:$F122,BJ$21)+COUNTIF($F119:$F122,$A$3))</f>
        <v>1</v>
      </c>
      <c r="BP122" s="65" t="n">
        <f aca="false">IF($B122="","",COUNTIF($B119:$B122,BP$21)+COUNTIF($B119:$B122,$A$3))</f>
        <v>0</v>
      </c>
      <c r="BQ122" s="52" t="n">
        <f aca="false">IF($C122="","",COUNTIF($C119:$C122,BP$21)+COUNTIF($C119:$C122,$A$3))</f>
        <v>0</v>
      </c>
      <c r="BR122" s="52" t="n">
        <f aca="false">IF($D122="","",COUNTIF($D119:$D122,BP$21)+COUNTIF($D119:$D122,$A$3))</f>
        <v>0</v>
      </c>
      <c r="BS122" s="52" t="str">
        <f aca="false">IF($E122="","",COUNTIF($E119:$E122,BP$21)+COUNTIF($E119:$E122,$A$3))</f>
        <v/>
      </c>
      <c r="BT122" s="53" t="n">
        <f aca="false">IF($F122="","",COUNTIF($F119:$F122,BP$21)+COUNTIF($F119:$F122,$A$3))</f>
        <v>0</v>
      </c>
    </row>
    <row r="123" customFormat="false" ht="15" hidden="false" customHeight="false" outlineLevel="0" collapsed="false">
      <c r="A123" s="13" t="n">
        <v>101</v>
      </c>
      <c r="B123" s="116" t="n">
        <f aca="false">IF('Game Info'!J106="","",'Game Info'!J106)</f>
        <v>9</v>
      </c>
      <c r="C123" s="116" t="str">
        <f aca="false">IF('Game Info'!K106="","",'Game Info'!K106)</f>
        <v>A</v>
      </c>
      <c r="D123" s="116" t="str">
        <f aca="false">IF('Game Info'!L106="","",'Game Info'!L106)</f>
        <v>SYM1</v>
      </c>
      <c r="E123" s="116" t="str">
        <f aca="false">IF('Game Info'!M106="","",'Game Info'!M106)</f>
        <v/>
      </c>
      <c r="F123" s="117" t="str">
        <f aca="false">IF('Game Info'!N106="","",'Game Info'!N106)</f>
        <v>K</v>
      </c>
      <c r="H123" s="65" t="n">
        <f aca="false">IF($B123="","",COUNTIF($B120:$B123,H$21)+COUNTIF($B120:$B123,$A$3))</f>
        <v>0</v>
      </c>
      <c r="I123" s="52" t="n">
        <f aca="false">IF($C123="","",COUNTIF($C120:$C123,H$21)+COUNTIF($C120:$C123,$A$3))</f>
        <v>0</v>
      </c>
      <c r="J123" s="52" t="n">
        <f aca="false">IF($D123="","",COUNTIF($D120:$D123,H$21)+COUNTIF($D120:$D123,$A$3))</f>
        <v>1</v>
      </c>
      <c r="K123" s="52" t="str">
        <f aca="false">IF($E123="","",COUNTIF($E120:$E123,H$21)+COUNTIF($E120:$E123,$A$3))</f>
        <v/>
      </c>
      <c r="L123" s="53" t="n">
        <f aca="false">IF($F123="","",COUNTIF($F120:$F123,H$21)+COUNTIF($F120:$F123,$A$3))</f>
        <v>0</v>
      </c>
      <c r="N123" s="65" t="n">
        <f aca="false">IF($B123="","",COUNTIF($B120:$B123,N$21)+COUNTIF($B120:$B123,$A$3))</f>
        <v>0</v>
      </c>
      <c r="O123" s="52" t="n">
        <f aca="false">IF($C123="","",COUNTIF($C120:$C123,N$21)+COUNTIF($C120:$C123,$A$3))</f>
        <v>0</v>
      </c>
      <c r="P123" s="52" t="n">
        <f aca="false">IF($D123="","",COUNTIF($D120:$D123,N$21)+COUNTIF($D120:$D123,$A$3))</f>
        <v>0</v>
      </c>
      <c r="Q123" s="52" t="str">
        <f aca="false">IF($E123="","",COUNTIF($E120:$E123,N$21)+COUNTIF($E120:$E123,$A$3))</f>
        <v/>
      </c>
      <c r="R123" s="53" t="n">
        <f aca="false">IF($F123="","",COUNTIF($F120:$F123,N$21)+COUNTIF($F120:$F123,$A$3))</f>
        <v>0</v>
      </c>
      <c r="T123" s="65" t="n">
        <f aca="false">IF($B123="","",COUNTIF($B120:$B123,T$21)+COUNTIF($B120:$B123,$A$3))</f>
        <v>1</v>
      </c>
      <c r="U123" s="52" t="n">
        <f aca="false">IF($C123="","",COUNTIF($C120:$C123,T$21)+COUNTIF($C120:$C123,$A$3))</f>
        <v>1</v>
      </c>
      <c r="V123" s="52" t="n">
        <f aca="false">IF($D123="","",COUNTIF($D120:$D123,T$21)+COUNTIF($D120:$D123,$A$3))</f>
        <v>0</v>
      </c>
      <c r="W123" s="52" t="str">
        <f aca="false">IF($E123="","",COUNTIF($E120:$E123,T$21)+COUNTIF($E120:$E123,$A$3))</f>
        <v/>
      </c>
      <c r="X123" s="53" t="n">
        <f aca="false">IF($F123="","",COUNTIF($F120:$F123,T$21)+COUNTIF($F120:$F123,$A$3))</f>
        <v>1</v>
      </c>
      <c r="Z123" s="65" t="n">
        <f aca="false">IF($B123="","",COUNTIF($B120:$B123,Z$21)+COUNTIF($B120:$B123,$A$3))</f>
        <v>0</v>
      </c>
      <c r="AA123" s="52" t="n">
        <f aca="false">IF($C123="","",COUNTIF($C120:$C123,Z$21)+COUNTIF($C120:$C123,$A$3))</f>
        <v>0</v>
      </c>
      <c r="AB123" s="52" t="n">
        <f aca="false">IF($D123="","",COUNTIF($D120:$D123,Z$21)+COUNTIF($D120:$D123,$A$3))</f>
        <v>0</v>
      </c>
      <c r="AC123" s="52" t="str">
        <f aca="false">IF($E123="","",COUNTIF($E120:$E123,Z$21)+COUNTIF($E120:$E123,$A$3))</f>
        <v/>
      </c>
      <c r="AD123" s="53" t="n">
        <f aca="false">IF($F123="","",COUNTIF($F120:$F123,Z$21)+COUNTIF($F120:$F123,$A$3))</f>
        <v>0</v>
      </c>
      <c r="AF123" s="65" t="n">
        <f aca="false">IF($B123="","",COUNTIF($B120:$B123,AF$21)+COUNTIF($B120:$B123,$A$3))</f>
        <v>0</v>
      </c>
      <c r="AG123" s="52" t="n">
        <f aca="false">IF($C123="","",COUNTIF($C120:$C123,AF$21)+COUNTIF($C120:$C123,$A$3))</f>
        <v>0</v>
      </c>
      <c r="AH123" s="52" t="n">
        <f aca="false">IF($D123="","",COUNTIF($D120:$D123,AF$21)+COUNTIF($D120:$D123,$A$3))</f>
        <v>0</v>
      </c>
      <c r="AI123" s="52" t="str">
        <f aca="false">IF($E123="","",COUNTIF($E120:$E123,AF$21)+COUNTIF($E120:$E123,$A$3))</f>
        <v/>
      </c>
      <c r="AJ123" s="53" t="n">
        <f aca="false">IF($F123="","",COUNTIF($F120:$F123,AF$21)+COUNTIF($F120:$F123,$A$3))</f>
        <v>0</v>
      </c>
      <c r="AL123" s="65" t="n">
        <f aca="false">IF($B123="","",COUNTIF($B120:$B123,AL$21)+COUNTIF($B120:$B123,$A$3))</f>
        <v>0</v>
      </c>
      <c r="AM123" s="52" t="n">
        <f aca="false">IF($C123="","",COUNTIF($C120:$C123,AL$21)+COUNTIF($C120:$C123,$A$3))</f>
        <v>1</v>
      </c>
      <c r="AN123" s="52" t="n">
        <f aca="false">IF($D123="","",COUNTIF($D120:$D123,AL$21)+COUNTIF($D120:$D123,$A$3))</f>
        <v>0</v>
      </c>
      <c r="AO123" s="52" t="str">
        <f aca="false">IF($E123="","",COUNTIF($E120:$E123,AL$21)+COUNTIF($E120:$E123,$A$3))</f>
        <v/>
      </c>
      <c r="AP123" s="53" t="n">
        <f aca="false">IF($F123="","",COUNTIF($F120:$F123,AL$21)+COUNTIF($F120:$F123,$A$3))</f>
        <v>0</v>
      </c>
      <c r="AR123" s="65" t="n">
        <f aca="false">IF($B123="","",COUNTIF($B120:$B123,AR$21)+COUNTIF($B120:$B123,$A$3))</f>
        <v>0</v>
      </c>
      <c r="AS123" s="52" t="n">
        <f aca="false">IF($C123="","",COUNTIF($C120:$C123,AR$21)+COUNTIF($C120:$C123,$A$3))</f>
        <v>0</v>
      </c>
      <c r="AT123" s="52" t="n">
        <f aca="false">IF($D123="","",COUNTIF($D120:$D123,AR$21)+COUNTIF($D120:$D123,$A$3))</f>
        <v>1</v>
      </c>
      <c r="AU123" s="52" t="str">
        <f aca="false">IF($E123="","",COUNTIF($E120:$E123,AR$21)+COUNTIF($E120:$E123,$A$3))</f>
        <v/>
      </c>
      <c r="AV123" s="53" t="n">
        <f aca="false">IF($F123="","",COUNTIF($F120:$F123,AR$21)+COUNTIF($F120:$F123,$A$3))</f>
        <v>1</v>
      </c>
      <c r="AX123" s="65" t="n">
        <f aca="false">IF($B123="","",COUNTIF($B120:$B123,AX$21)+COUNTIF($B120:$B123,$A$3))</f>
        <v>1</v>
      </c>
      <c r="AY123" s="52" t="n">
        <f aca="false">IF($C123="","",COUNTIF($C120:$C123,AX$21)+COUNTIF($C120:$C123,$A$3))</f>
        <v>1</v>
      </c>
      <c r="AZ123" s="52" t="n">
        <f aca="false">IF($D123="","",COUNTIF($D120:$D123,AX$21)+COUNTIF($D120:$D123,$A$3))</f>
        <v>0</v>
      </c>
      <c r="BA123" s="52" t="str">
        <f aca="false">IF($E123="","",COUNTIF($E120:$E123,AX$21)+COUNTIF($E120:$E123,$A$3))</f>
        <v/>
      </c>
      <c r="BB123" s="53" t="n">
        <f aca="false">IF($F123="","",COUNTIF($F120:$F123,AX$21)+COUNTIF($F120:$F123,$A$3))</f>
        <v>1</v>
      </c>
      <c r="BD123" s="65" t="n">
        <f aca="false">IF($B123="","",COUNTIF($B120:$B123,BD$21)+COUNTIF($B120:$B123,$A$3))</f>
        <v>0</v>
      </c>
      <c r="BE123" s="52" t="n">
        <f aca="false">IF($C123="","",COUNTIF($C120:$C123,BD$21)+COUNTIF($C120:$C123,$A$3))</f>
        <v>0</v>
      </c>
      <c r="BF123" s="52" t="n">
        <f aca="false">IF($D123="","",COUNTIF($D120:$D123,BD$21)+COUNTIF($D120:$D123,$A$3))</f>
        <v>1</v>
      </c>
      <c r="BG123" s="52" t="str">
        <f aca="false">IF($E123="","",COUNTIF($E120:$E123,BD$21)+COUNTIF($E120:$E123,$A$3))</f>
        <v/>
      </c>
      <c r="BH123" s="53" t="n">
        <f aca="false">IF($F123="","",COUNTIF($F120:$F123,BD$21)+COUNTIF($F120:$F123,$A$3))</f>
        <v>0</v>
      </c>
      <c r="BJ123" s="65" t="n">
        <f aca="false">IF($B123="","",COUNTIF($B120:$B123,BJ$21)+COUNTIF($B120:$B123,$A$3))</f>
        <v>1</v>
      </c>
      <c r="BK123" s="52" t="n">
        <f aca="false">IF($C123="","",COUNTIF($C120:$C123,BJ$21)+COUNTIF($C120:$C123,$A$3))</f>
        <v>1</v>
      </c>
      <c r="BL123" s="52" t="n">
        <f aca="false">IF($D123="","",COUNTIF($D120:$D123,BJ$21)+COUNTIF($D120:$D123,$A$3))</f>
        <v>0</v>
      </c>
      <c r="BM123" s="52" t="str">
        <f aca="false">IF($E123="","",COUNTIF($E120:$E123,BJ$21)+COUNTIF($E120:$E123,$A$3))</f>
        <v/>
      </c>
      <c r="BN123" s="53" t="n">
        <f aca="false">IF($F123="","",COUNTIF($F120:$F123,BJ$21)+COUNTIF($F120:$F123,$A$3))</f>
        <v>1</v>
      </c>
      <c r="BP123" s="65" t="n">
        <f aca="false">IF($B123="","",COUNTIF($B120:$B123,BP$21)+COUNTIF($B120:$B123,$A$3))</f>
        <v>1</v>
      </c>
      <c r="BQ123" s="52" t="n">
        <f aca="false">IF($C123="","",COUNTIF($C120:$C123,BP$21)+COUNTIF($C120:$C123,$A$3))</f>
        <v>0</v>
      </c>
      <c r="BR123" s="52" t="n">
        <f aca="false">IF($D123="","",COUNTIF($D120:$D123,BP$21)+COUNTIF($D120:$D123,$A$3))</f>
        <v>0</v>
      </c>
      <c r="BS123" s="52" t="str">
        <f aca="false">IF($E123="","",COUNTIF($E120:$E123,BP$21)+COUNTIF($E120:$E123,$A$3))</f>
        <v/>
      </c>
      <c r="BT123" s="53" t="n">
        <f aca="false">IF($F123="","",COUNTIF($F120:$F123,BP$21)+COUNTIF($F120:$F123,$A$3))</f>
        <v>0</v>
      </c>
    </row>
    <row r="124" customFormat="false" ht="15" hidden="false" customHeight="false" outlineLevel="0" collapsed="false">
      <c r="A124" s="13" t="n">
        <v>102</v>
      </c>
      <c r="B124" s="116" t="str">
        <f aca="false">IF('Game Info'!J107="","",'Game Info'!J107)</f>
        <v>SYM2</v>
      </c>
      <c r="C124" s="116" t="str">
        <f aca="false">IF('Game Info'!K107="","",'Game Info'!K107)</f>
        <v>SYM4</v>
      </c>
      <c r="D124" s="116" t="str">
        <f aca="false">IF('Game Info'!L107="","",'Game Info'!L107)</f>
        <v>Q</v>
      </c>
      <c r="E124" s="116" t="str">
        <f aca="false">IF('Game Info'!M107="","",'Game Info'!M107)</f>
        <v/>
      </c>
      <c r="F124" s="117" t="str">
        <f aca="false">IF('Game Info'!N107="","",'Game Info'!N107)</f>
        <v>SYM2</v>
      </c>
      <c r="H124" s="65" t="n">
        <f aca="false">IF($B124="","",COUNTIF($B121:$B124,H$21)+COUNTIF($B121:$B124,$A$3))</f>
        <v>0</v>
      </c>
      <c r="I124" s="52" t="n">
        <f aca="false">IF($C124="","",COUNTIF($C121:$C124,H$21)+COUNTIF($C121:$C124,$A$3))</f>
        <v>0</v>
      </c>
      <c r="J124" s="52" t="n">
        <f aca="false">IF($D124="","",COUNTIF($D121:$D124,H$21)+COUNTIF($D121:$D124,$A$3))</f>
        <v>1</v>
      </c>
      <c r="K124" s="52" t="str">
        <f aca="false">IF($E124="","",COUNTIF($E121:$E124,H$21)+COUNTIF($E121:$E124,$A$3))</f>
        <v/>
      </c>
      <c r="L124" s="53" t="n">
        <f aca="false">IF($F124="","",COUNTIF($F121:$F124,H$21)+COUNTIF($F121:$F124,$A$3))</f>
        <v>0</v>
      </c>
      <c r="N124" s="65" t="n">
        <f aca="false">IF($B124="","",COUNTIF($B121:$B124,N$21)+COUNTIF($B121:$B124,$A$3))</f>
        <v>1</v>
      </c>
      <c r="O124" s="52" t="n">
        <f aca="false">IF($C124="","",COUNTIF($C121:$C124,N$21)+COUNTIF($C121:$C124,$A$3))</f>
        <v>0</v>
      </c>
      <c r="P124" s="52" t="n">
        <f aca="false">IF($D124="","",COUNTIF($D121:$D124,N$21)+COUNTIF($D121:$D124,$A$3))</f>
        <v>0</v>
      </c>
      <c r="Q124" s="52" t="str">
        <f aca="false">IF($E124="","",COUNTIF($E121:$E124,N$21)+COUNTIF($E121:$E124,$A$3))</f>
        <v/>
      </c>
      <c r="R124" s="53" t="n">
        <f aca="false">IF($F124="","",COUNTIF($F121:$F124,N$21)+COUNTIF($F121:$F124,$A$3))</f>
        <v>1</v>
      </c>
      <c r="T124" s="65" t="n">
        <f aca="false">IF($B124="","",COUNTIF($B121:$B124,T$21)+COUNTIF($B121:$B124,$A$3))</f>
        <v>1</v>
      </c>
      <c r="U124" s="52" t="n">
        <f aca="false">IF($C124="","",COUNTIF($C121:$C124,T$21)+COUNTIF($C121:$C124,$A$3))</f>
        <v>1</v>
      </c>
      <c r="V124" s="52" t="n">
        <f aca="false">IF($D124="","",COUNTIF($D121:$D124,T$21)+COUNTIF($D121:$D124,$A$3))</f>
        <v>0</v>
      </c>
      <c r="W124" s="52" t="str">
        <f aca="false">IF($E124="","",COUNTIF($E121:$E124,T$21)+COUNTIF($E121:$E124,$A$3))</f>
        <v/>
      </c>
      <c r="X124" s="53" t="n">
        <f aca="false">IF($F124="","",COUNTIF($F121:$F124,T$21)+COUNTIF($F121:$F124,$A$3))</f>
        <v>1</v>
      </c>
      <c r="Z124" s="65" t="n">
        <f aca="false">IF($B124="","",COUNTIF($B121:$B124,Z$21)+COUNTIF($B121:$B124,$A$3))</f>
        <v>0</v>
      </c>
      <c r="AA124" s="52" t="n">
        <f aca="false">IF($C124="","",COUNTIF($C121:$C124,Z$21)+COUNTIF($C121:$C124,$A$3))</f>
        <v>1</v>
      </c>
      <c r="AB124" s="52" t="n">
        <f aca="false">IF($D124="","",COUNTIF($D121:$D124,Z$21)+COUNTIF($D121:$D124,$A$3))</f>
        <v>0</v>
      </c>
      <c r="AC124" s="52" t="str">
        <f aca="false">IF($E124="","",COUNTIF($E121:$E124,Z$21)+COUNTIF($E121:$E124,$A$3))</f>
        <v/>
      </c>
      <c r="AD124" s="53" t="n">
        <f aca="false">IF($F124="","",COUNTIF($F121:$F124,Z$21)+COUNTIF($F121:$F124,$A$3))</f>
        <v>0</v>
      </c>
      <c r="AF124" s="65" t="n">
        <f aca="false">IF($B124="","",COUNTIF($B121:$B124,AF$21)+COUNTIF($B121:$B124,$A$3))</f>
        <v>0</v>
      </c>
      <c r="AG124" s="52" t="n">
        <f aca="false">IF($C124="","",COUNTIF($C121:$C124,AF$21)+COUNTIF($C121:$C124,$A$3))</f>
        <v>0</v>
      </c>
      <c r="AH124" s="52" t="n">
        <f aca="false">IF($D124="","",COUNTIF($D121:$D124,AF$21)+COUNTIF($D121:$D124,$A$3))</f>
        <v>0</v>
      </c>
      <c r="AI124" s="52" t="str">
        <f aca="false">IF($E124="","",COUNTIF($E121:$E124,AF$21)+COUNTIF($E121:$E124,$A$3))</f>
        <v/>
      </c>
      <c r="AJ124" s="53" t="n">
        <f aca="false">IF($F124="","",COUNTIF($F121:$F124,AF$21)+COUNTIF($F121:$F124,$A$3))</f>
        <v>0</v>
      </c>
      <c r="AL124" s="65" t="n">
        <f aca="false">IF($B124="","",COUNTIF($B121:$B124,AL$21)+COUNTIF($B121:$B124,$A$3))</f>
        <v>0</v>
      </c>
      <c r="AM124" s="52" t="n">
        <f aca="false">IF($C124="","",COUNTIF($C121:$C124,AL$21)+COUNTIF($C121:$C124,$A$3))</f>
        <v>1</v>
      </c>
      <c r="AN124" s="52" t="n">
        <f aca="false">IF($D124="","",COUNTIF($D121:$D124,AL$21)+COUNTIF($D121:$D124,$A$3))</f>
        <v>0</v>
      </c>
      <c r="AO124" s="52" t="str">
        <f aca="false">IF($E124="","",COUNTIF($E121:$E124,AL$21)+COUNTIF($E121:$E124,$A$3))</f>
        <v/>
      </c>
      <c r="AP124" s="53" t="n">
        <f aca="false">IF($F124="","",COUNTIF($F121:$F124,AL$21)+COUNTIF($F121:$F124,$A$3))</f>
        <v>0</v>
      </c>
      <c r="AR124" s="65" t="n">
        <f aca="false">IF($B124="","",COUNTIF($B121:$B124,AR$21)+COUNTIF($B121:$B124,$A$3))</f>
        <v>0</v>
      </c>
      <c r="AS124" s="52" t="n">
        <f aca="false">IF($C124="","",COUNTIF($C121:$C124,AR$21)+COUNTIF($C121:$C124,$A$3))</f>
        <v>0</v>
      </c>
      <c r="AT124" s="52" t="n">
        <f aca="false">IF($D124="","",COUNTIF($D121:$D124,AR$21)+COUNTIF($D121:$D124,$A$3))</f>
        <v>0</v>
      </c>
      <c r="AU124" s="52" t="str">
        <f aca="false">IF($E124="","",COUNTIF($E121:$E124,AR$21)+COUNTIF($E121:$E124,$A$3))</f>
        <v/>
      </c>
      <c r="AV124" s="53" t="n">
        <f aca="false">IF($F124="","",COUNTIF($F121:$F124,AR$21)+COUNTIF($F121:$F124,$A$3))</f>
        <v>1</v>
      </c>
      <c r="AX124" s="65" t="n">
        <f aca="false">IF($B124="","",COUNTIF($B121:$B124,AX$21)+COUNTIF($B121:$B124,$A$3))</f>
        <v>0</v>
      </c>
      <c r="AY124" s="52" t="n">
        <f aca="false">IF($C124="","",COUNTIF($C121:$C124,AX$21)+COUNTIF($C121:$C124,$A$3))</f>
        <v>0</v>
      </c>
      <c r="AZ124" s="52" t="n">
        <f aca="false">IF($D124="","",COUNTIF($D121:$D124,AX$21)+COUNTIF($D121:$D124,$A$3))</f>
        <v>1</v>
      </c>
      <c r="BA124" s="52" t="str">
        <f aca="false">IF($E124="","",COUNTIF($E121:$E124,AX$21)+COUNTIF($E121:$E124,$A$3))</f>
        <v/>
      </c>
      <c r="BB124" s="53" t="n">
        <f aca="false">IF($F124="","",COUNTIF($F121:$F124,AX$21)+COUNTIF($F121:$F124,$A$3))</f>
        <v>1</v>
      </c>
      <c r="BD124" s="65" t="n">
        <f aca="false">IF($B124="","",COUNTIF($B121:$B124,BD$21)+COUNTIF($B121:$B124,$A$3))</f>
        <v>0</v>
      </c>
      <c r="BE124" s="52" t="n">
        <f aca="false">IF($C124="","",COUNTIF($C121:$C124,BD$21)+COUNTIF($C121:$C124,$A$3))</f>
        <v>0</v>
      </c>
      <c r="BF124" s="52" t="n">
        <f aca="false">IF($D124="","",COUNTIF($D121:$D124,BD$21)+COUNTIF($D121:$D124,$A$3))</f>
        <v>1</v>
      </c>
      <c r="BG124" s="52" t="str">
        <f aca="false">IF($E124="","",COUNTIF($E121:$E124,BD$21)+COUNTIF($E121:$E124,$A$3))</f>
        <v/>
      </c>
      <c r="BH124" s="53" t="n">
        <f aca="false">IF($F124="","",COUNTIF($F121:$F124,BD$21)+COUNTIF($F121:$F124,$A$3))</f>
        <v>0</v>
      </c>
      <c r="BJ124" s="65" t="n">
        <f aca="false">IF($B124="","",COUNTIF($B121:$B124,BJ$21)+COUNTIF($B121:$B124,$A$3))</f>
        <v>1</v>
      </c>
      <c r="BK124" s="52" t="n">
        <f aca="false">IF($C124="","",COUNTIF($C121:$C124,BJ$21)+COUNTIF($C121:$C124,$A$3))</f>
        <v>1</v>
      </c>
      <c r="BL124" s="52" t="n">
        <f aca="false">IF($D124="","",COUNTIF($D121:$D124,BJ$21)+COUNTIF($D121:$D124,$A$3))</f>
        <v>0</v>
      </c>
      <c r="BM124" s="52" t="str">
        <f aca="false">IF($E124="","",COUNTIF($E121:$E124,BJ$21)+COUNTIF($E121:$E124,$A$3))</f>
        <v/>
      </c>
      <c r="BN124" s="53" t="n">
        <f aca="false">IF($F124="","",COUNTIF($F121:$F124,BJ$21)+COUNTIF($F121:$F124,$A$3))</f>
        <v>0</v>
      </c>
      <c r="BP124" s="65" t="n">
        <f aca="false">IF($B124="","",COUNTIF($B121:$B124,BP$21)+COUNTIF($B121:$B124,$A$3))</f>
        <v>1</v>
      </c>
      <c r="BQ124" s="52" t="n">
        <f aca="false">IF($C124="","",COUNTIF($C121:$C124,BP$21)+COUNTIF($C121:$C124,$A$3))</f>
        <v>0</v>
      </c>
      <c r="BR124" s="52" t="n">
        <f aca="false">IF($D124="","",COUNTIF($D121:$D124,BP$21)+COUNTIF($D121:$D124,$A$3))</f>
        <v>0</v>
      </c>
      <c r="BS124" s="52" t="str">
        <f aca="false">IF($E124="","",COUNTIF($E121:$E124,BP$21)+COUNTIF($E121:$E124,$A$3))</f>
        <v/>
      </c>
      <c r="BT124" s="53" t="n">
        <f aca="false">IF($F124="","",COUNTIF($F121:$F124,BP$21)+COUNTIF($F121:$F124,$A$3))</f>
        <v>0</v>
      </c>
    </row>
    <row r="125" customFormat="false" ht="15" hidden="false" customHeight="false" outlineLevel="0" collapsed="false">
      <c r="A125" s="13" t="n">
        <v>103</v>
      </c>
      <c r="B125" s="116" t="str">
        <f aca="false">IF('Game Info'!J108="","",'Game Info'!J108)</f>
        <v>K</v>
      </c>
      <c r="C125" s="116" t="str">
        <f aca="false">IF('Game Info'!K108="","",'Game Info'!K108)</f>
        <v/>
      </c>
      <c r="D125" s="116" t="str">
        <f aca="false">IF('Game Info'!L108="","",'Game Info'!L108)</f>
        <v>SYM3</v>
      </c>
      <c r="E125" s="116" t="str">
        <f aca="false">IF('Game Info'!M108="","",'Game Info'!M108)</f>
        <v/>
      </c>
      <c r="F125" s="117" t="str">
        <f aca="false">IF('Game Info'!N108="","",'Game Info'!N108)</f>
        <v>A</v>
      </c>
      <c r="H125" s="65" t="n">
        <f aca="false">IF($B125="","",COUNTIF($B122:$B125,H$21)+COUNTIF($B122:$B125,$A$3))</f>
        <v>0</v>
      </c>
      <c r="I125" s="52" t="str">
        <f aca="false">IF($C125="","",COUNTIF($C122:$C125,H$21)+COUNTIF($C122:$C125,$A$3))</f>
        <v/>
      </c>
      <c r="J125" s="52" t="n">
        <f aca="false">IF($D125="","",COUNTIF($D122:$D125,H$21)+COUNTIF($D122:$D125,$A$3))</f>
        <v>1</v>
      </c>
      <c r="K125" s="52" t="str">
        <f aca="false">IF($E125="","",COUNTIF($E122:$E125,H$21)+COUNTIF($E122:$E125,$A$3))</f>
        <v/>
      </c>
      <c r="L125" s="53" t="n">
        <f aca="false">IF($F125="","",COUNTIF($F122:$F125,H$21)+COUNTIF($F122:$F125,$A$3))</f>
        <v>0</v>
      </c>
      <c r="N125" s="65" t="n">
        <f aca="false">IF($B125="","",COUNTIF($B122:$B125,N$21)+COUNTIF($B122:$B125,$A$3))</f>
        <v>1</v>
      </c>
      <c r="O125" s="52" t="str">
        <f aca="false">IF($C125="","",COUNTIF($C122:$C125,N$21)+COUNTIF($C122:$C125,$A$3))</f>
        <v/>
      </c>
      <c r="P125" s="52" t="n">
        <f aca="false">IF($D125="","",COUNTIF($D122:$D125,N$21)+COUNTIF($D122:$D125,$A$3))</f>
        <v>0</v>
      </c>
      <c r="Q125" s="52" t="str">
        <f aca="false">IF($E125="","",COUNTIF($E122:$E125,N$21)+COUNTIF($E122:$E125,$A$3))</f>
        <v/>
      </c>
      <c r="R125" s="53" t="n">
        <f aca="false">IF($F125="","",COUNTIF($F122:$F125,N$21)+COUNTIF($F122:$F125,$A$3))</f>
        <v>1</v>
      </c>
      <c r="T125" s="65" t="n">
        <f aca="false">IF($B125="","",COUNTIF($B122:$B125,T$21)+COUNTIF($B122:$B125,$A$3))</f>
        <v>1</v>
      </c>
      <c r="U125" s="52" t="str">
        <f aca="false">IF($C125="","",COUNTIF($C122:$C125,T$21)+COUNTIF($C122:$C125,$A$3))</f>
        <v/>
      </c>
      <c r="V125" s="52" t="n">
        <f aca="false">IF($D125="","",COUNTIF($D122:$D125,T$21)+COUNTIF($D122:$D125,$A$3))</f>
        <v>1</v>
      </c>
      <c r="W125" s="52" t="str">
        <f aca="false">IF($E125="","",COUNTIF($E122:$E125,T$21)+COUNTIF($E122:$E125,$A$3))</f>
        <v/>
      </c>
      <c r="X125" s="53" t="n">
        <f aca="false">IF($F125="","",COUNTIF($F122:$F125,T$21)+COUNTIF($F122:$F125,$A$3))</f>
        <v>0</v>
      </c>
      <c r="Z125" s="65" t="n">
        <f aca="false">IF($B125="","",COUNTIF($B122:$B125,Z$21)+COUNTIF($B122:$B125,$A$3))</f>
        <v>0</v>
      </c>
      <c r="AA125" s="52" t="str">
        <f aca="false">IF($C125="","",COUNTIF($C122:$C125,Z$21)+COUNTIF($C122:$C125,$A$3))</f>
        <v/>
      </c>
      <c r="AB125" s="52" t="n">
        <f aca="false">IF($D125="","",COUNTIF($D122:$D125,Z$21)+COUNTIF($D122:$D125,$A$3))</f>
        <v>0</v>
      </c>
      <c r="AC125" s="52" t="str">
        <f aca="false">IF($E125="","",COUNTIF($E122:$E125,Z$21)+COUNTIF($E122:$E125,$A$3))</f>
        <v/>
      </c>
      <c r="AD125" s="53" t="n">
        <f aca="false">IF($F125="","",COUNTIF($F122:$F125,Z$21)+COUNTIF($F122:$F125,$A$3))</f>
        <v>0</v>
      </c>
      <c r="AF125" s="65" t="n">
        <f aca="false">IF($B125="","",COUNTIF($B122:$B125,AF$21)+COUNTIF($B122:$B125,$A$3))</f>
        <v>0</v>
      </c>
      <c r="AG125" s="52" t="str">
        <f aca="false">IF($C125="","",COUNTIF($C122:$C125,AF$21)+COUNTIF($C122:$C125,$A$3))</f>
        <v/>
      </c>
      <c r="AH125" s="52" t="n">
        <f aca="false">IF($D125="","",COUNTIF($D122:$D125,AF$21)+COUNTIF($D122:$D125,$A$3))</f>
        <v>0</v>
      </c>
      <c r="AI125" s="52" t="str">
        <f aca="false">IF($E125="","",COUNTIF($E122:$E125,AF$21)+COUNTIF($E122:$E125,$A$3))</f>
        <v/>
      </c>
      <c r="AJ125" s="53" t="n">
        <f aca="false">IF($F125="","",COUNTIF($F122:$F125,AF$21)+COUNTIF($F122:$F125,$A$3))</f>
        <v>0</v>
      </c>
      <c r="AL125" s="65" t="n">
        <f aca="false">IF($B125="","",COUNTIF($B122:$B125,AL$21)+COUNTIF($B122:$B125,$A$3))</f>
        <v>0</v>
      </c>
      <c r="AM125" s="52" t="str">
        <f aca="false">IF($C125="","",COUNTIF($C122:$C125,AL$21)+COUNTIF($C122:$C125,$A$3))</f>
        <v/>
      </c>
      <c r="AN125" s="52" t="n">
        <f aca="false">IF($D125="","",COUNTIF($D122:$D125,AL$21)+COUNTIF($D122:$D125,$A$3))</f>
        <v>0</v>
      </c>
      <c r="AO125" s="52" t="str">
        <f aca="false">IF($E125="","",COUNTIF($E122:$E125,AL$21)+COUNTIF($E122:$E125,$A$3))</f>
        <v/>
      </c>
      <c r="AP125" s="53" t="n">
        <f aca="false">IF($F125="","",COUNTIF($F122:$F125,AL$21)+COUNTIF($F122:$F125,$A$3))</f>
        <v>1</v>
      </c>
      <c r="AR125" s="65" t="n">
        <f aca="false">IF($B125="","",COUNTIF($B122:$B125,AR$21)+COUNTIF($B122:$B125,$A$3))</f>
        <v>1</v>
      </c>
      <c r="AS125" s="52" t="str">
        <f aca="false">IF($C125="","",COUNTIF($C122:$C125,AR$21)+COUNTIF($C122:$C125,$A$3))</f>
        <v/>
      </c>
      <c r="AT125" s="52" t="n">
        <f aca="false">IF($D125="","",COUNTIF($D122:$D125,AR$21)+COUNTIF($D122:$D125,$A$3))</f>
        <v>0</v>
      </c>
      <c r="AU125" s="52" t="str">
        <f aca="false">IF($E125="","",COUNTIF($E122:$E125,AR$21)+COUNTIF($E122:$E125,$A$3))</f>
        <v/>
      </c>
      <c r="AV125" s="53" t="n">
        <f aca="false">IF($F125="","",COUNTIF($F122:$F125,AR$21)+COUNTIF($F122:$F125,$A$3))</f>
        <v>1</v>
      </c>
      <c r="AX125" s="65" t="n">
        <f aca="false">IF($B125="","",COUNTIF($B122:$B125,AX$21)+COUNTIF($B122:$B125,$A$3))</f>
        <v>0</v>
      </c>
      <c r="AY125" s="52" t="str">
        <f aca="false">IF($C125="","",COUNTIF($C122:$C125,AX$21)+COUNTIF($C122:$C125,$A$3))</f>
        <v/>
      </c>
      <c r="AZ125" s="52" t="n">
        <f aca="false">IF($D125="","",COUNTIF($D122:$D125,AX$21)+COUNTIF($D122:$D125,$A$3))</f>
        <v>1</v>
      </c>
      <c r="BA125" s="52" t="str">
        <f aca="false">IF($E125="","",COUNTIF($E122:$E125,AX$21)+COUNTIF($E122:$E125,$A$3))</f>
        <v/>
      </c>
      <c r="BB125" s="53" t="n">
        <f aca="false">IF($F125="","",COUNTIF($F122:$F125,AX$21)+COUNTIF($F122:$F125,$A$3))</f>
        <v>1</v>
      </c>
      <c r="BD125" s="65" t="n">
        <f aca="false">IF($B125="","",COUNTIF($B122:$B125,BD$21)+COUNTIF($B122:$B125,$A$3))</f>
        <v>0</v>
      </c>
      <c r="BE125" s="52" t="str">
        <f aca="false">IF($C125="","",COUNTIF($C122:$C125,BD$21)+COUNTIF($C122:$C125,$A$3))</f>
        <v/>
      </c>
      <c r="BF125" s="52" t="n">
        <f aca="false">IF($D125="","",COUNTIF($D122:$D125,BD$21)+COUNTIF($D122:$D125,$A$3))</f>
        <v>1</v>
      </c>
      <c r="BG125" s="52" t="str">
        <f aca="false">IF($E125="","",COUNTIF($E122:$E125,BD$21)+COUNTIF($E122:$E125,$A$3))</f>
        <v/>
      </c>
      <c r="BH125" s="53" t="n">
        <f aca="false">IF($F125="","",COUNTIF($F122:$F125,BD$21)+COUNTIF($F122:$F125,$A$3))</f>
        <v>0</v>
      </c>
      <c r="BJ125" s="65" t="n">
        <f aca="false">IF($B125="","",COUNTIF($B122:$B125,BJ$21)+COUNTIF($B122:$B125,$A$3))</f>
        <v>0</v>
      </c>
      <c r="BK125" s="52" t="str">
        <f aca="false">IF($C125="","",COUNTIF($C122:$C125,BJ$21)+COUNTIF($C122:$C125,$A$3))</f>
        <v/>
      </c>
      <c r="BL125" s="52" t="n">
        <f aca="false">IF($D125="","",COUNTIF($D122:$D125,BJ$21)+COUNTIF($D122:$D125,$A$3))</f>
        <v>0</v>
      </c>
      <c r="BM125" s="52" t="str">
        <f aca="false">IF($E125="","",COUNTIF($E122:$E125,BJ$21)+COUNTIF($E122:$E125,$A$3))</f>
        <v/>
      </c>
      <c r="BN125" s="53" t="n">
        <f aca="false">IF($F125="","",COUNTIF($F122:$F125,BJ$21)+COUNTIF($F122:$F125,$A$3))</f>
        <v>0</v>
      </c>
      <c r="BP125" s="65" t="n">
        <f aca="false">IF($B125="","",COUNTIF($B122:$B125,BP$21)+COUNTIF($B122:$B125,$A$3))</f>
        <v>1</v>
      </c>
      <c r="BQ125" s="52" t="str">
        <f aca="false">IF($C125="","",COUNTIF($C122:$C125,BP$21)+COUNTIF($C122:$C125,$A$3))</f>
        <v/>
      </c>
      <c r="BR125" s="52" t="n">
        <f aca="false">IF($D125="","",COUNTIF($D122:$D125,BP$21)+COUNTIF($D122:$D125,$A$3))</f>
        <v>0</v>
      </c>
      <c r="BS125" s="52" t="str">
        <f aca="false">IF($E125="","",COUNTIF($E122:$E125,BP$21)+COUNTIF($E122:$E125,$A$3))</f>
        <v/>
      </c>
      <c r="BT125" s="53" t="n">
        <f aca="false">IF($F125="","",COUNTIF($F122:$F125,BP$21)+COUNTIF($F122:$F125,$A$3))</f>
        <v>0</v>
      </c>
    </row>
    <row r="126" customFormat="false" ht="15" hidden="false" customHeight="false" outlineLevel="0" collapsed="false">
      <c r="A126" s="13" t="n">
        <v>104</v>
      </c>
      <c r="B126" s="116" t="str">
        <f aca="false">IF('Game Info'!J109="","",'Game Info'!J109)</f>
        <v>SYM3</v>
      </c>
      <c r="C126" s="116" t="str">
        <f aca="false">IF('Game Info'!K109="","",'Game Info'!K109)</f>
        <v/>
      </c>
      <c r="D126" s="116" t="str">
        <f aca="false">IF('Game Info'!L109="","",'Game Info'!L109)</f>
        <v>A</v>
      </c>
      <c r="E126" s="116" t="str">
        <f aca="false">IF('Game Info'!M109="","",'Game Info'!M109)</f>
        <v/>
      </c>
      <c r="F126" s="117" t="str">
        <f aca="false">IF('Game Info'!N109="","",'Game Info'!N109)</f>
        <v>SYM4</v>
      </c>
      <c r="H126" s="65" t="n">
        <f aca="false">IF($B126="","",COUNTIF($B123:$B126,H$21)+COUNTIF($B123:$B126,$A$3))</f>
        <v>0</v>
      </c>
      <c r="I126" s="52" t="str">
        <f aca="false">IF($C126="","",COUNTIF($C123:$C126,H$21)+COUNTIF($C123:$C126,$A$3))</f>
        <v/>
      </c>
      <c r="J126" s="52" t="n">
        <f aca="false">IF($D126="","",COUNTIF($D123:$D126,H$21)+COUNTIF($D123:$D126,$A$3))</f>
        <v>1</v>
      </c>
      <c r="K126" s="52" t="str">
        <f aca="false">IF($E126="","",COUNTIF($E123:$E126,H$21)+COUNTIF($E123:$E126,$A$3))</f>
        <v/>
      </c>
      <c r="L126" s="53" t="n">
        <f aca="false">IF($F126="","",COUNTIF($F123:$F126,H$21)+COUNTIF($F123:$F126,$A$3))</f>
        <v>0</v>
      </c>
      <c r="N126" s="65" t="n">
        <f aca="false">IF($B126="","",COUNTIF($B123:$B126,N$21)+COUNTIF($B123:$B126,$A$3))</f>
        <v>1</v>
      </c>
      <c r="O126" s="52" t="str">
        <f aca="false">IF($C126="","",COUNTIF($C123:$C126,N$21)+COUNTIF($C123:$C126,$A$3))</f>
        <v/>
      </c>
      <c r="P126" s="52" t="n">
        <f aca="false">IF($D126="","",COUNTIF($D123:$D126,N$21)+COUNTIF($D123:$D126,$A$3))</f>
        <v>0</v>
      </c>
      <c r="Q126" s="52" t="str">
        <f aca="false">IF($E126="","",COUNTIF($E123:$E126,N$21)+COUNTIF($E123:$E126,$A$3))</f>
        <v/>
      </c>
      <c r="R126" s="53" t="n">
        <f aca="false">IF($F126="","",COUNTIF($F123:$F126,N$21)+COUNTIF($F123:$F126,$A$3))</f>
        <v>1</v>
      </c>
      <c r="T126" s="65" t="n">
        <f aca="false">IF($B126="","",COUNTIF($B123:$B126,T$21)+COUNTIF($B123:$B126,$A$3))</f>
        <v>1</v>
      </c>
      <c r="U126" s="52" t="str">
        <f aca="false">IF($C126="","",COUNTIF($C123:$C126,T$21)+COUNTIF($C123:$C126,$A$3))</f>
        <v/>
      </c>
      <c r="V126" s="52" t="n">
        <f aca="false">IF($D126="","",COUNTIF($D123:$D126,T$21)+COUNTIF($D123:$D126,$A$3))</f>
        <v>1</v>
      </c>
      <c r="W126" s="52" t="str">
        <f aca="false">IF($E126="","",COUNTIF($E123:$E126,T$21)+COUNTIF($E123:$E126,$A$3))</f>
        <v/>
      </c>
      <c r="X126" s="53" t="n">
        <f aca="false">IF($F126="","",COUNTIF($F123:$F126,T$21)+COUNTIF($F123:$F126,$A$3))</f>
        <v>0</v>
      </c>
      <c r="Z126" s="65" t="n">
        <f aca="false">IF($B126="","",COUNTIF($B123:$B126,Z$21)+COUNTIF($B123:$B126,$A$3))</f>
        <v>0</v>
      </c>
      <c r="AA126" s="52" t="str">
        <f aca="false">IF($C126="","",COUNTIF($C123:$C126,Z$21)+COUNTIF($C123:$C126,$A$3))</f>
        <v/>
      </c>
      <c r="AB126" s="52" t="n">
        <f aca="false">IF($D126="","",COUNTIF($D123:$D126,Z$21)+COUNTIF($D123:$D126,$A$3))</f>
        <v>0</v>
      </c>
      <c r="AC126" s="52" t="str">
        <f aca="false">IF($E126="","",COUNTIF($E123:$E126,Z$21)+COUNTIF($E123:$E126,$A$3))</f>
        <v/>
      </c>
      <c r="AD126" s="53" t="n">
        <f aca="false">IF($F126="","",COUNTIF($F123:$F126,Z$21)+COUNTIF($F123:$F126,$A$3))</f>
        <v>1</v>
      </c>
      <c r="AF126" s="65" t="n">
        <f aca="false">IF($B126="","",COUNTIF($B123:$B126,AF$21)+COUNTIF($B123:$B126,$A$3))</f>
        <v>0</v>
      </c>
      <c r="AG126" s="52" t="str">
        <f aca="false">IF($C126="","",COUNTIF($C123:$C126,AF$21)+COUNTIF($C123:$C126,$A$3))</f>
        <v/>
      </c>
      <c r="AH126" s="52" t="n">
        <f aca="false">IF($D126="","",COUNTIF($D123:$D126,AF$21)+COUNTIF($D123:$D126,$A$3))</f>
        <v>0</v>
      </c>
      <c r="AI126" s="52" t="str">
        <f aca="false">IF($E126="","",COUNTIF($E123:$E126,AF$21)+COUNTIF($E123:$E126,$A$3))</f>
        <v/>
      </c>
      <c r="AJ126" s="53" t="n">
        <f aca="false">IF($F126="","",COUNTIF($F123:$F126,AF$21)+COUNTIF($F123:$F126,$A$3))</f>
        <v>0</v>
      </c>
      <c r="AL126" s="65" t="n">
        <f aca="false">IF($B126="","",COUNTIF($B123:$B126,AL$21)+COUNTIF($B123:$B126,$A$3))</f>
        <v>0</v>
      </c>
      <c r="AM126" s="52" t="str">
        <f aca="false">IF($C126="","",COUNTIF($C123:$C126,AL$21)+COUNTIF($C123:$C126,$A$3))</f>
        <v/>
      </c>
      <c r="AN126" s="52" t="n">
        <f aca="false">IF($D126="","",COUNTIF($D123:$D126,AL$21)+COUNTIF($D123:$D126,$A$3))</f>
        <v>1</v>
      </c>
      <c r="AO126" s="52" t="str">
        <f aca="false">IF($E126="","",COUNTIF($E123:$E126,AL$21)+COUNTIF($E123:$E126,$A$3))</f>
        <v/>
      </c>
      <c r="AP126" s="53" t="n">
        <f aca="false">IF($F126="","",COUNTIF($F123:$F126,AL$21)+COUNTIF($F123:$F126,$A$3))</f>
        <v>1</v>
      </c>
      <c r="AR126" s="65" t="n">
        <f aca="false">IF($B126="","",COUNTIF($B123:$B126,AR$21)+COUNTIF($B123:$B126,$A$3))</f>
        <v>1</v>
      </c>
      <c r="AS126" s="52" t="str">
        <f aca="false">IF($C126="","",COUNTIF($C123:$C126,AR$21)+COUNTIF($C123:$C126,$A$3))</f>
        <v/>
      </c>
      <c r="AT126" s="52" t="n">
        <f aca="false">IF($D126="","",COUNTIF($D123:$D126,AR$21)+COUNTIF($D123:$D126,$A$3))</f>
        <v>0</v>
      </c>
      <c r="AU126" s="52" t="str">
        <f aca="false">IF($E126="","",COUNTIF($E123:$E126,AR$21)+COUNTIF($E123:$E126,$A$3))</f>
        <v/>
      </c>
      <c r="AV126" s="53" t="n">
        <f aca="false">IF($F126="","",COUNTIF($F123:$F126,AR$21)+COUNTIF($F123:$F126,$A$3))</f>
        <v>1</v>
      </c>
      <c r="AX126" s="65" t="n">
        <f aca="false">IF($B126="","",COUNTIF($B123:$B126,AX$21)+COUNTIF($B123:$B126,$A$3))</f>
        <v>0</v>
      </c>
      <c r="AY126" s="52" t="str">
        <f aca="false">IF($C126="","",COUNTIF($C123:$C126,AX$21)+COUNTIF($C123:$C126,$A$3))</f>
        <v/>
      </c>
      <c r="AZ126" s="52" t="n">
        <f aca="false">IF($D126="","",COUNTIF($D123:$D126,AX$21)+COUNTIF($D123:$D126,$A$3))</f>
        <v>1</v>
      </c>
      <c r="BA126" s="52" t="str">
        <f aca="false">IF($E126="","",COUNTIF($E123:$E126,AX$21)+COUNTIF($E123:$E126,$A$3))</f>
        <v/>
      </c>
      <c r="BB126" s="53" t="n">
        <f aca="false">IF($F126="","",COUNTIF($F123:$F126,AX$21)+COUNTIF($F123:$F126,$A$3))</f>
        <v>0</v>
      </c>
      <c r="BD126" s="65" t="n">
        <f aca="false">IF($B126="","",COUNTIF($B123:$B126,BD$21)+COUNTIF($B123:$B126,$A$3))</f>
        <v>0</v>
      </c>
      <c r="BE126" s="52" t="str">
        <f aca="false">IF($C126="","",COUNTIF($C123:$C126,BD$21)+COUNTIF($C123:$C126,$A$3))</f>
        <v/>
      </c>
      <c r="BF126" s="52" t="n">
        <f aca="false">IF($D126="","",COUNTIF($D123:$D126,BD$21)+COUNTIF($D123:$D126,$A$3))</f>
        <v>0</v>
      </c>
      <c r="BG126" s="52" t="str">
        <f aca="false">IF($E126="","",COUNTIF($E123:$E126,BD$21)+COUNTIF($E123:$E126,$A$3))</f>
        <v/>
      </c>
      <c r="BH126" s="53" t="n">
        <f aca="false">IF($F126="","",COUNTIF($F123:$F126,BD$21)+COUNTIF($F123:$F126,$A$3))</f>
        <v>0</v>
      </c>
      <c r="BJ126" s="65" t="n">
        <f aca="false">IF($B126="","",COUNTIF($B123:$B126,BJ$21)+COUNTIF($B123:$B126,$A$3))</f>
        <v>0</v>
      </c>
      <c r="BK126" s="52" t="str">
        <f aca="false">IF($C126="","",COUNTIF($C123:$C126,BJ$21)+COUNTIF($C123:$C126,$A$3))</f>
        <v/>
      </c>
      <c r="BL126" s="52" t="n">
        <f aca="false">IF($D126="","",COUNTIF($D123:$D126,BJ$21)+COUNTIF($D123:$D126,$A$3))</f>
        <v>0</v>
      </c>
      <c r="BM126" s="52" t="str">
        <f aca="false">IF($E126="","",COUNTIF($E123:$E126,BJ$21)+COUNTIF($E123:$E126,$A$3))</f>
        <v/>
      </c>
      <c r="BN126" s="53" t="n">
        <f aca="false">IF($F126="","",COUNTIF($F123:$F126,BJ$21)+COUNTIF($F123:$F126,$A$3))</f>
        <v>0</v>
      </c>
      <c r="BP126" s="65" t="n">
        <f aca="false">IF($B126="","",COUNTIF($B123:$B126,BP$21)+COUNTIF($B123:$B126,$A$3))</f>
        <v>1</v>
      </c>
      <c r="BQ126" s="52" t="str">
        <f aca="false">IF($C126="","",COUNTIF($C123:$C126,BP$21)+COUNTIF($C123:$C126,$A$3))</f>
        <v/>
      </c>
      <c r="BR126" s="52" t="n">
        <f aca="false">IF($D126="","",COUNTIF($D123:$D126,BP$21)+COUNTIF($D123:$D126,$A$3))</f>
        <v>0</v>
      </c>
      <c r="BS126" s="52" t="str">
        <f aca="false">IF($E126="","",COUNTIF($E123:$E126,BP$21)+COUNTIF($E123:$E126,$A$3))</f>
        <v/>
      </c>
      <c r="BT126" s="53" t="n">
        <f aca="false">IF($F126="","",COUNTIF($F123:$F126,BP$21)+COUNTIF($F123:$F126,$A$3))</f>
        <v>0</v>
      </c>
    </row>
    <row r="127" customFormat="false" ht="15" hidden="false" customHeight="false" outlineLevel="0" collapsed="false">
      <c r="A127" s="13" t="n">
        <v>105</v>
      </c>
      <c r="B127" s="116" t="str">
        <f aca="false">IF('Game Info'!J110="","",'Game Info'!J110)</f>
        <v>Q</v>
      </c>
      <c r="C127" s="116" t="str">
        <f aca="false">IF('Game Info'!K110="","",'Game Info'!K110)</f>
        <v/>
      </c>
      <c r="D127" s="116" t="str">
        <f aca="false">IF('Game Info'!L110="","",'Game Info'!L110)</f>
        <v>SYM5</v>
      </c>
      <c r="E127" s="116" t="str">
        <f aca="false">IF('Game Info'!M110="","",'Game Info'!M110)</f>
        <v/>
      </c>
      <c r="F127" s="117" t="str">
        <f aca="false">IF('Game Info'!N110="","",'Game Info'!N110)</f>
        <v>J</v>
      </c>
      <c r="H127" s="65" t="n">
        <f aca="false">IF($B127="","",COUNTIF($B124:$B127,H$21)+COUNTIF($B124:$B127,$A$3))</f>
        <v>0</v>
      </c>
      <c r="I127" s="52" t="str">
        <f aca="false">IF($C127="","",COUNTIF($C124:$C127,H$21)+COUNTIF($C124:$C127,$A$3))</f>
        <v/>
      </c>
      <c r="J127" s="52" t="n">
        <f aca="false">IF($D127="","",COUNTIF($D124:$D127,H$21)+COUNTIF($D124:$D127,$A$3))</f>
        <v>0</v>
      </c>
      <c r="K127" s="52" t="str">
        <f aca="false">IF($E127="","",COUNTIF($E124:$E127,H$21)+COUNTIF($E124:$E127,$A$3))</f>
        <v/>
      </c>
      <c r="L127" s="53" t="n">
        <f aca="false">IF($F127="","",COUNTIF($F124:$F127,H$21)+COUNTIF($F124:$F127,$A$3))</f>
        <v>0</v>
      </c>
      <c r="N127" s="65" t="n">
        <f aca="false">IF($B127="","",COUNTIF($B124:$B127,N$21)+COUNTIF($B124:$B127,$A$3))</f>
        <v>1</v>
      </c>
      <c r="O127" s="52" t="str">
        <f aca="false">IF($C127="","",COUNTIF($C124:$C127,N$21)+COUNTIF($C124:$C127,$A$3))</f>
        <v/>
      </c>
      <c r="P127" s="52" t="n">
        <f aca="false">IF($D127="","",COUNTIF($D124:$D127,N$21)+COUNTIF($D124:$D127,$A$3))</f>
        <v>0</v>
      </c>
      <c r="Q127" s="52" t="str">
        <f aca="false">IF($E127="","",COUNTIF($E124:$E127,N$21)+COUNTIF($E124:$E127,$A$3))</f>
        <v/>
      </c>
      <c r="R127" s="53" t="n">
        <f aca="false">IF($F127="","",COUNTIF($F124:$F127,N$21)+COUNTIF($F124:$F127,$A$3))</f>
        <v>1</v>
      </c>
      <c r="T127" s="65" t="n">
        <f aca="false">IF($B127="","",COUNTIF($B124:$B127,T$21)+COUNTIF($B124:$B127,$A$3))</f>
        <v>1</v>
      </c>
      <c r="U127" s="52" t="str">
        <f aca="false">IF($C127="","",COUNTIF($C124:$C127,T$21)+COUNTIF($C124:$C127,$A$3))</f>
        <v/>
      </c>
      <c r="V127" s="52" t="n">
        <f aca="false">IF($D127="","",COUNTIF($D124:$D127,T$21)+COUNTIF($D124:$D127,$A$3))</f>
        <v>1</v>
      </c>
      <c r="W127" s="52" t="str">
        <f aca="false">IF($E127="","",COUNTIF($E124:$E127,T$21)+COUNTIF($E124:$E127,$A$3))</f>
        <v/>
      </c>
      <c r="X127" s="53" t="n">
        <f aca="false">IF($F127="","",COUNTIF($F124:$F127,T$21)+COUNTIF($F124:$F127,$A$3))</f>
        <v>0</v>
      </c>
      <c r="Z127" s="65" t="n">
        <f aca="false">IF($B127="","",COUNTIF($B124:$B127,Z$21)+COUNTIF($B124:$B127,$A$3))</f>
        <v>0</v>
      </c>
      <c r="AA127" s="52" t="str">
        <f aca="false">IF($C127="","",COUNTIF($C124:$C127,Z$21)+COUNTIF($C124:$C127,$A$3))</f>
        <v/>
      </c>
      <c r="AB127" s="52" t="n">
        <f aca="false">IF($D127="","",COUNTIF($D124:$D127,Z$21)+COUNTIF($D124:$D127,$A$3))</f>
        <v>0</v>
      </c>
      <c r="AC127" s="52" t="str">
        <f aca="false">IF($E127="","",COUNTIF($E124:$E127,Z$21)+COUNTIF($E124:$E127,$A$3))</f>
        <v/>
      </c>
      <c r="AD127" s="53" t="n">
        <f aca="false">IF($F127="","",COUNTIF($F124:$F127,Z$21)+COUNTIF($F124:$F127,$A$3))</f>
        <v>1</v>
      </c>
      <c r="AF127" s="65" t="n">
        <f aca="false">IF($B127="","",COUNTIF($B124:$B127,AF$21)+COUNTIF($B124:$B127,$A$3))</f>
        <v>0</v>
      </c>
      <c r="AG127" s="52" t="str">
        <f aca="false">IF($C127="","",COUNTIF($C124:$C127,AF$21)+COUNTIF($C124:$C127,$A$3))</f>
        <v/>
      </c>
      <c r="AH127" s="52" t="n">
        <f aca="false">IF($D127="","",COUNTIF($D124:$D127,AF$21)+COUNTIF($D124:$D127,$A$3))</f>
        <v>1</v>
      </c>
      <c r="AI127" s="52" t="str">
        <f aca="false">IF($E127="","",COUNTIF($E124:$E127,AF$21)+COUNTIF($E124:$E127,$A$3))</f>
        <v/>
      </c>
      <c r="AJ127" s="53" t="n">
        <f aca="false">IF($F127="","",COUNTIF($F124:$F127,AF$21)+COUNTIF($F124:$F127,$A$3))</f>
        <v>0</v>
      </c>
      <c r="AL127" s="65" t="n">
        <f aca="false">IF($B127="","",COUNTIF($B124:$B127,AL$21)+COUNTIF($B124:$B127,$A$3))</f>
        <v>0</v>
      </c>
      <c r="AM127" s="52" t="str">
        <f aca="false">IF($C127="","",COUNTIF($C124:$C127,AL$21)+COUNTIF($C124:$C127,$A$3))</f>
        <v/>
      </c>
      <c r="AN127" s="52" t="n">
        <f aca="false">IF($D127="","",COUNTIF($D124:$D127,AL$21)+COUNTIF($D124:$D127,$A$3))</f>
        <v>1</v>
      </c>
      <c r="AO127" s="52" t="str">
        <f aca="false">IF($E127="","",COUNTIF($E124:$E127,AL$21)+COUNTIF($E124:$E127,$A$3))</f>
        <v/>
      </c>
      <c r="AP127" s="53" t="n">
        <f aca="false">IF($F127="","",COUNTIF($F124:$F127,AL$21)+COUNTIF($F124:$F127,$A$3))</f>
        <v>1</v>
      </c>
      <c r="AR127" s="65" t="n">
        <f aca="false">IF($B127="","",COUNTIF($B124:$B127,AR$21)+COUNTIF($B124:$B127,$A$3))</f>
        <v>1</v>
      </c>
      <c r="AS127" s="52" t="str">
        <f aca="false">IF($C127="","",COUNTIF($C124:$C127,AR$21)+COUNTIF($C124:$C127,$A$3))</f>
        <v/>
      </c>
      <c r="AT127" s="52" t="n">
        <f aca="false">IF($D127="","",COUNTIF($D124:$D127,AR$21)+COUNTIF($D124:$D127,$A$3))</f>
        <v>0</v>
      </c>
      <c r="AU127" s="52" t="str">
        <f aca="false">IF($E127="","",COUNTIF($E124:$E127,AR$21)+COUNTIF($E124:$E127,$A$3))</f>
        <v/>
      </c>
      <c r="AV127" s="53" t="n">
        <f aca="false">IF($F127="","",COUNTIF($F124:$F127,AR$21)+COUNTIF($F124:$F127,$A$3))</f>
        <v>0</v>
      </c>
      <c r="AX127" s="65" t="n">
        <f aca="false">IF($B127="","",COUNTIF($B124:$B127,AX$21)+COUNTIF($B124:$B127,$A$3))</f>
        <v>1</v>
      </c>
      <c r="AY127" s="52" t="str">
        <f aca="false">IF($C127="","",COUNTIF($C124:$C127,AX$21)+COUNTIF($C124:$C127,$A$3))</f>
        <v/>
      </c>
      <c r="AZ127" s="52" t="n">
        <f aca="false">IF($D127="","",COUNTIF($D124:$D127,AX$21)+COUNTIF($D124:$D127,$A$3))</f>
        <v>1</v>
      </c>
      <c r="BA127" s="52" t="str">
        <f aca="false">IF($E127="","",COUNTIF($E124:$E127,AX$21)+COUNTIF($E124:$E127,$A$3))</f>
        <v/>
      </c>
      <c r="BB127" s="53" t="n">
        <f aca="false">IF($F127="","",COUNTIF($F124:$F127,AX$21)+COUNTIF($F124:$F127,$A$3))</f>
        <v>0</v>
      </c>
      <c r="BD127" s="65" t="n">
        <f aca="false">IF($B127="","",COUNTIF($B124:$B127,BD$21)+COUNTIF($B124:$B127,$A$3))</f>
        <v>0</v>
      </c>
      <c r="BE127" s="52" t="str">
        <f aca="false">IF($C127="","",COUNTIF($C124:$C127,BD$21)+COUNTIF($C124:$C127,$A$3))</f>
        <v/>
      </c>
      <c r="BF127" s="52" t="n">
        <f aca="false">IF($D127="","",COUNTIF($D124:$D127,BD$21)+COUNTIF($D124:$D127,$A$3))</f>
        <v>0</v>
      </c>
      <c r="BG127" s="52" t="str">
        <f aca="false">IF($E127="","",COUNTIF($E124:$E127,BD$21)+COUNTIF($E124:$E127,$A$3))</f>
        <v/>
      </c>
      <c r="BH127" s="53" t="n">
        <f aca="false">IF($F127="","",COUNTIF($F124:$F127,BD$21)+COUNTIF($F124:$F127,$A$3))</f>
        <v>1</v>
      </c>
      <c r="BJ127" s="65" t="n">
        <f aca="false">IF($B127="","",COUNTIF($B124:$B127,BJ$21)+COUNTIF($B124:$B127,$A$3))</f>
        <v>0</v>
      </c>
      <c r="BK127" s="52" t="str">
        <f aca="false">IF($C127="","",COUNTIF($C124:$C127,BJ$21)+COUNTIF($C124:$C127,$A$3))</f>
        <v/>
      </c>
      <c r="BL127" s="52" t="n">
        <f aca="false">IF($D127="","",COUNTIF($D124:$D127,BJ$21)+COUNTIF($D124:$D127,$A$3))</f>
        <v>0</v>
      </c>
      <c r="BM127" s="52" t="str">
        <f aca="false">IF($E127="","",COUNTIF($E124:$E127,BJ$21)+COUNTIF($E124:$E127,$A$3))</f>
        <v/>
      </c>
      <c r="BN127" s="53" t="n">
        <f aca="false">IF($F127="","",COUNTIF($F124:$F127,BJ$21)+COUNTIF($F124:$F127,$A$3))</f>
        <v>0</v>
      </c>
      <c r="BP127" s="65" t="n">
        <f aca="false">IF($B127="","",COUNTIF($B124:$B127,BP$21)+COUNTIF($B124:$B127,$A$3))</f>
        <v>0</v>
      </c>
      <c r="BQ127" s="52" t="str">
        <f aca="false">IF($C127="","",COUNTIF($C124:$C127,BP$21)+COUNTIF($C124:$C127,$A$3))</f>
        <v/>
      </c>
      <c r="BR127" s="52" t="n">
        <f aca="false">IF($D127="","",COUNTIF($D124:$D127,BP$21)+COUNTIF($D124:$D127,$A$3))</f>
        <v>0</v>
      </c>
      <c r="BS127" s="52" t="str">
        <f aca="false">IF($E127="","",COUNTIF($E124:$E127,BP$21)+COUNTIF($E124:$E127,$A$3))</f>
        <v/>
      </c>
      <c r="BT127" s="53" t="n">
        <f aca="false">IF($F127="","",COUNTIF($F124:$F127,BP$21)+COUNTIF($F124:$F127,$A$3))</f>
        <v>0</v>
      </c>
    </row>
    <row r="128" customFormat="false" ht="15" hidden="false" customHeight="false" outlineLevel="0" collapsed="false">
      <c r="A128" s="13" t="n">
        <v>106</v>
      </c>
      <c r="B128" s="116" t="n">
        <f aca="false">IF('Game Info'!J111="","",'Game Info'!J111)</f>
        <v>10</v>
      </c>
      <c r="C128" s="116" t="str">
        <f aca="false">IF('Game Info'!K111="","",'Game Info'!K111)</f>
        <v/>
      </c>
      <c r="D128" s="116" t="str">
        <f aca="false">IF('Game Info'!L111="","",'Game Info'!L111)</f>
        <v>Q</v>
      </c>
      <c r="E128" s="116" t="str">
        <f aca="false">IF('Game Info'!M111="","",'Game Info'!M111)</f>
        <v/>
      </c>
      <c r="F128" s="117" t="str">
        <f aca="false">IF('Game Info'!N111="","",'Game Info'!N111)</f>
        <v>SYM1</v>
      </c>
      <c r="H128" s="65" t="n">
        <f aca="false">IF($B128="","",COUNTIF($B125:$B128,H$21)+COUNTIF($B125:$B128,$A$3))</f>
        <v>0</v>
      </c>
      <c r="I128" s="52" t="str">
        <f aca="false">IF($C128="","",COUNTIF($C125:$C128,H$21)+COUNTIF($C125:$C128,$A$3))</f>
        <v/>
      </c>
      <c r="J128" s="52" t="n">
        <f aca="false">IF($D128="","",COUNTIF($D125:$D128,H$21)+COUNTIF($D125:$D128,$A$3))</f>
        <v>0</v>
      </c>
      <c r="K128" s="52" t="str">
        <f aca="false">IF($E128="","",COUNTIF($E125:$E128,H$21)+COUNTIF($E125:$E128,$A$3))</f>
        <v/>
      </c>
      <c r="L128" s="53" t="n">
        <f aca="false">IF($F128="","",COUNTIF($F125:$F128,H$21)+COUNTIF($F125:$F128,$A$3))</f>
        <v>1</v>
      </c>
      <c r="N128" s="65" t="n">
        <f aca="false">IF($B128="","",COUNTIF($B125:$B128,N$21)+COUNTIF($B125:$B128,$A$3))</f>
        <v>0</v>
      </c>
      <c r="O128" s="52" t="str">
        <f aca="false">IF($C128="","",COUNTIF($C125:$C128,N$21)+COUNTIF($C125:$C128,$A$3))</f>
        <v/>
      </c>
      <c r="P128" s="52" t="n">
        <f aca="false">IF($D128="","",COUNTIF($D125:$D128,N$21)+COUNTIF($D125:$D128,$A$3))</f>
        <v>0</v>
      </c>
      <c r="Q128" s="52" t="str">
        <f aca="false">IF($E128="","",COUNTIF($E125:$E128,N$21)+COUNTIF($E125:$E128,$A$3))</f>
        <v/>
      </c>
      <c r="R128" s="53" t="n">
        <f aca="false">IF($F128="","",COUNTIF($F125:$F128,N$21)+COUNTIF($F125:$F128,$A$3))</f>
        <v>0</v>
      </c>
      <c r="T128" s="65" t="n">
        <f aca="false">IF($B128="","",COUNTIF($B125:$B128,T$21)+COUNTIF($B125:$B128,$A$3))</f>
        <v>1</v>
      </c>
      <c r="U128" s="52" t="str">
        <f aca="false">IF($C128="","",COUNTIF($C125:$C128,T$21)+COUNTIF($C125:$C128,$A$3))</f>
        <v/>
      </c>
      <c r="V128" s="52" t="n">
        <f aca="false">IF($D128="","",COUNTIF($D125:$D128,T$21)+COUNTIF($D125:$D128,$A$3))</f>
        <v>1</v>
      </c>
      <c r="W128" s="52" t="str">
        <f aca="false">IF($E128="","",COUNTIF($E125:$E128,T$21)+COUNTIF($E125:$E128,$A$3))</f>
        <v/>
      </c>
      <c r="X128" s="53" t="n">
        <f aca="false">IF($F128="","",COUNTIF($F125:$F128,T$21)+COUNTIF($F125:$F128,$A$3))</f>
        <v>0</v>
      </c>
      <c r="Z128" s="65" t="n">
        <f aca="false">IF($B128="","",COUNTIF($B125:$B128,Z$21)+COUNTIF($B125:$B128,$A$3))</f>
        <v>0</v>
      </c>
      <c r="AA128" s="52" t="str">
        <f aca="false">IF($C128="","",COUNTIF($C125:$C128,Z$21)+COUNTIF($C125:$C128,$A$3))</f>
        <v/>
      </c>
      <c r="AB128" s="52" t="n">
        <f aca="false">IF($D128="","",COUNTIF($D125:$D128,Z$21)+COUNTIF($D125:$D128,$A$3))</f>
        <v>0</v>
      </c>
      <c r="AC128" s="52" t="str">
        <f aca="false">IF($E128="","",COUNTIF($E125:$E128,Z$21)+COUNTIF($E125:$E128,$A$3))</f>
        <v/>
      </c>
      <c r="AD128" s="53" t="n">
        <f aca="false">IF($F128="","",COUNTIF($F125:$F128,Z$21)+COUNTIF($F125:$F128,$A$3))</f>
        <v>1</v>
      </c>
      <c r="AF128" s="65" t="n">
        <f aca="false">IF($B128="","",COUNTIF($B125:$B128,AF$21)+COUNTIF($B125:$B128,$A$3))</f>
        <v>0</v>
      </c>
      <c r="AG128" s="52" t="str">
        <f aca="false">IF($C128="","",COUNTIF($C125:$C128,AF$21)+COUNTIF($C125:$C128,$A$3))</f>
        <v/>
      </c>
      <c r="AH128" s="52" t="n">
        <f aca="false">IF($D128="","",COUNTIF($D125:$D128,AF$21)+COUNTIF($D125:$D128,$A$3))</f>
        <v>1</v>
      </c>
      <c r="AI128" s="52" t="str">
        <f aca="false">IF($E128="","",COUNTIF($E125:$E128,AF$21)+COUNTIF($E125:$E128,$A$3))</f>
        <v/>
      </c>
      <c r="AJ128" s="53" t="n">
        <f aca="false">IF($F128="","",COUNTIF($F125:$F128,AF$21)+COUNTIF($F125:$F128,$A$3))</f>
        <v>0</v>
      </c>
      <c r="AL128" s="65" t="n">
        <f aca="false">IF($B128="","",COUNTIF($B125:$B128,AL$21)+COUNTIF($B125:$B128,$A$3))</f>
        <v>0</v>
      </c>
      <c r="AM128" s="52" t="str">
        <f aca="false">IF($C128="","",COUNTIF($C125:$C128,AL$21)+COUNTIF($C125:$C128,$A$3))</f>
        <v/>
      </c>
      <c r="AN128" s="52" t="n">
        <f aca="false">IF($D128="","",COUNTIF($D125:$D128,AL$21)+COUNTIF($D125:$D128,$A$3))</f>
        <v>1</v>
      </c>
      <c r="AO128" s="52" t="str">
        <f aca="false">IF($E128="","",COUNTIF($E125:$E128,AL$21)+COUNTIF($E125:$E128,$A$3))</f>
        <v/>
      </c>
      <c r="AP128" s="53" t="n">
        <f aca="false">IF($F128="","",COUNTIF($F125:$F128,AL$21)+COUNTIF($F125:$F128,$A$3))</f>
        <v>1</v>
      </c>
      <c r="AR128" s="65" t="n">
        <f aca="false">IF($B128="","",COUNTIF($B125:$B128,AR$21)+COUNTIF($B125:$B128,$A$3))</f>
        <v>1</v>
      </c>
      <c r="AS128" s="52" t="str">
        <f aca="false">IF($C128="","",COUNTIF($C125:$C128,AR$21)+COUNTIF($C125:$C128,$A$3))</f>
        <v/>
      </c>
      <c r="AT128" s="52" t="n">
        <f aca="false">IF($D128="","",COUNTIF($D125:$D128,AR$21)+COUNTIF($D125:$D128,$A$3))</f>
        <v>0</v>
      </c>
      <c r="AU128" s="52" t="str">
        <f aca="false">IF($E128="","",COUNTIF($E125:$E128,AR$21)+COUNTIF($E125:$E128,$A$3))</f>
        <v/>
      </c>
      <c r="AV128" s="53" t="n">
        <f aca="false">IF($F128="","",COUNTIF($F125:$F128,AR$21)+COUNTIF($F125:$F128,$A$3))</f>
        <v>0</v>
      </c>
      <c r="AX128" s="65" t="n">
        <f aca="false">IF($B128="","",COUNTIF($B125:$B128,AX$21)+COUNTIF($B125:$B128,$A$3))</f>
        <v>1</v>
      </c>
      <c r="AY128" s="52" t="str">
        <f aca="false">IF($C128="","",COUNTIF($C125:$C128,AX$21)+COUNTIF($C125:$C128,$A$3))</f>
        <v/>
      </c>
      <c r="AZ128" s="52" t="n">
        <f aca="false">IF($D128="","",COUNTIF($D125:$D128,AX$21)+COUNTIF($D125:$D128,$A$3))</f>
        <v>1</v>
      </c>
      <c r="BA128" s="52" t="str">
        <f aca="false">IF($E128="","",COUNTIF($E125:$E128,AX$21)+COUNTIF($E125:$E128,$A$3))</f>
        <v/>
      </c>
      <c r="BB128" s="53" t="n">
        <f aca="false">IF($F128="","",COUNTIF($F125:$F128,AX$21)+COUNTIF($F125:$F128,$A$3))</f>
        <v>0</v>
      </c>
      <c r="BD128" s="65" t="n">
        <f aca="false">IF($B128="","",COUNTIF($B125:$B128,BD$21)+COUNTIF($B125:$B128,$A$3))</f>
        <v>0</v>
      </c>
      <c r="BE128" s="52" t="str">
        <f aca="false">IF($C128="","",COUNTIF($C125:$C128,BD$21)+COUNTIF($C125:$C128,$A$3))</f>
        <v/>
      </c>
      <c r="BF128" s="52" t="n">
        <f aca="false">IF($D128="","",COUNTIF($D125:$D128,BD$21)+COUNTIF($D125:$D128,$A$3))</f>
        <v>0</v>
      </c>
      <c r="BG128" s="52" t="str">
        <f aca="false">IF($E128="","",COUNTIF($E125:$E128,BD$21)+COUNTIF($E125:$E128,$A$3))</f>
        <v/>
      </c>
      <c r="BH128" s="53" t="n">
        <f aca="false">IF($F128="","",COUNTIF($F125:$F128,BD$21)+COUNTIF($F125:$F128,$A$3))</f>
        <v>1</v>
      </c>
      <c r="BJ128" s="65" t="n">
        <f aca="false">IF($B128="","",COUNTIF($B125:$B128,BJ$21)+COUNTIF($B125:$B128,$A$3))</f>
        <v>1</v>
      </c>
      <c r="BK128" s="52" t="str">
        <f aca="false">IF($C128="","",COUNTIF($C125:$C128,BJ$21)+COUNTIF($C125:$C128,$A$3))</f>
        <v/>
      </c>
      <c r="BL128" s="52" t="n">
        <f aca="false">IF($D128="","",COUNTIF($D125:$D128,BJ$21)+COUNTIF($D125:$D128,$A$3))</f>
        <v>0</v>
      </c>
      <c r="BM128" s="52" t="str">
        <f aca="false">IF($E128="","",COUNTIF($E125:$E128,BJ$21)+COUNTIF($E125:$E128,$A$3))</f>
        <v/>
      </c>
      <c r="BN128" s="53" t="n">
        <f aca="false">IF($F128="","",COUNTIF($F125:$F128,BJ$21)+COUNTIF($F125:$F128,$A$3))</f>
        <v>0</v>
      </c>
      <c r="BP128" s="65" t="n">
        <f aca="false">IF($B128="","",COUNTIF($B125:$B128,BP$21)+COUNTIF($B125:$B128,$A$3))</f>
        <v>0</v>
      </c>
      <c r="BQ128" s="52" t="str">
        <f aca="false">IF($C128="","",COUNTIF($C125:$C128,BP$21)+COUNTIF($C125:$C128,$A$3))</f>
        <v/>
      </c>
      <c r="BR128" s="52" t="n">
        <f aca="false">IF($D128="","",COUNTIF($D125:$D128,BP$21)+COUNTIF($D125:$D128,$A$3))</f>
        <v>0</v>
      </c>
      <c r="BS128" s="52" t="str">
        <f aca="false">IF($E128="","",COUNTIF($E125:$E128,BP$21)+COUNTIF($E125:$E128,$A$3))</f>
        <v/>
      </c>
      <c r="BT128" s="53" t="n">
        <f aca="false">IF($F128="","",COUNTIF($F125:$F128,BP$21)+COUNTIF($F125:$F128,$A$3))</f>
        <v>0</v>
      </c>
    </row>
    <row r="129" customFormat="false" ht="15" hidden="false" customHeight="false" outlineLevel="0" collapsed="false">
      <c r="A129" s="13" t="n">
        <v>107</v>
      </c>
      <c r="B129" s="116" t="str">
        <f aca="false">IF('Game Info'!J112="","",'Game Info'!J112)</f>
        <v>SYM2</v>
      </c>
      <c r="C129" s="116" t="str">
        <f aca="false">IF('Game Info'!K112="","",'Game Info'!K112)</f>
        <v/>
      </c>
      <c r="D129" s="116" t="str">
        <f aca="false">IF('Game Info'!L112="","",'Game Info'!L112)</f>
        <v>SYM3</v>
      </c>
      <c r="E129" s="116" t="str">
        <f aca="false">IF('Game Info'!M112="","",'Game Info'!M112)</f>
        <v/>
      </c>
      <c r="F129" s="117" t="str">
        <f aca="false">IF('Game Info'!N112="","",'Game Info'!N112)</f>
        <v>K</v>
      </c>
      <c r="H129" s="65" t="n">
        <f aca="false">IF($B129="","",COUNTIF($B126:$B129,H$21)+COUNTIF($B126:$B129,$A$3))</f>
        <v>0</v>
      </c>
      <c r="I129" s="52" t="str">
        <f aca="false">IF($C129="","",COUNTIF($C126:$C129,H$21)+COUNTIF($C126:$C129,$A$3))</f>
        <v/>
      </c>
      <c r="J129" s="52" t="n">
        <f aca="false">IF($D129="","",COUNTIF($D126:$D129,H$21)+COUNTIF($D126:$D129,$A$3))</f>
        <v>0</v>
      </c>
      <c r="K129" s="52" t="str">
        <f aca="false">IF($E129="","",COUNTIF($E126:$E129,H$21)+COUNTIF($E126:$E129,$A$3))</f>
        <v/>
      </c>
      <c r="L129" s="53" t="n">
        <f aca="false">IF($F129="","",COUNTIF($F126:$F129,H$21)+COUNTIF($F126:$F129,$A$3))</f>
        <v>1</v>
      </c>
      <c r="N129" s="65" t="n">
        <f aca="false">IF($B129="","",COUNTIF($B126:$B129,N$21)+COUNTIF($B126:$B129,$A$3))</f>
        <v>1</v>
      </c>
      <c r="O129" s="52" t="str">
        <f aca="false">IF($C129="","",COUNTIF($C126:$C129,N$21)+COUNTIF($C126:$C129,$A$3))</f>
        <v/>
      </c>
      <c r="P129" s="52" t="n">
        <f aca="false">IF($D129="","",COUNTIF($D126:$D129,N$21)+COUNTIF($D126:$D129,$A$3))</f>
        <v>0</v>
      </c>
      <c r="Q129" s="52" t="str">
        <f aca="false">IF($E129="","",COUNTIF($E126:$E129,N$21)+COUNTIF($E126:$E129,$A$3))</f>
        <v/>
      </c>
      <c r="R129" s="53" t="n">
        <f aca="false">IF($F129="","",COUNTIF($F126:$F129,N$21)+COUNTIF($F126:$F129,$A$3))</f>
        <v>0</v>
      </c>
      <c r="T129" s="65" t="n">
        <f aca="false">IF($B129="","",COUNTIF($B126:$B129,T$21)+COUNTIF($B126:$B129,$A$3))</f>
        <v>1</v>
      </c>
      <c r="U129" s="52" t="str">
        <f aca="false">IF($C129="","",COUNTIF($C126:$C129,T$21)+COUNTIF($C126:$C129,$A$3))</f>
        <v/>
      </c>
      <c r="V129" s="52" t="n">
        <f aca="false">IF($D129="","",COUNTIF($D126:$D129,T$21)+COUNTIF($D126:$D129,$A$3))</f>
        <v>1</v>
      </c>
      <c r="W129" s="52" t="str">
        <f aca="false">IF($E129="","",COUNTIF($E126:$E129,T$21)+COUNTIF($E126:$E129,$A$3))</f>
        <v/>
      </c>
      <c r="X129" s="53" t="n">
        <f aca="false">IF($F129="","",COUNTIF($F126:$F129,T$21)+COUNTIF($F126:$F129,$A$3))</f>
        <v>0</v>
      </c>
      <c r="Z129" s="65" t="n">
        <f aca="false">IF($B129="","",COUNTIF($B126:$B129,Z$21)+COUNTIF($B126:$B129,$A$3))</f>
        <v>0</v>
      </c>
      <c r="AA129" s="52" t="str">
        <f aca="false">IF($C129="","",COUNTIF($C126:$C129,Z$21)+COUNTIF($C126:$C129,$A$3))</f>
        <v/>
      </c>
      <c r="AB129" s="52" t="n">
        <f aca="false">IF($D129="","",COUNTIF($D126:$D129,Z$21)+COUNTIF($D126:$D129,$A$3))</f>
        <v>0</v>
      </c>
      <c r="AC129" s="52" t="str">
        <f aca="false">IF($E129="","",COUNTIF($E126:$E129,Z$21)+COUNTIF($E126:$E129,$A$3))</f>
        <v/>
      </c>
      <c r="AD129" s="53" t="n">
        <f aca="false">IF($F129="","",COUNTIF($F126:$F129,Z$21)+COUNTIF($F126:$F129,$A$3))</f>
        <v>1</v>
      </c>
      <c r="AF129" s="65" t="n">
        <f aca="false">IF($B129="","",COUNTIF($B126:$B129,AF$21)+COUNTIF($B126:$B129,$A$3))</f>
        <v>0</v>
      </c>
      <c r="AG129" s="52" t="str">
        <f aca="false">IF($C129="","",COUNTIF($C126:$C129,AF$21)+COUNTIF($C126:$C129,$A$3))</f>
        <v/>
      </c>
      <c r="AH129" s="52" t="n">
        <f aca="false">IF($D129="","",COUNTIF($D126:$D129,AF$21)+COUNTIF($D126:$D129,$A$3))</f>
        <v>1</v>
      </c>
      <c r="AI129" s="52" t="str">
        <f aca="false">IF($E129="","",COUNTIF($E126:$E129,AF$21)+COUNTIF($E126:$E129,$A$3))</f>
        <v/>
      </c>
      <c r="AJ129" s="53" t="n">
        <f aca="false">IF($F129="","",COUNTIF($F126:$F129,AF$21)+COUNTIF($F126:$F129,$A$3))</f>
        <v>0</v>
      </c>
      <c r="AL129" s="65" t="n">
        <f aca="false">IF($B129="","",COUNTIF($B126:$B129,AL$21)+COUNTIF($B126:$B129,$A$3))</f>
        <v>0</v>
      </c>
      <c r="AM129" s="52" t="str">
        <f aca="false">IF($C129="","",COUNTIF($C126:$C129,AL$21)+COUNTIF($C126:$C129,$A$3))</f>
        <v/>
      </c>
      <c r="AN129" s="52" t="n">
        <f aca="false">IF($D129="","",COUNTIF($D126:$D129,AL$21)+COUNTIF($D126:$D129,$A$3))</f>
        <v>1</v>
      </c>
      <c r="AO129" s="52" t="str">
        <f aca="false">IF($E129="","",COUNTIF($E126:$E129,AL$21)+COUNTIF($E126:$E129,$A$3))</f>
        <v/>
      </c>
      <c r="AP129" s="53" t="n">
        <f aca="false">IF($F129="","",COUNTIF($F126:$F129,AL$21)+COUNTIF($F126:$F129,$A$3))</f>
        <v>0</v>
      </c>
      <c r="AR129" s="65" t="n">
        <f aca="false">IF($B129="","",COUNTIF($B126:$B129,AR$21)+COUNTIF($B126:$B129,$A$3))</f>
        <v>0</v>
      </c>
      <c r="AS129" s="52" t="str">
        <f aca="false">IF($C129="","",COUNTIF($C126:$C129,AR$21)+COUNTIF($C126:$C129,$A$3))</f>
        <v/>
      </c>
      <c r="AT129" s="52" t="n">
        <f aca="false">IF($D129="","",COUNTIF($D126:$D129,AR$21)+COUNTIF($D126:$D129,$A$3))</f>
        <v>0</v>
      </c>
      <c r="AU129" s="52" t="str">
        <f aca="false">IF($E129="","",COUNTIF($E126:$E129,AR$21)+COUNTIF($E126:$E129,$A$3))</f>
        <v/>
      </c>
      <c r="AV129" s="53" t="n">
        <f aca="false">IF($F129="","",COUNTIF($F126:$F129,AR$21)+COUNTIF($F126:$F129,$A$3))</f>
        <v>1</v>
      </c>
      <c r="AX129" s="65" t="n">
        <f aca="false">IF($B129="","",COUNTIF($B126:$B129,AX$21)+COUNTIF($B126:$B129,$A$3))</f>
        <v>1</v>
      </c>
      <c r="AY129" s="52" t="str">
        <f aca="false">IF($C129="","",COUNTIF($C126:$C129,AX$21)+COUNTIF($C126:$C129,$A$3))</f>
        <v/>
      </c>
      <c r="AZ129" s="52" t="n">
        <f aca="false">IF($D129="","",COUNTIF($D126:$D129,AX$21)+COUNTIF($D126:$D129,$A$3))</f>
        <v>1</v>
      </c>
      <c r="BA129" s="52" t="str">
        <f aca="false">IF($E129="","",COUNTIF($E126:$E129,AX$21)+COUNTIF($E126:$E129,$A$3))</f>
        <v/>
      </c>
      <c r="BB129" s="53" t="n">
        <f aca="false">IF($F129="","",COUNTIF($F126:$F129,AX$21)+COUNTIF($F126:$F129,$A$3))</f>
        <v>0</v>
      </c>
      <c r="BD129" s="65" t="n">
        <f aca="false">IF($B129="","",COUNTIF($B126:$B129,BD$21)+COUNTIF($B126:$B129,$A$3))</f>
        <v>0</v>
      </c>
      <c r="BE129" s="52" t="str">
        <f aca="false">IF($C129="","",COUNTIF($C126:$C129,BD$21)+COUNTIF($C126:$C129,$A$3))</f>
        <v/>
      </c>
      <c r="BF129" s="52" t="n">
        <f aca="false">IF($D129="","",COUNTIF($D126:$D129,BD$21)+COUNTIF($D126:$D129,$A$3))</f>
        <v>0</v>
      </c>
      <c r="BG129" s="52" t="str">
        <f aca="false">IF($E129="","",COUNTIF($E126:$E129,BD$21)+COUNTIF($E126:$E129,$A$3))</f>
        <v/>
      </c>
      <c r="BH129" s="53" t="n">
        <f aca="false">IF($F129="","",COUNTIF($F126:$F129,BD$21)+COUNTIF($F126:$F129,$A$3))</f>
        <v>1</v>
      </c>
      <c r="BJ129" s="65" t="n">
        <f aca="false">IF($B129="","",COUNTIF($B126:$B129,BJ$21)+COUNTIF($B126:$B129,$A$3))</f>
        <v>1</v>
      </c>
      <c r="BK129" s="52" t="str">
        <f aca="false">IF($C129="","",COUNTIF($C126:$C129,BJ$21)+COUNTIF($C126:$C129,$A$3))</f>
        <v/>
      </c>
      <c r="BL129" s="52" t="n">
        <f aca="false">IF($D129="","",COUNTIF($D126:$D129,BJ$21)+COUNTIF($D126:$D129,$A$3))</f>
        <v>0</v>
      </c>
      <c r="BM129" s="52" t="str">
        <f aca="false">IF($E129="","",COUNTIF($E126:$E129,BJ$21)+COUNTIF($E126:$E129,$A$3))</f>
        <v/>
      </c>
      <c r="BN129" s="53" t="n">
        <f aca="false">IF($F129="","",COUNTIF($F126:$F129,BJ$21)+COUNTIF($F126:$F129,$A$3))</f>
        <v>0</v>
      </c>
      <c r="BP129" s="65" t="n">
        <f aca="false">IF($B129="","",COUNTIF($B126:$B129,BP$21)+COUNTIF($B126:$B129,$A$3))</f>
        <v>0</v>
      </c>
      <c r="BQ129" s="52" t="str">
        <f aca="false">IF($C129="","",COUNTIF($C126:$C129,BP$21)+COUNTIF($C126:$C129,$A$3))</f>
        <v/>
      </c>
      <c r="BR129" s="52" t="n">
        <f aca="false">IF($D129="","",COUNTIF($D126:$D129,BP$21)+COUNTIF($D126:$D129,$A$3))</f>
        <v>0</v>
      </c>
      <c r="BS129" s="52" t="str">
        <f aca="false">IF($E129="","",COUNTIF($E126:$E129,BP$21)+COUNTIF($E126:$E129,$A$3))</f>
        <v/>
      </c>
      <c r="BT129" s="53" t="n">
        <f aca="false">IF($F129="","",COUNTIF($F126:$F129,BP$21)+COUNTIF($F126:$F129,$A$3))</f>
        <v>0</v>
      </c>
    </row>
    <row r="130" customFormat="false" ht="15" hidden="false" customHeight="false" outlineLevel="0" collapsed="false">
      <c r="A130" s="13" t="n">
        <v>108</v>
      </c>
      <c r="B130" s="116" t="str">
        <f aca="false">IF('Game Info'!J113="","",'Game Info'!J113)</f>
        <v/>
      </c>
      <c r="C130" s="116" t="str">
        <f aca="false">IF('Game Info'!K113="","",'Game Info'!K113)</f>
        <v/>
      </c>
      <c r="D130" s="116" t="n">
        <f aca="false">IF('Game Info'!L113="","",'Game Info'!L113)</f>
        <v>10</v>
      </c>
      <c r="E130" s="116" t="str">
        <f aca="false">IF('Game Info'!M113="","",'Game Info'!M113)</f>
        <v/>
      </c>
      <c r="F130" s="117" t="str">
        <f aca="false">IF('Game Info'!N113="","",'Game Info'!N113)</f>
        <v>SYM3</v>
      </c>
      <c r="H130" s="65" t="str">
        <f aca="false">IF($B130="","",COUNTIF($B127:$B130,H$21)+COUNTIF($B127:$B130,$A$3))</f>
        <v/>
      </c>
      <c r="I130" s="52" t="str">
        <f aca="false">IF($C130="","",COUNTIF($C127:$C130,H$21)+COUNTIF($C127:$C130,$A$3))</f>
        <v/>
      </c>
      <c r="J130" s="52" t="n">
        <f aca="false">IF($D130="","",COUNTIF($D127:$D130,H$21)+COUNTIF($D127:$D130,$A$3))</f>
        <v>0</v>
      </c>
      <c r="K130" s="52" t="str">
        <f aca="false">IF($E130="","",COUNTIF($E127:$E130,H$21)+COUNTIF($E127:$E130,$A$3))</f>
        <v/>
      </c>
      <c r="L130" s="53" t="n">
        <f aca="false">IF($F130="","",COUNTIF($F127:$F130,H$21)+COUNTIF($F127:$F130,$A$3))</f>
        <v>1</v>
      </c>
      <c r="N130" s="65" t="str">
        <f aca="false">IF($B130="","",COUNTIF($B127:$B130,N$21)+COUNTIF($B127:$B130,$A$3))</f>
        <v/>
      </c>
      <c r="O130" s="52" t="str">
        <f aca="false">IF($C130="","",COUNTIF($C127:$C130,N$21)+COUNTIF($C127:$C130,$A$3))</f>
        <v/>
      </c>
      <c r="P130" s="52" t="n">
        <f aca="false">IF($D130="","",COUNTIF($D127:$D130,N$21)+COUNTIF($D127:$D130,$A$3))</f>
        <v>0</v>
      </c>
      <c r="Q130" s="52" t="str">
        <f aca="false">IF($E130="","",COUNTIF($E127:$E130,N$21)+COUNTIF($E127:$E130,$A$3))</f>
        <v/>
      </c>
      <c r="R130" s="53" t="n">
        <f aca="false">IF($F130="","",COUNTIF($F127:$F130,N$21)+COUNTIF($F127:$F130,$A$3))</f>
        <v>0</v>
      </c>
      <c r="T130" s="65" t="str">
        <f aca="false">IF($B130="","",COUNTIF($B127:$B130,T$21)+COUNTIF($B127:$B130,$A$3))</f>
        <v/>
      </c>
      <c r="U130" s="52" t="str">
        <f aca="false">IF($C130="","",COUNTIF($C127:$C130,T$21)+COUNTIF($C127:$C130,$A$3))</f>
        <v/>
      </c>
      <c r="V130" s="52" t="n">
        <f aca="false">IF($D130="","",COUNTIF($D127:$D130,T$21)+COUNTIF($D127:$D130,$A$3))</f>
        <v>1</v>
      </c>
      <c r="W130" s="52" t="str">
        <f aca="false">IF($E130="","",COUNTIF($E127:$E130,T$21)+COUNTIF($E127:$E130,$A$3))</f>
        <v/>
      </c>
      <c r="X130" s="53" t="n">
        <f aca="false">IF($F130="","",COUNTIF($F127:$F130,T$21)+COUNTIF($F127:$F130,$A$3))</f>
        <v>1</v>
      </c>
      <c r="Z130" s="65" t="str">
        <f aca="false">IF($B130="","",COUNTIF($B127:$B130,Z$21)+COUNTIF($B127:$B130,$A$3))</f>
        <v/>
      </c>
      <c r="AA130" s="52" t="str">
        <f aca="false">IF($C130="","",COUNTIF($C127:$C130,Z$21)+COUNTIF($C127:$C130,$A$3))</f>
        <v/>
      </c>
      <c r="AB130" s="52" t="n">
        <f aca="false">IF($D130="","",COUNTIF($D127:$D130,Z$21)+COUNTIF($D127:$D130,$A$3))</f>
        <v>0</v>
      </c>
      <c r="AC130" s="52" t="str">
        <f aca="false">IF($E130="","",COUNTIF($E127:$E130,Z$21)+COUNTIF($E127:$E130,$A$3))</f>
        <v/>
      </c>
      <c r="AD130" s="53" t="n">
        <f aca="false">IF($F130="","",COUNTIF($F127:$F130,Z$21)+COUNTIF($F127:$F130,$A$3))</f>
        <v>0</v>
      </c>
      <c r="AF130" s="65" t="str">
        <f aca="false">IF($B130="","",COUNTIF($B127:$B130,AF$21)+COUNTIF($B127:$B130,$A$3))</f>
        <v/>
      </c>
      <c r="AG130" s="52" t="str">
        <f aca="false">IF($C130="","",COUNTIF($C127:$C130,AF$21)+COUNTIF($C127:$C130,$A$3))</f>
        <v/>
      </c>
      <c r="AH130" s="52" t="n">
        <f aca="false">IF($D130="","",COUNTIF($D127:$D130,AF$21)+COUNTIF($D127:$D130,$A$3))</f>
        <v>1</v>
      </c>
      <c r="AI130" s="52" t="str">
        <f aca="false">IF($E130="","",COUNTIF($E127:$E130,AF$21)+COUNTIF($E127:$E130,$A$3))</f>
        <v/>
      </c>
      <c r="AJ130" s="53" t="n">
        <f aca="false">IF($F130="","",COUNTIF($F127:$F130,AF$21)+COUNTIF($F127:$F130,$A$3))</f>
        <v>0</v>
      </c>
      <c r="AL130" s="65" t="str">
        <f aca="false">IF($B130="","",COUNTIF($B127:$B130,AL$21)+COUNTIF($B127:$B130,$A$3))</f>
        <v/>
      </c>
      <c r="AM130" s="52" t="str">
        <f aca="false">IF($C130="","",COUNTIF($C127:$C130,AL$21)+COUNTIF($C127:$C130,$A$3))</f>
        <v/>
      </c>
      <c r="AN130" s="52" t="n">
        <f aca="false">IF($D130="","",COUNTIF($D127:$D130,AL$21)+COUNTIF($D127:$D130,$A$3))</f>
        <v>0</v>
      </c>
      <c r="AO130" s="52" t="str">
        <f aca="false">IF($E130="","",COUNTIF($E127:$E130,AL$21)+COUNTIF($E127:$E130,$A$3))</f>
        <v/>
      </c>
      <c r="AP130" s="53" t="n">
        <f aca="false">IF($F130="","",COUNTIF($F127:$F130,AL$21)+COUNTIF($F127:$F130,$A$3))</f>
        <v>0</v>
      </c>
      <c r="AR130" s="65" t="str">
        <f aca="false">IF($B130="","",COUNTIF($B127:$B130,AR$21)+COUNTIF($B127:$B130,$A$3))</f>
        <v/>
      </c>
      <c r="AS130" s="52" t="str">
        <f aca="false">IF($C130="","",COUNTIF($C127:$C130,AR$21)+COUNTIF($C127:$C130,$A$3))</f>
        <v/>
      </c>
      <c r="AT130" s="52" t="n">
        <f aca="false">IF($D130="","",COUNTIF($D127:$D130,AR$21)+COUNTIF($D127:$D130,$A$3))</f>
        <v>0</v>
      </c>
      <c r="AU130" s="52" t="str">
        <f aca="false">IF($E130="","",COUNTIF($E127:$E130,AR$21)+COUNTIF($E127:$E130,$A$3))</f>
        <v/>
      </c>
      <c r="AV130" s="53" t="n">
        <f aca="false">IF($F130="","",COUNTIF($F127:$F130,AR$21)+COUNTIF($F127:$F130,$A$3))</f>
        <v>1</v>
      </c>
      <c r="AX130" s="65" t="str">
        <f aca="false">IF($B130="","",COUNTIF($B127:$B130,AX$21)+COUNTIF($B127:$B130,$A$3))</f>
        <v/>
      </c>
      <c r="AY130" s="52" t="str">
        <f aca="false">IF($C130="","",COUNTIF($C127:$C130,AX$21)+COUNTIF($C127:$C130,$A$3))</f>
        <v/>
      </c>
      <c r="AZ130" s="52" t="n">
        <f aca="false">IF($D130="","",COUNTIF($D127:$D130,AX$21)+COUNTIF($D127:$D130,$A$3))</f>
        <v>1</v>
      </c>
      <c r="BA130" s="52" t="str">
        <f aca="false">IF($E130="","",COUNTIF($E127:$E130,AX$21)+COUNTIF($E127:$E130,$A$3))</f>
        <v/>
      </c>
      <c r="BB130" s="53" t="n">
        <f aca="false">IF($F130="","",COUNTIF($F127:$F130,AX$21)+COUNTIF($F127:$F130,$A$3))</f>
        <v>0</v>
      </c>
      <c r="BD130" s="65" t="str">
        <f aca="false">IF($B130="","",COUNTIF($B127:$B130,BD$21)+COUNTIF($B127:$B130,$A$3))</f>
        <v/>
      </c>
      <c r="BE130" s="52" t="str">
        <f aca="false">IF($C130="","",COUNTIF($C127:$C130,BD$21)+COUNTIF($C127:$C130,$A$3))</f>
        <v/>
      </c>
      <c r="BF130" s="52" t="n">
        <f aca="false">IF($D130="","",COUNTIF($D127:$D130,BD$21)+COUNTIF($D127:$D130,$A$3))</f>
        <v>0</v>
      </c>
      <c r="BG130" s="52" t="str">
        <f aca="false">IF($E130="","",COUNTIF($E127:$E130,BD$21)+COUNTIF($E127:$E130,$A$3))</f>
        <v/>
      </c>
      <c r="BH130" s="53" t="n">
        <f aca="false">IF($F130="","",COUNTIF($F127:$F130,BD$21)+COUNTIF($F127:$F130,$A$3))</f>
        <v>1</v>
      </c>
      <c r="BJ130" s="65" t="str">
        <f aca="false">IF($B130="","",COUNTIF($B127:$B130,BJ$21)+COUNTIF($B127:$B130,$A$3))</f>
        <v/>
      </c>
      <c r="BK130" s="52" t="str">
        <f aca="false">IF($C130="","",COUNTIF($C127:$C130,BJ$21)+COUNTIF($C127:$C130,$A$3))</f>
        <v/>
      </c>
      <c r="BL130" s="52" t="n">
        <f aca="false">IF($D130="","",COUNTIF($D127:$D130,BJ$21)+COUNTIF($D127:$D130,$A$3))</f>
        <v>1</v>
      </c>
      <c r="BM130" s="52" t="str">
        <f aca="false">IF($E130="","",COUNTIF($E127:$E130,BJ$21)+COUNTIF($E127:$E130,$A$3))</f>
        <v/>
      </c>
      <c r="BN130" s="53" t="n">
        <f aca="false">IF($F130="","",COUNTIF($F127:$F130,BJ$21)+COUNTIF($F127:$F130,$A$3))</f>
        <v>0</v>
      </c>
      <c r="BP130" s="65" t="str">
        <f aca="false">IF($B130="","",COUNTIF($B127:$B130,BP$21)+COUNTIF($B127:$B130,$A$3))</f>
        <v/>
      </c>
      <c r="BQ130" s="52" t="str">
        <f aca="false">IF($C130="","",COUNTIF($C127:$C130,BP$21)+COUNTIF($C127:$C130,$A$3))</f>
        <v/>
      </c>
      <c r="BR130" s="52" t="n">
        <f aca="false">IF($D130="","",COUNTIF($D127:$D130,BP$21)+COUNTIF($D127:$D130,$A$3))</f>
        <v>0</v>
      </c>
      <c r="BS130" s="52" t="str">
        <f aca="false">IF($E130="","",COUNTIF($E127:$E130,BP$21)+COUNTIF($E127:$E130,$A$3))</f>
        <v/>
      </c>
      <c r="BT130" s="53" t="n">
        <f aca="false">IF($F130="","",COUNTIF($F127:$F130,BP$21)+COUNTIF($F127:$F130,$A$3))</f>
        <v>0</v>
      </c>
    </row>
    <row r="131" customFormat="false" ht="15" hidden="false" customHeight="false" outlineLevel="0" collapsed="false">
      <c r="A131" s="13" t="n">
        <v>109</v>
      </c>
      <c r="B131" s="116" t="str">
        <f aca="false">IF('Game Info'!J114="","",'Game Info'!J114)</f>
        <v/>
      </c>
      <c r="C131" s="116" t="str">
        <f aca="false">IF('Game Info'!K114="","",'Game Info'!K114)</f>
        <v/>
      </c>
      <c r="D131" s="116" t="str">
        <f aca="false">IF('Game Info'!L114="","",'Game Info'!L114)</f>
        <v>SYM4</v>
      </c>
      <c r="E131" s="116" t="str">
        <f aca="false">IF('Game Info'!M114="","",'Game Info'!M114)</f>
        <v/>
      </c>
      <c r="F131" s="117" t="n">
        <f aca="false">IF('Game Info'!N114="","",'Game Info'!N114)</f>
        <v>10</v>
      </c>
      <c r="H131" s="65" t="str">
        <f aca="false">IF($B131="","",COUNTIF($B128:$B131,H$21)+COUNTIF($B128:$B131,$A$3))</f>
        <v/>
      </c>
      <c r="I131" s="52" t="str">
        <f aca="false">IF($C131="","",COUNTIF($C128:$C131,H$21)+COUNTIF($C128:$C131,$A$3))</f>
        <v/>
      </c>
      <c r="J131" s="52" t="n">
        <f aca="false">IF($D131="","",COUNTIF($D128:$D131,H$21)+COUNTIF($D128:$D131,$A$3))</f>
        <v>0</v>
      </c>
      <c r="K131" s="52" t="str">
        <f aca="false">IF($E131="","",COUNTIF($E128:$E131,H$21)+COUNTIF($E128:$E131,$A$3))</f>
        <v/>
      </c>
      <c r="L131" s="53" t="n">
        <f aca="false">IF($F131="","",COUNTIF($F128:$F131,H$21)+COUNTIF($F128:$F131,$A$3))</f>
        <v>1</v>
      </c>
      <c r="N131" s="65" t="str">
        <f aca="false">IF($B131="","",COUNTIF($B128:$B131,N$21)+COUNTIF($B128:$B131,$A$3))</f>
        <v/>
      </c>
      <c r="O131" s="52" t="str">
        <f aca="false">IF($C131="","",COUNTIF($C128:$C131,N$21)+COUNTIF($C128:$C131,$A$3))</f>
        <v/>
      </c>
      <c r="P131" s="52" t="n">
        <f aca="false">IF($D131="","",COUNTIF($D128:$D131,N$21)+COUNTIF($D128:$D131,$A$3))</f>
        <v>0</v>
      </c>
      <c r="Q131" s="52" t="str">
        <f aca="false">IF($E131="","",COUNTIF($E128:$E131,N$21)+COUNTIF($E128:$E131,$A$3))</f>
        <v/>
      </c>
      <c r="R131" s="53" t="n">
        <f aca="false">IF($F131="","",COUNTIF($F128:$F131,N$21)+COUNTIF($F128:$F131,$A$3))</f>
        <v>0</v>
      </c>
      <c r="T131" s="65" t="str">
        <f aca="false">IF($B131="","",COUNTIF($B128:$B131,T$21)+COUNTIF($B128:$B131,$A$3))</f>
        <v/>
      </c>
      <c r="U131" s="52" t="str">
        <f aca="false">IF($C131="","",COUNTIF($C128:$C131,T$21)+COUNTIF($C128:$C131,$A$3))</f>
        <v/>
      </c>
      <c r="V131" s="52" t="n">
        <f aca="false">IF($D131="","",COUNTIF($D128:$D131,T$21)+COUNTIF($D128:$D131,$A$3))</f>
        <v>1</v>
      </c>
      <c r="W131" s="52" t="str">
        <f aca="false">IF($E131="","",COUNTIF($E128:$E131,T$21)+COUNTIF($E128:$E131,$A$3))</f>
        <v/>
      </c>
      <c r="X131" s="53" t="n">
        <f aca="false">IF($F131="","",COUNTIF($F128:$F131,T$21)+COUNTIF($F128:$F131,$A$3))</f>
        <v>1</v>
      </c>
      <c r="Z131" s="65" t="str">
        <f aca="false">IF($B131="","",COUNTIF($B128:$B131,Z$21)+COUNTIF($B128:$B131,$A$3))</f>
        <v/>
      </c>
      <c r="AA131" s="52" t="str">
        <f aca="false">IF($C131="","",COUNTIF($C128:$C131,Z$21)+COUNTIF($C128:$C131,$A$3))</f>
        <v/>
      </c>
      <c r="AB131" s="52" t="n">
        <f aca="false">IF($D131="","",COUNTIF($D128:$D131,Z$21)+COUNTIF($D128:$D131,$A$3))</f>
        <v>1</v>
      </c>
      <c r="AC131" s="52" t="str">
        <f aca="false">IF($E131="","",COUNTIF($E128:$E131,Z$21)+COUNTIF($E128:$E131,$A$3))</f>
        <v/>
      </c>
      <c r="AD131" s="53" t="n">
        <f aca="false">IF($F131="","",COUNTIF($F128:$F131,Z$21)+COUNTIF($F128:$F131,$A$3))</f>
        <v>0</v>
      </c>
      <c r="AF131" s="65" t="str">
        <f aca="false">IF($B131="","",COUNTIF($B128:$B131,AF$21)+COUNTIF($B128:$B131,$A$3))</f>
        <v/>
      </c>
      <c r="AG131" s="52" t="str">
        <f aca="false">IF($C131="","",COUNTIF($C128:$C131,AF$21)+COUNTIF($C128:$C131,$A$3))</f>
        <v/>
      </c>
      <c r="AH131" s="52" t="n">
        <f aca="false">IF($D131="","",COUNTIF($D128:$D131,AF$21)+COUNTIF($D128:$D131,$A$3))</f>
        <v>0</v>
      </c>
      <c r="AI131" s="52" t="str">
        <f aca="false">IF($E131="","",COUNTIF($E128:$E131,AF$21)+COUNTIF($E128:$E131,$A$3))</f>
        <v/>
      </c>
      <c r="AJ131" s="53" t="n">
        <f aca="false">IF($F131="","",COUNTIF($F128:$F131,AF$21)+COUNTIF($F128:$F131,$A$3))</f>
        <v>0</v>
      </c>
      <c r="AL131" s="65" t="str">
        <f aca="false">IF($B131="","",COUNTIF($B128:$B131,AL$21)+COUNTIF($B128:$B131,$A$3))</f>
        <v/>
      </c>
      <c r="AM131" s="52" t="str">
        <f aca="false">IF($C131="","",COUNTIF($C128:$C131,AL$21)+COUNTIF($C128:$C131,$A$3))</f>
        <v/>
      </c>
      <c r="AN131" s="52" t="n">
        <f aca="false">IF($D131="","",COUNTIF($D128:$D131,AL$21)+COUNTIF($D128:$D131,$A$3))</f>
        <v>0</v>
      </c>
      <c r="AO131" s="52" t="str">
        <f aca="false">IF($E131="","",COUNTIF($E128:$E131,AL$21)+COUNTIF($E128:$E131,$A$3))</f>
        <v/>
      </c>
      <c r="AP131" s="53" t="n">
        <f aca="false">IF($F131="","",COUNTIF($F128:$F131,AL$21)+COUNTIF($F128:$F131,$A$3))</f>
        <v>0</v>
      </c>
      <c r="AR131" s="65" t="str">
        <f aca="false">IF($B131="","",COUNTIF($B128:$B131,AR$21)+COUNTIF($B128:$B131,$A$3))</f>
        <v/>
      </c>
      <c r="AS131" s="52" t="str">
        <f aca="false">IF($C131="","",COUNTIF($C128:$C131,AR$21)+COUNTIF($C128:$C131,$A$3))</f>
        <v/>
      </c>
      <c r="AT131" s="52" t="n">
        <f aca="false">IF($D131="","",COUNTIF($D128:$D131,AR$21)+COUNTIF($D128:$D131,$A$3))</f>
        <v>0</v>
      </c>
      <c r="AU131" s="52" t="str">
        <f aca="false">IF($E131="","",COUNTIF($E128:$E131,AR$21)+COUNTIF($E128:$E131,$A$3))</f>
        <v/>
      </c>
      <c r="AV131" s="53" t="n">
        <f aca="false">IF($F131="","",COUNTIF($F128:$F131,AR$21)+COUNTIF($F128:$F131,$A$3))</f>
        <v>1</v>
      </c>
      <c r="AX131" s="65" t="str">
        <f aca="false">IF($B131="","",COUNTIF($B128:$B131,AX$21)+COUNTIF($B128:$B131,$A$3))</f>
        <v/>
      </c>
      <c r="AY131" s="52" t="str">
        <f aca="false">IF($C131="","",COUNTIF($C128:$C131,AX$21)+COUNTIF($C128:$C131,$A$3))</f>
        <v/>
      </c>
      <c r="AZ131" s="52" t="n">
        <f aca="false">IF($D131="","",COUNTIF($D128:$D131,AX$21)+COUNTIF($D128:$D131,$A$3))</f>
        <v>1</v>
      </c>
      <c r="BA131" s="52" t="str">
        <f aca="false">IF($E131="","",COUNTIF($E128:$E131,AX$21)+COUNTIF($E128:$E131,$A$3))</f>
        <v/>
      </c>
      <c r="BB131" s="53" t="n">
        <f aca="false">IF($F131="","",COUNTIF($F128:$F131,AX$21)+COUNTIF($F128:$F131,$A$3))</f>
        <v>0</v>
      </c>
      <c r="BD131" s="65" t="str">
        <f aca="false">IF($B131="","",COUNTIF($B128:$B131,BD$21)+COUNTIF($B128:$B131,$A$3))</f>
        <v/>
      </c>
      <c r="BE131" s="52" t="str">
        <f aca="false">IF($C131="","",COUNTIF($C128:$C131,BD$21)+COUNTIF($C128:$C131,$A$3))</f>
        <v/>
      </c>
      <c r="BF131" s="52" t="n">
        <f aca="false">IF($D131="","",COUNTIF($D128:$D131,BD$21)+COUNTIF($D128:$D131,$A$3))</f>
        <v>0</v>
      </c>
      <c r="BG131" s="52" t="str">
        <f aca="false">IF($E131="","",COUNTIF($E128:$E131,BD$21)+COUNTIF($E128:$E131,$A$3))</f>
        <v/>
      </c>
      <c r="BH131" s="53" t="n">
        <f aca="false">IF($F131="","",COUNTIF($F128:$F131,BD$21)+COUNTIF($F128:$F131,$A$3))</f>
        <v>0</v>
      </c>
      <c r="BJ131" s="65" t="str">
        <f aca="false">IF($B131="","",COUNTIF($B128:$B131,BJ$21)+COUNTIF($B128:$B131,$A$3))</f>
        <v/>
      </c>
      <c r="BK131" s="52" t="str">
        <f aca="false">IF($C131="","",COUNTIF($C128:$C131,BJ$21)+COUNTIF($C128:$C131,$A$3))</f>
        <v/>
      </c>
      <c r="BL131" s="52" t="n">
        <f aca="false">IF($D131="","",COUNTIF($D128:$D131,BJ$21)+COUNTIF($D128:$D131,$A$3))</f>
        <v>1</v>
      </c>
      <c r="BM131" s="52" t="str">
        <f aca="false">IF($E131="","",COUNTIF($E128:$E131,BJ$21)+COUNTIF($E128:$E131,$A$3))</f>
        <v/>
      </c>
      <c r="BN131" s="53" t="n">
        <f aca="false">IF($F131="","",COUNTIF($F128:$F131,BJ$21)+COUNTIF($F128:$F131,$A$3))</f>
        <v>1</v>
      </c>
      <c r="BP131" s="65" t="str">
        <f aca="false">IF($B131="","",COUNTIF($B128:$B131,BP$21)+COUNTIF($B128:$B131,$A$3))</f>
        <v/>
      </c>
      <c r="BQ131" s="52" t="str">
        <f aca="false">IF($C131="","",COUNTIF($C128:$C131,BP$21)+COUNTIF($C128:$C131,$A$3))</f>
        <v/>
      </c>
      <c r="BR131" s="52" t="n">
        <f aca="false">IF($D131="","",COUNTIF($D128:$D131,BP$21)+COUNTIF($D128:$D131,$A$3))</f>
        <v>0</v>
      </c>
      <c r="BS131" s="52" t="str">
        <f aca="false">IF($E131="","",COUNTIF($E128:$E131,BP$21)+COUNTIF($E128:$E131,$A$3))</f>
        <v/>
      </c>
      <c r="BT131" s="53" t="n">
        <f aca="false">IF($F131="","",COUNTIF($F128:$F131,BP$21)+COUNTIF($F128:$F131,$A$3))</f>
        <v>0</v>
      </c>
    </row>
    <row r="132" customFormat="false" ht="15" hidden="false" customHeight="false" outlineLevel="0" collapsed="false">
      <c r="A132" s="13" t="n">
        <v>110</v>
      </c>
      <c r="B132" s="116" t="str">
        <f aca="false">IF('Game Info'!J115="","",'Game Info'!J115)</f>
        <v/>
      </c>
      <c r="C132" s="116" t="str">
        <f aca="false">IF('Game Info'!K115="","",'Game Info'!K115)</f>
        <v/>
      </c>
      <c r="D132" s="116" t="str">
        <f aca="false">IF('Game Info'!L115="","",'Game Info'!L115)</f>
        <v>Q</v>
      </c>
      <c r="E132" s="116" t="str">
        <f aca="false">IF('Game Info'!M115="","",'Game Info'!M115)</f>
        <v/>
      </c>
      <c r="F132" s="117" t="str">
        <f aca="false">IF('Game Info'!N115="","",'Game Info'!N115)</f>
        <v>SYM2</v>
      </c>
      <c r="H132" s="65" t="str">
        <f aca="false">IF($B132="","",COUNTIF($B129:$B132,H$21)+COUNTIF($B129:$B132,$A$3))</f>
        <v/>
      </c>
      <c r="I132" s="52" t="str">
        <f aca="false">IF($C132="","",COUNTIF($C129:$C132,H$21)+COUNTIF($C129:$C132,$A$3))</f>
        <v/>
      </c>
      <c r="J132" s="52" t="n">
        <f aca="false">IF($D132="","",COUNTIF($D129:$D132,H$21)+COUNTIF($D129:$D132,$A$3))</f>
        <v>0</v>
      </c>
      <c r="K132" s="52" t="str">
        <f aca="false">IF($E132="","",COUNTIF($E129:$E132,H$21)+COUNTIF($E129:$E132,$A$3))</f>
        <v/>
      </c>
      <c r="L132" s="53" t="n">
        <f aca="false">IF($F132="","",COUNTIF($F129:$F132,H$21)+COUNTIF($F129:$F132,$A$3))</f>
        <v>0</v>
      </c>
      <c r="N132" s="65" t="str">
        <f aca="false">IF($B132="","",COUNTIF($B129:$B132,N$21)+COUNTIF($B129:$B132,$A$3))</f>
        <v/>
      </c>
      <c r="O132" s="52" t="str">
        <f aca="false">IF($C132="","",COUNTIF($C129:$C132,N$21)+COUNTIF($C129:$C132,$A$3))</f>
        <v/>
      </c>
      <c r="P132" s="52" t="n">
        <f aca="false">IF($D132="","",COUNTIF($D129:$D132,N$21)+COUNTIF($D129:$D132,$A$3))</f>
        <v>0</v>
      </c>
      <c r="Q132" s="52" t="str">
        <f aca="false">IF($E132="","",COUNTIF($E129:$E132,N$21)+COUNTIF($E129:$E132,$A$3))</f>
        <v/>
      </c>
      <c r="R132" s="53" t="n">
        <f aca="false">IF($F132="","",COUNTIF($F129:$F132,N$21)+COUNTIF($F129:$F132,$A$3))</f>
        <v>1</v>
      </c>
      <c r="T132" s="65" t="str">
        <f aca="false">IF($B132="","",COUNTIF($B129:$B132,T$21)+COUNTIF($B129:$B132,$A$3))</f>
        <v/>
      </c>
      <c r="U132" s="52" t="str">
        <f aca="false">IF($C132="","",COUNTIF($C129:$C132,T$21)+COUNTIF($C129:$C132,$A$3))</f>
        <v/>
      </c>
      <c r="V132" s="52" t="n">
        <f aca="false">IF($D132="","",COUNTIF($D129:$D132,T$21)+COUNTIF($D129:$D132,$A$3))</f>
        <v>1</v>
      </c>
      <c r="W132" s="52" t="str">
        <f aca="false">IF($E132="","",COUNTIF($E129:$E132,T$21)+COUNTIF($E129:$E132,$A$3))</f>
        <v/>
      </c>
      <c r="X132" s="53" t="n">
        <f aca="false">IF($F132="","",COUNTIF($F129:$F132,T$21)+COUNTIF($F129:$F132,$A$3))</f>
        <v>1</v>
      </c>
      <c r="Z132" s="65" t="str">
        <f aca="false">IF($B132="","",COUNTIF($B129:$B132,Z$21)+COUNTIF($B129:$B132,$A$3))</f>
        <v/>
      </c>
      <c r="AA132" s="52" t="str">
        <f aca="false">IF($C132="","",COUNTIF($C129:$C132,Z$21)+COUNTIF($C129:$C132,$A$3))</f>
        <v/>
      </c>
      <c r="AB132" s="52" t="n">
        <f aca="false">IF($D132="","",COUNTIF($D129:$D132,Z$21)+COUNTIF($D129:$D132,$A$3))</f>
        <v>1</v>
      </c>
      <c r="AC132" s="52" t="str">
        <f aca="false">IF($E132="","",COUNTIF($E129:$E132,Z$21)+COUNTIF($E129:$E132,$A$3))</f>
        <v/>
      </c>
      <c r="AD132" s="53" t="n">
        <f aca="false">IF($F132="","",COUNTIF($F129:$F132,Z$21)+COUNTIF($F129:$F132,$A$3))</f>
        <v>0</v>
      </c>
      <c r="AF132" s="65" t="str">
        <f aca="false">IF($B132="","",COUNTIF($B129:$B132,AF$21)+COUNTIF($B129:$B132,$A$3))</f>
        <v/>
      </c>
      <c r="AG132" s="52" t="str">
        <f aca="false">IF($C132="","",COUNTIF($C129:$C132,AF$21)+COUNTIF($C129:$C132,$A$3))</f>
        <v/>
      </c>
      <c r="AH132" s="52" t="n">
        <f aca="false">IF($D132="","",COUNTIF($D129:$D132,AF$21)+COUNTIF($D129:$D132,$A$3))</f>
        <v>0</v>
      </c>
      <c r="AI132" s="52" t="str">
        <f aca="false">IF($E132="","",COUNTIF($E129:$E132,AF$21)+COUNTIF($E129:$E132,$A$3))</f>
        <v/>
      </c>
      <c r="AJ132" s="53" t="n">
        <f aca="false">IF($F132="","",COUNTIF($F129:$F132,AF$21)+COUNTIF($F129:$F132,$A$3))</f>
        <v>0</v>
      </c>
      <c r="AL132" s="65" t="str">
        <f aca="false">IF($B132="","",COUNTIF($B129:$B132,AL$21)+COUNTIF($B129:$B132,$A$3))</f>
        <v/>
      </c>
      <c r="AM132" s="52" t="str">
        <f aca="false">IF($C132="","",COUNTIF($C129:$C132,AL$21)+COUNTIF($C129:$C132,$A$3))</f>
        <v/>
      </c>
      <c r="AN132" s="52" t="n">
        <f aca="false">IF($D132="","",COUNTIF($D129:$D132,AL$21)+COUNTIF($D129:$D132,$A$3))</f>
        <v>0</v>
      </c>
      <c r="AO132" s="52" t="str">
        <f aca="false">IF($E132="","",COUNTIF($E129:$E132,AL$21)+COUNTIF($E129:$E132,$A$3))</f>
        <v/>
      </c>
      <c r="AP132" s="53" t="n">
        <f aca="false">IF($F132="","",COUNTIF($F129:$F132,AL$21)+COUNTIF($F129:$F132,$A$3))</f>
        <v>0</v>
      </c>
      <c r="AR132" s="65" t="str">
        <f aca="false">IF($B132="","",COUNTIF($B129:$B132,AR$21)+COUNTIF($B129:$B132,$A$3))</f>
        <v/>
      </c>
      <c r="AS132" s="52" t="str">
        <f aca="false">IF($C132="","",COUNTIF($C129:$C132,AR$21)+COUNTIF($C129:$C132,$A$3))</f>
        <v/>
      </c>
      <c r="AT132" s="52" t="n">
        <f aca="false">IF($D132="","",COUNTIF($D129:$D132,AR$21)+COUNTIF($D129:$D132,$A$3))</f>
        <v>0</v>
      </c>
      <c r="AU132" s="52" t="str">
        <f aca="false">IF($E132="","",COUNTIF($E129:$E132,AR$21)+COUNTIF($E129:$E132,$A$3))</f>
        <v/>
      </c>
      <c r="AV132" s="53" t="n">
        <f aca="false">IF($F132="","",COUNTIF($F129:$F132,AR$21)+COUNTIF($F129:$F132,$A$3))</f>
        <v>1</v>
      </c>
      <c r="AX132" s="65" t="str">
        <f aca="false">IF($B132="","",COUNTIF($B129:$B132,AX$21)+COUNTIF($B129:$B132,$A$3))</f>
        <v/>
      </c>
      <c r="AY132" s="52" t="str">
        <f aca="false">IF($C132="","",COUNTIF($C129:$C132,AX$21)+COUNTIF($C129:$C132,$A$3))</f>
        <v/>
      </c>
      <c r="AZ132" s="52" t="n">
        <f aca="false">IF($D132="","",COUNTIF($D129:$D132,AX$21)+COUNTIF($D129:$D132,$A$3))</f>
        <v>1</v>
      </c>
      <c r="BA132" s="52" t="str">
        <f aca="false">IF($E132="","",COUNTIF($E129:$E132,AX$21)+COUNTIF($E129:$E132,$A$3))</f>
        <v/>
      </c>
      <c r="BB132" s="53" t="n">
        <f aca="false">IF($F132="","",COUNTIF($F129:$F132,AX$21)+COUNTIF($F129:$F132,$A$3))</f>
        <v>0</v>
      </c>
      <c r="BD132" s="65" t="str">
        <f aca="false">IF($B132="","",COUNTIF($B129:$B132,BD$21)+COUNTIF($B129:$B132,$A$3))</f>
        <v/>
      </c>
      <c r="BE132" s="52" t="str">
        <f aca="false">IF($C132="","",COUNTIF($C129:$C132,BD$21)+COUNTIF($C129:$C132,$A$3))</f>
        <v/>
      </c>
      <c r="BF132" s="52" t="n">
        <f aca="false">IF($D132="","",COUNTIF($D129:$D132,BD$21)+COUNTIF($D129:$D132,$A$3))</f>
        <v>0</v>
      </c>
      <c r="BG132" s="52" t="str">
        <f aca="false">IF($E132="","",COUNTIF($E129:$E132,BD$21)+COUNTIF($E129:$E132,$A$3))</f>
        <v/>
      </c>
      <c r="BH132" s="53" t="n">
        <f aca="false">IF($F132="","",COUNTIF($F129:$F132,BD$21)+COUNTIF($F129:$F132,$A$3))</f>
        <v>0</v>
      </c>
      <c r="BJ132" s="65" t="str">
        <f aca="false">IF($B132="","",COUNTIF($B129:$B132,BJ$21)+COUNTIF($B129:$B132,$A$3))</f>
        <v/>
      </c>
      <c r="BK132" s="52" t="str">
        <f aca="false">IF($C132="","",COUNTIF($C129:$C132,BJ$21)+COUNTIF($C129:$C132,$A$3))</f>
        <v/>
      </c>
      <c r="BL132" s="52" t="n">
        <f aca="false">IF($D132="","",COUNTIF($D129:$D132,BJ$21)+COUNTIF($D129:$D132,$A$3))</f>
        <v>1</v>
      </c>
      <c r="BM132" s="52" t="str">
        <f aca="false">IF($E132="","",COUNTIF($E129:$E132,BJ$21)+COUNTIF($E129:$E132,$A$3))</f>
        <v/>
      </c>
      <c r="BN132" s="53" t="n">
        <f aca="false">IF($F132="","",COUNTIF($F129:$F132,BJ$21)+COUNTIF($F129:$F132,$A$3))</f>
        <v>1</v>
      </c>
      <c r="BP132" s="65" t="str">
        <f aca="false">IF($B132="","",COUNTIF($B129:$B132,BP$21)+COUNTIF($B129:$B132,$A$3))</f>
        <v/>
      </c>
      <c r="BQ132" s="52" t="str">
        <f aca="false">IF($C132="","",COUNTIF($C129:$C132,BP$21)+COUNTIF($C129:$C132,$A$3))</f>
        <v/>
      </c>
      <c r="BR132" s="52" t="n">
        <f aca="false">IF($D132="","",COUNTIF($D129:$D132,BP$21)+COUNTIF($D129:$D132,$A$3))</f>
        <v>0</v>
      </c>
      <c r="BS132" s="52" t="str">
        <f aca="false">IF($E132="","",COUNTIF($E129:$E132,BP$21)+COUNTIF($E129:$E132,$A$3))</f>
        <v/>
      </c>
      <c r="BT132" s="53" t="n">
        <f aca="false">IF($F132="","",COUNTIF($F129:$F132,BP$21)+COUNTIF($F129:$F132,$A$3))</f>
        <v>0</v>
      </c>
    </row>
    <row r="133" customFormat="false" ht="15" hidden="false" customHeight="false" outlineLevel="0" collapsed="false">
      <c r="A133" s="13" t="n">
        <v>111</v>
      </c>
      <c r="B133" s="116" t="str">
        <f aca="false">IF('Game Info'!J116="","",'Game Info'!J116)</f>
        <v/>
      </c>
      <c r="C133" s="116" t="str">
        <f aca="false">IF('Game Info'!K116="","",'Game Info'!K116)</f>
        <v/>
      </c>
      <c r="D133" s="116" t="str">
        <f aca="false">IF('Game Info'!L116="","",'Game Info'!L116)</f>
        <v/>
      </c>
      <c r="E133" s="116" t="str">
        <f aca="false">IF('Game Info'!M116="","",'Game Info'!M116)</f>
        <v/>
      </c>
      <c r="F133" s="117" t="str">
        <f aca="false">IF('Game Info'!N116="","",'Game Info'!N116)</f>
        <v>Q</v>
      </c>
      <c r="H133" s="65" t="str">
        <f aca="false">IF($B133="","",COUNTIF($B130:$B133,H$21)+COUNTIF($B130:$B133,$A$3))</f>
        <v/>
      </c>
      <c r="I133" s="52" t="str">
        <f aca="false">IF($C133="","",COUNTIF($C130:$C133,H$21)+COUNTIF($C130:$C133,$A$3))</f>
        <v/>
      </c>
      <c r="J133" s="52" t="str">
        <f aca="false">IF($D133="","",COUNTIF($D130:$D133,H$21)+COUNTIF($D130:$D133,$A$3))</f>
        <v/>
      </c>
      <c r="K133" s="52" t="str">
        <f aca="false">IF($E133="","",COUNTIF($E130:$E133,H$21)+COUNTIF($E130:$E133,$A$3))</f>
        <v/>
      </c>
      <c r="L133" s="53" t="n">
        <f aca="false">IF($F133="","",COUNTIF($F130:$F133,H$21)+COUNTIF($F130:$F133,$A$3))</f>
        <v>0</v>
      </c>
      <c r="N133" s="65" t="str">
        <f aca="false">IF($B133="","",COUNTIF($B130:$B133,N$21)+COUNTIF($B130:$B133,$A$3))</f>
        <v/>
      </c>
      <c r="O133" s="52" t="str">
        <f aca="false">IF($C133="","",COUNTIF($C130:$C133,N$21)+COUNTIF($C130:$C133,$A$3))</f>
        <v/>
      </c>
      <c r="P133" s="52" t="str">
        <f aca="false">IF($D133="","",COUNTIF($D130:$D133,N$21)+COUNTIF($D130:$D133,$A$3))</f>
        <v/>
      </c>
      <c r="Q133" s="52" t="str">
        <f aca="false">IF($E133="","",COUNTIF($E130:$E133,N$21)+COUNTIF($E130:$E133,$A$3))</f>
        <v/>
      </c>
      <c r="R133" s="53" t="n">
        <f aca="false">IF($F133="","",COUNTIF($F130:$F133,N$21)+COUNTIF($F130:$F133,$A$3))</f>
        <v>1</v>
      </c>
      <c r="T133" s="65" t="str">
        <f aca="false">IF($B133="","",COUNTIF($B130:$B133,T$21)+COUNTIF($B130:$B133,$A$3))</f>
        <v/>
      </c>
      <c r="U133" s="52" t="str">
        <f aca="false">IF($C133="","",COUNTIF($C130:$C133,T$21)+COUNTIF($C130:$C133,$A$3))</f>
        <v/>
      </c>
      <c r="V133" s="52" t="str">
        <f aca="false">IF($D133="","",COUNTIF($D130:$D133,T$21)+COUNTIF($D130:$D133,$A$3))</f>
        <v/>
      </c>
      <c r="W133" s="52" t="str">
        <f aca="false">IF($E133="","",COUNTIF($E130:$E133,T$21)+COUNTIF($E130:$E133,$A$3))</f>
        <v/>
      </c>
      <c r="X133" s="53" t="n">
        <f aca="false">IF($F133="","",COUNTIF($F130:$F133,T$21)+COUNTIF($F130:$F133,$A$3))</f>
        <v>1</v>
      </c>
      <c r="Z133" s="65" t="str">
        <f aca="false">IF($B133="","",COUNTIF($B130:$B133,Z$21)+COUNTIF($B130:$B133,$A$3))</f>
        <v/>
      </c>
      <c r="AA133" s="52" t="str">
        <f aca="false">IF($C133="","",COUNTIF($C130:$C133,Z$21)+COUNTIF($C130:$C133,$A$3))</f>
        <v/>
      </c>
      <c r="AB133" s="52" t="str">
        <f aca="false">IF($D133="","",COUNTIF($D130:$D133,Z$21)+COUNTIF($D130:$D133,$A$3))</f>
        <v/>
      </c>
      <c r="AC133" s="52" t="str">
        <f aca="false">IF($E133="","",COUNTIF($E130:$E133,Z$21)+COUNTIF($E130:$E133,$A$3))</f>
        <v/>
      </c>
      <c r="AD133" s="53" t="n">
        <f aca="false">IF($F133="","",COUNTIF($F130:$F133,Z$21)+COUNTIF($F130:$F133,$A$3))</f>
        <v>0</v>
      </c>
      <c r="AF133" s="65" t="str">
        <f aca="false">IF($B133="","",COUNTIF($B130:$B133,AF$21)+COUNTIF($B130:$B133,$A$3))</f>
        <v/>
      </c>
      <c r="AG133" s="52" t="str">
        <f aca="false">IF($C133="","",COUNTIF($C130:$C133,AF$21)+COUNTIF($C130:$C133,$A$3))</f>
        <v/>
      </c>
      <c r="AH133" s="52" t="str">
        <f aca="false">IF($D133="","",COUNTIF($D130:$D133,AF$21)+COUNTIF($D130:$D133,$A$3))</f>
        <v/>
      </c>
      <c r="AI133" s="52" t="str">
        <f aca="false">IF($E133="","",COUNTIF($E130:$E133,AF$21)+COUNTIF($E130:$E133,$A$3))</f>
        <v/>
      </c>
      <c r="AJ133" s="53" t="n">
        <f aca="false">IF($F133="","",COUNTIF($F130:$F133,AF$21)+COUNTIF($F130:$F133,$A$3))</f>
        <v>0</v>
      </c>
      <c r="AL133" s="65" t="str">
        <f aca="false">IF($B133="","",COUNTIF($B130:$B133,AL$21)+COUNTIF($B130:$B133,$A$3))</f>
        <v/>
      </c>
      <c r="AM133" s="52" t="str">
        <f aca="false">IF($C133="","",COUNTIF($C130:$C133,AL$21)+COUNTIF($C130:$C133,$A$3))</f>
        <v/>
      </c>
      <c r="AN133" s="52" t="str">
        <f aca="false">IF($D133="","",COUNTIF($D130:$D133,AL$21)+COUNTIF($D130:$D133,$A$3))</f>
        <v/>
      </c>
      <c r="AO133" s="52" t="str">
        <f aca="false">IF($E133="","",COUNTIF($E130:$E133,AL$21)+COUNTIF($E130:$E133,$A$3))</f>
        <v/>
      </c>
      <c r="AP133" s="53" t="n">
        <f aca="false">IF($F133="","",COUNTIF($F130:$F133,AL$21)+COUNTIF($F130:$F133,$A$3))</f>
        <v>0</v>
      </c>
      <c r="AR133" s="65" t="str">
        <f aca="false">IF($B133="","",COUNTIF($B130:$B133,AR$21)+COUNTIF($B130:$B133,$A$3))</f>
        <v/>
      </c>
      <c r="AS133" s="52" t="str">
        <f aca="false">IF($C133="","",COUNTIF($C130:$C133,AR$21)+COUNTIF($C130:$C133,$A$3))</f>
        <v/>
      </c>
      <c r="AT133" s="52" t="str">
        <f aca="false">IF($D133="","",COUNTIF($D130:$D133,AR$21)+COUNTIF($D130:$D133,$A$3))</f>
        <v/>
      </c>
      <c r="AU133" s="52" t="str">
        <f aca="false">IF($E133="","",COUNTIF($E130:$E133,AR$21)+COUNTIF($E130:$E133,$A$3))</f>
        <v/>
      </c>
      <c r="AV133" s="53" t="n">
        <f aca="false">IF($F133="","",COUNTIF($F130:$F133,AR$21)+COUNTIF($F130:$F133,$A$3))</f>
        <v>0</v>
      </c>
      <c r="AX133" s="65" t="str">
        <f aca="false">IF($B133="","",COUNTIF($B130:$B133,AX$21)+COUNTIF($B130:$B133,$A$3))</f>
        <v/>
      </c>
      <c r="AY133" s="52" t="str">
        <f aca="false">IF($C133="","",COUNTIF($C130:$C133,AX$21)+COUNTIF($C130:$C133,$A$3))</f>
        <v/>
      </c>
      <c r="AZ133" s="52" t="str">
        <f aca="false">IF($D133="","",COUNTIF($D130:$D133,AX$21)+COUNTIF($D130:$D133,$A$3))</f>
        <v/>
      </c>
      <c r="BA133" s="52" t="str">
        <f aca="false">IF($E133="","",COUNTIF($E130:$E133,AX$21)+COUNTIF($E130:$E133,$A$3))</f>
        <v/>
      </c>
      <c r="BB133" s="53" t="n">
        <f aca="false">IF($F133="","",COUNTIF($F130:$F133,AX$21)+COUNTIF($F130:$F133,$A$3))</f>
        <v>1</v>
      </c>
      <c r="BD133" s="65" t="str">
        <f aca="false">IF($B133="","",COUNTIF($B130:$B133,BD$21)+COUNTIF($B130:$B133,$A$3))</f>
        <v/>
      </c>
      <c r="BE133" s="52" t="str">
        <f aca="false">IF($C133="","",COUNTIF($C130:$C133,BD$21)+COUNTIF($C130:$C133,$A$3))</f>
        <v/>
      </c>
      <c r="BF133" s="52" t="str">
        <f aca="false">IF($D133="","",COUNTIF($D130:$D133,BD$21)+COUNTIF($D130:$D133,$A$3))</f>
        <v/>
      </c>
      <c r="BG133" s="52" t="str">
        <f aca="false">IF($E133="","",COUNTIF($E130:$E133,BD$21)+COUNTIF($E130:$E133,$A$3))</f>
        <v/>
      </c>
      <c r="BH133" s="53" t="n">
        <f aca="false">IF($F133="","",COUNTIF($F130:$F133,BD$21)+COUNTIF($F130:$F133,$A$3))</f>
        <v>0</v>
      </c>
      <c r="BJ133" s="65" t="str">
        <f aca="false">IF($B133="","",COUNTIF($B130:$B133,BJ$21)+COUNTIF($B130:$B133,$A$3))</f>
        <v/>
      </c>
      <c r="BK133" s="52" t="str">
        <f aca="false">IF($C133="","",COUNTIF($C130:$C133,BJ$21)+COUNTIF($C130:$C133,$A$3))</f>
        <v/>
      </c>
      <c r="BL133" s="52" t="str">
        <f aca="false">IF($D133="","",COUNTIF($D130:$D133,BJ$21)+COUNTIF($D130:$D133,$A$3))</f>
        <v/>
      </c>
      <c r="BM133" s="52" t="str">
        <f aca="false">IF($E133="","",COUNTIF($E130:$E133,BJ$21)+COUNTIF($E130:$E133,$A$3))</f>
        <v/>
      </c>
      <c r="BN133" s="53" t="n">
        <f aca="false">IF($F133="","",COUNTIF($F130:$F133,BJ$21)+COUNTIF($F130:$F133,$A$3))</f>
        <v>1</v>
      </c>
      <c r="BP133" s="65" t="str">
        <f aca="false">IF($B133="","",COUNTIF($B130:$B133,BP$21)+COUNTIF($B130:$B133,$A$3))</f>
        <v/>
      </c>
      <c r="BQ133" s="52" t="str">
        <f aca="false">IF($C133="","",COUNTIF($C130:$C133,BP$21)+COUNTIF($C130:$C133,$A$3))</f>
        <v/>
      </c>
      <c r="BR133" s="52" t="str">
        <f aca="false">IF($D133="","",COUNTIF($D130:$D133,BP$21)+COUNTIF($D130:$D133,$A$3))</f>
        <v/>
      </c>
      <c r="BS133" s="52" t="str">
        <f aca="false">IF($E133="","",COUNTIF($E130:$E133,BP$21)+COUNTIF($E130:$E133,$A$3))</f>
        <v/>
      </c>
      <c r="BT133" s="53" t="n">
        <f aca="false">IF($F133="","",COUNTIF($F130:$F133,BP$21)+COUNTIF($F130:$F133,$A$3))</f>
        <v>0</v>
      </c>
    </row>
    <row r="134" customFormat="false" ht="15" hidden="false" customHeight="false" outlineLevel="0" collapsed="false">
      <c r="A134" s="13" t="n">
        <v>112</v>
      </c>
      <c r="B134" s="116" t="str">
        <f aca="false">IF('Game Info'!J117="","",'Game Info'!J117)</f>
        <v/>
      </c>
      <c r="C134" s="116" t="str">
        <f aca="false">IF('Game Info'!K117="","",'Game Info'!K117)</f>
        <v/>
      </c>
      <c r="D134" s="116" t="str">
        <f aca="false">IF('Game Info'!L117="","",'Game Info'!L117)</f>
        <v/>
      </c>
      <c r="E134" s="116" t="str">
        <f aca="false">IF('Game Info'!M117="","",'Game Info'!M117)</f>
        <v/>
      </c>
      <c r="F134" s="117" t="str">
        <f aca="false">IF('Game Info'!N117="","",'Game Info'!N117)</f>
        <v>SYM4</v>
      </c>
      <c r="H134" s="65" t="str">
        <f aca="false">IF($B134="","",COUNTIF($B131:$B134,H$21)+COUNTIF($B131:$B134,$A$3))</f>
        <v/>
      </c>
      <c r="I134" s="52" t="str">
        <f aca="false">IF($C134="","",COUNTIF($C131:$C134,H$21)+COUNTIF($C131:$C134,$A$3))</f>
        <v/>
      </c>
      <c r="J134" s="52" t="str">
        <f aca="false">IF($D134="","",COUNTIF($D131:$D134,H$21)+COUNTIF($D131:$D134,$A$3))</f>
        <v/>
      </c>
      <c r="K134" s="52" t="str">
        <f aca="false">IF($E134="","",COUNTIF($E131:$E134,H$21)+COUNTIF($E131:$E134,$A$3))</f>
        <v/>
      </c>
      <c r="L134" s="53" t="n">
        <f aca="false">IF($F134="","",COUNTIF($F131:$F134,H$21)+COUNTIF($F131:$F134,$A$3))</f>
        <v>0</v>
      </c>
      <c r="N134" s="65" t="str">
        <f aca="false">IF($B134="","",COUNTIF($B131:$B134,N$21)+COUNTIF($B131:$B134,$A$3))</f>
        <v/>
      </c>
      <c r="O134" s="52" t="str">
        <f aca="false">IF($C134="","",COUNTIF($C131:$C134,N$21)+COUNTIF($C131:$C134,$A$3))</f>
        <v/>
      </c>
      <c r="P134" s="52" t="str">
        <f aca="false">IF($D134="","",COUNTIF($D131:$D134,N$21)+COUNTIF($D131:$D134,$A$3))</f>
        <v/>
      </c>
      <c r="Q134" s="52" t="str">
        <f aca="false">IF($E134="","",COUNTIF($E131:$E134,N$21)+COUNTIF($E131:$E134,$A$3))</f>
        <v/>
      </c>
      <c r="R134" s="53" t="n">
        <f aca="false">IF($F134="","",COUNTIF($F131:$F134,N$21)+COUNTIF($F131:$F134,$A$3))</f>
        <v>1</v>
      </c>
      <c r="T134" s="65" t="str">
        <f aca="false">IF($B134="","",COUNTIF($B131:$B134,T$21)+COUNTIF($B131:$B134,$A$3))</f>
        <v/>
      </c>
      <c r="U134" s="52" t="str">
        <f aca="false">IF($C134="","",COUNTIF($C131:$C134,T$21)+COUNTIF($C131:$C134,$A$3))</f>
        <v/>
      </c>
      <c r="V134" s="52" t="str">
        <f aca="false">IF($D134="","",COUNTIF($D131:$D134,T$21)+COUNTIF($D131:$D134,$A$3))</f>
        <v/>
      </c>
      <c r="W134" s="52" t="str">
        <f aca="false">IF($E134="","",COUNTIF($E131:$E134,T$21)+COUNTIF($E131:$E134,$A$3))</f>
        <v/>
      </c>
      <c r="X134" s="53" t="n">
        <f aca="false">IF($F134="","",COUNTIF($F131:$F134,T$21)+COUNTIF($F131:$F134,$A$3))</f>
        <v>0</v>
      </c>
      <c r="Z134" s="65" t="str">
        <f aca="false">IF($B134="","",COUNTIF($B131:$B134,Z$21)+COUNTIF($B131:$B134,$A$3))</f>
        <v/>
      </c>
      <c r="AA134" s="52" t="str">
        <f aca="false">IF($C134="","",COUNTIF($C131:$C134,Z$21)+COUNTIF($C131:$C134,$A$3))</f>
        <v/>
      </c>
      <c r="AB134" s="52" t="str">
        <f aca="false">IF($D134="","",COUNTIF($D131:$D134,Z$21)+COUNTIF($D131:$D134,$A$3))</f>
        <v/>
      </c>
      <c r="AC134" s="52" t="str">
        <f aca="false">IF($E134="","",COUNTIF($E131:$E134,Z$21)+COUNTIF($E131:$E134,$A$3))</f>
        <v/>
      </c>
      <c r="AD134" s="53" t="n">
        <f aca="false">IF($F134="","",COUNTIF($F131:$F134,Z$21)+COUNTIF($F131:$F134,$A$3))</f>
        <v>1</v>
      </c>
      <c r="AF134" s="65" t="str">
        <f aca="false">IF($B134="","",COUNTIF($B131:$B134,AF$21)+COUNTIF($B131:$B134,$A$3))</f>
        <v/>
      </c>
      <c r="AG134" s="52" t="str">
        <f aca="false">IF($C134="","",COUNTIF($C131:$C134,AF$21)+COUNTIF($C131:$C134,$A$3))</f>
        <v/>
      </c>
      <c r="AH134" s="52" t="str">
        <f aca="false">IF($D134="","",COUNTIF($D131:$D134,AF$21)+COUNTIF($D131:$D134,$A$3))</f>
        <v/>
      </c>
      <c r="AI134" s="52" t="str">
        <f aca="false">IF($E134="","",COUNTIF($E131:$E134,AF$21)+COUNTIF($E131:$E134,$A$3))</f>
        <v/>
      </c>
      <c r="AJ134" s="53" t="n">
        <f aca="false">IF($F134="","",COUNTIF($F131:$F134,AF$21)+COUNTIF($F131:$F134,$A$3))</f>
        <v>0</v>
      </c>
      <c r="AL134" s="65" t="str">
        <f aca="false">IF($B134="","",COUNTIF($B131:$B134,AL$21)+COUNTIF($B131:$B134,$A$3))</f>
        <v/>
      </c>
      <c r="AM134" s="52" t="str">
        <f aca="false">IF($C134="","",COUNTIF($C131:$C134,AL$21)+COUNTIF($C131:$C134,$A$3))</f>
        <v/>
      </c>
      <c r="AN134" s="52" t="str">
        <f aca="false">IF($D134="","",COUNTIF($D131:$D134,AL$21)+COUNTIF($D131:$D134,$A$3))</f>
        <v/>
      </c>
      <c r="AO134" s="52" t="str">
        <f aca="false">IF($E134="","",COUNTIF($E131:$E134,AL$21)+COUNTIF($E131:$E134,$A$3))</f>
        <v/>
      </c>
      <c r="AP134" s="53" t="n">
        <f aca="false">IF($F134="","",COUNTIF($F131:$F134,AL$21)+COUNTIF($F131:$F134,$A$3))</f>
        <v>0</v>
      </c>
      <c r="AR134" s="65" t="str">
        <f aca="false">IF($B134="","",COUNTIF($B131:$B134,AR$21)+COUNTIF($B131:$B134,$A$3))</f>
        <v/>
      </c>
      <c r="AS134" s="52" t="str">
        <f aca="false">IF($C134="","",COUNTIF($C131:$C134,AR$21)+COUNTIF($C131:$C134,$A$3))</f>
        <v/>
      </c>
      <c r="AT134" s="52" t="str">
        <f aca="false">IF($D134="","",COUNTIF($D131:$D134,AR$21)+COUNTIF($D131:$D134,$A$3))</f>
        <v/>
      </c>
      <c r="AU134" s="52" t="str">
        <f aca="false">IF($E134="","",COUNTIF($E131:$E134,AR$21)+COUNTIF($E131:$E134,$A$3))</f>
        <v/>
      </c>
      <c r="AV134" s="53" t="n">
        <f aca="false">IF($F134="","",COUNTIF($F131:$F134,AR$21)+COUNTIF($F131:$F134,$A$3))</f>
        <v>0</v>
      </c>
      <c r="AX134" s="65" t="str">
        <f aca="false">IF($B134="","",COUNTIF($B131:$B134,AX$21)+COUNTIF($B131:$B134,$A$3))</f>
        <v/>
      </c>
      <c r="AY134" s="52" t="str">
        <f aca="false">IF($C134="","",COUNTIF($C131:$C134,AX$21)+COUNTIF($C131:$C134,$A$3))</f>
        <v/>
      </c>
      <c r="AZ134" s="52" t="str">
        <f aca="false">IF($D134="","",COUNTIF($D131:$D134,AX$21)+COUNTIF($D131:$D134,$A$3))</f>
        <v/>
      </c>
      <c r="BA134" s="52" t="str">
        <f aca="false">IF($E134="","",COUNTIF($E131:$E134,AX$21)+COUNTIF($E131:$E134,$A$3))</f>
        <v/>
      </c>
      <c r="BB134" s="53" t="n">
        <f aca="false">IF($F134="","",COUNTIF($F131:$F134,AX$21)+COUNTIF($F131:$F134,$A$3))</f>
        <v>1</v>
      </c>
      <c r="BD134" s="65" t="str">
        <f aca="false">IF($B134="","",COUNTIF($B131:$B134,BD$21)+COUNTIF($B131:$B134,$A$3))</f>
        <v/>
      </c>
      <c r="BE134" s="52" t="str">
        <f aca="false">IF($C134="","",COUNTIF($C131:$C134,BD$21)+COUNTIF($C131:$C134,$A$3))</f>
        <v/>
      </c>
      <c r="BF134" s="52" t="str">
        <f aca="false">IF($D134="","",COUNTIF($D131:$D134,BD$21)+COUNTIF($D131:$D134,$A$3))</f>
        <v/>
      </c>
      <c r="BG134" s="52" t="str">
        <f aca="false">IF($E134="","",COUNTIF($E131:$E134,BD$21)+COUNTIF($E131:$E134,$A$3))</f>
        <v/>
      </c>
      <c r="BH134" s="53" t="n">
        <f aca="false">IF($F134="","",COUNTIF($F131:$F134,BD$21)+COUNTIF($F131:$F134,$A$3))</f>
        <v>0</v>
      </c>
      <c r="BJ134" s="65" t="str">
        <f aca="false">IF($B134="","",COUNTIF($B131:$B134,BJ$21)+COUNTIF($B131:$B134,$A$3))</f>
        <v/>
      </c>
      <c r="BK134" s="52" t="str">
        <f aca="false">IF($C134="","",COUNTIF($C131:$C134,BJ$21)+COUNTIF($C131:$C134,$A$3))</f>
        <v/>
      </c>
      <c r="BL134" s="52" t="str">
        <f aca="false">IF($D134="","",COUNTIF($D131:$D134,BJ$21)+COUNTIF($D131:$D134,$A$3))</f>
        <v/>
      </c>
      <c r="BM134" s="52" t="str">
        <f aca="false">IF($E134="","",COUNTIF($E131:$E134,BJ$21)+COUNTIF($E131:$E134,$A$3))</f>
        <v/>
      </c>
      <c r="BN134" s="53" t="n">
        <f aca="false">IF($F134="","",COUNTIF($F131:$F134,BJ$21)+COUNTIF($F131:$F134,$A$3))</f>
        <v>1</v>
      </c>
      <c r="BP134" s="65" t="str">
        <f aca="false">IF($B134="","",COUNTIF($B131:$B134,BP$21)+COUNTIF($B131:$B134,$A$3))</f>
        <v/>
      </c>
      <c r="BQ134" s="52" t="str">
        <f aca="false">IF($C134="","",COUNTIF($C131:$C134,BP$21)+COUNTIF($C131:$C134,$A$3))</f>
        <v/>
      </c>
      <c r="BR134" s="52" t="str">
        <f aca="false">IF($D134="","",COUNTIF($D131:$D134,BP$21)+COUNTIF($D131:$D134,$A$3))</f>
        <v/>
      </c>
      <c r="BS134" s="52" t="str">
        <f aca="false">IF($E134="","",COUNTIF($E131:$E134,BP$21)+COUNTIF($E131:$E134,$A$3))</f>
        <v/>
      </c>
      <c r="BT134" s="53" t="n">
        <f aca="false">IF($F134="","",COUNTIF($F131:$F134,BP$21)+COUNTIF($F131:$F134,$A$3))</f>
        <v>0</v>
      </c>
    </row>
    <row r="135" customFormat="false" ht="15" hidden="false" customHeight="false" outlineLevel="0" collapsed="false">
      <c r="A135" s="13" t="n">
        <v>113</v>
      </c>
      <c r="B135" s="116" t="str">
        <f aca="false">IF('Game Info'!J118="","",'Game Info'!J118)</f>
        <v/>
      </c>
      <c r="C135" s="116" t="str">
        <f aca="false">IF('Game Info'!K118="","",'Game Info'!K118)</f>
        <v/>
      </c>
      <c r="D135" s="116" t="str">
        <f aca="false">IF('Game Info'!L118="","",'Game Info'!L118)</f>
        <v/>
      </c>
      <c r="E135" s="116" t="str">
        <f aca="false">IF('Game Info'!M118="","",'Game Info'!M118)</f>
        <v/>
      </c>
      <c r="F135" s="117" t="str">
        <f aca="false">IF('Game Info'!N118="","",'Game Info'!N118)</f>
        <v>J</v>
      </c>
      <c r="H135" s="65" t="str">
        <f aca="false">IF($B135="","",COUNTIF($B132:$B135,H$21)+COUNTIF($B132:$B135,$A$3))</f>
        <v/>
      </c>
      <c r="I135" s="52" t="str">
        <f aca="false">IF($C135="","",COUNTIF($C132:$C135,H$21)+COUNTIF($C132:$C135,$A$3))</f>
        <v/>
      </c>
      <c r="J135" s="52" t="str">
        <f aca="false">IF($D135="","",COUNTIF($D132:$D135,H$21)+COUNTIF($D132:$D135,$A$3))</f>
        <v/>
      </c>
      <c r="K135" s="52" t="str">
        <f aca="false">IF($E135="","",COUNTIF($E132:$E135,H$21)+COUNTIF($E132:$E135,$A$3))</f>
        <v/>
      </c>
      <c r="L135" s="53" t="n">
        <f aca="false">IF($F135="","",COUNTIF($F132:$F135,H$21)+COUNTIF($F132:$F135,$A$3))</f>
        <v>0</v>
      </c>
      <c r="N135" s="65" t="str">
        <f aca="false">IF($B135="","",COUNTIF($B132:$B135,N$21)+COUNTIF($B132:$B135,$A$3))</f>
        <v/>
      </c>
      <c r="O135" s="52" t="str">
        <f aca="false">IF($C135="","",COUNTIF($C132:$C135,N$21)+COUNTIF($C132:$C135,$A$3))</f>
        <v/>
      </c>
      <c r="P135" s="52" t="str">
        <f aca="false">IF($D135="","",COUNTIF($D132:$D135,N$21)+COUNTIF($D132:$D135,$A$3))</f>
        <v/>
      </c>
      <c r="Q135" s="52" t="str">
        <f aca="false">IF($E135="","",COUNTIF($E132:$E135,N$21)+COUNTIF($E132:$E135,$A$3))</f>
        <v/>
      </c>
      <c r="R135" s="53" t="n">
        <f aca="false">IF($F135="","",COUNTIF($F132:$F135,N$21)+COUNTIF($F132:$F135,$A$3))</f>
        <v>1</v>
      </c>
      <c r="T135" s="65" t="str">
        <f aca="false">IF($B135="","",COUNTIF($B132:$B135,T$21)+COUNTIF($B132:$B135,$A$3))</f>
        <v/>
      </c>
      <c r="U135" s="52" t="str">
        <f aca="false">IF($C135="","",COUNTIF($C132:$C135,T$21)+COUNTIF($C132:$C135,$A$3))</f>
        <v/>
      </c>
      <c r="V135" s="52" t="str">
        <f aca="false">IF($D135="","",COUNTIF($D132:$D135,T$21)+COUNTIF($D132:$D135,$A$3))</f>
        <v/>
      </c>
      <c r="W135" s="52" t="str">
        <f aca="false">IF($E135="","",COUNTIF($E132:$E135,T$21)+COUNTIF($E132:$E135,$A$3))</f>
        <v/>
      </c>
      <c r="X135" s="53" t="n">
        <f aca="false">IF($F135="","",COUNTIF($F132:$F135,T$21)+COUNTIF($F132:$F135,$A$3))</f>
        <v>0</v>
      </c>
      <c r="Z135" s="65" t="str">
        <f aca="false">IF($B135="","",COUNTIF($B132:$B135,Z$21)+COUNTIF($B132:$B135,$A$3))</f>
        <v/>
      </c>
      <c r="AA135" s="52" t="str">
        <f aca="false">IF($C135="","",COUNTIF($C132:$C135,Z$21)+COUNTIF($C132:$C135,$A$3))</f>
        <v/>
      </c>
      <c r="AB135" s="52" t="str">
        <f aca="false">IF($D135="","",COUNTIF($D132:$D135,Z$21)+COUNTIF($D132:$D135,$A$3))</f>
        <v/>
      </c>
      <c r="AC135" s="52" t="str">
        <f aca="false">IF($E135="","",COUNTIF($E132:$E135,Z$21)+COUNTIF($E132:$E135,$A$3))</f>
        <v/>
      </c>
      <c r="AD135" s="53" t="n">
        <f aca="false">IF($F135="","",COUNTIF($F132:$F135,Z$21)+COUNTIF($F132:$F135,$A$3))</f>
        <v>1</v>
      </c>
      <c r="AF135" s="65" t="str">
        <f aca="false">IF($B135="","",COUNTIF($B132:$B135,AF$21)+COUNTIF($B132:$B135,$A$3))</f>
        <v/>
      </c>
      <c r="AG135" s="52" t="str">
        <f aca="false">IF($C135="","",COUNTIF($C132:$C135,AF$21)+COUNTIF($C132:$C135,$A$3))</f>
        <v/>
      </c>
      <c r="AH135" s="52" t="str">
        <f aca="false">IF($D135="","",COUNTIF($D132:$D135,AF$21)+COUNTIF($D132:$D135,$A$3))</f>
        <v/>
      </c>
      <c r="AI135" s="52" t="str">
        <f aca="false">IF($E135="","",COUNTIF($E132:$E135,AF$21)+COUNTIF($E132:$E135,$A$3))</f>
        <v/>
      </c>
      <c r="AJ135" s="53" t="n">
        <f aca="false">IF($F135="","",COUNTIF($F132:$F135,AF$21)+COUNTIF($F132:$F135,$A$3))</f>
        <v>0</v>
      </c>
      <c r="AL135" s="65" t="str">
        <f aca="false">IF($B135="","",COUNTIF($B132:$B135,AL$21)+COUNTIF($B132:$B135,$A$3))</f>
        <v/>
      </c>
      <c r="AM135" s="52" t="str">
        <f aca="false">IF($C135="","",COUNTIF($C132:$C135,AL$21)+COUNTIF($C132:$C135,$A$3))</f>
        <v/>
      </c>
      <c r="AN135" s="52" t="str">
        <f aca="false">IF($D135="","",COUNTIF($D132:$D135,AL$21)+COUNTIF($D132:$D135,$A$3))</f>
        <v/>
      </c>
      <c r="AO135" s="52" t="str">
        <f aca="false">IF($E135="","",COUNTIF($E132:$E135,AL$21)+COUNTIF($E132:$E135,$A$3))</f>
        <v/>
      </c>
      <c r="AP135" s="53" t="n">
        <f aca="false">IF($F135="","",COUNTIF($F132:$F135,AL$21)+COUNTIF($F132:$F135,$A$3))</f>
        <v>0</v>
      </c>
      <c r="AR135" s="65" t="str">
        <f aca="false">IF($B135="","",COUNTIF($B132:$B135,AR$21)+COUNTIF($B132:$B135,$A$3))</f>
        <v/>
      </c>
      <c r="AS135" s="52" t="str">
        <f aca="false">IF($C135="","",COUNTIF($C132:$C135,AR$21)+COUNTIF($C132:$C135,$A$3))</f>
        <v/>
      </c>
      <c r="AT135" s="52" t="str">
        <f aca="false">IF($D135="","",COUNTIF($D132:$D135,AR$21)+COUNTIF($D132:$D135,$A$3))</f>
        <v/>
      </c>
      <c r="AU135" s="52" t="str">
        <f aca="false">IF($E135="","",COUNTIF($E132:$E135,AR$21)+COUNTIF($E132:$E135,$A$3))</f>
        <v/>
      </c>
      <c r="AV135" s="53" t="n">
        <f aca="false">IF($F135="","",COUNTIF($F132:$F135,AR$21)+COUNTIF($F132:$F135,$A$3))</f>
        <v>0</v>
      </c>
      <c r="AX135" s="65" t="str">
        <f aca="false">IF($B135="","",COUNTIF($B132:$B135,AX$21)+COUNTIF($B132:$B135,$A$3))</f>
        <v/>
      </c>
      <c r="AY135" s="52" t="str">
        <f aca="false">IF($C135="","",COUNTIF($C132:$C135,AX$21)+COUNTIF($C132:$C135,$A$3))</f>
        <v/>
      </c>
      <c r="AZ135" s="52" t="str">
        <f aca="false">IF($D135="","",COUNTIF($D132:$D135,AX$21)+COUNTIF($D132:$D135,$A$3))</f>
        <v/>
      </c>
      <c r="BA135" s="52" t="str">
        <f aca="false">IF($E135="","",COUNTIF($E132:$E135,AX$21)+COUNTIF($E132:$E135,$A$3))</f>
        <v/>
      </c>
      <c r="BB135" s="53" t="n">
        <f aca="false">IF($F135="","",COUNTIF($F132:$F135,AX$21)+COUNTIF($F132:$F135,$A$3))</f>
        <v>1</v>
      </c>
      <c r="BD135" s="65" t="str">
        <f aca="false">IF($B135="","",COUNTIF($B132:$B135,BD$21)+COUNTIF($B132:$B135,$A$3))</f>
        <v/>
      </c>
      <c r="BE135" s="52" t="str">
        <f aca="false">IF($C135="","",COUNTIF($C132:$C135,BD$21)+COUNTIF($C132:$C135,$A$3))</f>
        <v/>
      </c>
      <c r="BF135" s="52" t="str">
        <f aca="false">IF($D135="","",COUNTIF($D132:$D135,BD$21)+COUNTIF($D132:$D135,$A$3))</f>
        <v/>
      </c>
      <c r="BG135" s="52" t="str">
        <f aca="false">IF($E135="","",COUNTIF($E132:$E135,BD$21)+COUNTIF($E132:$E135,$A$3))</f>
        <v/>
      </c>
      <c r="BH135" s="53" t="n">
        <f aca="false">IF($F135="","",COUNTIF($F132:$F135,BD$21)+COUNTIF($F132:$F135,$A$3))</f>
        <v>1</v>
      </c>
      <c r="BJ135" s="65" t="str">
        <f aca="false">IF($B135="","",COUNTIF($B132:$B135,BJ$21)+COUNTIF($B132:$B135,$A$3))</f>
        <v/>
      </c>
      <c r="BK135" s="52" t="str">
        <f aca="false">IF($C135="","",COUNTIF($C132:$C135,BJ$21)+COUNTIF($C132:$C135,$A$3))</f>
        <v/>
      </c>
      <c r="BL135" s="52" t="str">
        <f aca="false">IF($D135="","",COUNTIF($D132:$D135,BJ$21)+COUNTIF($D132:$D135,$A$3))</f>
        <v/>
      </c>
      <c r="BM135" s="52" t="str">
        <f aca="false">IF($E135="","",COUNTIF($E132:$E135,BJ$21)+COUNTIF($E132:$E135,$A$3))</f>
        <v/>
      </c>
      <c r="BN135" s="53" t="n">
        <f aca="false">IF($F135="","",COUNTIF($F132:$F135,BJ$21)+COUNTIF($F132:$F135,$A$3))</f>
        <v>0</v>
      </c>
      <c r="BP135" s="65" t="str">
        <f aca="false">IF($B135="","",COUNTIF($B132:$B135,BP$21)+COUNTIF($B132:$B135,$A$3))</f>
        <v/>
      </c>
      <c r="BQ135" s="52" t="str">
        <f aca="false">IF($C135="","",COUNTIF($C132:$C135,BP$21)+COUNTIF($C132:$C135,$A$3))</f>
        <v/>
      </c>
      <c r="BR135" s="52" t="str">
        <f aca="false">IF($D135="","",COUNTIF($D132:$D135,BP$21)+COUNTIF($D132:$D135,$A$3))</f>
        <v/>
      </c>
      <c r="BS135" s="52" t="str">
        <f aca="false">IF($E135="","",COUNTIF($E132:$E135,BP$21)+COUNTIF($E132:$E135,$A$3))</f>
        <v/>
      </c>
      <c r="BT135" s="53" t="n">
        <f aca="false">IF($F135="","",COUNTIF($F132:$F135,BP$21)+COUNTIF($F132:$F135,$A$3))</f>
        <v>0</v>
      </c>
    </row>
    <row r="136" customFormat="false" ht="15" hidden="false" customHeight="false" outlineLevel="0" collapsed="false">
      <c r="A136" s="13" t="n">
        <v>114</v>
      </c>
      <c r="B136" s="116" t="str">
        <f aca="false">IF('Game Info'!J119="","",'Game Info'!J119)</f>
        <v/>
      </c>
      <c r="C136" s="116" t="str">
        <f aca="false">IF('Game Info'!K119="","",'Game Info'!K119)</f>
        <v/>
      </c>
      <c r="D136" s="116" t="str">
        <f aca="false">IF('Game Info'!L119="","",'Game Info'!L119)</f>
        <v/>
      </c>
      <c r="E136" s="116" t="str">
        <f aca="false">IF('Game Info'!M119="","",'Game Info'!M119)</f>
        <v/>
      </c>
      <c r="F136" s="117" t="str">
        <f aca="false">IF('Game Info'!N119="","",'Game Info'!N119)</f>
        <v/>
      </c>
      <c r="H136" s="65" t="str">
        <f aca="false">IF($B136="","",COUNTIF($B133:$B136,H$21)+COUNTIF($B133:$B136,$A$3))</f>
        <v/>
      </c>
      <c r="I136" s="52" t="str">
        <f aca="false">IF($C136="","",COUNTIF($C133:$C136,H$21)+COUNTIF($C133:$C136,$A$3))</f>
        <v/>
      </c>
      <c r="J136" s="52" t="str">
        <f aca="false">IF($D136="","",COUNTIF($D133:$D136,H$21)+COUNTIF($D133:$D136,$A$3))</f>
        <v/>
      </c>
      <c r="K136" s="52" t="str">
        <f aca="false">IF($E136="","",COUNTIF($E133:$E136,H$21)+COUNTIF($E133:$E136,$A$3))</f>
        <v/>
      </c>
      <c r="L136" s="53" t="str">
        <f aca="false">IF($F136="","",COUNTIF($F133:$F136,H$21)+COUNTIF($F133:$F136,$A$3))</f>
        <v/>
      </c>
      <c r="N136" s="65" t="str">
        <f aca="false">IF($B136="","",COUNTIF($B133:$B136,N$21)+COUNTIF($B133:$B136,$A$3))</f>
        <v/>
      </c>
      <c r="O136" s="52" t="str">
        <f aca="false">IF($C136="","",COUNTIF($C133:$C136,N$21)+COUNTIF($C133:$C136,$A$3))</f>
        <v/>
      </c>
      <c r="P136" s="52" t="str">
        <f aca="false">IF($D136="","",COUNTIF($D133:$D136,N$21)+COUNTIF($D133:$D136,$A$3))</f>
        <v/>
      </c>
      <c r="Q136" s="52" t="str">
        <f aca="false">IF($E136="","",COUNTIF($E133:$E136,N$21)+COUNTIF($E133:$E136,$A$3))</f>
        <v/>
      </c>
      <c r="R136" s="53" t="str">
        <f aca="false">IF($F136="","",COUNTIF($F133:$F136,N$21)+COUNTIF($F133:$F136,$A$3))</f>
        <v/>
      </c>
      <c r="T136" s="65" t="str">
        <f aca="false">IF($B136="","",COUNTIF($B133:$B136,T$21)+COUNTIF($B133:$B136,$A$3))</f>
        <v/>
      </c>
      <c r="U136" s="52" t="str">
        <f aca="false">IF($C136="","",COUNTIF($C133:$C136,T$21)+COUNTIF($C133:$C136,$A$3))</f>
        <v/>
      </c>
      <c r="V136" s="52" t="str">
        <f aca="false">IF($D136="","",COUNTIF($D133:$D136,T$21)+COUNTIF($D133:$D136,$A$3))</f>
        <v/>
      </c>
      <c r="W136" s="52" t="str">
        <f aca="false">IF($E136="","",COUNTIF($E133:$E136,T$21)+COUNTIF($E133:$E136,$A$3))</f>
        <v/>
      </c>
      <c r="X136" s="53" t="str">
        <f aca="false">IF($F136="","",COUNTIF($F133:$F136,T$21)+COUNTIF($F133:$F136,$A$3))</f>
        <v/>
      </c>
      <c r="Z136" s="65" t="str">
        <f aca="false">IF($B136="","",COUNTIF($B133:$B136,Z$21)+COUNTIF($B133:$B136,$A$3))</f>
        <v/>
      </c>
      <c r="AA136" s="52" t="str">
        <f aca="false">IF($C136="","",COUNTIF($C133:$C136,Z$21)+COUNTIF($C133:$C136,$A$3))</f>
        <v/>
      </c>
      <c r="AB136" s="52" t="str">
        <f aca="false">IF($D136="","",COUNTIF($D133:$D136,Z$21)+COUNTIF($D133:$D136,$A$3))</f>
        <v/>
      </c>
      <c r="AC136" s="52" t="str">
        <f aca="false">IF($E136="","",COUNTIF($E133:$E136,Z$21)+COUNTIF($E133:$E136,$A$3))</f>
        <v/>
      </c>
      <c r="AD136" s="53" t="str">
        <f aca="false">IF($F136="","",COUNTIF($F133:$F136,Z$21)+COUNTIF($F133:$F136,$A$3))</f>
        <v/>
      </c>
      <c r="AF136" s="65" t="str">
        <f aca="false">IF($B136="","",COUNTIF($B133:$B136,AF$21)+COUNTIF($B133:$B136,$A$3))</f>
        <v/>
      </c>
      <c r="AG136" s="52" t="str">
        <f aca="false">IF($C136="","",COUNTIF($C133:$C136,AF$21)+COUNTIF($C133:$C136,$A$3))</f>
        <v/>
      </c>
      <c r="AH136" s="52" t="str">
        <f aca="false">IF($D136="","",COUNTIF($D133:$D136,AF$21)+COUNTIF($D133:$D136,$A$3))</f>
        <v/>
      </c>
      <c r="AI136" s="52" t="str">
        <f aca="false">IF($E136="","",COUNTIF($E133:$E136,AF$21)+COUNTIF($E133:$E136,$A$3))</f>
        <v/>
      </c>
      <c r="AJ136" s="53" t="str">
        <f aca="false">IF($F136="","",COUNTIF($F133:$F136,AF$21)+COUNTIF($F133:$F136,$A$3))</f>
        <v/>
      </c>
      <c r="AL136" s="65" t="str">
        <f aca="false">IF($B136="","",COUNTIF($B133:$B136,AL$21)+COUNTIF($B133:$B136,$A$3))</f>
        <v/>
      </c>
      <c r="AM136" s="52" t="str">
        <f aca="false">IF($C136="","",COUNTIF($C133:$C136,AL$21)+COUNTIF($C133:$C136,$A$3))</f>
        <v/>
      </c>
      <c r="AN136" s="52" t="str">
        <f aca="false">IF($D136="","",COUNTIF($D133:$D136,AL$21)+COUNTIF($D133:$D136,$A$3))</f>
        <v/>
      </c>
      <c r="AO136" s="52" t="str">
        <f aca="false">IF($E136="","",COUNTIF($E133:$E136,AL$21)+COUNTIF($E133:$E136,$A$3))</f>
        <v/>
      </c>
      <c r="AP136" s="53" t="str">
        <f aca="false">IF($F136="","",COUNTIF($F133:$F136,AL$21)+COUNTIF($F133:$F136,$A$3))</f>
        <v/>
      </c>
      <c r="AR136" s="65" t="str">
        <f aca="false">IF($B136="","",COUNTIF($B133:$B136,AR$21)+COUNTIF($B133:$B136,$A$3))</f>
        <v/>
      </c>
      <c r="AS136" s="52" t="str">
        <f aca="false">IF($C136="","",COUNTIF($C133:$C136,AR$21)+COUNTIF($C133:$C136,$A$3))</f>
        <v/>
      </c>
      <c r="AT136" s="52" t="str">
        <f aca="false">IF($D136="","",COUNTIF($D133:$D136,AR$21)+COUNTIF($D133:$D136,$A$3))</f>
        <v/>
      </c>
      <c r="AU136" s="52" t="str">
        <f aca="false">IF($E136="","",COUNTIF($E133:$E136,AR$21)+COUNTIF($E133:$E136,$A$3))</f>
        <v/>
      </c>
      <c r="AV136" s="53" t="str">
        <f aca="false">IF($F136="","",COUNTIF($F133:$F136,AR$21)+COUNTIF($F133:$F136,$A$3))</f>
        <v/>
      </c>
      <c r="AX136" s="65" t="str">
        <f aca="false">IF($B136="","",COUNTIF($B133:$B136,AX$21)+COUNTIF($B133:$B136,$A$3))</f>
        <v/>
      </c>
      <c r="AY136" s="52" t="str">
        <f aca="false">IF($C136="","",COUNTIF($C133:$C136,AX$21)+COUNTIF($C133:$C136,$A$3))</f>
        <v/>
      </c>
      <c r="AZ136" s="52" t="str">
        <f aca="false">IF($D136="","",COUNTIF($D133:$D136,AX$21)+COUNTIF($D133:$D136,$A$3))</f>
        <v/>
      </c>
      <c r="BA136" s="52" t="str">
        <f aca="false">IF($E136="","",COUNTIF($E133:$E136,AX$21)+COUNTIF($E133:$E136,$A$3))</f>
        <v/>
      </c>
      <c r="BB136" s="53" t="str">
        <f aca="false">IF($F136="","",COUNTIF($F133:$F136,AX$21)+COUNTIF($F133:$F136,$A$3))</f>
        <v/>
      </c>
      <c r="BD136" s="65" t="str">
        <f aca="false">IF($B136="","",COUNTIF($B133:$B136,BD$21)+COUNTIF($B133:$B136,$A$3))</f>
        <v/>
      </c>
      <c r="BE136" s="52" t="str">
        <f aca="false">IF($C136="","",COUNTIF($C133:$C136,BD$21)+COUNTIF($C133:$C136,$A$3))</f>
        <v/>
      </c>
      <c r="BF136" s="52" t="str">
        <f aca="false">IF($D136="","",COUNTIF($D133:$D136,BD$21)+COUNTIF($D133:$D136,$A$3))</f>
        <v/>
      </c>
      <c r="BG136" s="52" t="str">
        <f aca="false">IF($E136="","",COUNTIF($E133:$E136,BD$21)+COUNTIF($E133:$E136,$A$3))</f>
        <v/>
      </c>
      <c r="BH136" s="53" t="str">
        <f aca="false">IF($F136="","",COUNTIF($F133:$F136,BD$21)+COUNTIF($F133:$F136,$A$3))</f>
        <v/>
      </c>
      <c r="BJ136" s="65" t="str">
        <f aca="false">IF($B136="","",COUNTIF($B133:$B136,BJ$21)+COUNTIF($B133:$B136,$A$3))</f>
        <v/>
      </c>
      <c r="BK136" s="52" t="str">
        <f aca="false">IF($C136="","",COUNTIF($C133:$C136,BJ$21)+COUNTIF($C133:$C136,$A$3))</f>
        <v/>
      </c>
      <c r="BL136" s="52" t="str">
        <f aca="false">IF($D136="","",COUNTIF($D133:$D136,BJ$21)+COUNTIF($D133:$D136,$A$3))</f>
        <v/>
      </c>
      <c r="BM136" s="52" t="str">
        <f aca="false">IF($E136="","",COUNTIF($E133:$E136,BJ$21)+COUNTIF($E133:$E136,$A$3))</f>
        <v/>
      </c>
      <c r="BN136" s="53" t="str">
        <f aca="false">IF($F136="","",COUNTIF($F133:$F136,BJ$21)+COUNTIF($F133:$F136,$A$3))</f>
        <v/>
      </c>
      <c r="BP136" s="65" t="str">
        <f aca="false">IF($B136="","",COUNTIF($B133:$B136,BP$21)+COUNTIF($B133:$B136,$A$3))</f>
        <v/>
      </c>
      <c r="BQ136" s="52" t="str">
        <f aca="false">IF($C136="","",COUNTIF($C133:$C136,BP$21)+COUNTIF($C133:$C136,$A$3))</f>
        <v/>
      </c>
      <c r="BR136" s="52" t="str">
        <f aca="false">IF($D136="","",COUNTIF($D133:$D136,BP$21)+COUNTIF($D133:$D136,$A$3))</f>
        <v/>
      </c>
      <c r="BS136" s="52" t="str">
        <f aca="false">IF($E136="","",COUNTIF($E133:$E136,BP$21)+COUNTIF($E133:$E136,$A$3))</f>
        <v/>
      </c>
      <c r="BT136" s="53" t="str">
        <f aca="false">IF($F136="","",COUNTIF($F133:$F136,BP$21)+COUNTIF($F133:$F136,$A$3))</f>
        <v/>
      </c>
    </row>
    <row r="137" customFormat="false" ht="15" hidden="false" customHeight="false" outlineLevel="0" collapsed="false">
      <c r="A137" s="13" t="n">
        <v>115</v>
      </c>
      <c r="B137" s="116" t="str">
        <f aca="false">IF('Game Info'!J120="","",'Game Info'!J120)</f>
        <v/>
      </c>
      <c r="C137" s="116" t="str">
        <f aca="false">IF('Game Info'!K120="","",'Game Info'!K120)</f>
        <v/>
      </c>
      <c r="D137" s="116" t="str">
        <f aca="false">IF('Game Info'!L120="","",'Game Info'!L120)</f>
        <v/>
      </c>
      <c r="E137" s="116" t="str">
        <f aca="false">IF('Game Info'!M120="","",'Game Info'!M120)</f>
        <v/>
      </c>
      <c r="F137" s="117" t="str">
        <f aca="false">IF('Game Info'!N120="","",'Game Info'!N120)</f>
        <v/>
      </c>
      <c r="H137" s="65" t="str">
        <f aca="false">IF($B137="","",COUNTIF($B134:$B137,H$21)+COUNTIF($B134:$B137,$A$3))</f>
        <v/>
      </c>
      <c r="I137" s="52" t="str">
        <f aca="false">IF($C137="","",COUNTIF($C134:$C137,H$21)+COUNTIF($C134:$C137,$A$3))</f>
        <v/>
      </c>
      <c r="J137" s="52" t="str">
        <f aca="false">IF($D137="","",COUNTIF($D134:$D137,H$21)+COUNTIF($D134:$D137,$A$3))</f>
        <v/>
      </c>
      <c r="K137" s="52" t="str">
        <f aca="false">IF($E137="","",COUNTIF($E134:$E137,H$21)+COUNTIF($E134:$E137,$A$3))</f>
        <v/>
      </c>
      <c r="L137" s="53" t="str">
        <f aca="false">IF($F137="","",COUNTIF($F134:$F137,H$21)+COUNTIF($F134:$F137,$A$3))</f>
        <v/>
      </c>
      <c r="N137" s="65" t="str">
        <f aca="false">IF($B137="","",COUNTIF($B134:$B137,N$21)+COUNTIF($B134:$B137,$A$3))</f>
        <v/>
      </c>
      <c r="O137" s="52" t="str">
        <f aca="false">IF($C137="","",COUNTIF($C134:$C137,N$21)+COUNTIF($C134:$C137,$A$3))</f>
        <v/>
      </c>
      <c r="P137" s="52" t="str">
        <f aca="false">IF($D137="","",COUNTIF($D134:$D137,N$21)+COUNTIF($D134:$D137,$A$3))</f>
        <v/>
      </c>
      <c r="Q137" s="52" t="str">
        <f aca="false">IF($E137="","",COUNTIF($E134:$E137,N$21)+COUNTIF($E134:$E137,$A$3))</f>
        <v/>
      </c>
      <c r="R137" s="53" t="str">
        <f aca="false">IF($F137="","",COUNTIF($F134:$F137,N$21)+COUNTIF($F134:$F137,$A$3))</f>
        <v/>
      </c>
      <c r="T137" s="65" t="str">
        <f aca="false">IF($B137="","",COUNTIF($B134:$B137,T$21)+COUNTIF($B134:$B137,$A$3))</f>
        <v/>
      </c>
      <c r="U137" s="52" t="str">
        <f aca="false">IF($C137="","",COUNTIF($C134:$C137,T$21)+COUNTIF($C134:$C137,$A$3))</f>
        <v/>
      </c>
      <c r="V137" s="52" t="str">
        <f aca="false">IF($D137="","",COUNTIF($D134:$D137,T$21)+COUNTIF($D134:$D137,$A$3))</f>
        <v/>
      </c>
      <c r="W137" s="52" t="str">
        <f aca="false">IF($E137="","",COUNTIF($E134:$E137,T$21)+COUNTIF($E134:$E137,$A$3))</f>
        <v/>
      </c>
      <c r="X137" s="53" t="str">
        <f aca="false">IF($F137="","",COUNTIF($F134:$F137,T$21)+COUNTIF($F134:$F137,$A$3))</f>
        <v/>
      </c>
      <c r="Z137" s="65" t="str">
        <f aca="false">IF($B137="","",COUNTIF($B134:$B137,Z$21)+COUNTIF($B134:$B137,$A$3))</f>
        <v/>
      </c>
      <c r="AA137" s="52" t="str">
        <f aca="false">IF($C137="","",COUNTIF($C134:$C137,Z$21)+COUNTIF($C134:$C137,$A$3))</f>
        <v/>
      </c>
      <c r="AB137" s="52" t="str">
        <f aca="false">IF($D137="","",COUNTIF($D134:$D137,Z$21)+COUNTIF($D134:$D137,$A$3))</f>
        <v/>
      </c>
      <c r="AC137" s="52" t="str">
        <f aca="false">IF($E137="","",COUNTIF($E134:$E137,Z$21)+COUNTIF($E134:$E137,$A$3))</f>
        <v/>
      </c>
      <c r="AD137" s="53" t="str">
        <f aca="false">IF($F137="","",COUNTIF($F134:$F137,Z$21)+COUNTIF($F134:$F137,$A$3))</f>
        <v/>
      </c>
      <c r="AF137" s="65" t="str">
        <f aca="false">IF($B137="","",COUNTIF($B134:$B137,AF$21)+COUNTIF($B134:$B137,$A$3))</f>
        <v/>
      </c>
      <c r="AG137" s="52" t="str">
        <f aca="false">IF($C137="","",COUNTIF($C134:$C137,AF$21)+COUNTIF($C134:$C137,$A$3))</f>
        <v/>
      </c>
      <c r="AH137" s="52" t="str">
        <f aca="false">IF($D137="","",COUNTIF($D134:$D137,AF$21)+COUNTIF($D134:$D137,$A$3))</f>
        <v/>
      </c>
      <c r="AI137" s="52" t="str">
        <f aca="false">IF($E137="","",COUNTIF($E134:$E137,AF$21)+COUNTIF($E134:$E137,$A$3))</f>
        <v/>
      </c>
      <c r="AJ137" s="53" t="str">
        <f aca="false">IF($F137="","",COUNTIF($F134:$F137,AF$21)+COUNTIF($F134:$F137,$A$3))</f>
        <v/>
      </c>
      <c r="AL137" s="65" t="str">
        <f aca="false">IF($B137="","",COUNTIF($B134:$B137,AL$21)+COUNTIF($B134:$B137,$A$3))</f>
        <v/>
      </c>
      <c r="AM137" s="52" t="str">
        <f aca="false">IF($C137="","",COUNTIF($C134:$C137,AL$21)+COUNTIF($C134:$C137,$A$3))</f>
        <v/>
      </c>
      <c r="AN137" s="52" t="str">
        <f aca="false">IF($D137="","",COUNTIF($D134:$D137,AL$21)+COUNTIF($D134:$D137,$A$3))</f>
        <v/>
      </c>
      <c r="AO137" s="52" t="str">
        <f aca="false">IF($E137="","",COUNTIF($E134:$E137,AL$21)+COUNTIF($E134:$E137,$A$3))</f>
        <v/>
      </c>
      <c r="AP137" s="53" t="str">
        <f aca="false">IF($F137="","",COUNTIF($F134:$F137,AL$21)+COUNTIF($F134:$F137,$A$3))</f>
        <v/>
      </c>
      <c r="AR137" s="65" t="str">
        <f aca="false">IF($B137="","",COUNTIF($B134:$B137,AR$21)+COUNTIF($B134:$B137,$A$3))</f>
        <v/>
      </c>
      <c r="AS137" s="52" t="str">
        <f aca="false">IF($C137="","",COUNTIF($C134:$C137,AR$21)+COUNTIF($C134:$C137,$A$3))</f>
        <v/>
      </c>
      <c r="AT137" s="52" t="str">
        <f aca="false">IF($D137="","",COUNTIF($D134:$D137,AR$21)+COUNTIF($D134:$D137,$A$3))</f>
        <v/>
      </c>
      <c r="AU137" s="52" t="str">
        <f aca="false">IF($E137="","",COUNTIF($E134:$E137,AR$21)+COUNTIF($E134:$E137,$A$3))</f>
        <v/>
      </c>
      <c r="AV137" s="53" t="str">
        <f aca="false">IF($F137="","",COUNTIF($F134:$F137,AR$21)+COUNTIF($F134:$F137,$A$3))</f>
        <v/>
      </c>
      <c r="AX137" s="65" t="str">
        <f aca="false">IF($B137="","",COUNTIF($B134:$B137,AX$21)+COUNTIF($B134:$B137,$A$3))</f>
        <v/>
      </c>
      <c r="AY137" s="52" t="str">
        <f aca="false">IF($C137="","",COUNTIF($C134:$C137,AX$21)+COUNTIF($C134:$C137,$A$3))</f>
        <v/>
      </c>
      <c r="AZ137" s="52" t="str">
        <f aca="false">IF($D137="","",COUNTIF($D134:$D137,AX$21)+COUNTIF($D134:$D137,$A$3))</f>
        <v/>
      </c>
      <c r="BA137" s="52" t="str">
        <f aca="false">IF($E137="","",COUNTIF($E134:$E137,AX$21)+COUNTIF($E134:$E137,$A$3))</f>
        <v/>
      </c>
      <c r="BB137" s="53" t="str">
        <f aca="false">IF($F137="","",COUNTIF($F134:$F137,AX$21)+COUNTIF($F134:$F137,$A$3))</f>
        <v/>
      </c>
      <c r="BD137" s="65" t="str">
        <f aca="false">IF($B137="","",COUNTIF($B134:$B137,BD$21)+COUNTIF($B134:$B137,$A$3))</f>
        <v/>
      </c>
      <c r="BE137" s="52" t="str">
        <f aca="false">IF($C137="","",COUNTIF($C134:$C137,BD$21)+COUNTIF($C134:$C137,$A$3))</f>
        <v/>
      </c>
      <c r="BF137" s="52" t="str">
        <f aca="false">IF($D137="","",COUNTIF($D134:$D137,BD$21)+COUNTIF($D134:$D137,$A$3))</f>
        <v/>
      </c>
      <c r="BG137" s="52" t="str">
        <f aca="false">IF($E137="","",COUNTIF($E134:$E137,BD$21)+COUNTIF($E134:$E137,$A$3))</f>
        <v/>
      </c>
      <c r="BH137" s="53" t="str">
        <f aca="false">IF($F137="","",COUNTIF($F134:$F137,BD$21)+COUNTIF($F134:$F137,$A$3))</f>
        <v/>
      </c>
      <c r="BJ137" s="65" t="str">
        <f aca="false">IF($B137="","",COUNTIF($B134:$B137,BJ$21)+COUNTIF($B134:$B137,$A$3))</f>
        <v/>
      </c>
      <c r="BK137" s="52" t="str">
        <f aca="false">IF($C137="","",COUNTIF($C134:$C137,BJ$21)+COUNTIF($C134:$C137,$A$3))</f>
        <v/>
      </c>
      <c r="BL137" s="52" t="str">
        <f aca="false">IF($D137="","",COUNTIF($D134:$D137,BJ$21)+COUNTIF($D134:$D137,$A$3))</f>
        <v/>
      </c>
      <c r="BM137" s="52" t="str">
        <f aca="false">IF($E137="","",COUNTIF($E134:$E137,BJ$21)+COUNTIF($E134:$E137,$A$3))</f>
        <v/>
      </c>
      <c r="BN137" s="53" t="str">
        <f aca="false">IF($F137="","",COUNTIF($F134:$F137,BJ$21)+COUNTIF($F134:$F137,$A$3))</f>
        <v/>
      </c>
      <c r="BP137" s="65" t="str">
        <f aca="false">IF($B137="","",COUNTIF($B134:$B137,BP$21)+COUNTIF($B134:$B137,$A$3))</f>
        <v/>
      </c>
      <c r="BQ137" s="52" t="str">
        <f aca="false">IF($C137="","",COUNTIF($C134:$C137,BP$21)+COUNTIF($C134:$C137,$A$3))</f>
        <v/>
      </c>
      <c r="BR137" s="52" t="str">
        <f aca="false">IF($D137="","",COUNTIF($D134:$D137,BP$21)+COUNTIF($D134:$D137,$A$3))</f>
        <v/>
      </c>
      <c r="BS137" s="52" t="str">
        <f aca="false">IF($E137="","",COUNTIF($E134:$E137,BP$21)+COUNTIF($E134:$E137,$A$3))</f>
        <v/>
      </c>
      <c r="BT137" s="53" t="str">
        <f aca="false">IF($F137="","",COUNTIF($F134:$F137,BP$21)+COUNTIF($F134:$F137,$A$3))</f>
        <v/>
      </c>
    </row>
    <row r="138" customFormat="false" ht="15" hidden="false" customHeight="false" outlineLevel="0" collapsed="false">
      <c r="A138" s="13" t="n">
        <v>116</v>
      </c>
      <c r="B138" s="116" t="str">
        <f aca="false">IF('Game Info'!J121="","",'Game Info'!J121)</f>
        <v/>
      </c>
      <c r="C138" s="116" t="str">
        <f aca="false">IF('Game Info'!K121="","",'Game Info'!K121)</f>
        <v/>
      </c>
      <c r="D138" s="116" t="str">
        <f aca="false">IF('Game Info'!L121="","",'Game Info'!L121)</f>
        <v/>
      </c>
      <c r="E138" s="116" t="str">
        <f aca="false">IF('Game Info'!M121="","",'Game Info'!M121)</f>
        <v/>
      </c>
      <c r="F138" s="117" t="str">
        <f aca="false">IF('Game Info'!N121="","",'Game Info'!N121)</f>
        <v/>
      </c>
      <c r="H138" s="65" t="str">
        <f aca="false">IF($B138="","",COUNTIF($B135:$B138,H$21)+COUNTIF($B135:$B138,$A$3))</f>
        <v/>
      </c>
      <c r="I138" s="52" t="str">
        <f aca="false">IF($C138="","",COUNTIF($C135:$C138,H$21)+COUNTIF($C135:$C138,$A$3))</f>
        <v/>
      </c>
      <c r="J138" s="52" t="str">
        <f aca="false">IF($D138="","",COUNTIF($D135:$D138,H$21)+COUNTIF($D135:$D138,$A$3))</f>
        <v/>
      </c>
      <c r="K138" s="52" t="str">
        <f aca="false">IF($E138="","",COUNTIF($E135:$E138,H$21)+COUNTIF($E135:$E138,$A$3))</f>
        <v/>
      </c>
      <c r="L138" s="53" t="str">
        <f aca="false">IF($F138="","",COUNTIF($F135:$F138,H$21)+COUNTIF($F135:$F138,$A$3))</f>
        <v/>
      </c>
      <c r="N138" s="65" t="str">
        <f aca="false">IF($B138="","",COUNTIF($B135:$B138,N$21)+COUNTIF($B135:$B138,$A$3))</f>
        <v/>
      </c>
      <c r="O138" s="52" t="str">
        <f aca="false">IF($C138="","",COUNTIF($C135:$C138,N$21)+COUNTIF($C135:$C138,$A$3))</f>
        <v/>
      </c>
      <c r="P138" s="52" t="str">
        <f aca="false">IF($D138="","",COUNTIF($D135:$D138,N$21)+COUNTIF($D135:$D138,$A$3))</f>
        <v/>
      </c>
      <c r="Q138" s="52" t="str">
        <f aca="false">IF($E138="","",COUNTIF($E135:$E138,N$21)+COUNTIF($E135:$E138,$A$3))</f>
        <v/>
      </c>
      <c r="R138" s="53" t="str">
        <f aca="false">IF($F138="","",COUNTIF($F135:$F138,N$21)+COUNTIF($F135:$F138,$A$3))</f>
        <v/>
      </c>
      <c r="T138" s="65" t="str">
        <f aca="false">IF($B138="","",COUNTIF($B135:$B138,T$21)+COUNTIF($B135:$B138,$A$3))</f>
        <v/>
      </c>
      <c r="U138" s="52" t="str">
        <f aca="false">IF($C138="","",COUNTIF($C135:$C138,T$21)+COUNTIF($C135:$C138,$A$3))</f>
        <v/>
      </c>
      <c r="V138" s="52" t="str">
        <f aca="false">IF($D138="","",COUNTIF($D135:$D138,T$21)+COUNTIF($D135:$D138,$A$3))</f>
        <v/>
      </c>
      <c r="W138" s="52" t="str">
        <f aca="false">IF($E138="","",COUNTIF($E135:$E138,T$21)+COUNTIF($E135:$E138,$A$3))</f>
        <v/>
      </c>
      <c r="X138" s="53" t="str">
        <f aca="false">IF($F138="","",COUNTIF($F135:$F138,T$21)+COUNTIF($F135:$F138,$A$3))</f>
        <v/>
      </c>
      <c r="Z138" s="65" t="str">
        <f aca="false">IF($B138="","",COUNTIF($B135:$B138,Z$21)+COUNTIF($B135:$B138,$A$3))</f>
        <v/>
      </c>
      <c r="AA138" s="52" t="str">
        <f aca="false">IF($C138="","",COUNTIF($C135:$C138,Z$21)+COUNTIF($C135:$C138,$A$3))</f>
        <v/>
      </c>
      <c r="AB138" s="52" t="str">
        <f aca="false">IF($D138="","",COUNTIF($D135:$D138,Z$21)+COUNTIF($D135:$D138,$A$3))</f>
        <v/>
      </c>
      <c r="AC138" s="52" t="str">
        <f aca="false">IF($E138="","",COUNTIF($E135:$E138,Z$21)+COUNTIF($E135:$E138,$A$3))</f>
        <v/>
      </c>
      <c r="AD138" s="53" t="str">
        <f aca="false">IF($F138="","",COUNTIF($F135:$F138,Z$21)+COUNTIF($F135:$F138,$A$3))</f>
        <v/>
      </c>
      <c r="AF138" s="65" t="str">
        <f aca="false">IF($B138="","",COUNTIF($B135:$B138,AF$21)+COUNTIF($B135:$B138,$A$3))</f>
        <v/>
      </c>
      <c r="AG138" s="52" t="str">
        <f aca="false">IF($C138="","",COUNTIF($C135:$C138,AF$21)+COUNTIF($C135:$C138,$A$3))</f>
        <v/>
      </c>
      <c r="AH138" s="52" t="str">
        <f aca="false">IF($D138="","",COUNTIF($D135:$D138,AF$21)+COUNTIF($D135:$D138,$A$3))</f>
        <v/>
      </c>
      <c r="AI138" s="52" t="str">
        <f aca="false">IF($E138="","",COUNTIF($E135:$E138,AF$21)+COUNTIF($E135:$E138,$A$3))</f>
        <v/>
      </c>
      <c r="AJ138" s="53" t="str">
        <f aca="false">IF($F138="","",COUNTIF($F135:$F138,AF$21)+COUNTIF($F135:$F138,$A$3))</f>
        <v/>
      </c>
      <c r="AL138" s="65" t="str">
        <f aca="false">IF($B138="","",COUNTIF($B135:$B138,AL$21)+COUNTIF($B135:$B138,$A$3))</f>
        <v/>
      </c>
      <c r="AM138" s="52" t="str">
        <f aca="false">IF($C138="","",COUNTIF($C135:$C138,AL$21)+COUNTIF($C135:$C138,$A$3))</f>
        <v/>
      </c>
      <c r="AN138" s="52" t="str">
        <f aca="false">IF($D138="","",COUNTIF($D135:$D138,AL$21)+COUNTIF($D135:$D138,$A$3))</f>
        <v/>
      </c>
      <c r="AO138" s="52" t="str">
        <f aca="false">IF($E138="","",COUNTIF($E135:$E138,AL$21)+COUNTIF($E135:$E138,$A$3))</f>
        <v/>
      </c>
      <c r="AP138" s="53" t="str">
        <f aca="false">IF($F138="","",COUNTIF($F135:$F138,AL$21)+COUNTIF($F135:$F138,$A$3))</f>
        <v/>
      </c>
      <c r="AR138" s="65" t="str">
        <f aca="false">IF($B138="","",COUNTIF($B135:$B138,AR$21)+COUNTIF($B135:$B138,$A$3))</f>
        <v/>
      </c>
      <c r="AS138" s="52" t="str">
        <f aca="false">IF($C138="","",COUNTIF($C135:$C138,AR$21)+COUNTIF($C135:$C138,$A$3))</f>
        <v/>
      </c>
      <c r="AT138" s="52" t="str">
        <f aca="false">IF($D138="","",COUNTIF($D135:$D138,AR$21)+COUNTIF($D135:$D138,$A$3))</f>
        <v/>
      </c>
      <c r="AU138" s="52" t="str">
        <f aca="false">IF($E138="","",COUNTIF($E135:$E138,AR$21)+COUNTIF($E135:$E138,$A$3))</f>
        <v/>
      </c>
      <c r="AV138" s="53" t="str">
        <f aca="false">IF($F138="","",COUNTIF($F135:$F138,AR$21)+COUNTIF($F135:$F138,$A$3))</f>
        <v/>
      </c>
      <c r="AX138" s="65" t="str">
        <f aca="false">IF($B138="","",COUNTIF($B135:$B138,AX$21)+COUNTIF($B135:$B138,$A$3))</f>
        <v/>
      </c>
      <c r="AY138" s="52" t="str">
        <f aca="false">IF($C138="","",COUNTIF($C135:$C138,AX$21)+COUNTIF($C135:$C138,$A$3))</f>
        <v/>
      </c>
      <c r="AZ138" s="52" t="str">
        <f aca="false">IF($D138="","",COUNTIF($D135:$D138,AX$21)+COUNTIF($D135:$D138,$A$3))</f>
        <v/>
      </c>
      <c r="BA138" s="52" t="str">
        <f aca="false">IF($E138="","",COUNTIF($E135:$E138,AX$21)+COUNTIF($E135:$E138,$A$3))</f>
        <v/>
      </c>
      <c r="BB138" s="53" t="str">
        <f aca="false">IF($F138="","",COUNTIF($F135:$F138,AX$21)+COUNTIF($F135:$F138,$A$3))</f>
        <v/>
      </c>
      <c r="BD138" s="65" t="str">
        <f aca="false">IF($B138="","",COUNTIF($B135:$B138,BD$21)+COUNTIF($B135:$B138,$A$3))</f>
        <v/>
      </c>
      <c r="BE138" s="52" t="str">
        <f aca="false">IF($C138="","",COUNTIF($C135:$C138,BD$21)+COUNTIF($C135:$C138,$A$3))</f>
        <v/>
      </c>
      <c r="BF138" s="52" t="str">
        <f aca="false">IF($D138="","",COUNTIF($D135:$D138,BD$21)+COUNTIF($D135:$D138,$A$3))</f>
        <v/>
      </c>
      <c r="BG138" s="52" t="str">
        <f aca="false">IF($E138="","",COUNTIF($E135:$E138,BD$21)+COUNTIF($E135:$E138,$A$3))</f>
        <v/>
      </c>
      <c r="BH138" s="53" t="str">
        <f aca="false">IF($F138="","",COUNTIF($F135:$F138,BD$21)+COUNTIF($F135:$F138,$A$3))</f>
        <v/>
      </c>
      <c r="BJ138" s="65" t="str">
        <f aca="false">IF($B138="","",COUNTIF($B135:$B138,BJ$21)+COUNTIF($B135:$B138,$A$3))</f>
        <v/>
      </c>
      <c r="BK138" s="52" t="str">
        <f aca="false">IF($C138="","",COUNTIF($C135:$C138,BJ$21)+COUNTIF($C135:$C138,$A$3))</f>
        <v/>
      </c>
      <c r="BL138" s="52" t="str">
        <f aca="false">IF($D138="","",COUNTIF($D135:$D138,BJ$21)+COUNTIF($D135:$D138,$A$3))</f>
        <v/>
      </c>
      <c r="BM138" s="52" t="str">
        <f aca="false">IF($E138="","",COUNTIF($E135:$E138,BJ$21)+COUNTIF($E135:$E138,$A$3))</f>
        <v/>
      </c>
      <c r="BN138" s="53" t="str">
        <f aca="false">IF($F138="","",COUNTIF($F135:$F138,BJ$21)+COUNTIF($F135:$F138,$A$3))</f>
        <v/>
      </c>
      <c r="BP138" s="65" t="str">
        <f aca="false">IF($B138="","",COUNTIF($B135:$B138,BP$21)+COUNTIF($B135:$B138,$A$3))</f>
        <v/>
      </c>
      <c r="BQ138" s="52" t="str">
        <f aca="false">IF($C138="","",COUNTIF($C135:$C138,BP$21)+COUNTIF($C135:$C138,$A$3))</f>
        <v/>
      </c>
      <c r="BR138" s="52" t="str">
        <f aca="false">IF($D138="","",COUNTIF($D135:$D138,BP$21)+COUNTIF($D135:$D138,$A$3))</f>
        <v/>
      </c>
      <c r="BS138" s="52" t="str">
        <f aca="false">IF($E138="","",COUNTIF($E135:$E138,BP$21)+COUNTIF($E135:$E138,$A$3))</f>
        <v/>
      </c>
      <c r="BT138" s="53" t="str">
        <f aca="false">IF($F138="","",COUNTIF($F135:$F138,BP$21)+COUNTIF($F135:$F138,$A$3))</f>
        <v/>
      </c>
    </row>
    <row r="139" customFormat="false" ht="15" hidden="false" customHeight="false" outlineLevel="0" collapsed="false">
      <c r="A139" s="13" t="n">
        <v>117</v>
      </c>
      <c r="B139" s="116" t="str">
        <f aca="false">IF('Game Info'!J122="","",'Game Info'!J122)</f>
        <v/>
      </c>
      <c r="C139" s="116" t="str">
        <f aca="false">IF('Game Info'!K122="","",'Game Info'!K122)</f>
        <v/>
      </c>
      <c r="D139" s="116" t="str">
        <f aca="false">IF('Game Info'!L122="","",'Game Info'!L122)</f>
        <v/>
      </c>
      <c r="E139" s="116" t="str">
        <f aca="false">IF('Game Info'!M122="","",'Game Info'!M122)</f>
        <v/>
      </c>
      <c r="F139" s="117" t="str">
        <f aca="false">IF('Game Info'!N122="","",'Game Info'!N122)</f>
        <v/>
      </c>
      <c r="H139" s="65" t="str">
        <f aca="false">IF($B139="","",COUNTIF($B136:$B139,H$21)+COUNTIF($B136:$B139,$A$3))</f>
        <v/>
      </c>
      <c r="I139" s="52" t="str">
        <f aca="false">IF($C139="","",COUNTIF($C136:$C139,H$21)+COUNTIF($C136:$C139,$A$3))</f>
        <v/>
      </c>
      <c r="J139" s="52" t="str">
        <f aca="false">IF($D139="","",COUNTIF($D136:$D139,H$21)+COUNTIF($D136:$D139,$A$3))</f>
        <v/>
      </c>
      <c r="K139" s="52" t="str">
        <f aca="false">IF($E139="","",COUNTIF($E136:$E139,H$21)+COUNTIF($E136:$E139,$A$3))</f>
        <v/>
      </c>
      <c r="L139" s="53" t="str">
        <f aca="false">IF($F139="","",COUNTIF($F136:$F139,H$21)+COUNTIF($F136:$F139,$A$3))</f>
        <v/>
      </c>
      <c r="N139" s="65" t="str">
        <f aca="false">IF($B139="","",COUNTIF($B136:$B139,N$21)+COUNTIF($B136:$B139,$A$3))</f>
        <v/>
      </c>
      <c r="O139" s="52" t="str">
        <f aca="false">IF($C139="","",COUNTIF($C136:$C139,N$21)+COUNTIF($C136:$C139,$A$3))</f>
        <v/>
      </c>
      <c r="P139" s="52" t="str">
        <f aca="false">IF($D139="","",COUNTIF($D136:$D139,N$21)+COUNTIF($D136:$D139,$A$3))</f>
        <v/>
      </c>
      <c r="Q139" s="52" t="str">
        <f aca="false">IF($E139="","",COUNTIF($E136:$E139,N$21)+COUNTIF($E136:$E139,$A$3))</f>
        <v/>
      </c>
      <c r="R139" s="53" t="str">
        <f aca="false">IF($F139="","",COUNTIF($F136:$F139,N$21)+COUNTIF($F136:$F139,$A$3))</f>
        <v/>
      </c>
      <c r="T139" s="65" t="str">
        <f aca="false">IF($B139="","",COUNTIF($B136:$B139,T$21)+COUNTIF($B136:$B139,$A$3))</f>
        <v/>
      </c>
      <c r="U139" s="52" t="str">
        <f aca="false">IF($C139="","",COUNTIF($C136:$C139,T$21)+COUNTIF($C136:$C139,$A$3))</f>
        <v/>
      </c>
      <c r="V139" s="52" t="str">
        <f aca="false">IF($D139="","",COUNTIF($D136:$D139,T$21)+COUNTIF($D136:$D139,$A$3))</f>
        <v/>
      </c>
      <c r="W139" s="52" t="str">
        <f aca="false">IF($E139="","",COUNTIF($E136:$E139,T$21)+COUNTIF($E136:$E139,$A$3))</f>
        <v/>
      </c>
      <c r="X139" s="53" t="str">
        <f aca="false">IF($F139="","",COUNTIF($F136:$F139,T$21)+COUNTIF($F136:$F139,$A$3))</f>
        <v/>
      </c>
      <c r="Z139" s="65" t="str">
        <f aca="false">IF($B139="","",COUNTIF($B136:$B139,Z$21)+COUNTIF($B136:$B139,$A$3))</f>
        <v/>
      </c>
      <c r="AA139" s="52" t="str">
        <f aca="false">IF($C139="","",COUNTIF($C136:$C139,Z$21)+COUNTIF($C136:$C139,$A$3))</f>
        <v/>
      </c>
      <c r="AB139" s="52" t="str">
        <f aca="false">IF($D139="","",COUNTIF($D136:$D139,Z$21)+COUNTIF($D136:$D139,$A$3))</f>
        <v/>
      </c>
      <c r="AC139" s="52" t="str">
        <f aca="false">IF($E139="","",COUNTIF($E136:$E139,Z$21)+COUNTIF($E136:$E139,$A$3))</f>
        <v/>
      </c>
      <c r="AD139" s="53" t="str">
        <f aca="false">IF($F139="","",COUNTIF($F136:$F139,Z$21)+COUNTIF($F136:$F139,$A$3))</f>
        <v/>
      </c>
      <c r="AF139" s="65" t="str">
        <f aca="false">IF($B139="","",COUNTIF($B136:$B139,AF$21)+COUNTIF($B136:$B139,$A$3))</f>
        <v/>
      </c>
      <c r="AG139" s="52" t="str">
        <f aca="false">IF($C139="","",COUNTIF($C136:$C139,AF$21)+COUNTIF($C136:$C139,$A$3))</f>
        <v/>
      </c>
      <c r="AH139" s="52" t="str">
        <f aca="false">IF($D139="","",COUNTIF($D136:$D139,AF$21)+COUNTIF($D136:$D139,$A$3))</f>
        <v/>
      </c>
      <c r="AI139" s="52" t="str">
        <f aca="false">IF($E139="","",COUNTIF($E136:$E139,AF$21)+COUNTIF($E136:$E139,$A$3))</f>
        <v/>
      </c>
      <c r="AJ139" s="53" t="str">
        <f aca="false">IF($F139="","",COUNTIF($F136:$F139,AF$21)+COUNTIF($F136:$F139,$A$3))</f>
        <v/>
      </c>
      <c r="AL139" s="65" t="str">
        <f aca="false">IF($B139="","",COUNTIF($B136:$B139,AL$21)+COUNTIF($B136:$B139,$A$3))</f>
        <v/>
      </c>
      <c r="AM139" s="52" t="str">
        <f aca="false">IF($C139="","",COUNTIF($C136:$C139,AL$21)+COUNTIF($C136:$C139,$A$3))</f>
        <v/>
      </c>
      <c r="AN139" s="52" t="str">
        <f aca="false">IF($D139="","",COUNTIF($D136:$D139,AL$21)+COUNTIF($D136:$D139,$A$3))</f>
        <v/>
      </c>
      <c r="AO139" s="52" t="str">
        <f aca="false">IF($E139="","",COUNTIF($E136:$E139,AL$21)+COUNTIF($E136:$E139,$A$3))</f>
        <v/>
      </c>
      <c r="AP139" s="53" t="str">
        <f aca="false">IF($F139="","",COUNTIF($F136:$F139,AL$21)+COUNTIF($F136:$F139,$A$3))</f>
        <v/>
      </c>
      <c r="AR139" s="65" t="str">
        <f aca="false">IF($B139="","",COUNTIF($B136:$B139,AR$21)+COUNTIF($B136:$B139,$A$3))</f>
        <v/>
      </c>
      <c r="AS139" s="52" t="str">
        <f aca="false">IF($C139="","",COUNTIF($C136:$C139,AR$21)+COUNTIF($C136:$C139,$A$3))</f>
        <v/>
      </c>
      <c r="AT139" s="52" t="str">
        <f aca="false">IF($D139="","",COUNTIF($D136:$D139,AR$21)+COUNTIF($D136:$D139,$A$3))</f>
        <v/>
      </c>
      <c r="AU139" s="52" t="str">
        <f aca="false">IF($E139="","",COUNTIF($E136:$E139,AR$21)+COUNTIF($E136:$E139,$A$3))</f>
        <v/>
      </c>
      <c r="AV139" s="53" t="str">
        <f aca="false">IF($F139="","",COUNTIF($F136:$F139,AR$21)+COUNTIF($F136:$F139,$A$3))</f>
        <v/>
      </c>
      <c r="AX139" s="65" t="str">
        <f aca="false">IF($B139="","",COUNTIF($B136:$B139,AX$21)+COUNTIF($B136:$B139,$A$3))</f>
        <v/>
      </c>
      <c r="AY139" s="52" t="str">
        <f aca="false">IF($C139="","",COUNTIF($C136:$C139,AX$21)+COUNTIF($C136:$C139,$A$3))</f>
        <v/>
      </c>
      <c r="AZ139" s="52" t="str">
        <f aca="false">IF($D139="","",COUNTIF($D136:$D139,AX$21)+COUNTIF($D136:$D139,$A$3))</f>
        <v/>
      </c>
      <c r="BA139" s="52" t="str">
        <f aca="false">IF($E139="","",COUNTIF($E136:$E139,AX$21)+COUNTIF($E136:$E139,$A$3))</f>
        <v/>
      </c>
      <c r="BB139" s="53" t="str">
        <f aca="false">IF($F139="","",COUNTIF($F136:$F139,AX$21)+COUNTIF($F136:$F139,$A$3))</f>
        <v/>
      </c>
      <c r="BD139" s="65" t="str">
        <f aca="false">IF($B139="","",COUNTIF($B136:$B139,BD$21)+COUNTIF($B136:$B139,$A$3))</f>
        <v/>
      </c>
      <c r="BE139" s="52" t="str">
        <f aca="false">IF($C139="","",COUNTIF($C136:$C139,BD$21)+COUNTIF($C136:$C139,$A$3))</f>
        <v/>
      </c>
      <c r="BF139" s="52" t="str">
        <f aca="false">IF($D139="","",COUNTIF($D136:$D139,BD$21)+COUNTIF($D136:$D139,$A$3))</f>
        <v/>
      </c>
      <c r="BG139" s="52" t="str">
        <f aca="false">IF($E139="","",COUNTIF($E136:$E139,BD$21)+COUNTIF($E136:$E139,$A$3))</f>
        <v/>
      </c>
      <c r="BH139" s="53" t="str">
        <f aca="false">IF($F139="","",COUNTIF($F136:$F139,BD$21)+COUNTIF($F136:$F139,$A$3))</f>
        <v/>
      </c>
      <c r="BJ139" s="65" t="str">
        <f aca="false">IF($B139="","",COUNTIF($B136:$B139,BJ$21)+COUNTIF($B136:$B139,$A$3))</f>
        <v/>
      </c>
      <c r="BK139" s="52" t="str">
        <f aca="false">IF($C139="","",COUNTIF($C136:$C139,BJ$21)+COUNTIF($C136:$C139,$A$3))</f>
        <v/>
      </c>
      <c r="BL139" s="52" t="str">
        <f aca="false">IF($D139="","",COUNTIF($D136:$D139,BJ$21)+COUNTIF($D136:$D139,$A$3))</f>
        <v/>
      </c>
      <c r="BM139" s="52" t="str">
        <f aca="false">IF($E139="","",COUNTIF($E136:$E139,BJ$21)+COUNTIF($E136:$E139,$A$3))</f>
        <v/>
      </c>
      <c r="BN139" s="53" t="str">
        <f aca="false">IF($F139="","",COUNTIF($F136:$F139,BJ$21)+COUNTIF($F136:$F139,$A$3))</f>
        <v/>
      </c>
      <c r="BP139" s="65" t="str">
        <f aca="false">IF($B139="","",COUNTIF($B136:$B139,BP$21)+COUNTIF($B136:$B139,$A$3))</f>
        <v/>
      </c>
      <c r="BQ139" s="52" t="str">
        <f aca="false">IF($C139="","",COUNTIF($C136:$C139,BP$21)+COUNTIF($C136:$C139,$A$3))</f>
        <v/>
      </c>
      <c r="BR139" s="52" t="str">
        <f aca="false">IF($D139="","",COUNTIF($D136:$D139,BP$21)+COUNTIF($D136:$D139,$A$3))</f>
        <v/>
      </c>
      <c r="BS139" s="52" t="str">
        <f aca="false">IF($E139="","",COUNTIF($E136:$E139,BP$21)+COUNTIF($E136:$E139,$A$3))</f>
        <v/>
      </c>
      <c r="BT139" s="53" t="str">
        <f aca="false">IF($F139="","",COUNTIF($F136:$F139,BP$21)+COUNTIF($F136:$F139,$A$3))</f>
        <v/>
      </c>
    </row>
    <row r="140" customFormat="false" ht="15" hidden="false" customHeight="false" outlineLevel="0" collapsed="false">
      <c r="A140" s="13" t="n">
        <v>118</v>
      </c>
      <c r="B140" s="116" t="str">
        <f aca="false">IF('Game Info'!J123="","",'Game Info'!J123)</f>
        <v/>
      </c>
      <c r="C140" s="116" t="str">
        <f aca="false">IF('Game Info'!K123="","",'Game Info'!K123)</f>
        <v/>
      </c>
      <c r="D140" s="116" t="str">
        <f aca="false">IF('Game Info'!L123="","",'Game Info'!L123)</f>
        <v/>
      </c>
      <c r="E140" s="116" t="str">
        <f aca="false">IF('Game Info'!M123="","",'Game Info'!M123)</f>
        <v/>
      </c>
      <c r="F140" s="117" t="str">
        <f aca="false">IF('Game Info'!N123="","",'Game Info'!N123)</f>
        <v/>
      </c>
      <c r="H140" s="65" t="str">
        <f aca="false">IF($B140="","",COUNTIF($B137:$B140,H$21)+COUNTIF($B137:$B140,$A$3))</f>
        <v/>
      </c>
      <c r="I140" s="52" t="str">
        <f aca="false">IF($C140="","",COUNTIF($C137:$C140,H$21)+COUNTIF($C137:$C140,$A$3))</f>
        <v/>
      </c>
      <c r="J140" s="52" t="str">
        <f aca="false">IF($D140="","",COUNTIF($D137:$D140,H$21)+COUNTIF($D137:$D140,$A$3))</f>
        <v/>
      </c>
      <c r="K140" s="52" t="str">
        <f aca="false">IF($E140="","",COUNTIF($E137:$E140,H$21)+COUNTIF($E137:$E140,$A$3))</f>
        <v/>
      </c>
      <c r="L140" s="53" t="str">
        <f aca="false">IF($F140="","",COUNTIF($F137:$F140,H$21)+COUNTIF($F137:$F140,$A$3))</f>
        <v/>
      </c>
      <c r="N140" s="65" t="str">
        <f aca="false">IF($B140="","",COUNTIF($B137:$B140,N$21)+COUNTIF($B137:$B140,$A$3))</f>
        <v/>
      </c>
      <c r="O140" s="52" t="str">
        <f aca="false">IF($C140="","",COUNTIF($C137:$C140,N$21)+COUNTIF($C137:$C140,$A$3))</f>
        <v/>
      </c>
      <c r="P140" s="52" t="str">
        <f aca="false">IF($D140="","",COUNTIF($D137:$D140,N$21)+COUNTIF($D137:$D140,$A$3))</f>
        <v/>
      </c>
      <c r="Q140" s="52" t="str">
        <f aca="false">IF($E140="","",COUNTIF($E137:$E140,N$21)+COUNTIF($E137:$E140,$A$3))</f>
        <v/>
      </c>
      <c r="R140" s="53" t="str">
        <f aca="false">IF($F140="","",COUNTIF($F137:$F140,N$21)+COUNTIF($F137:$F140,$A$3))</f>
        <v/>
      </c>
      <c r="T140" s="65" t="str">
        <f aca="false">IF($B140="","",COUNTIF($B137:$B140,T$21)+COUNTIF($B137:$B140,$A$3))</f>
        <v/>
      </c>
      <c r="U140" s="52" t="str">
        <f aca="false">IF($C140="","",COUNTIF($C137:$C140,T$21)+COUNTIF($C137:$C140,$A$3))</f>
        <v/>
      </c>
      <c r="V140" s="52" t="str">
        <f aca="false">IF($D140="","",COUNTIF($D137:$D140,T$21)+COUNTIF($D137:$D140,$A$3))</f>
        <v/>
      </c>
      <c r="W140" s="52" t="str">
        <f aca="false">IF($E140="","",COUNTIF($E137:$E140,T$21)+COUNTIF($E137:$E140,$A$3))</f>
        <v/>
      </c>
      <c r="X140" s="53" t="str">
        <f aca="false">IF($F140="","",COUNTIF($F137:$F140,T$21)+COUNTIF($F137:$F140,$A$3))</f>
        <v/>
      </c>
      <c r="Z140" s="65" t="str">
        <f aca="false">IF($B140="","",COUNTIF($B137:$B140,Z$21)+COUNTIF($B137:$B140,$A$3))</f>
        <v/>
      </c>
      <c r="AA140" s="52" t="str">
        <f aca="false">IF($C140="","",COUNTIF($C137:$C140,Z$21)+COUNTIF($C137:$C140,$A$3))</f>
        <v/>
      </c>
      <c r="AB140" s="52" t="str">
        <f aca="false">IF($D140="","",COUNTIF($D137:$D140,Z$21)+COUNTIF($D137:$D140,$A$3))</f>
        <v/>
      </c>
      <c r="AC140" s="52" t="str">
        <f aca="false">IF($E140="","",COUNTIF($E137:$E140,Z$21)+COUNTIF($E137:$E140,$A$3))</f>
        <v/>
      </c>
      <c r="AD140" s="53" t="str">
        <f aca="false">IF($F140="","",COUNTIF($F137:$F140,Z$21)+COUNTIF($F137:$F140,$A$3))</f>
        <v/>
      </c>
      <c r="AF140" s="65" t="str">
        <f aca="false">IF($B140="","",COUNTIF($B137:$B140,AF$21)+COUNTIF($B137:$B140,$A$3))</f>
        <v/>
      </c>
      <c r="AG140" s="52" t="str">
        <f aca="false">IF($C140="","",COUNTIF($C137:$C140,AF$21)+COUNTIF($C137:$C140,$A$3))</f>
        <v/>
      </c>
      <c r="AH140" s="52" t="str">
        <f aca="false">IF($D140="","",COUNTIF($D137:$D140,AF$21)+COUNTIF($D137:$D140,$A$3))</f>
        <v/>
      </c>
      <c r="AI140" s="52" t="str">
        <f aca="false">IF($E140="","",COUNTIF($E137:$E140,AF$21)+COUNTIF($E137:$E140,$A$3))</f>
        <v/>
      </c>
      <c r="AJ140" s="53" t="str">
        <f aca="false">IF($F140="","",COUNTIF($F137:$F140,AF$21)+COUNTIF($F137:$F140,$A$3))</f>
        <v/>
      </c>
      <c r="AL140" s="65" t="str">
        <f aca="false">IF($B140="","",COUNTIF($B137:$B140,AL$21)+COUNTIF($B137:$B140,$A$3))</f>
        <v/>
      </c>
      <c r="AM140" s="52" t="str">
        <f aca="false">IF($C140="","",COUNTIF($C137:$C140,AL$21)+COUNTIF($C137:$C140,$A$3))</f>
        <v/>
      </c>
      <c r="AN140" s="52" t="str">
        <f aca="false">IF($D140="","",COUNTIF($D137:$D140,AL$21)+COUNTIF($D137:$D140,$A$3))</f>
        <v/>
      </c>
      <c r="AO140" s="52" t="str">
        <f aca="false">IF($E140="","",COUNTIF($E137:$E140,AL$21)+COUNTIF($E137:$E140,$A$3))</f>
        <v/>
      </c>
      <c r="AP140" s="53" t="str">
        <f aca="false">IF($F140="","",COUNTIF($F137:$F140,AL$21)+COUNTIF($F137:$F140,$A$3))</f>
        <v/>
      </c>
      <c r="AR140" s="65" t="str">
        <f aca="false">IF($B140="","",COUNTIF($B137:$B140,AR$21)+COUNTIF($B137:$B140,$A$3))</f>
        <v/>
      </c>
      <c r="AS140" s="52" t="str">
        <f aca="false">IF($C140="","",COUNTIF($C137:$C140,AR$21)+COUNTIF($C137:$C140,$A$3))</f>
        <v/>
      </c>
      <c r="AT140" s="52" t="str">
        <f aca="false">IF($D140="","",COUNTIF($D137:$D140,AR$21)+COUNTIF($D137:$D140,$A$3))</f>
        <v/>
      </c>
      <c r="AU140" s="52" t="str">
        <f aca="false">IF($E140="","",COUNTIF($E137:$E140,AR$21)+COUNTIF($E137:$E140,$A$3))</f>
        <v/>
      </c>
      <c r="AV140" s="53" t="str">
        <f aca="false">IF($F140="","",COUNTIF($F137:$F140,AR$21)+COUNTIF($F137:$F140,$A$3))</f>
        <v/>
      </c>
      <c r="AX140" s="65" t="str">
        <f aca="false">IF($B140="","",COUNTIF($B137:$B140,AX$21)+COUNTIF($B137:$B140,$A$3))</f>
        <v/>
      </c>
      <c r="AY140" s="52" t="str">
        <f aca="false">IF($C140="","",COUNTIF($C137:$C140,AX$21)+COUNTIF($C137:$C140,$A$3))</f>
        <v/>
      </c>
      <c r="AZ140" s="52" t="str">
        <f aca="false">IF($D140="","",COUNTIF($D137:$D140,AX$21)+COUNTIF($D137:$D140,$A$3))</f>
        <v/>
      </c>
      <c r="BA140" s="52" t="str">
        <f aca="false">IF($E140="","",COUNTIF($E137:$E140,AX$21)+COUNTIF($E137:$E140,$A$3))</f>
        <v/>
      </c>
      <c r="BB140" s="53" t="str">
        <f aca="false">IF($F140="","",COUNTIF($F137:$F140,AX$21)+COUNTIF($F137:$F140,$A$3))</f>
        <v/>
      </c>
      <c r="BD140" s="65" t="str">
        <f aca="false">IF($B140="","",COUNTIF($B137:$B140,BD$21)+COUNTIF($B137:$B140,$A$3))</f>
        <v/>
      </c>
      <c r="BE140" s="52" t="str">
        <f aca="false">IF($C140="","",COUNTIF($C137:$C140,BD$21)+COUNTIF($C137:$C140,$A$3))</f>
        <v/>
      </c>
      <c r="BF140" s="52" t="str">
        <f aca="false">IF($D140="","",COUNTIF($D137:$D140,BD$21)+COUNTIF($D137:$D140,$A$3))</f>
        <v/>
      </c>
      <c r="BG140" s="52" t="str">
        <f aca="false">IF($E140="","",COUNTIF($E137:$E140,BD$21)+COUNTIF($E137:$E140,$A$3))</f>
        <v/>
      </c>
      <c r="BH140" s="53" t="str">
        <f aca="false">IF($F140="","",COUNTIF($F137:$F140,BD$21)+COUNTIF($F137:$F140,$A$3))</f>
        <v/>
      </c>
      <c r="BJ140" s="65" t="str">
        <f aca="false">IF($B140="","",COUNTIF($B137:$B140,BJ$21)+COUNTIF($B137:$B140,$A$3))</f>
        <v/>
      </c>
      <c r="BK140" s="52" t="str">
        <f aca="false">IF($C140="","",COUNTIF($C137:$C140,BJ$21)+COUNTIF($C137:$C140,$A$3))</f>
        <v/>
      </c>
      <c r="BL140" s="52" t="str">
        <f aca="false">IF($D140="","",COUNTIF($D137:$D140,BJ$21)+COUNTIF($D137:$D140,$A$3))</f>
        <v/>
      </c>
      <c r="BM140" s="52" t="str">
        <f aca="false">IF($E140="","",COUNTIF($E137:$E140,BJ$21)+COUNTIF($E137:$E140,$A$3))</f>
        <v/>
      </c>
      <c r="BN140" s="53" t="str">
        <f aca="false">IF($F140="","",COUNTIF($F137:$F140,BJ$21)+COUNTIF($F137:$F140,$A$3))</f>
        <v/>
      </c>
      <c r="BP140" s="65" t="str">
        <f aca="false">IF($B140="","",COUNTIF($B137:$B140,BP$21)+COUNTIF($B137:$B140,$A$3))</f>
        <v/>
      </c>
      <c r="BQ140" s="52" t="str">
        <f aca="false">IF($C140="","",COUNTIF($C137:$C140,BP$21)+COUNTIF($C137:$C140,$A$3))</f>
        <v/>
      </c>
      <c r="BR140" s="52" t="str">
        <f aca="false">IF($D140="","",COUNTIF($D137:$D140,BP$21)+COUNTIF($D137:$D140,$A$3))</f>
        <v/>
      </c>
      <c r="BS140" s="52" t="str">
        <f aca="false">IF($E140="","",COUNTIF($E137:$E140,BP$21)+COUNTIF($E137:$E140,$A$3))</f>
        <v/>
      </c>
      <c r="BT140" s="53" t="str">
        <f aca="false">IF($F140="","",COUNTIF($F137:$F140,BP$21)+COUNTIF($F137:$F140,$A$3))</f>
        <v/>
      </c>
    </row>
    <row r="141" customFormat="false" ht="15" hidden="false" customHeight="false" outlineLevel="0" collapsed="false">
      <c r="A141" s="13" t="n">
        <v>119</v>
      </c>
      <c r="B141" s="116" t="str">
        <f aca="false">IF('Game Info'!J124="","",'Game Info'!J124)</f>
        <v/>
      </c>
      <c r="C141" s="116" t="str">
        <f aca="false">IF('Game Info'!K124="","",'Game Info'!K124)</f>
        <v/>
      </c>
      <c r="D141" s="116" t="str">
        <f aca="false">IF('Game Info'!L124="","",'Game Info'!L124)</f>
        <v/>
      </c>
      <c r="E141" s="116" t="str">
        <f aca="false">IF('Game Info'!M124="","",'Game Info'!M124)</f>
        <v/>
      </c>
      <c r="F141" s="117" t="str">
        <f aca="false">IF('Game Info'!N124="","",'Game Info'!N124)</f>
        <v/>
      </c>
      <c r="H141" s="65" t="str">
        <f aca="false">IF($B141="","",COUNTIF($B138:$B141,H$21)+COUNTIF($B138:$B141,$A$3))</f>
        <v/>
      </c>
      <c r="I141" s="52" t="str">
        <f aca="false">IF($C141="","",COUNTIF($C138:$C141,H$21)+COUNTIF($C138:$C141,$A$3))</f>
        <v/>
      </c>
      <c r="J141" s="52" t="str">
        <f aca="false">IF($D141="","",COUNTIF($D138:$D141,H$21)+COUNTIF($D138:$D141,$A$3))</f>
        <v/>
      </c>
      <c r="K141" s="52" t="str">
        <f aca="false">IF($E141="","",COUNTIF($E138:$E141,H$21)+COUNTIF($E138:$E141,$A$3))</f>
        <v/>
      </c>
      <c r="L141" s="53" t="str">
        <f aca="false">IF($F141="","",COUNTIF($F138:$F141,H$21)+COUNTIF($F138:$F141,$A$3))</f>
        <v/>
      </c>
      <c r="N141" s="65" t="str">
        <f aca="false">IF($B141="","",COUNTIF($B138:$B141,N$21)+COUNTIF($B138:$B141,$A$3))</f>
        <v/>
      </c>
      <c r="O141" s="52" t="str">
        <f aca="false">IF($C141="","",COUNTIF($C138:$C141,N$21)+COUNTIF($C138:$C141,$A$3))</f>
        <v/>
      </c>
      <c r="P141" s="52" t="str">
        <f aca="false">IF($D141="","",COUNTIF($D138:$D141,N$21)+COUNTIF($D138:$D141,$A$3))</f>
        <v/>
      </c>
      <c r="Q141" s="52" t="str">
        <f aca="false">IF($E141="","",COUNTIF($E138:$E141,N$21)+COUNTIF($E138:$E141,$A$3))</f>
        <v/>
      </c>
      <c r="R141" s="53" t="str">
        <f aca="false">IF($F141="","",COUNTIF($F138:$F141,N$21)+COUNTIF($F138:$F141,$A$3))</f>
        <v/>
      </c>
      <c r="T141" s="65" t="str">
        <f aca="false">IF($B141="","",COUNTIF($B138:$B141,T$21)+COUNTIF($B138:$B141,$A$3))</f>
        <v/>
      </c>
      <c r="U141" s="52" t="str">
        <f aca="false">IF($C141="","",COUNTIF($C138:$C141,T$21)+COUNTIF($C138:$C141,$A$3))</f>
        <v/>
      </c>
      <c r="V141" s="52" t="str">
        <f aca="false">IF($D141="","",COUNTIF($D138:$D141,T$21)+COUNTIF($D138:$D141,$A$3))</f>
        <v/>
      </c>
      <c r="W141" s="52" t="str">
        <f aca="false">IF($E141="","",COUNTIF($E138:$E141,T$21)+COUNTIF($E138:$E141,$A$3))</f>
        <v/>
      </c>
      <c r="X141" s="53" t="str">
        <f aca="false">IF($F141="","",COUNTIF($F138:$F141,T$21)+COUNTIF($F138:$F141,$A$3))</f>
        <v/>
      </c>
      <c r="Z141" s="65" t="str">
        <f aca="false">IF($B141="","",COUNTIF($B138:$B141,Z$21)+COUNTIF($B138:$B141,$A$3))</f>
        <v/>
      </c>
      <c r="AA141" s="52" t="str">
        <f aca="false">IF($C141="","",COUNTIF($C138:$C141,Z$21)+COUNTIF($C138:$C141,$A$3))</f>
        <v/>
      </c>
      <c r="AB141" s="52" t="str">
        <f aca="false">IF($D141="","",COUNTIF($D138:$D141,Z$21)+COUNTIF($D138:$D141,$A$3))</f>
        <v/>
      </c>
      <c r="AC141" s="52" t="str">
        <f aca="false">IF($E141="","",COUNTIF($E138:$E141,Z$21)+COUNTIF($E138:$E141,$A$3))</f>
        <v/>
      </c>
      <c r="AD141" s="53" t="str">
        <f aca="false">IF($F141="","",COUNTIF($F138:$F141,Z$21)+COUNTIF($F138:$F141,$A$3))</f>
        <v/>
      </c>
      <c r="AF141" s="65" t="str">
        <f aca="false">IF($B141="","",COUNTIF($B138:$B141,AF$21)+COUNTIF($B138:$B141,$A$3))</f>
        <v/>
      </c>
      <c r="AG141" s="52" t="str">
        <f aca="false">IF($C141="","",COUNTIF($C138:$C141,AF$21)+COUNTIF($C138:$C141,$A$3))</f>
        <v/>
      </c>
      <c r="AH141" s="52" t="str">
        <f aca="false">IF($D141="","",COUNTIF($D138:$D141,AF$21)+COUNTIF($D138:$D141,$A$3))</f>
        <v/>
      </c>
      <c r="AI141" s="52" t="str">
        <f aca="false">IF($E141="","",COUNTIF($E138:$E141,AF$21)+COUNTIF($E138:$E141,$A$3))</f>
        <v/>
      </c>
      <c r="AJ141" s="53" t="str">
        <f aca="false">IF($F141="","",COUNTIF($F138:$F141,AF$21)+COUNTIF($F138:$F141,$A$3))</f>
        <v/>
      </c>
      <c r="AL141" s="65" t="str">
        <f aca="false">IF($B141="","",COUNTIF($B138:$B141,AL$21)+COUNTIF($B138:$B141,$A$3))</f>
        <v/>
      </c>
      <c r="AM141" s="52" t="str">
        <f aca="false">IF($C141="","",COUNTIF($C138:$C141,AL$21)+COUNTIF($C138:$C141,$A$3))</f>
        <v/>
      </c>
      <c r="AN141" s="52" t="str">
        <f aca="false">IF($D141="","",COUNTIF($D138:$D141,AL$21)+COUNTIF($D138:$D141,$A$3))</f>
        <v/>
      </c>
      <c r="AO141" s="52" t="str">
        <f aca="false">IF($E141="","",COUNTIF($E138:$E141,AL$21)+COUNTIF($E138:$E141,$A$3))</f>
        <v/>
      </c>
      <c r="AP141" s="53" t="str">
        <f aca="false">IF($F141="","",COUNTIF($F138:$F141,AL$21)+COUNTIF($F138:$F141,$A$3))</f>
        <v/>
      </c>
      <c r="AR141" s="65" t="str">
        <f aca="false">IF($B141="","",COUNTIF($B138:$B141,AR$21)+COUNTIF($B138:$B141,$A$3))</f>
        <v/>
      </c>
      <c r="AS141" s="52" t="str">
        <f aca="false">IF($C141="","",COUNTIF($C138:$C141,AR$21)+COUNTIF($C138:$C141,$A$3))</f>
        <v/>
      </c>
      <c r="AT141" s="52" t="str">
        <f aca="false">IF($D141="","",COUNTIF($D138:$D141,AR$21)+COUNTIF($D138:$D141,$A$3))</f>
        <v/>
      </c>
      <c r="AU141" s="52" t="str">
        <f aca="false">IF($E141="","",COUNTIF($E138:$E141,AR$21)+COUNTIF($E138:$E141,$A$3))</f>
        <v/>
      </c>
      <c r="AV141" s="53" t="str">
        <f aca="false">IF($F141="","",COUNTIF($F138:$F141,AR$21)+COUNTIF($F138:$F141,$A$3))</f>
        <v/>
      </c>
      <c r="AX141" s="65" t="str">
        <f aca="false">IF($B141="","",COUNTIF($B138:$B141,AX$21)+COUNTIF($B138:$B141,$A$3))</f>
        <v/>
      </c>
      <c r="AY141" s="52" t="str">
        <f aca="false">IF($C141="","",COUNTIF($C138:$C141,AX$21)+COUNTIF($C138:$C141,$A$3))</f>
        <v/>
      </c>
      <c r="AZ141" s="52" t="str">
        <f aca="false">IF($D141="","",COUNTIF($D138:$D141,AX$21)+COUNTIF($D138:$D141,$A$3))</f>
        <v/>
      </c>
      <c r="BA141" s="52" t="str">
        <f aca="false">IF($E141="","",COUNTIF($E138:$E141,AX$21)+COUNTIF($E138:$E141,$A$3))</f>
        <v/>
      </c>
      <c r="BB141" s="53" t="str">
        <f aca="false">IF($F141="","",COUNTIF($F138:$F141,AX$21)+COUNTIF($F138:$F141,$A$3))</f>
        <v/>
      </c>
      <c r="BD141" s="65" t="str">
        <f aca="false">IF($B141="","",COUNTIF($B138:$B141,BD$21)+COUNTIF($B138:$B141,$A$3))</f>
        <v/>
      </c>
      <c r="BE141" s="52" t="str">
        <f aca="false">IF($C141="","",COUNTIF($C138:$C141,BD$21)+COUNTIF($C138:$C141,$A$3))</f>
        <v/>
      </c>
      <c r="BF141" s="52" t="str">
        <f aca="false">IF($D141="","",COUNTIF($D138:$D141,BD$21)+COUNTIF($D138:$D141,$A$3))</f>
        <v/>
      </c>
      <c r="BG141" s="52" t="str">
        <f aca="false">IF($E141="","",COUNTIF($E138:$E141,BD$21)+COUNTIF($E138:$E141,$A$3))</f>
        <v/>
      </c>
      <c r="BH141" s="53" t="str">
        <f aca="false">IF($F141="","",COUNTIF($F138:$F141,BD$21)+COUNTIF($F138:$F141,$A$3))</f>
        <v/>
      </c>
      <c r="BJ141" s="65" t="str">
        <f aca="false">IF($B141="","",COUNTIF($B138:$B141,BJ$21)+COUNTIF($B138:$B141,$A$3))</f>
        <v/>
      </c>
      <c r="BK141" s="52" t="str">
        <f aca="false">IF($C141="","",COUNTIF($C138:$C141,BJ$21)+COUNTIF($C138:$C141,$A$3))</f>
        <v/>
      </c>
      <c r="BL141" s="52" t="str">
        <f aca="false">IF($D141="","",COUNTIF($D138:$D141,BJ$21)+COUNTIF($D138:$D141,$A$3))</f>
        <v/>
      </c>
      <c r="BM141" s="52" t="str">
        <f aca="false">IF($E141="","",COUNTIF($E138:$E141,BJ$21)+COUNTIF($E138:$E141,$A$3))</f>
        <v/>
      </c>
      <c r="BN141" s="53" t="str">
        <f aca="false">IF($F141="","",COUNTIF($F138:$F141,BJ$21)+COUNTIF($F138:$F141,$A$3))</f>
        <v/>
      </c>
      <c r="BP141" s="65" t="str">
        <f aca="false">IF($B141="","",COUNTIF($B138:$B141,BP$21)+COUNTIF($B138:$B141,$A$3))</f>
        <v/>
      </c>
      <c r="BQ141" s="52" t="str">
        <f aca="false">IF($C141="","",COUNTIF($C138:$C141,BP$21)+COUNTIF($C138:$C141,$A$3))</f>
        <v/>
      </c>
      <c r="BR141" s="52" t="str">
        <f aca="false">IF($D141="","",COUNTIF($D138:$D141,BP$21)+COUNTIF($D138:$D141,$A$3))</f>
        <v/>
      </c>
      <c r="BS141" s="52" t="str">
        <f aca="false">IF($E141="","",COUNTIF($E138:$E141,BP$21)+COUNTIF($E138:$E141,$A$3))</f>
        <v/>
      </c>
      <c r="BT141" s="53" t="str">
        <f aca="false">IF($F141="","",COUNTIF($F138:$F141,BP$21)+COUNTIF($F138:$F141,$A$3))</f>
        <v/>
      </c>
    </row>
    <row r="142" customFormat="false" ht="15" hidden="false" customHeight="false" outlineLevel="0" collapsed="false">
      <c r="A142" s="13" t="n">
        <v>120</v>
      </c>
      <c r="B142" s="116" t="str">
        <f aca="false">IF('Game Info'!J125="","",'Game Info'!J125)</f>
        <v/>
      </c>
      <c r="C142" s="116" t="str">
        <f aca="false">IF('Game Info'!K125="","",'Game Info'!K125)</f>
        <v/>
      </c>
      <c r="D142" s="116" t="str">
        <f aca="false">IF('Game Info'!L125="","",'Game Info'!L125)</f>
        <v/>
      </c>
      <c r="E142" s="116" t="str">
        <f aca="false">IF('Game Info'!M125="","",'Game Info'!M125)</f>
        <v/>
      </c>
      <c r="F142" s="117" t="str">
        <f aca="false">IF('Game Info'!N125="","",'Game Info'!N125)</f>
        <v/>
      </c>
      <c r="H142" s="65" t="str">
        <f aca="false">IF($B142="","",COUNTIF($B139:$B142,H$21)+COUNTIF($B139:$B142,$A$3))</f>
        <v/>
      </c>
      <c r="I142" s="52" t="str">
        <f aca="false">IF($C142="","",COUNTIF($C139:$C142,H$21)+COUNTIF($C139:$C142,$A$3))</f>
        <v/>
      </c>
      <c r="J142" s="52" t="str">
        <f aca="false">IF($D142="","",COUNTIF($D139:$D142,H$21)+COUNTIF($D139:$D142,$A$3))</f>
        <v/>
      </c>
      <c r="K142" s="52" t="str">
        <f aca="false">IF($E142="","",COUNTIF($E139:$E142,H$21)+COUNTIF($E139:$E142,$A$3))</f>
        <v/>
      </c>
      <c r="L142" s="53" t="str">
        <f aca="false">IF($F142="","",COUNTIF($F139:$F142,H$21)+COUNTIF($F139:$F142,$A$3))</f>
        <v/>
      </c>
      <c r="N142" s="65" t="str">
        <f aca="false">IF($B142="","",COUNTIF($B139:$B142,N$21)+COUNTIF($B139:$B142,$A$3))</f>
        <v/>
      </c>
      <c r="O142" s="52" t="str">
        <f aca="false">IF($C142="","",COUNTIF($C139:$C142,N$21)+COUNTIF($C139:$C142,$A$3))</f>
        <v/>
      </c>
      <c r="P142" s="52" t="str">
        <f aca="false">IF($D142="","",COUNTIF($D139:$D142,N$21)+COUNTIF($D139:$D142,$A$3))</f>
        <v/>
      </c>
      <c r="Q142" s="52" t="str">
        <f aca="false">IF($E142="","",COUNTIF($E139:$E142,N$21)+COUNTIF($E139:$E142,$A$3))</f>
        <v/>
      </c>
      <c r="R142" s="53" t="str">
        <f aca="false">IF($F142="","",COUNTIF($F139:$F142,N$21)+COUNTIF($F139:$F142,$A$3))</f>
        <v/>
      </c>
      <c r="T142" s="65" t="str">
        <f aca="false">IF($B142="","",COUNTIF($B139:$B142,T$21)+COUNTIF($B139:$B142,$A$3))</f>
        <v/>
      </c>
      <c r="U142" s="52" t="str">
        <f aca="false">IF($C142="","",COUNTIF($C139:$C142,T$21)+COUNTIF($C139:$C142,$A$3))</f>
        <v/>
      </c>
      <c r="V142" s="52" t="str">
        <f aca="false">IF($D142="","",COUNTIF($D139:$D142,T$21)+COUNTIF($D139:$D142,$A$3))</f>
        <v/>
      </c>
      <c r="W142" s="52" t="str">
        <f aca="false">IF($E142="","",COUNTIF($E139:$E142,T$21)+COUNTIF($E139:$E142,$A$3))</f>
        <v/>
      </c>
      <c r="X142" s="53" t="str">
        <f aca="false">IF($F142="","",COUNTIF($F139:$F142,T$21)+COUNTIF($F139:$F142,$A$3))</f>
        <v/>
      </c>
      <c r="Z142" s="65" t="str">
        <f aca="false">IF($B142="","",COUNTIF($B139:$B142,Z$21)+COUNTIF($B139:$B142,$A$3))</f>
        <v/>
      </c>
      <c r="AA142" s="52" t="str">
        <f aca="false">IF($C142="","",COUNTIF($C139:$C142,Z$21)+COUNTIF($C139:$C142,$A$3))</f>
        <v/>
      </c>
      <c r="AB142" s="52" t="str">
        <f aca="false">IF($D142="","",COUNTIF($D139:$D142,Z$21)+COUNTIF($D139:$D142,$A$3))</f>
        <v/>
      </c>
      <c r="AC142" s="52" t="str">
        <f aca="false">IF($E142="","",COUNTIF($E139:$E142,Z$21)+COUNTIF($E139:$E142,$A$3))</f>
        <v/>
      </c>
      <c r="AD142" s="53" t="str">
        <f aca="false">IF($F142="","",COUNTIF($F139:$F142,Z$21)+COUNTIF($F139:$F142,$A$3))</f>
        <v/>
      </c>
      <c r="AF142" s="65" t="str">
        <f aca="false">IF($B142="","",COUNTIF($B139:$B142,AF$21)+COUNTIF($B139:$B142,$A$3))</f>
        <v/>
      </c>
      <c r="AG142" s="52" t="str">
        <f aca="false">IF($C142="","",COUNTIF($C139:$C142,AF$21)+COUNTIF($C139:$C142,$A$3))</f>
        <v/>
      </c>
      <c r="AH142" s="52" t="str">
        <f aca="false">IF($D142="","",COUNTIF($D139:$D142,AF$21)+COUNTIF($D139:$D142,$A$3))</f>
        <v/>
      </c>
      <c r="AI142" s="52" t="str">
        <f aca="false">IF($E142="","",COUNTIF($E139:$E142,AF$21)+COUNTIF($E139:$E142,$A$3))</f>
        <v/>
      </c>
      <c r="AJ142" s="53" t="str">
        <f aca="false">IF($F142="","",COUNTIF($F139:$F142,AF$21)+COUNTIF($F139:$F142,$A$3))</f>
        <v/>
      </c>
      <c r="AL142" s="65" t="str">
        <f aca="false">IF($B142="","",COUNTIF($B139:$B142,AL$21)+COUNTIF($B139:$B142,$A$3))</f>
        <v/>
      </c>
      <c r="AM142" s="52" t="str">
        <f aca="false">IF($C142="","",COUNTIF($C139:$C142,AL$21)+COUNTIF($C139:$C142,$A$3))</f>
        <v/>
      </c>
      <c r="AN142" s="52" t="str">
        <f aca="false">IF($D142="","",COUNTIF($D139:$D142,AL$21)+COUNTIF($D139:$D142,$A$3))</f>
        <v/>
      </c>
      <c r="AO142" s="52" t="str">
        <f aca="false">IF($E142="","",COUNTIF($E139:$E142,AL$21)+COUNTIF($E139:$E142,$A$3))</f>
        <v/>
      </c>
      <c r="AP142" s="53" t="str">
        <f aca="false">IF($F142="","",COUNTIF($F139:$F142,AL$21)+COUNTIF($F139:$F142,$A$3))</f>
        <v/>
      </c>
      <c r="AR142" s="65" t="str">
        <f aca="false">IF($B142="","",COUNTIF($B139:$B142,AR$21)+COUNTIF($B139:$B142,$A$3))</f>
        <v/>
      </c>
      <c r="AS142" s="52" t="str">
        <f aca="false">IF($C142="","",COUNTIF($C139:$C142,AR$21)+COUNTIF($C139:$C142,$A$3))</f>
        <v/>
      </c>
      <c r="AT142" s="52" t="str">
        <f aca="false">IF($D142="","",COUNTIF($D139:$D142,AR$21)+COUNTIF($D139:$D142,$A$3))</f>
        <v/>
      </c>
      <c r="AU142" s="52" t="str">
        <f aca="false">IF($E142="","",COUNTIF($E139:$E142,AR$21)+COUNTIF($E139:$E142,$A$3))</f>
        <v/>
      </c>
      <c r="AV142" s="53" t="str">
        <f aca="false">IF($F142="","",COUNTIF($F139:$F142,AR$21)+COUNTIF($F139:$F142,$A$3))</f>
        <v/>
      </c>
      <c r="AX142" s="65" t="str">
        <f aca="false">IF($B142="","",COUNTIF($B139:$B142,AX$21)+COUNTIF($B139:$B142,$A$3))</f>
        <v/>
      </c>
      <c r="AY142" s="52" t="str">
        <f aca="false">IF($C142="","",COUNTIF($C139:$C142,AX$21)+COUNTIF($C139:$C142,$A$3))</f>
        <v/>
      </c>
      <c r="AZ142" s="52" t="str">
        <f aca="false">IF($D142="","",COUNTIF($D139:$D142,AX$21)+COUNTIF($D139:$D142,$A$3))</f>
        <v/>
      </c>
      <c r="BA142" s="52" t="str">
        <f aca="false">IF($E142="","",COUNTIF($E139:$E142,AX$21)+COUNTIF($E139:$E142,$A$3))</f>
        <v/>
      </c>
      <c r="BB142" s="53" t="str">
        <f aca="false">IF($F142="","",COUNTIF($F139:$F142,AX$21)+COUNTIF($F139:$F142,$A$3))</f>
        <v/>
      </c>
      <c r="BD142" s="65" t="str">
        <f aca="false">IF($B142="","",COUNTIF($B139:$B142,BD$21)+COUNTIF($B139:$B142,$A$3))</f>
        <v/>
      </c>
      <c r="BE142" s="52" t="str">
        <f aca="false">IF($C142="","",COUNTIF($C139:$C142,BD$21)+COUNTIF($C139:$C142,$A$3))</f>
        <v/>
      </c>
      <c r="BF142" s="52" t="str">
        <f aca="false">IF($D142="","",COUNTIF($D139:$D142,BD$21)+COUNTIF($D139:$D142,$A$3))</f>
        <v/>
      </c>
      <c r="BG142" s="52" t="str">
        <f aca="false">IF($E142="","",COUNTIF($E139:$E142,BD$21)+COUNTIF($E139:$E142,$A$3))</f>
        <v/>
      </c>
      <c r="BH142" s="53" t="str">
        <f aca="false">IF($F142="","",COUNTIF($F139:$F142,BD$21)+COUNTIF($F139:$F142,$A$3))</f>
        <v/>
      </c>
      <c r="BJ142" s="65" t="str">
        <f aca="false">IF($B142="","",COUNTIF($B139:$B142,BJ$21)+COUNTIF($B139:$B142,$A$3))</f>
        <v/>
      </c>
      <c r="BK142" s="52" t="str">
        <f aca="false">IF($C142="","",COUNTIF($C139:$C142,BJ$21)+COUNTIF($C139:$C142,$A$3))</f>
        <v/>
      </c>
      <c r="BL142" s="52" t="str">
        <f aca="false">IF($D142="","",COUNTIF($D139:$D142,BJ$21)+COUNTIF($D139:$D142,$A$3))</f>
        <v/>
      </c>
      <c r="BM142" s="52" t="str">
        <f aca="false">IF($E142="","",COUNTIF($E139:$E142,BJ$21)+COUNTIF($E139:$E142,$A$3))</f>
        <v/>
      </c>
      <c r="BN142" s="53" t="str">
        <f aca="false">IF($F142="","",COUNTIF($F139:$F142,BJ$21)+COUNTIF($F139:$F142,$A$3))</f>
        <v/>
      </c>
      <c r="BP142" s="65" t="str">
        <f aca="false">IF($B142="","",COUNTIF($B139:$B142,BP$21)+COUNTIF($B139:$B142,$A$3))</f>
        <v/>
      </c>
      <c r="BQ142" s="52" t="str">
        <f aca="false">IF($C142="","",COUNTIF($C139:$C142,BP$21)+COUNTIF($C139:$C142,$A$3))</f>
        <v/>
      </c>
      <c r="BR142" s="52" t="str">
        <f aca="false">IF($D142="","",COUNTIF($D139:$D142,BP$21)+COUNTIF($D139:$D142,$A$3))</f>
        <v/>
      </c>
      <c r="BS142" s="52" t="str">
        <f aca="false">IF($E142="","",COUNTIF($E139:$E142,BP$21)+COUNTIF($E139:$E142,$A$3))</f>
        <v/>
      </c>
      <c r="BT142" s="53" t="str">
        <f aca="false">IF($F142="","",COUNTIF($F139:$F142,BP$21)+COUNTIF($F139:$F142,$A$3))</f>
        <v/>
      </c>
    </row>
    <row r="143" customFormat="false" ht="15" hidden="false" customHeight="false" outlineLevel="0" collapsed="false">
      <c r="A143" s="13" t="n">
        <v>121</v>
      </c>
      <c r="B143" s="116" t="str">
        <f aca="false">IF('Game Info'!J126="","",'Game Info'!J126)</f>
        <v/>
      </c>
      <c r="C143" s="116" t="str">
        <f aca="false">IF('Game Info'!K126="","",'Game Info'!K126)</f>
        <v/>
      </c>
      <c r="D143" s="116" t="str">
        <f aca="false">IF('Game Info'!L126="","",'Game Info'!L126)</f>
        <v/>
      </c>
      <c r="E143" s="116" t="str">
        <f aca="false">IF('Game Info'!M126="","",'Game Info'!M126)</f>
        <v/>
      </c>
      <c r="F143" s="117" t="str">
        <f aca="false">IF('Game Info'!N126="","",'Game Info'!N126)</f>
        <v/>
      </c>
      <c r="H143" s="65" t="str">
        <f aca="false">IF($B143="","",COUNTIF($B140:$B143,H$21)+COUNTIF($B140:$B143,$A$3))</f>
        <v/>
      </c>
      <c r="I143" s="52" t="str">
        <f aca="false">IF($C143="","",COUNTIF($C140:$C143,H$21)+COUNTIF($C140:$C143,$A$3))</f>
        <v/>
      </c>
      <c r="J143" s="52" t="str">
        <f aca="false">IF($D143="","",COUNTIF($D140:$D143,H$21)+COUNTIF($D140:$D143,$A$3))</f>
        <v/>
      </c>
      <c r="K143" s="52" t="str">
        <f aca="false">IF($E143="","",COUNTIF($E140:$E143,H$21)+COUNTIF($E140:$E143,$A$3))</f>
        <v/>
      </c>
      <c r="L143" s="53" t="str">
        <f aca="false">IF($F143="","",COUNTIF($F140:$F143,H$21)+COUNTIF($F140:$F143,$A$3))</f>
        <v/>
      </c>
      <c r="N143" s="65" t="str">
        <f aca="false">IF($B143="","",COUNTIF($B140:$B143,N$21)+COUNTIF($B140:$B143,$A$3))</f>
        <v/>
      </c>
      <c r="O143" s="52" t="str">
        <f aca="false">IF($C143="","",COUNTIF($C140:$C143,N$21)+COUNTIF($C140:$C143,$A$3))</f>
        <v/>
      </c>
      <c r="P143" s="52" t="str">
        <f aca="false">IF($D143="","",COUNTIF($D140:$D143,N$21)+COUNTIF($D140:$D143,$A$3))</f>
        <v/>
      </c>
      <c r="Q143" s="52" t="str">
        <f aca="false">IF($E143="","",COUNTIF($E140:$E143,N$21)+COUNTIF($E140:$E143,$A$3))</f>
        <v/>
      </c>
      <c r="R143" s="53" t="str">
        <f aca="false">IF($F143="","",COUNTIF($F140:$F143,N$21)+COUNTIF($F140:$F143,$A$3))</f>
        <v/>
      </c>
      <c r="T143" s="65" t="str">
        <f aca="false">IF($B143="","",COUNTIF($B140:$B143,T$21)+COUNTIF($B140:$B143,$A$3))</f>
        <v/>
      </c>
      <c r="U143" s="52" t="str">
        <f aca="false">IF($C143="","",COUNTIF($C140:$C143,T$21)+COUNTIF($C140:$C143,$A$3))</f>
        <v/>
      </c>
      <c r="V143" s="52" t="str">
        <f aca="false">IF($D143="","",COUNTIF($D140:$D143,T$21)+COUNTIF($D140:$D143,$A$3))</f>
        <v/>
      </c>
      <c r="W143" s="52" t="str">
        <f aca="false">IF($E143="","",COUNTIF($E140:$E143,T$21)+COUNTIF($E140:$E143,$A$3))</f>
        <v/>
      </c>
      <c r="X143" s="53" t="str">
        <f aca="false">IF($F143="","",COUNTIF($F140:$F143,T$21)+COUNTIF($F140:$F143,$A$3))</f>
        <v/>
      </c>
      <c r="Z143" s="65" t="str">
        <f aca="false">IF($B143="","",COUNTIF($B140:$B143,Z$21)+COUNTIF($B140:$B143,$A$3))</f>
        <v/>
      </c>
      <c r="AA143" s="52" t="str">
        <f aca="false">IF($C143="","",COUNTIF($C140:$C143,Z$21)+COUNTIF($C140:$C143,$A$3))</f>
        <v/>
      </c>
      <c r="AB143" s="52" t="str">
        <f aca="false">IF($D143="","",COUNTIF($D140:$D143,Z$21)+COUNTIF($D140:$D143,$A$3))</f>
        <v/>
      </c>
      <c r="AC143" s="52" t="str">
        <f aca="false">IF($E143="","",COUNTIF($E140:$E143,Z$21)+COUNTIF($E140:$E143,$A$3))</f>
        <v/>
      </c>
      <c r="AD143" s="53" t="str">
        <f aca="false">IF($F143="","",COUNTIF($F140:$F143,Z$21)+COUNTIF($F140:$F143,$A$3))</f>
        <v/>
      </c>
      <c r="AF143" s="65" t="str">
        <f aca="false">IF($B143="","",COUNTIF($B140:$B143,AF$21)+COUNTIF($B140:$B143,$A$3))</f>
        <v/>
      </c>
      <c r="AG143" s="52" t="str">
        <f aca="false">IF($C143="","",COUNTIF($C140:$C143,AF$21)+COUNTIF($C140:$C143,$A$3))</f>
        <v/>
      </c>
      <c r="AH143" s="52" t="str">
        <f aca="false">IF($D143="","",COUNTIF($D140:$D143,AF$21)+COUNTIF($D140:$D143,$A$3))</f>
        <v/>
      </c>
      <c r="AI143" s="52" t="str">
        <f aca="false">IF($E143="","",COUNTIF($E140:$E143,AF$21)+COUNTIF($E140:$E143,$A$3))</f>
        <v/>
      </c>
      <c r="AJ143" s="53" t="str">
        <f aca="false">IF($F143="","",COUNTIF($F140:$F143,AF$21)+COUNTIF($F140:$F143,$A$3))</f>
        <v/>
      </c>
      <c r="AL143" s="65" t="str">
        <f aca="false">IF($B143="","",COUNTIF($B140:$B143,AL$21)+COUNTIF($B140:$B143,$A$3))</f>
        <v/>
      </c>
      <c r="AM143" s="52" t="str">
        <f aca="false">IF($C143="","",COUNTIF($C140:$C143,AL$21)+COUNTIF($C140:$C143,$A$3))</f>
        <v/>
      </c>
      <c r="AN143" s="52" t="str">
        <f aca="false">IF($D143="","",COUNTIF($D140:$D143,AL$21)+COUNTIF($D140:$D143,$A$3))</f>
        <v/>
      </c>
      <c r="AO143" s="52" t="str">
        <f aca="false">IF($E143="","",COUNTIF($E140:$E143,AL$21)+COUNTIF($E140:$E143,$A$3))</f>
        <v/>
      </c>
      <c r="AP143" s="53" t="str">
        <f aca="false">IF($F143="","",COUNTIF($F140:$F143,AL$21)+COUNTIF($F140:$F143,$A$3))</f>
        <v/>
      </c>
      <c r="AR143" s="65" t="str">
        <f aca="false">IF($B143="","",COUNTIF($B140:$B143,AR$21)+COUNTIF($B140:$B143,$A$3))</f>
        <v/>
      </c>
      <c r="AS143" s="52" t="str">
        <f aca="false">IF($C143="","",COUNTIF($C140:$C143,AR$21)+COUNTIF($C140:$C143,$A$3))</f>
        <v/>
      </c>
      <c r="AT143" s="52" t="str">
        <f aca="false">IF($D143="","",COUNTIF($D140:$D143,AR$21)+COUNTIF($D140:$D143,$A$3))</f>
        <v/>
      </c>
      <c r="AU143" s="52" t="str">
        <f aca="false">IF($E143="","",COUNTIF($E140:$E143,AR$21)+COUNTIF($E140:$E143,$A$3))</f>
        <v/>
      </c>
      <c r="AV143" s="53" t="str">
        <f aca="false">IF($F143="","",COUNTIF($F140:$F143,AR$21)+COUNTIF($F140:$F143,$A$3))</f>
        <v/>
      </c>
      <c r="AX143" s="65" t="str">
        <f aca="false">IF($B143="","",COUNTIF($B140:$B143,AX$21)+COUNTIF($B140:$B143,$A$3))</f>
        <v/>
      </c>
      <c r="AY143" s="52" t="str">
        <f aca="false">IF($C143="","",COUNTIF($C140:$C143,AX$21)+COUNTIF($C140:$C143,$A$3))</f>
        <v/>
      </c>
      <c r="AZ143" s="52" t="str">
        <f aca="false">IF($D143="","",COUNTIF($D140:$D143,AX$21)+COUNTIF($D140:$D143,$A$3))</f>
        <v/>
      </c>
      <c r="BA143" s="52" t="str">
        <f aca="false">IF($E143="","",COUNTIF($E140:$E143,AX$21)+COUNTIF($E140:$E143,$A$3))</f>
        <v/>
      </c>
      <c r="BB143" s="53" t="str">
        <f aca="false">IF($F143="","",COUNTIF($F140:$F143,AX$21)+COUNTIF($F140:$F143,$A$3))</f>
        <v/>
      </c>
      <c r="BD143" s="65" t="str">
        <f aca="false">IF($B143="","",COUNTIF($B140:$B143,BD$21)+COUNTIF($B140:$B143,$A$3))</f>
        <v/>
      </c>
      <c r="BE143" s="52" t="str">
        <f aca="false">IF($C143="","",COUNTIF($C140:$C143,BD$21)+COUNTIF($C140:$C143,$A$3))</f>
        <v/>
      </c>
      <c r="BF143" s="52" t="str">
        <f aca="false">IF($D143="","",COUNTIF($D140:$D143,BD$21)+COUNTIF($D140:$D143,$A$3))</f>
        <v/>
      </c>
      <c r="BG143" s="52" t="str">
        <f aca="false">IF($E143="","",COUNTIF($E140:$E143,BD$21)+COUNTIF($E140:$E143,$A$3))</f>
        <v/>
      </c>
      <c r="BH143" s="53" t="str">
        <f aca="false">IF($F143="","",COUNTIF($F140:$F143,BD$21)+COUNTIF($F140:$F143,$A$3))</f>
        <v/>
      </c>
      <c r="BJ143" s="65" t="str">
        <f aca="false">IF($B143="","",COUNTIF($B140:$B143,BJ$21)+COUNTIF($B140:$B143,$A$3))</f>
        <v/>
      </c>
      <c r="BK143" s="52" t="str">
        <f aca="false">IF($C143="","",COUNTIF($C140:$C143,BJ$21)+COUNTIF($C140:$C143,$A$3))</f>
        <v/>
      </c>
      <c r="BL143" s="52" t="str">
        <f aca="false">IF($D143="","",COUNTIF($D140:$D143,BJ$21)+COUNTIF($D140:$D143,$A$3))</f>
        <v/>
      </c>
      <c r="BM143" s="52" t="str">
        <f aca="false">IF($E143="","",COUNTIF($E140:$E143,BJ$21)+COUNTIF($E140:$E143,$A$3))</f>
        <v/>
      </c>
      <c r="BN143" s="53" t="str">
        <f aca="false">IF($F143="","",COUNTIF($F140:$F143,BJ$21)+COUNTIF($F140:$F143,$A$3))</f>
        <v/>
      </c>
      <c r="BP143" s="65" t="str">
        <f aca="false">IF($B143="","",COUNTIF($B140:$B143,BP$21)+COUNTIF($B140:$B143,$A$3))</f>
        <v/>
      </c>
      <c r="BQ143" s="52" t="str">
        <f aca="false">IF($C143="","",COUNTIF($C140:$C143,BP$21)+COUNTIF($C140:$C143,$A$3))</f>
        <v/>
      </c>
      <c r="BR143" s="52" t="str">
        <f aca="false">IF($D143="","",COUNTIF($D140:$D143,BP$21)+COUNTIF($D140:$D143,$A$3))</f>
        <v/>
      </c>
      <c r="BS143" s="52" t="str">
        <f aca="false">IF($E143="","",COUNTIF($E140:$E143,BP$21)+COUNTIF($E140:$E143,$A$3))</f>
        <v/>
      </c>
      <c r="BT143" s="53" t="str">
        <f aca="false">IF($F143="","",COUNTIF($F140:$F143,BP$21)+COUNTIF($F140:$F143,$A$3))</f>
        <v/>
      </c>
    </row>
    <row r="144" customFormat="false" ht="15" hidden="false" customHeight="false" outlineLevel="0" collapsed="false">
      <c r="A144" s="13" t="n">
        <v>122</v>
      </c>
      <c r="B144" s="116" t="str">
        <f aca="false">IF('Game Info'!J127="","",'Game Info'!J127)</f>
        <v/>
      </c>
      <c r="C144" s="116" t="str">
        <f aca="false">IF('Game Info'!K127="","",'Game Info'!K127)</f>
        <v/>
      </c>
      <c r="D144" s="116" t="str">
        <f aca="false">IF('Game Info'!L127="","",'Game Info'!L127)</f>
        <v/>
      </c>
      <c r="E144" s="116" t="str">
        <f aca="false">IF('Game Info'!M127="","",'Game Info'!M127)</f>
        <v/>
      </c>
      <c r="F144" s="117" t="str">
        <f aca="false">IF('Game Info'!N127="","",'Game Info'!N127)</f>
        <v/>
      </c>
      <c r="H144" s="65" t="str">
        <f aca="false">IF($B144="","",COUNTIF($B141:$B144,H$21)+COUNTIF($B141:$B144,$A$3))</f>
        <v/>
      </c>
      <c r="I144" s="52" t="str">
        <f aca="false">IF($C144="","",COUNTIF($C141:$C144,H$21)+COUNTIF($C141:$C144,$A$3))</f>
        <v/>
      </c>
      <c r="J144" s="52" t="str">
        <f aca="false">IF($D144="","",COUNTIF($D141:$D144,H$21)+COUNTIF($D141:$D144,$A$3))</f>
        <v/>
      </c>
      <c r="K144" s="52" t="str">
        <f aca="false">IF($E144="","",COUNTIF($E141:$E144,H$21)+COUNTIF($E141:$E144,$A$3))</f>
        <v/>
      </c>
      <c r="L144" s="53" t="str">
        <f aca="false">IF($F144="","",COUNTIF($F141:$F144,H$21)+COUNTIF($F141:$F144,$A$3))</f>
        <v/>
      </c>
      <c r="N144" s="65" t="str">
        <f aca="false">IF($B144="","",COUNTIF($B141:$B144,N$21)+COUNTIF($B141:$B144,$A$3))</f>
        <v/>
      </c>
      <c r="O144" s="52" t="str">
        <f aca="false">IF($C144="","",COUNTIF($C141:$C144,N$21)+COUNTIF($C141:$C144,$A$3))</f>
        <v/>
      </c>
      <c r="P144" s="52" t="str">
        <f aca="false">IF($D144="","",COUNTIF($D141:$D144,N$21)+COUNTIF($D141:$D144,$A$3))</f>
        <v/>
      </c>
      <c r="Q144" s="52" t="str">
        <f aca="false">IF($E144="","",COUNTIF($E141:$E144,N$21)+COUNTIF($E141:$E144,$A$3))</f>
        <v/>
      </c>
      <c r="R144" s="53" t="str">
        <f aca="false">IF($F144="","",COUNTIF($F141:$F144,N$21)+COUNTIF($F141:$F144,$A$3))</f>
        <v/>
      </c>
      <c r="T144" s="65" t="str">
        <f aca="false">IF($B144="","",COUNTIF($B141:$B144,T$21)+COUNTIF($B141:$B144,$A$3))</f>
        <v/>
      </c>
      <c r="U144" s="52" t="str">
        <f aca="false">IF($C144="","",COUNTIF($C141:$C144,T$21)+COUNTIF($C141:$C144,$A$3))</f>
        <v/>
      </c>
      <c r="V144" s="52" t="str">
        <f aca="false">IF($D144="","",COUNTIF($D141:$D144,T$21)+COUNTIF($D141:$D144,$A$3))</f>
        <v/>
      </c>
      <c r="W144" s="52" t="str">
        <f aca="false">IF($E144="","",COUNTIF($E141:$E144,T$21)+COUNTIF($E141:$E144,$A$3))</f>
        <v/>
      </c>
      <c r="X144" s="53" t="str">
        <f aca="false">IF($F144="","",COUNTIF($F141:$F144,T$21)+COUNTIF($F141:$F144,$A$3))</f>
        <v/>
      </c>
      <c r="Z144" s="65" t="str">
        <f aca="false">IF($B144="","",COUNTIF($B141:$B144,Z$21)+COUNTIF($B141:$B144,$A$3))</f>
        <v/>
      </c>
      <c r="AA144" s="52" t="str">
        <f aca="false">IF($C144="","",COUNTIF($C141:$C144,Z$21)+COUNTIF($C141:$C144,$A$3))</f>
        <v/>
      </c>
      <c r="AB144" s="52" t="str">
        <f aca="false">IF($D144="","",COUNTIF($D141:$D144,Z$21)+COUNTIF($D141:$D144,$A$3))</f>
        <v/>
      </c>
      <c r="AC144" s="52" t="str">
        <f aca="false">IF($E144="","",COUNTIF($E141:$E144,Z$21)+COUNTIF($E141:$E144,$A$3))</f>
        <v/>
      </c>
      <c r="AD144" s="53" t="str">
        <f aca="false">IF($F144="","",COUNTIF($F141:$F144,Z$21)+COUNTIF($F141:$F144,$A$3))</f>
        <v/>
      </c>
      <c r="AF144" s="65" t="str">
        <f aca="false">IF($B144="","",COUNTIF($B141:$B144,AF$21)+COUNTIF($B141:$B144,$A$3))</f>
        <v/>
      </c>
      <c r="AG144" s="52" t="str">
        <f aca="false">IF($C144="","",COUNTIF($C141:$C144,AF$21)+COUNTIF($C141:$C144,$A$3))</f>
        <v/>
      </c>
      <c r="AH144" s="52" t="str">
        <f aca="false">IF($D144="","",COUNTIF($D141:$D144,AF$21)+COUNTIF($D141:$D144,$A$3))</f>
        <v/>
      </c>
      <c r="AI144" s="52" t="str">
        <f aca="false">IF($E144="","",COUNTIF($E141:$E144,AF$21)+COUNTIF($E141:$E144,$A$3))</f>
        <v/>
      </c>
      <c r="AJ144" s="53" t="str">
        <f aca="false">IF($F144="","",COUNTIF($F141:$F144,AF$21)+COUNTIF($F141:$F144,$A$3))</f>
        <v/>
      </c>
      <c r="AL144" s="65" t="str">
        <f aca="false">IF($B144="","",COUNTIF($B141:$B144,AL$21)+COUNTIF($B141:$B144,$A$3))</f>
        <v/>
      </c>
      <c r="AM144" s="52" t="str">
        <f aca="false">IF($C144="","",COUNTIF($C141:$C144,AL$21)+COUNTIF($C141:$C144,$A$3))</f>
        <v/>
      </c>
      <c r="AN144" s="52" t="str">
        <f aca="false">IF($D144="","",COUNTIF($D141:$D144,AL$21)+COUNTIF($D141:$D144,$A$3))</f>
        <v/>
      </c>
      <c r="AO144" s="52" t="str">
        <f aca="false">IF($E144="","",COUNTIF($E141:$E144,AL$21)+COUNTIF($E141:$E144,$A$3))</f>
        <v/>
      </c>
      <c r="AP144" s="53" t="str">
        <f aca="false">IF($F144="","",COUNTIF($F141:$F144,AL$21)+COUNTIF($F141:$F144,$A$3))</f>
        <v/>
      </c>
      <c r="AR144" s="65" t="str">
        <f aca="false">IF($B144="","",COUNTIF($B141:$B144,AR$21)+COUNTIF($B141:$B144,$A$3))</f>
        <v/>
      </c>
      <c r="AS144" s="52" t="str">
        <f aca="false">IF($C144="","",COUNTIF($C141:$C144,AR$21)+COUNTIF($C141:$C144,$A$3))</f>
        <v/>
      </c>
      <c r="AT144" s="52" t="str">
        <f aca="false">IF($D144="","",COUNTIF($D141:$D144,AR$21)+COUNTIF($D141:$D144,$A$3))</f>
        <v/>
      </c>
      <c r="AU144" s="52" t="str">
        <f aca="false">IF($E144="","",COUNTIF($E141:$E144,AR$21)+COUNTIF($E141:$E144,$A$3))</f>
        <v/>
      </c>
      <c r="AV144" s="53" t="str">
        <f aca="false">IF($F144="","",COUNTIF($F141:$F144,AR$21)+COUNTIF($F141:$F144,$A$3))</f>
        <v/>
      </c>
      <c r="AX144" s="65" t="str">
        <f aca="false">IF($B144="","",COUNTIF($B141:$B144,AX$21)+COUNTIF($B141:$B144,$A$3))</f>
        <v/>
      </c>
      <c r="AY144" s="52" t="str">
        <f aca="false">IF($C144="","",COUNTIF($C141:$C144,AX$21)+COUNTIF($C141:$C144,$A$3))</f>
        <v/>
      </c>
      <c r="AZ144" s="52" t="str">
        <f aca="false">IF($D144="","",COUNTIF($D141:$D144,AX$21)+COUNTIF($D141:$D144,$A$3))</f>
        <v/>
      </c>
      <c r="BA144" s="52" t="str">
        <f aca="false">IF($E144="","",COUNTIF($E141:$E144,AX$21)+COUNTIF($E141:$E144,$A$3))</f>
        <v/>
      </c>
      <c r="BB144" s="53" t="str">
        <f aca="false">IF($F144="","",COUNTIF($F141:$F144,AX$21)+COUNTIF($F141:$F144,$A$3))</f>
        <v/>
      </c>
      <c r="BD144" s="65" t="str">
        <f aca="false">IF($B144="","",COUNTIF($B141:$B144,BD$21)+COUNTIF($B141:$B144,$A$3))</f>
        <v/>
      </c>
      <c r="BE144" s="52" t="str">
        <f aca="false">IF($C144="","",COUNTIF($C141:$C144,BD$21)+COUNTIF($C141:$C144,$A$3))</f>
        <v/>
      </c>
      <c r="BF144" s="52" t="str">
        <f aca="false">IF($D144="","",COUNTIF($D141:$D144,BD$21)+COUNTIF($D141:$D144,$A$3))</f>
        <v/>
      </c>
      <c r="BG144" s="52" t="str">
        <f aca="false">IF($E144="","",COUNTIF($E141:$E144,BD$21)+COUNTIF($E141:$E144,$A$3))</f>
        <v/>
      </c>
      <c r="BH144" s="53" t="str">
        <f aca="false">IF($F144="","",COUNTIF($F141:$F144,BD$21)+COUNTIF($F141:$F144,$A$3))</f>
        <v/>
      </c>
      <c r="BJ144" s="65" t="str">
        <f aca="false">IF($B144="","",COUNTIF($B141:$B144,BJ$21)+COUNTIF($B141:$B144,$A$3))</f>
        <v/>
      </c>
      <c r="BK144" s="52" t="str">
        <f aca="false">IF($C144="","",COUNTIF($C141:$C144,BJ$21)+COUNTIF($C141:$C144,$A$3))</f>
        <v/>
      </c>
      <c r="BL144" s="52" t="str">
        <f aca="false">IF($D144="","",COUNTIF($D141:$D144,BJ$21)+COUNTIF($D141:$D144,$A$3))</f>
        <v/>
      </c>
      <c r="BM144" s="52" t="str">
        <f aca="false">IF($E144="","",COUNTIF($E141:$E144,BJ$21)+COUNTIF($E141:$E144,$A$3))</f>
        <v/>
      </c>
      <c r="BN144" s="53" t="str">
        <f aca="false">IF($F144="","",COUNTIF($F141:$F144,BJ$21)+COUNTIF($F141:$F144,$A$3))</f>
        <v/>
      </c>
      <c r="BP144" s="65" t="str">
        <f aca="false">IF($B144="","",COUNTIF($B141:$B144,BP$21)+COUNTIF($B141:$B144,$A$3))</f>
        <v/>
      </c>
      <c r="BQ144" s="52" t="str">
        <f aca="false">IF($C144="","",COUNTIF($C141:$C144,BP$21)+COUNTIF($C141:$C144,$A$3))</f>
        <v/>
      </c>
      <c r="BR144" s="52" t="str">
        <f aca="false">IF($D144="","",COUNTIF($D141:$D144,BP$21)+COUNTIF($D141:$D144,$A$3))</f>
        <v/>
      </c>
      <c r="BS144" s="52" t="str">
        <f aca="false">IF($E144="","",COUNTIF($E141:$E144,BP$21)+COUNTIF($E141:$E144,$A$3))</f>
        <v/>
      </c>
      <c r="BT144" s="53" t="str">
        <f aca="false">IF($F144="","",COUNTIF($F141:$F144,BP$21)+COUNTIF($F141:$F144,$A$3))</f>
        <v/>
      </c>
    </row>
    <row r="145" customFormat="false" ht="15" hidden="false" customHeight="false" outlineLevel="0" collapsed="false">
      <c r="A145" s="13" t="n">
        <v>123</v>
      </c>
      <c r="B145" s="116" t="str">
        <f aca="false">IF('Game Info'!J128="","",'Game Info'!J128)</f>
        <v/>
      </c>
      <c r="C145" s="116" t="str">
        <f aca="false">IF('Game Info'!K128="","",'Game Info'!K128)</f>
        <v/>
      </c>
      <c r="D145" s="116" t="str">
        <f aca="false">IF('Game Info'!L128="","",'Game Info'!L128)</f>
        <v/>
      </c>
      <c r="E145" s="116" t="str">
        <f aca="false">IF('Game Info'!M128="","",'Game Info'!M128)</f>
        <v/>
      </c>
      <c r="F145" s="117" t="str">
        <f aca="false">IF('Game Info'!N128="","",'Game Info'!N128)</f>
        <v/>
      </c>
      <c r="H145" s="65" t="str">
        <f aca="false">IF($B145="","",COUNTIF($B142:$B145,H$21)+COUNTIF($B142:$B145,$A$3))</f>
        <v/>
      </c>
      <c r="I145" s="52" t="str">
        <f aca="false">IF($C145="","",COUNTIF($C142:$C145,H$21)+COUNTIF($C142:$C145,$A$3))</f>
        <v/>
      </c>
      <c r="J145" s="52" t="str">
        <f aca="false">IF($D145="","",COUNTIF($D142:$D145,H$21)+COUNTIF($D142:$D145,$A$3))</f>
        <v/>
      </c>
      <c r="K145" s="52" t="str">
        <f aca="false">IF($E145="","",COUNTIF($E142:$E145,H$21)+COUNTIF($E142:$E145,$A$3))</f>
        <v/>
      </c>
      <c r="L145" s="53" t="str">
        <f aca="false">IF($F145="","",COUNTIF($F142:$F145,H$21)+COUNTIF($F142:$F145,$A$3))</f>
        <v/>
      </c>
      <c r="N145" s="65" t="str">
        <f aca="false">IF($B145="","",COUNTIF($B142:$B145,N$21)+COUNTIF($B142:$B145,$A$3))</f>
        <v/>
      </c>
      <c r="O145" s="52" t="str">
        <f aca="false">IF($C145="","",COUNTIF($C142:$C145,N$21)+COUNTIF($C142:$C145,$A$3))</f>
        <v/>
      </c>
      <c r="P145" s="52" t="str">
        <f aca="false">IF($D145="","",COUNTIF($D142:$D145,N$21)+COUNTIF($D142:$D145,$A$3))</f>
        <v/>
      </c>
      <c r="Q145" s="52" t="str">
        <f aca="false">IF($E145="","",COUNTIF($E142:$E145,N$21)+COUNTIF($E142:$E145,$A$3))</f>
        <v/>
      </c>
      <c r="R145" s="53" t="str">
        <f aca="false">IF($F145="","",COUNTIF($F142:$F145,N$21)+COUNTIF($F142:$F145,$A$3))</f>
        <v/>
      </c>
      <c r="T145" s="65" t="str">
        <f aca="false">IF($B145="","",COUNTIF($B142:$B145,T$21)+COUNTIF($B142:$B145,$A$3))</f>
        <v/>
      </c>
      <c r="U145" s="52" t="str">
        <f aca="false">IF($C145="","",COUNTIF($C142:$C145,T$21)+COUNTIF($C142:$C145,$A$3))</f>
        <v/>
      </c>
      <c r="V145" s="52" t="str">
        <f aca="false">IF($D145="","",COUNTIF($D142:$D145,T$21)+COUNTIF($D142:$D145,$A$3))</f>
        <v/>
      </c>
      <c r="W145" s="52" t="str">
        <f aca="false">IF($E145="","",COUNTIF($E142:$E145,T$21)+COUNTIF($E142:$E145,$A$3))</f>
        <v/>
      </c>
      <c r="X145" s="53" t="str">
        <f aca="false">IF($F145="","",COUNTIF($F142:$F145,T$21)+COUNTIF($F142:$F145,$A$3))</f>
        <v/>
      </c>
      <c r="Z145" s="65" t="str">
        <f aca="false">IF($B145="","",COUNTIF($B142:$B145,Z$21)+COUNTIF($B142:$B145,$A$3))</f>
        <v/>
      </c>
      <c r="AA145" s="52" t="str">
        <f aca="false">IF($C145="","",COUNTIF($C142:$C145,Z$21)+COUNTIF($C142:$C145,$A$3))</f>
        <v/>
      </c>
      <c r="AB145" s="52" t="str">
        <f aca="false">IF($D145="","",COUNTIF($D142:$D145,Z$21)+COUNTIF($D142:$D145,$A$3))</f>
        <v/>
      </c>
      <c r="AC145" s="52" t="str">
        <f aca="false">IF($E145="","",COUNTIF($E142:$E145,Z$21)+COUNTIF($E142:$E145,$A$3))</f>
        <v/>
      </c>
      <c r="AD145" s="53" t="str">
        <f aca="false">IF($F145="","",COUNTIF($F142:$F145,Z$21)+COUNTIF($F142:$F145,$A$3))</f>
        <v/>
      </c>
      <c r="AF145" s="65" t="str">
        <f aca="false">IF($B145="","",COUNTIF($B142:$B145,AF$21)+COUNTIF($B142:$B145,$A$3))</f>
        <v/>
      </c>
      <c r="AG145" s="52" t="str">
        <f aca="false">IF($C145="","",COUNTIF($C142:$C145,AF$21)+COUNTIF($C142:$C145,$A$3))</f>
        <v/>
      </c>
      <c r="AH145" s="52" t="str">
        <f aca="false">IF($D145="","",COUNTIF($D142:$D145,AF$21)+COUNTIF($D142:$D145,$A$3))</f>
        <v/>
      </c>
      <c r="AI145" s="52" t="str">
        <f aca="false">IF($E145="","",COUNTIF($E142:$E145,AF$21)+COUNTIF($E142:$E145,$A$3))</f>
        <v/>
      </c>
      <c r="AJ145" s="53" t="str">
        <f aca="false">IF($F145="","",COUNTIF($F142:$F145,AF$21)+COUNTIF($F142:$F145,$A$3))</f>
        <v/>
      </c>
      <c r="AL145" s="65" t="str">
        <f aca="false">IF($B145="","",COUNTIF($B142:$B145,AL$21)+COUNTIF($B142:$B145,$A$3))</f>
        <v/>
      </c>
      <c r="AM145" s="52" t="str">
        <f aca="false">IF($C145="","",COUNTIF($C142:$C145,AL$21)+COUNTIF($C142:$C145,$A$3))</f>
        <v/>
      </c>
      <c r="AN145" s="52" t="str">
        <f aca="false">IF($D145="","",COUNTIF($D142:$D145,AL$21)+COUNTIF($D142:$D145,$A$3))</f>
        <v/>
      </c>
      <c r="AO145" s="52" t="str">
        <f aca="false">IF($E145="","",COUNTIF($E142:$E145,AL$21)+COUNTIF($E142:$E145,$A$3))</f>
        <v/>
      </c>
      <c r="AP145" s="53" t="str">
        <f aca="false">IF($F145="","",COUNTIF($F142:$F145,AL$21)+COUNTIF($F142:$F145,$A$3))</f>
        <v/>
      </c>
      <c r="AR145" s="65" t="str">
        <f aca="false">IF($B145="","",COUNTIF($B142:$B145,AR$21)+COUNTIF($B142:$B145,$A$3))</f>
        <v/>
      </c>
      <c r="AS145" s="52" t="str">
        <f aca="false">IF($C145="","",COUNTIF($C142:$C145,AR$21)+COUNTIF($C142:$C145,$A$3))</f>
        <v/>
      </c>
      <c r="AT145" s="52" t="str">
        <f aca="false">IF($D145="","",COUNTIF($D142:$D145,AR$21)+COUNTIF($D142:$D145,$A$3))</f>
        <v/>
      </c>
      <c r="AU145" s="52" t="str">
        <f aca="false">IF($E145="","",COUNTIF($E142:$E145,AR$21)+COUNTIF($E142:$E145,$A$3))</f>
        <v/>
      </c>
      <c r="AV145" s="53" t="str">
        <f aca="false">IF($F145="","",COUNTIF($F142:$F145,AR$21)+COUNTIF($F142:$F145,$A$3))</f>
        <v/>
      </c>
      <c r="AX145" s="65" t="str">
        <f aca="false">IF($B145="","",COUNTIF($B142:$B145,AX$21)+COUNTIF($B142:$B145,$A$3))</f>
        <v/>
      </c>
      <c r="AY145" s="52" t="str">
        <f aca="false">IF($C145="","",COUNTIF($C142:$C145,AX$21)+COUNTIF($C142:$C145,$A$3))</f>
        <v/>
      </c>
      <c r="AZ145" s="52" t="str">
        <f aca="false">IF($D145="","",COUNTIF($D142:$D145,AX$21)+COUNTIF($D142:$D145,$A$3))</f>
        <v/>
      </c>
      <c r="BA145" s="52" t="str">
        <f aca="false">IF($E145="","",COUNTIF($E142:$E145,AX$21)+COUNTIF($E142:$E145,$A$3))</f>
        <v/>
      </c>
      <c r="BB145" s="53" t="str">
        <f aca="false">IF($F145="","",COUNTIF($F142:$F145,AX$21)+COUNTIF($F142:$F145,$A$3))</f>
        <v/>
      </c>
      <c r="BD145" s="65" t="str">
        <f aca="false">IF($B145="","",COUNTIF($B142:$B145,BD$21)+COUNTIF($B142:$B145,$A$3))</f>
        <v/>
      </c>
      <c r="BE145" s="52" t="str">
        <f aca="false">IF($C145="","",COUNTIF($C142:$C145,BD$21)+COUNTIF($C142:$C145,$A$3))</f>
        <v/>
      </c>
      <c r="BF145" s="52" t="str">
        <f aca="false">IF($D145="","",COUNTIF($D142:$D145,BD$21)+COUNTIF($D142:$D145,$A$3))</f>
        <v/>
      </c>
      <c r="BG145" s="52" t="str">
        <f aca="false">IF($E145="","",COUNTIF($E142:$E145,BD$21)+COUNTIF($E142:$E145,$A$3))</f>
        <v/>
      </c>
      <c r="BH145" s="53" t="str">
        <f aca="false">IF($F145="","",COUNTIF($F142:$F145,BD$21)+COUNTIF($F142:$F145,$A$3))</f>
        <v/>
      </c>
      <c r="BJ145" s="65" t="str">
        <f aca="false">IF($B145="","",COUNTIF($B142:$B145,BJ$21)+COUNTIF($B142:$B145,$A$3))</f>
        <v/>
      </c>
      <c r="BK145" s="52" t="str">
        <f aca="false">IF($C145="","",COUNTIF($C142:$C145,BJ$21)+COUNTIF($C142:$C145,$A$3))</f>
        <v/>
      </c>
      <c r="BL145" s="52" t="str">
        <f aca="false">IF($D145="","",COUNTIF($D142:$D145,BJ$21)+COUNTIF($D142:$D145,$A$3))</f>
        <v/>
      </c>
      <c r="BM145" s="52" t="str">
        <f aca="false">IF($E145="","",COUNTIF($E142:$E145,BJ$21)+COUNTIF($E142:$E145,$A$3))</f>
        <v/>
      </c>
      <c r="BN145" s="53" t="str">
        <f aca="false">IF($F145="","",COUNTIF($F142:$F145,BJ$21)+COUNTIF($F142:$F145,$A$3))</f>
        <v/>
      </c>
      <c r="BP145" s="65" t="str">
        <f aca="false">IF($B145="","",COUNTIF($B142:$B145,BP$21)+COUNTIF($B142:$B145,$A$3))</f>
        <v/>
      </c>
      <c r="BQ145" s="52" t="str">
        <f aca="false">IF($C145="","",COUNTIF($C142:$C145,BP$21)+COUNTIF($C142:$C145,$A$3))</f>
        <v/>
      </c>
      <c r="BR145" s="52" t="str">
        <f aca="false">IF($D145="","",COUNTIF($D142:$D145,BP$21)+COUNTIF($D142:$D145,$A$3))</f>
        <v/>
      </c>
      <c r="BS145" s="52" t="str">
        <f aca="false">IF($E145="","",COUNTIF($E142:$E145,BP$21)+COUNTIF($E142:$E145,$A$3))</f>
        <v/>
      </c>
      <c r="BT145" s="53" t="str">
        <f aca="false">IF($F145="","",COUNTIF($F142:$F145,BP$21)+COUNTIF($F142:$F145,$A$3))</f>
        <v/>
      </c>
    </row>
    <row r="146" customFormat="false" ht="15" hidden="false" customHeight="false" outlineLevel="0" collapsed="false">
      <c r="A146" s="13" t="n">
        <v>124</v>
      </c>
      <c r="B146" s="116" t="str">
        <f aca="false">IF('Game Info'!J129="","",'Game Info'!J129)</f>
        <v/>
      </c>
      <c r="C146" s="116" t="str">
        <f aca="false">IF('Game Info'!K129="","",'Game Info'!K129)</f>
        <v/>
      </c>
      <c r="D146" s="116" t="str">
        <f aca="false">IF('Game Info'!L129="","",'Game Info'!L129)</f>
        <v/>
      </c>
      <c r="E146" s="116" t="str">
        <f aca="false">IF('Game Info'!M129="","",'Game Info'!M129)</f>
        <v/>
      </c>
      <c r="F146" s="117" t="str">
        <f aca="false">IF('Game Info'!N129="","",'Game Info'!N129)</f>
        <v/>
      </c>
      <c r="H146" s="65" t="str">
        <f aca="false">IF($B146="","",COUNTIF($B143:$B146,H$21)+COUNTIF($B143:$B146,$A$3))</f>
        <v/>
      </c>
      <c r="I146" s="52" t="str">
        <f aca="false">IF($C146="","",COUNTIF($C143:$C146,H$21)+COUNTIF($C143:$C146,$A$3))</f>
        <v/>
      </c>
      <c r="J146" s="52" t="str">
        <f aca="false">IF($D146="","",COUNTIF($D143:$D146,H$21)+COUNTIF($D143:$D146,$A$3))</f>
        <v/>
      </c>
      <c r="K146" s="52" t="str">
        <f aca="false">IF($E146="","",COUNTIF($E143:$E146,H$21)+COUNTIF($E143:$E146,$A$3))</f>
        <v/>
      </c>
      <c r="L146" s="53" t="str">
        <f aca="false">IF($F146="","",COUNTIF($F143:$F146,H$21)+COUNTIF($F143:$F146,$A$3))</f>
        <v/>
      </c>
      <c r="N146" s="65" t="str">
        <f aca="false">IF($B146="","",COUNTIF($B143:$B146,N$21)+COUNTIF($B143:$B146,$A$3))</f>
        <v/>
      </c>
      <c r="O146" s="52" t="str">
        <f aca="false">IF($C146="","",COUNTIF($C143:$C146,N$21)+COUNTIF($C143:$C146,$A$3))</f>
        <v/>
      </c>
      <c r="P146" s="52" t="str">
        <f aca="false">IF($D146="","",COUNTIF($D143:$D146,N$21)+COUNTIF($D143:$D146,$A$3))</f>
        <v/>
      </c>
      <c r="Q146" s="52" t="str">
        <f aca="false">IF($E146="","",COUNTIF($E143:$E146,N$21)+COUNTIF($E143:$E146,$A$3))</f>
        <v/>
      </c>
      <c r="R146" s="53" t="str">
        <f aca="false">IF($F146="","",COUNTIF($F143:$F146,N$21)+COUNTIF($F143:$F146,$A$3))</f>
        <v/>
      </c>
      <c r="T146" s="65" t="str">
        <f aca="false">IF($B146="","",COUNTIF($B143:$B146,T$21)+COUNTIF($B143:$B146,$A$3))</f>
        <v/>
      </c>
      <c r="U146" s="52" t="str">
        <f aca="false">IF($C146="","",COUNTIF($C143:$C146,T$21)+COUNTIF($C143:$C146,$A$3))</f>
        <v/>
      </c>
      <c r="V146" s="52" t="str">
        <f aca="false">IF($D146="","",COUNTIF($D143:$D146,T$21)+COUNTIF($D143:$D146,$A$3))</f>
        <v/>
      </c>
      <c r="W146" s="52" t="str">
        <f aca="false">IF($E146="","",COUNTIF($E143:$E146,T$21)+COUNTIF($E143:$E146,$A$3))</f>
        <v/>
      </c>
      <c r="X146" s="53" t="str">
        <f aca="false">IF($F146="","",COUNTIF($F143:$F146,T$21)+COUNTIF($F143:$F146,$A$3))</f>
        <v/>
      </c>
      <c r="Z146" s="65" t="str">
        <f aca="false">IF($B146="","",COUNTIF($B143:$B146,Z$21)+COUNTIF($B143:$B146,$A$3))</f>
        <v/>
      </c>
      <c r="AA146" s="52" t="str">
        <f aca="false">IF($C146="","",COUNTIF($C143:$C146,Z$21)+COUNTIF($C143:$C146,$A$3))</f>
        <v/>
      </c>
      <c r="AB146" s="52" t="str">
        <f aca="false">IF($D146="","",COUNTIF($D143:$D146,Z$21)+COUNTIF($D143:$D146,$A$3))</f>
        <v/>
      </c>
      <c r="AC146" s="52" t="str">
        <f aca="false">IF($E146="","",COUNTIF($E143:$E146,Z$21)+COUNTIF($E143:$E146,$A$3))</f>
        <v/>
      </c>
      <c r="AD146" s="53" t="str">
        <f aca="false">IF($F146="","",COUNTIF($F143:$F146,Z$21)+COUNTIF($F143:$F146,$A$3))</f>
        <v/>
      </c>
      <c r="AF146" s="65" t="str">
        <f aca="false">IF($B146="","",COUNTIF($B143:$B146,AF$21)+COUNTIF($B143:$B146,$A$3))</f>
        <v/>
      </c>
      <c r="AG146" s="52" t="str">
        <f aca="false">IF($C146="","",COUNTIF($C143:$C146,AF$21)+COUNTIF($C143:$C146,$A$3))</f>
        <v/>
      </c>
      <c r="AH146" s="52" t="str">
        <f aca="false">IF($D146="","",COUNTIF($D143:$D146,AF$21)+COUNTIF($D143:$D146,$A$3))</f>
        <v/>
      </c>
      <c r="AI146" s="52" t="str">
        <f aca="false">IF($E146="","",COUNTIF($E143:$E146,AF$21)+COUNTIF($E143:$E146,$A$3))</f>
        <v/>
      </c>
      <c r="AJ146" s="53" t="str">
        <f aca="false">IF($F146="","",COUNTIF($F143:$F146,AF$21)+COUNTIF($F143:$F146,$A$3))</f>
        <v/>
      </c>
      <c r="AL146" s="65" t="str">
        <f aca="false">IF($B146="","",COUNTIF($B143:$B146,AL$21)+COUNTIF($B143:$B146,$A$3))</f>
        <v/>
      </c>
      <c r="AM146" s="52" t="str">
        <f aca="false">IF($C146="","",COUNTIF($C143:$C146,AL$21)+COUNTIF($C143:$C146,$A$3))</f>
        <v/>
      </c>
      <c r="AN146" s="52" t="str">
        <f aca="false">IF($D146="","",COUNTIF($D143:$D146,AL$21)+COUNTIF($D143:$D146,$A$3))</f>
        <v/>
      </c>
      <c r="AO146" s="52" t="str">
        <f aca="false">IF($E146="","",COUNTIF($E143:$E146,AL$21)+COUNTIF($E143:$E146,$A$3))</f>
        <v/>
      </c>
      <c r="AP146" s="53" t="str">
        <f aca="false">IF($F146="","",COUNTIF($F143:$F146,AL$21)+COUNTIF($F143:$F146,$A$3))</f>
        <v/>
      </c>
      <c r="AR146" s="65" t="str">
        <f aca="false">IF($B146="","",COUNTIF($B143:$B146,AR$21)+COUNTIF($B143:$B146,$A$3))</f>
        <v/>
      </c>
      <c r="AS146" s="52" t="str">
        <f aca="false">IF($C146="","",COUNTIF($C143:$C146,AR$21)+COUNTIF($C143:$C146,$A$3))</f>
        <v/>
      </c>
      <c r="AT146" s="52" t="str">
        <f aca="false">IF($D146="","",COUNTIF($D143:$D146,AR$21)+COUNTIF($D143:$D146,$A$3))</f>
        <v/>
      </c>
      <c r="AU146" s="52" t="str">
        <f aca="false">IF($E146="","",COUNTIF($E143:$E146,AR$21)+COUNTIF($E143:$E146,$A$3))</f>
        <v/>
      </c>
      <c r="AV146" s="53" t="str">
        <f aca="false">IF($F146="","",COUNTIF($F143:$F146,AR$21)+COUNTIF($F143:$F146,$A$3))</f>
        <v/>
      </c>
      <c r="AX146" s="65" t="str">
        <f aca="false">IF($B146="","",COUNTIF($B143:$B146,AX$21)+COUNTIF($B143:$B146,$A$3))</f>
        <v/>
      </c>
      <c r="AY146" s="52" t="str">
        <f aca="false">IF($C146="","",COUNTIF($C143:$C146,AX$21)+COUNTIF($C143:$C146,$A$3))</f>
        <v/>
      </c>
      <c r="AZ146" s="52" t="str">
        <f aca="false">IF($D146="","",COUNTIF($D143:$D146,AX$21)+COUNTIF($D143:$D146,$A$3))</f>
        <v/>
      </c>
      <c r="BA146" s="52" t="str">
        <f aca="false">IF($E146="","",COUNTIF($E143:$E146,AX$21)+COUNTIF($E143:$E146,$A$3))</f>
        <v/>
      </c>
      <c r="BB146" s="53" t="str">
        <f aca="false">IF($F146="","",COUNTIF($F143:$F146,AX$21)+COUNTIF($F143:$F146,$A$3))</f>
        <v/>
      </c>
      <c r="BD146" s="65" t="str">
        <f aca="false">IF($B146="","",COUNTIF($B143:$B146,BD$21)+COUNTIF($B143:$B146,$A$3))</f>
        <v/>
      </c>
      <c r="BE146" s="52" t="str">
        <f aca="false">IF($C146="","",COUNTIF($C143:$C146,BD$21)+COUNTIF($C143:$C146,$A$3))</f>
        <v/>
      </c>
      <c r="BF146" s="52" t="str">
        <f aca="false">IF($D146="","",COUNTIF($D143:$D146,BD$21)+COUNTIF($D143:$D146,$A$3))</f>
        <v/>
      </c>
      <c r="BG146" s="52" t="str">
        <f aca="false">IF($E146="","",COUNTIF($E143:$E146,BD$21)+COUNTIF($E143:$E146,$A$3))</f>
        <v/>
      </c>
      <c r="BH146" s="53" t="str">
        <f aca="false">IF($F146="","",COUNTIF($F143:$F146,BD$21)+COUNTIF($F143:$F146,$A$3))</f>
        <v/>
      </c>
      <c r="BJ146" s="65" t="str">
        <f aca="false">IF($B146="","",COUNTIF($B143:$B146,BJ$21)+COUNTIF($B143:$B146,$A$3))</f>
        <v/>
      </c>
      <c r="BK146" s="52" t="str">
        <f aca="false">IF($C146="","",COUNTIF($C143:$C146,BJ$21)+COUNTIF($C143:$C146,$A$3))</f>
        <v/>
      </c>
      <c r="BL146" s="52" t="str">
        <f aca="false">IF($D146="","",COUNTIF($D143:$D146,BJ$21)+COUNTIF($D143:$D146,$A$3))</f>
        <v/>
      </c>
      <c r="BM146" s="52" t="str">
        <f aca="false">IF($E146="","",COUNTIF($E143:$E146,BJ$21)+COUNTIF($E143:$E146,$A$3))</f>
        <v/>
      </c>
      <c r="BN146" s="53" t="str">
        <f aca="false">IF($F146="","",COUNTIF($F143:$F146,BJ$21)+COUNTIF($F143:$F146,$A$3))</f>
        <v/>
      </c>
      <c r="BP146" s="65" t="str">
        <f aca="false">IF($B146="","",COUNTIF($B143:$B146,BP$21)+COUNTIF($B143:$B146,$A$3))</f>
        <v/>
      </c>
      <c r="BQ146" s="52" t="str">
        <f aca="false">IF($C146="","",COUNTIF($C143:$C146,BP$21)+COUNTIF($C143:$C146,$A$3))</f>
        <v/>
      </c>
      <c r="BR146" s="52" t="str">
        <f aca="false">IF($D146="","",COUNTIF($D143:$D146,BP$21)+COUNTIF($D143:$D146,$A$3))</f>
        <v/>
      </c>
      <c r="BS146" s="52" t="str">
        <f aca="false">IF($E146="","",COUNTIF($E143:$E146,BP$21)+COUNTIF($E143:$E146,$A$3))</f>
        <v/>
      </c>
      <c r="BT146" s="53" t="str">
        <f aca="false">IF($F146="","",COUNTIF($F143:$F146,BP$21)+COUNTIF($F143:$F146,$A$3))</f>
        <v/>
      </c>
    </row>
    <row r="147" customFormat="false" ht="15" hidden="false" customHeight="false" outlineLevel="0" collapsed="false">
      <c r="A147" s="13" t="n">
        <v>125</v>
      </c>
      <c r="B147" s="116" t="str">
        <f aca="false">IF('Game Info'!J130="","",'Game Info'!J130)</f>
        <v/>
      </c>
      <c r="C147" s="116" t="str">
        <f aca="false">IF('Game Info'!K130="","",'Game Info'!K130)</f>
        <v/>
      </c>
      <c r="D147" s="116" t="str">
        <f aca="false">IF('Game Info'!L130="","",'Game Info'!L130)</f>
        <v/>
      </c>
      <c r="E147" s="116" t="str">
        <f aca="false">IF('Game Info'!M130="","",'Game Info'!M130)</f>
        <v/>
      </c>
      <c r="F147" s="117" t="str">
        <f aca="false">IF('Game Info'!N130="","",'Game Info'!N130)</f>
        <v/>
      </c>
      <c r="H147" s="65" t="str">
        <f aca="false">IF($B147="","",COUNTIF($B144:$B147,H$21)+COUNTIF($B144:$B147,$A$3))</f>
        <v/>
      </c>
      <c r="I147" s="52" t="str">
        <f aca="false">IF($C147="","",COUNTIF($C144:$C147,H$21)+COUNTIF($C144:$C147,$A$3))</f>
        <v/>
      </c>
      <c r="J147" s="52" t="str">
        <f aca="false">IF($D147="","",COUNTIF($D144:$D147,H$21)+COUNTIF($D144:$D147,$A$3))</f>
        <v/>
      </c>
      <c r="K147" s="52" t="str">
        <f aca="false">IF($E147="","",COUNTIF($E144:$E147,H$21)+COUNTIF($E144:$E147,$A$3))</f>
        <v/>
      </c>
      <c r="L147" s="53" t="str">
        <f aca="false">IF($F147="","",COUNTIF($F144:$F147,H$21)+COUNTIF($F144:$F147,$A$3))</f>
        <v/>
      </c>
      <c r="N147" s="65" t="str">
        <f aca="false">IF($B147="","",COUNTIF($B144:$B147,N$21)+COUNTIF($B144:$B147,$A$3))</f>
        <v/>
      </c>
      <c r="O147" s="52" t="str">
        <f aca="false">IF($C147="","",COUNTIF($C144:$C147,N$21)+COUNTIF($C144:$C147,$A$3))</f>
        <v/>
      </c>
      <c r="P147" s="52" t="str">
        <f aca="false">IF($D147="","",COUNTIF($D144:$D147,N$21)+COUNTIF($D144:$D147,$A$3))</f>
        <v/>
      </c>
      <c r="Q147" s="52" t="str">
        <f aca="false">IF($E147="","",COUNTIF($E144:$E147,N$21)+COUNTIF($E144:$E147,$A$3))</f>
        <v/>
      </c>
      <c r="R147" s="53" t="str">
        <f aca="false">IF($F147="","",COUNTIF($F144:$F147,N$21)+COUNTIF($F144:$F147,$A$3))</f>
        <v/>
      </c>
      <c r="T147" s="65" t="str">
        <f aca="false">IF($B147="","",COUNTIF($B144:$B147,T$21)+COUNTIF($B144:$B147,$A$3))</f>
        <v/>
      </c>
      <c r="U147" s="52" t="str">
        <f aca="false">IF($C147="","",COUNTIF($C144:$C147,T$21)+COUNTIF($C144:$C147,$A$3))</f>
        <v/>
      </c>
      <c r="V147" s="52" t="str">
        <f aca="false">IF($D147="","",COUNTIF($D144:$D147,T$21)+COUNTIF($D144:$D147,$A$3))</f>
        <v/>
      </c>
      <c r="W147" s="52" t="str">
        <f aca="false">IF($E147="","",COUNTIF($E144:$E147,T$21)+COUNTIF($E144:$E147,$A$3))</f>
        <v/>
      </c>
      <c r="X147" s="53" t="str">
        <f aca="false">IF($F147="","",COUNTIF($F144:$F147,T$21)+COUNTIF($F144:$F147,$A$3))</f>
        <v/>
      </c>
      <c r="Z147" s="65" t="str">
        <f aca="false">IF($B147="","",COUNTIF($B144:$B147,Z$21)+COUNTIF($B144:$B147,$A$3))</f>
        <v/>
      </c>
      <c r="AA147" s="52" t="str">
        <f aca="false">IF($C147="","",COUNTIF($C144:$C147,Z$21)+COUNTIF($C144:$C147,$A$3))</f>
        <v/>
      </c>
      <c r="AB147" s="52" t="str">
        <f aca="false">IF($D147="","",COUNTIF($D144:$D147,Z$21)+COUNTIF($D144:$D147,$A$3))</f>
        <v/>
      </c>
      <c r="AC147" s="52" t="str">
        <f aca="false">IF($E147="","",COUNTIF($E144:$E147,Z$21)+COUNTIF($E144:$E147,$A$3))</f>
        <v/>
      </c>
      <c r="AD147" s="53" t="str">
        <f aca="false">IF($F147="","",COUNTIF($F144:$F147,Z$21)+COUNTIF($F144:$F147,$A$3))</f>
        <v/>
      </c>
      <c r="AF147" s="65" t="str">
        <f aca="false">IF($B147="","",COUNTIF($B144:$B147,AF$21)+COUNTIF($B144:$B147,$A$3))</f>
        <v/>
      </c>
      <c r="AG147" s="52" t="str">
        <f aca="false">IF($C147="","",COUNTIF($C144:$C147,AF$21)+COUNTIF($C144:$C147,$A$3))</f>
        <v/>
      </c>
      <c r="AH147" s="52" t="str">
        <f aca="false">IF($D147="","",COUNTIF($D144:$D147,AF$21)+COUNTIF($D144:$D147,$A$3))</f>
        <v/>
      </c>
      <c r="AI147" s="52" t="str">
        <f aca="false">IF($E147="","",COUNTIF($E144:$E147,AF$21)+COUNTIF($E144:$E147,$A$3))</f>
        <v/>
      </c>
      <c r="AJ147" s="53" t="str">
        <f aca="false">IF($F147="","",COUNTIF($F144:$F147,AF$21)+COUNTIF($F144:$F147,$A$3))</f>
        <v/>
      </c>
      <c r="AL147" s="65" t="str">
        <f aca="false">IF($B147="","",COUNTIF($B144:$B147,AL$21)+COUNTIF($B144:$B147,$A$3))</f>
        <v/>
      </c>
      <c r="AM147" s="52" t="str">
        <f aca="false">IF($C147="","",COUNTIF($C144:$C147,AL$21)+COUNTIF($C144:$C147,$A$3))</f>
        <v/>
      </c>
      <c r="AN147" s="52" t="str">
        <f aca="false">IF($D147="","",COUNTIF($D144:$D147,AL$21)+COUNTIF($D144:$D147,$A$3))</f>
        <v/>
      </c>
      <c r="AO147" s="52" t="str">
        <f aca="false">IF($E147="","",COUNTIF($E144:$E147,AL$21)+COUNTIF($E144:$E147,$A$3))</f>
        <v/>
      </c>
      <c r="AP147" s="53" t="str">
        <f aca="false">IF($F147="","",COUNTIF($F144:$F147,AL$21)+COUNTIF($F144:$F147,$A$3))</f>
        <v/>
      </c>
      <c r="AR147" s="65" t="str">
        <f aca="false">IF($B147="","",COUNTIF($B144:$B147,AR$21)+COUNTIF($B144:$B147,$A$3))</f>
        <v/>
      </c>
      <c r="AS147" s="52" t="str">
        <f aca="false">IF($C147="","",COUNTIF($C144:$C147,AR$21)+COUNTIF($C144:$C147,$A$3))</f>
        <v/>
      </c>
      <c r="AT147" s="52" t="str">
        <f aca="false">IF($D147="","",COUNTIF($D144:$D147,AR$21)+COUNTIF($D144:$D147,$A$3))</f>
        <v/>
      </c>
      <c r="AU147" s="52" t="str">
        <f aca="false">IF($E147="","",COUNTIF($E144:$E147,AR$21)+COUNTIF($E144:$E147,$A$3))</f>
        <v/>
      </c>
      <c r="AV147" s="53" t="str">
        <f aca="false">IF($F147="","",COUNTIF($F144:$F147,AR$21)+COUNTIF($F144:$F147,$A$3))</f>
        <v/>
      </c>
      <c r="AX147" s="65" t="str">
        <f aca="false">IF($B147="","",COUNTIF($B144:$B147,AX$21)+COUNTIF($B144:$B147,$A$3))</f>
        <v/>
      </c>
      <c r="AY147" s="52" t="str">
        <f aca="false">IF($C147="","",COUNTIF($C144:$C147,AX$21)+COUNTIF($C144:$C147,$A$3))</f>
        <v/>
      </c>
      <c r="AZ147" s="52" t="str">
        <f aca="false">IF($D147="","",COUNTIF($D144:$D147,AX$21)+COUNTIF($D144:$D147,$A$3))</f>
        <v/>
      </c>
      <c r="BA147" s="52" t="str">
        <f aca="false">IF($E147="","",COUNTIF($E144:$E147,AX$21)+COUNTIF($E144:$E147,$A$3))</f>
        <v/>
      </c>
      <c r="BB147" s="53" t="str">
        <f aca="false">IF($F147="","",COUNTIF($F144:$F147,AX$21)+COUNTIF($F144:$F147,$A$3))</f>
        <v/>
      </c>
      <c r="BD147" s="65" t="str">
        <f aca="false">IF($B147="","",COUNTIF($B144:$B147,BD$21)+COUNTIF($B144:$B147,$A$3))</f>
        <v/>
      </c>
      <c r="BE147" s="52" t="str">
        <f aca="false">IF($C147="","",COUNTIF($C144:$C147,BD$21)+COUNTIF($C144:$C147,$A$3))</f>
        <v/>
      </c>
      <c r="BF147" s="52" t="str">
        <f aca="false">IF($D147="","",COUNTIF($D144:$D147,BD$21)+COUNTIF($D144:$D147,$A$3))</f>
        <v/>
      </c>
      <c r="BG147" s="52" t="str">
        <f aca="false">IF($E147="","",COUNTIF($E144:$E147,BD$21)+COUNTIF($E144:$E147,$A$3))</f>
        <v/>
      </c>
      <c r="BH147" s="53" t="str">
        <f aca="false">IF($F147="","",COUNTIF($F144:$F147,BD$21)+COUNTIF($F144:$F147,$A$3))</f>
        <v/>
      </c>
      <c r="BJ147" s="65" t="str">
        <f aca="false">IF($B147="","",COUNTIF($B144:$B147,BJ$21)+COUNTIF($B144:$B147,$A$3))</f>
        <v/>
      </c>
      <c r="BK147" s="52" t="str">
        <f aca="false">IF($C147="","",COUNTIF($C144:$C147,BJ$21)+COUNTIF($C144:$C147,$A$3))</f>
        <v/>
      </c>
      <c r="BL147" s="52" t="str">
        <f aca="false">IF($D147="","",COUNTIF($D144:$D147,BJ$21)+COUNTIF($D144:$D147,$A$3))</f>
        <v/>
      </c>
      <c r="BM147" s="52" t="str">
        <f aca="false">IF($E147="","",COUNTIF($E144:$E147,BJ$21)+COUNTIF($E144:$E147,$A$3))</f>
        <v/>
      </c>
      <c r="BN147" s="53" t="str">
        <f aca="false">IF($F147="","",COUNTIF($F144:$F147,BJ$21)+COUNTIF($F144:$F147,$A$3))</f>
        <v/>
      </c>
      <c r="BP147" s="65" t="str">
        <f aca="false">IF($B147="","",COUNTIF($B144:$B147,BP$21)+COUNTIF($B144:$B147,$A$3))</f>
        <v/>
      </c>
      <c r="BQ147" s="52" t="str">
        <f aca="false">IF($C147="","",COUNTIF($C144:$C147,BP$21)+COUNTIF($C144:$C147,$A$3))</f>
        <v/>
      </c>
      <c r="BR147" s="52" t="str">
        <f aca="false">IF($D147="","",COUNTIF($D144:$D147,BP$21)+COUNTIF($D144:$D147,$A$3))</f>
        <v/>
      </c>
      <c r="BS147" s="52" t="str">
        <f aca="false">IF($E147="","",COUNTIF($E144:$E147,BP$21)+COUNTIF($E144:$E147,$A$3))</f>
        <v/>
      </c>
      <c r="BT147" s="53" t="str">
        <f aca="false">IF($F147="","",COUNTIF($F144:$F147,BP$21)+COUNTIF($F144:$F147,$A$3))</f>
        <v/>
      </c>
    </row>
    <row r="148" customFormat="false" ht="15" hidden="false" customHeight="false" outlineLevel="0" collapsed="false">
      <c r="A148" s="13" t="n">
        <v>126</v>
      </c>
      <c r="B148" s="116" t="str">
        <f aca="false">IF('Game Info'!J131="","",'Game Info'!J131)</f>
        <v/>
      </c>
      <c r="C148" s="116" t="str">
        <f aca="false">IF('Game Info'!K131="","",'Game Info'!K131)</f>
        <v/>
      </c>
      <c r="D148" s="116" t="str">
        <f aca="false">IF('Game Info'!L131="","",'Game Info'!L131)</f>
        <v/>
      </c>
      <c r="E148" s="116" t="str">
        <f aca="false">IF('Game Info'!M131="","",'Game Info'!M131)</f>
        <v/>
      </c>
      <c r="F148" s="117" t="str">
        <f aca="false">IF('Game Info'!N131="","",'Game Info'!N131)</f>
        <v/>
      </c>
      <c r="H148" s="65" t="str">
        <f aca="false">IF($B148="","",COUNTIF($B145:$B148,H$21)+COUNTIF($B145:$B148,$A$3))</f>
        <v/>
      </c>
      <c r="I148" s="52" t="str">
        <f aca="false">IF($C148="","",COUNTIF($C145:$C148,H$21)+COUNTIF($C145:$C148,$A$3))</f>
        <v/>
      </c>
      <c r="J148" s="52" t="str">
        <f aca="false">IF($D148="","",COUNTIF($D145:$D148,H$21)+COUNTIF($D145:$D148,$A$3))</f>
        <v/>
      </c>
      <c r="K148" s="52" t="str">
        <f aca="false">IF($E148="","",COUNTIF($E145:$E148,H$21)+COUNTIF($E145:$E148,$A$3))</f>
        <v/>
      </c>
      <c r="L148" s="53" t="str">
        <f aca="false">IF($F148="","",COUNTIF($F145:$F148,H$21)+COUNTIF($F145:$F148,$A$3))</f>
        <v/>
      </c>
      <c r="N148" s="65" t="str">
        <f aca="false">IF($B148="","",COUNTIF($B145:$B148,N$21)+COUNTIF($B145:$B148,$A$3))</f>
        <v/>
      </c>
      <c r="O148" s="52" t="str">
        <f aca="false">IF($C148="","",COUNTIF($C145:$C148,N$21)+COUNTIF($C145:$C148,$A$3))</f>
        <v/>
      </c>
      <c r="P148" s="52" t="str">
        <f aca="false">IF($D148="","",COUNTIF($D145:$D148,N$21)+COUNTIF($D145:$D148,$A$3))</f>
        <v/>
      </c>
      <c r="Q148" s="52" t="str">
        <f aca="false">IF($E148="","",COUNTIF($E145:$E148,N$21)+COUNTIF($E145:$E148,$A$3))</f>
        <v/>
      </c>
      <c r="R148" s="53" t="str">
        <f aca="false">IF($F148="","",COUNTIF($F145:$F148,N$21)+COUNTIF($F145:$F148,$A$3))</f>
        <v/>
      </c>
      <c r="T148" s="65" t="str">
        <f aca="false">IF($B148="","",COUNTIF($B145:$B148,T$21)+COUNTIF($B145:$B148,$A$3))</f>
        <v/>
      </c>
      <c r="U148" s="52" t="str">
        <f aca="false">IF($C148="","",COUNTIF($C145:$C148,T$21)+COUNTIF($C145:$C148,$A$3))</f>
        <v/>
      </c>
      <c r="V148" s="52" t="str">
        <f aca="false">IF($D148="","",COUNTIF($D145:$D148,T$21)+COUNTIF($D145:$D148,$A$3))</f>
        <v/>
      </c>
      <c r="W148" s="52" t="str">
        <f aca="false">IF($E148="","",COUNTIF($E145:$E148,T$21)+COUNTIF($E145:$E148,$A$3))</f>
        <v/>
      </c>
      <c r="X148" s="53" t="str">
        <f aca="false">IF($F148="","",COUNTIF($F145:$F148,T$21)+COUNTIF($F145:$F148,$A$3))</f>
        <v/>
      </c>
      <c r="Z148" s="65" t="str">
        <f aca="false">IF($B148="","",COUNTIF($B145:$B148,Z$21)+COUNTIF($B145:$B148,$A$3))</f>
        <v/>
      </c>
      <c r="AA148" s="52" t="str">
        <f aca="false">IF($C148="","",COUNTIF($C145:$C148,Z$21)+COUNTIF($C145:$C148,$A$3))</f>
        <v/>
      </c>
      <c r="AB148" s="52" t="str">
        <f aca="false">IF($D148="","",COUNTIF($D145:$D148,Z$21)+COUNTIF($D145:$D148,$A$3))</f>
        <v/>
      </c>
      <c r="AC148" s="52" t="str">
        <f aca="false">IF($E148="","",COUNTIF($E145:$E148,Z$21)+COUNTIF($E145:$E148,$A$3))</f>
        <v/>
      </c>
      <c r="AD148" s="53" t="str">
        <f aca="false">IF($F148="","",COUNTIF($F145:$F148,Z$21)+COUNTIF($F145:$F148,$A$3))</f>
        <v/>
      </c>
      <c r="AF148" s="65" t="str">
        <f aca="false">IF($B148="","",COUNTIF($B145:$B148,AF$21)+COUNTIF($B145:$B148,$A$3))</f>
        <v/>
      </c>
      <c r="AG148" s="52" t="str">
        <f aca="false">IF($C148="","",COUNTIF($C145:$C148,AF$21)+COUNTIF($C145:$C148,$A$3))</f>
        <v/>
      </c>
      <c r="AH148" s="52" t="str">
        <f aca="false">IF($D148="","",COUNTIF($D145:$D148,AF$21)+COUNTIF($D145:$D148,$A$3))</f>
        <v/>
      </c>
      <c r="AI148" s="52" t="str">
        <f aca="false">IF($E148="","",COUNTIF($E145:$E148,AF$21)+COUNTIF($E145:$E148,$A$3))</f>
        <v/>
      </c>
      <c r="AJ148" s="53" t="str">
        <f aca="false">IF($F148="","",COUNTIF($F145:$F148,AF$21)+COUNTIF($F145:$F148,$A$3))</f>
        <v/>
      </c>
      <c r="AL148" s="65" t="str">
        <f aca="false">IF($B148="","",COUNTIF($B145:$B148,AL$21)+COUNTIF($B145:$B148,$A$3))</f>
        <v/>
      </c>
      <c r="AM148" s="52" t="str">
        <f aca="false">IF($C148="","",COUNTIF($C145:$C148,AL$21)+COUNTIF($C145:$C148,$A$3))</f>
        <v/>
      </c>
      <c r="AN148" s="52" t="str">
        <f aca="false">IF($D148="","",COUNTIF($D145:$D148,AL$21)+COUNTIF($D145:$D148,$A$3))</f>
        <v/>
      </c>
      <c r="AO148" s="52" t="str">
        <f aca="false">IF($E148="","",COUNTIF($E145:$E148,AL$21)+COUNTIF($E145:$E148,$A$3))</f>
        <v/>
      </c>
      <c r="AP148" s="53" t="str">
        <f aca="false">IF($F148="","",COUNTIF($F145:$F148,AL$21)+COUNTIF($F145:$F148,$A$3))</f>
        <v/>
      </c>
      <c r="AR148" s="65" t="str">
        <f aca="false">IF($B148="","",COUNTIF($B145:$B148,AR$21)+COUNTIF($B145:$B148,$A$3))</f>
        <v/>
      </c>
      <c r="AS148" s="52" t="str">
        <f aca="false">IF($C148="","",COUNTIF($C145:$C148,AR$21)+COUNTIF($C145:$C148,$A$3))</f>
        <v/>
      </c>
      <c r="AT148" s="52" t="str">
        <f aca="false">IF($D148="","",COUNTIF($D145:$D148,AR$21)+COUNTIF($D145:$D148,$A$3))</f>
        <v/>
      </c>
      <c r="AU148" s="52" t="str">
        <f aca="false">IF($E148="","",COUNTIF($E145:$E148,AR$21)+COUNTIF($E145:$E148,$A$3))</f>
        <v/>
      </c>
      <c r="AV148" s="53" t="str">
        <f aca="false">IF($F148="","",COUNTIF($F145:$F148,AR$21)+COUNTIF($F145:$F148,$A$3))</f>
        <v/>
      </c>
      <c r="AX148" s="65" t="str">
        <f aca="false">IF($B148="","",COUNTIF($B145:$B148,AX$21)+COUNTIF($B145:$B148,$A$3))</f>
        <v/>
      </c>
      <c r="AY148" s="52" t="str">
        <f aca="false">IF($C148="","",COUNTIF($C145:$C148,AX$21)+COUNTIF($C145:$C148,$A$3))</f>
        <v/>
      </c>
      <c r="AZ148" s="52" t="str">
        <f aca="false">IF($D148="","",COUNTIF($D145:$D148,AX$21)+COUNTIF($D145:$D148,$A$3))</f>
        <v/>
      </c>
      <c r="BA148" s="52" t="str">
        <f aca="false">IF($E148="","",COUNTIF($E145:$E148,AX$21)+COUNTIF($E145:$E148,$A$3))</f>
        <v/>
      </c>
      <c r="BB148" s="53" t="str">
        <f aca="false">IF($F148="","",COUNTIF($F145:$F148,AX$21)+COUNTIF($F145:$F148,$A$3))</f>
        <v/>
      </c>
      <c r="BD148" s="65" t="str">
        <f aca="false">IF($B148="","",COUNTIF($B145:$B148,BD$21)+COUNTIF($B145:$B148,$A$3))</f>
        <v/>
      </c>
      <c r="BE148" s="52" t="str">
        <f aca="false">IF($C148="","",COUNTIF($C145:$C148,BD$21)+COUNTIF($C145:$C148,$A$3))</f>
        <v/>
      </c>
      <c r="BF148" s="52" t="str">
        <f aca="false">IF($D148="","",COUNTIF($D145:$D148,BD$21)+COUNTIF($D145:$D148,$A$3))</f>
        <v/>
      </c>
      <c r="BG148" s="52" t="str">
        <f aca="false">IF($E148="","",COUNTIF($E145:$E148,BD$21)+COUNTIF($E145:$E148,$A$3))</f>
        <v/>
      </c>
      <c r="BH148" s="53" t="str">
        <f aca="false">IF($F148="","",COUNTIF($F145:$F148,BD$21)+COUNTIF($F145:$F148,$A$3))</f>
        <v/>
      </c>
      <c r="BJ148" s="65" t="str">
        <f aca="false">IF($B148="","",COUNTIF($B145:$B148,BJ$21)+COUNTIF($B145:$B148,$A$3))</f>
        <v/>
      </c>
      <c r="BK148" s="52" t="str">
        <f aca="false">IF($C148="","",COUNTIF($C145:$C148,BJ$21)+COUNTIF($C145:$C148,$A$3))</f>
        <v/>
      </c>
      <c r="BL148" s="52" t="str">
        <f aca="false">IF($D148="","",COUNTIF($D145:$D148,BJ$21)+COUNTIF($D145:$D148,$A$3))</f>
        <v/>
      </c>
      <c r="BM148" s="52" t="str">
        <f aca="false">IF($E148="","",COUNTIF($E145:$E148,BJ$21)+COUNTIF($E145:$E148,$A$3))</f>
        <v/>
      </c>
      <c r="BN148" s="53" t="str">
        <f aca="false">IF($F148="","",COUNTIF($F145:$F148,BJ$21)+COUNTIF($F145:$F148,$A$3))</f>
        <v/>
      </c>
      <c r="BP148" s="65" t="str">
        <f aca="false">IF($B148="","",COUNTIF($B145:$B148,BP$21)+COUNTIF($B145:$B148,$A$3))</f>
        <v/>
      </c>
      <c r="BQ148" s="52" t="str">
        <f aca="false">IF($C148="","",COUNTIF($C145:$C148,BP$21)+COUNTIF($C145:$C148,$A$3))</f>
        <v/>
      </c>
      <c r="BR148" s="52" t="str">
        <f aca="false">IF($D148="","",COUNTIF($D145:$D148,BP$21)+COUNTIF($D145:$D148,$A$3))</f>
        <v/>
      </c>
      <c r="BS148" s="52" t="str">
        <f aca="false">IF($E148="","",COUNTIF($E145:$E148,BP$21)+COUNTIF($E145:$E148,$A$3))</f>
        <v/>
      </c>
      <c r="BT148" s="53" t="str">
        <f aca="false">IF($F148="","",COUNTIF($F145:$F148,BP$21)+COUNTIF($F145:$F148,$A$3))</f>
        <v/>
      </c>
    </row>
    <row r="149" customFormat="false" ht="15" hidden="false" customHeight="false" outlineLevel="0" collapsed="false">
      <c r="A149" s="13" t="n">
        <v>127</v>
      </c>
      <c r="B149" s="116" t="str">
        <f aca="false">IF('Game Info'!J132="","",'Game Info'!J132)</f>
        <v/>
      </c>
      <c r="C149" s="116" t="str">
        <f aca="false">IF('Game Info'!K132="","",'Game Info'!K132)</f>
        <v/>
      </c>
      <c r="D149" s="116" t="str">
        <f aca="false">IF('Game Info'!L132="","",'Game Info'!L132)</f>
        <v/>
      </c>
      <c r="E149" s="116" t="str">
        <f aca="false">IF('Game Info'!M132="","",'Game Info'!M132)</f>
        <v/>
      </c>
      <c r="F149" s="117" t="str">
        <f aca="false">IF('Game Info'!N132="","",'Game Info'!N132)</f>
        <v/>
      </c>
      <c r="H149" s="65" t="str">
        <f aca="false">IF($B149="","",COUNTIF($B146:$B149,H$21)+COUNTIF($B146:$B149,$A$3))</f>
        <v/>
      </c>
      <c r="I149" s="52" t="str">
        <f aca="false">IF($C149="","",COUNTIF($C146:$C149,H$21)+COUNTIF($C146:$C149,$A$3))</f>
        <v/>
      </c>
      <c r="J149" s="52" t="str">
        <f aca="false">IF($D149="","",COUNTIF($D146:$D149,H$21)+COUNTIF($D146:$D149,$A$3))</f>
        <v/>
      </c>
      <c r="K149" s="52" t="str">
        <f aca="false">IF($E149="","",COUNTIF($E146:$E149,H$21)+COUNTIF($E146:$E149,$A$3))</f>
        <v/>
      </c>
      <c r="L149" s="53" t="str">
        <f aca="false">IF($F149="","",COUNTIF($F146:$F149,H$21)+COUNTIF($F146:$F149,$A$3))</f>
        <v/>
      </c>
      <c r="N149" s="65" t="str">
        <f aca="false">IF($B149="","",COUNTIF($B146:$B149,N$21)+COUNTIF($B146:$B149,$A$3))</f>
        <v/>
      </c>
      <c r="O149" s="52" t="str">
        <f aca="false">IF($C149="","",COUNTIF($C146:$C149,N$21)+COUNTIF($C146:$C149,$A$3))</f>
        <v/>
      </c>
      <c r="P149" s="52" t="str">
        <f aca="false">IF($D149="","",COUNTIF($D146:$D149,N$21)+COUNTIF($D146:$D149,$A$3))</f>
        <v/>
      </c>
      <c r="Q149" s="52" t="str">
        <f aca="false">IF($E149="","",COUNTIF($E146:$E149,N$21)+COUNTIF($E146:$E149,$A$3))</f>
        <v/>
      </c>
      <c r="R149" s="53" t="str">
        <f aca="false">IF($F149="","",COUNTIF($F146:$F149,N$21)+COUNTIF($F146:$F149,$A$3))</f>
        <v/>
      </c>
      <c r="T149" s="65" t="str">
        <f aca="false">IF($B149="","",COUNTIF($B146:$B149,T$21)+COUNTIF($B146:$B149,$A$3))</f>
        <v/>
      </c>
      <c r="U149" s="52" t="str">
        <f aca="false">IF($C149="","",COUNTIF($C146:$C149,T$21)+COUNTIF($C146:$C149,$A$3))</f>
        <v/>
      </c>
      <c r="V149" s="52" t="str">
        <f aca="false">IF($D149="","",COUNTIF($D146:$D149,T$21)+COUNTIF($D146:$D149,$A$3))</f>
        <v/>
      </c>
      <c r="W149" s="52" t="str">
        <f aca="false">IF($E149="","",COUNTIF($E146:$E149,T$21)+COUNTIF($E146:$E149,$A$3))</f>
        <v/>
      </c>
      <c r="X149" s="53" t="str">
        <f aca="false">IF($F149="","",COUNTIF($F146:$F149,T$21)+COUNTIF($F146:$F149,$A$3))</f>
        <v/>
      </c>
      <c r="Z149" s="65" t="str">
        <f aca="false">IF($B149="","",COUNTIF($B146:$B149,Z$21)+COUNTIF($B146:$B149,$A$3))</f>
        <v/>
      </c>
      <c r="AA149" s="52" t="str">
        <f aca="false">IF($C149="","",COUNTIF($C146:$C149,Z$21)+COUNTIF($C146:$C149,$A$3))</f>
        <v/>
      </c>
      <c r="AB149" s="52" t="str">
        <f aca="false">IF($D149="","",COUNTIF($D146:$D149,Z$21)+COUNTIF($D146:$D149,$A$3))</f>
        <v/>
      </c>
      <c r="AC149" s="52" t="str">
        <f aca="false">IF($E149="","",COUNTIF($E146:$E149,Z$21)+COUNTIF($E146:$E149,$A$3))</f>
        <v/>
      </c>
      <c r="AD149" s="53" t="str">
        <f aca="false">IF($F149="","",COUNTIF($F146:$F149,Z$21)+COUNTIF($F146:$F149,$A$3))</f>
        <v/>
      </c>
      <c r="AF149" s="65" t="str">
        <f aca="false">IF($B149="","",COUNTIF($B146:$B149,AF$21)+COUNTIF($B146:$B149,$A$3))</f>
        <v/>
      </c>
      <c r="AG149" s="52" t="str">
        <f aca="false">IF($C149="","",COUNTIF($C146:$C149,AF$21)+COUNTIF($C146:$C149,$A$3))</f>
        <v/>
      </c>
      <c r="AH149" s="52" t="str">
        <f aca="false">IF($D149="","",COUNTIF($D146:$D149,AF$21)+COUNTIF($D146:$D149,$A$3))</f>
        <v/>
      </c>
      <c r="AI149" s="52" t="str">
        <f aca="false">IF($E149="","",COUNTIF($E146:$E149,AF$21)+COUNTIF($E146:$E149,$A$3))</f>
        <v/>
      </c>
      <c r="AJ149" s="53" t="str">
        <f aca="false">IF($F149="","",COUNTIF($F146:$F149,AF$21)+COUNTIF($F146:$F149,$A$3))</f>
        <v/>
      </c>
      <c r="AL149" s="65" t="str">
        <f aca="false">IF($B149="","",COUNTIF($B146:$B149,AL$21)+COUNTIF($B146:$B149,$A$3))</f>
        <v/>
      </c>
      <c r="AM149" s="52" t="str">
        <f aca="false">IF($C149="","",COUNTIF($C146:$C149,AL$21)+COUNTIF($C146:$C149,$A$3))</f>
        <v/>
      </c>
      <c r="AN149" s="52" t="str">
        <f aca="false">IF($D149="","",COUNTIF($D146:$D149,AL$21)+COUNTIF($D146:$D149,$A$3))</f>
        <v/>
      </c>
      <c r="AO149" s="52" t="str">
        <f aca="false">IF($E149="","",COUNTIF($E146:$E149,AL$21)+COUNTIF($E146:$E149,$A$3))</f>
        <v/>
      </c>
      <c r="AP149" s="53" t="str">
        <f aca="false">IF($F149="","",COUNTIF($F146:$F149,AL$21)+COUNTIF($F146:$F149,$A$3))</f>
        <v/>
      </c>
      <c r="AR149" s="65" t="str">
        <f aca="false">IF($B149="","",COUNTIF($B146:$B149,AR$21)+COUNTIF($B146:$B149,$A$3))</f>
        <v/>
      </c>
      <c r="AS149" s="52" t="str">
        <f aca="false">IF($C149="","",COUNTIF($C146:$C149,AR$21)+COUNTIF($C146:$C149,$A$3))</f>
        <v/>
      </c>
      <c r="AT149" s="52" t="str">
        <f aca="false">IF($D149="","",COUNTIF($D146:$D149,AR$21)+COUNTIF($D146:$D149,$A$3))</f>
        <v/>
      </c>
      <c r="AU149" s="52" t="str">
        <f aca="false">IF($E149="","",COUNTIF($E146:$E149,AR$21)+COUNTIF($E146:$E149,$A$3))</f>
        <v/>
      </c>
      <c r="AV149" s="53" t="str">
        <f aca="false">IF($F149="","",COUNTIF($F146:$F149,AR$21)+COUNTIF($F146:$F149,$A$3))</f>
        <v/>
      </c>
      <c r="AX149" s="65" t="str">
        <f aca="false">IF($B149="","",COUNTIF($B146:$B149,AX$21)+COUNTIF($B146:$B149,$A$3))</f>
        <v/>
      </c>
      <c r="AY149" s="52" t="str">
        <f aca="false">IF($C149="","",COUNTIF($C146:$C149,AX$21)+COUNTIF($C146:$C149,$A$3))</f>
        <v/>
      </c>
      <c r="AZ149" s="52" t="str">
        <f aca="false">IF($D149="","",COUNTIF($D146:$D149,AX$21)+COUNTIF($D146:$D149,$A$3))</f>
        <v/>
      </c>
      <c r="BA149" s="52" t="str">
        <f aca="false">IF($E149="","",COUNTIF($E146:$E149,AX$21)+COUNTIF($E146:$E149,$A$3))</f>
        <v/>
      </c>
      <c r="BB149" s="53" t="str">
        <f aca="false">IF($F149="","",COUNTIF($F146:$F149,AX$21)+COUNTIF($F146:$F149,$A$3))</f>
        <v/>
      </c>
      <c r="BD149" s="65" t="str">
        <f aca="false">IF($B149="","",COUNTIF($B146:$B149,BD$21)+COUNTIF($B146:$B149,$A$3))</f>
        <v/>
      </c>
      <c r="BE149" s="52" t="str">
        <f aca="false">IF($C149="","",COUNTIF($C146:$C149,BD$21)+COUNTIF($C146:$C149,$A$3))</f>
        <v/>
      </c>
      <c r="BF149" s="52" t="str">
        <f aca="false">IF($D149="","",COUNTIF($D146:$D149,BD$21)+COUNTIF($D146:$D149,$A$3))</f>
        <v/>
      </c>
      <c r="BG149" s="52" t="str">
        <f aca="false">IF($E149="","",COUNTIF($E146:$E149,BD$21)+COUNTIF($E146:$E149,$A$3))</f>
        <v/>
      </c>
      <c r="BH149" s="53" t="str">
        <f aca="false">IF($F149="","",COUNTIF($F146:$F149,BD$21)+COUNTIF($F146:$F149,$A$3))</f>
        <v/>
      </c>
      <c r="BJ149" s="65" t="str">
        <f aca="false">IF($B149="","",COUNTIF($B146:$B149,BJ$21)+COUNTIF($B146:$B149,$A$3))</f>
        <v/>
      </c>
      <c r="BK149" s="52" t="str">
        <f aca="false">IF($C149="","",COUNTIF($C146:$C149,BJ$21)+COUNTIF($C146:$C149,$A$3))</f>
        <v/>
      </c>
      <c r="BL149" s="52" t="str">
        <f aca="false">IF($D149="","",COUNTIF($D146:$D149,BJ$21)+COUNTIF($D146:$D149,$A$3))</f>
        <v/>
      </c>
      <c r="BM149" s="52" t="str">
        <f aca="false">IF($E149="","",COUNTIF($E146:$E149,BJ$21)+COUNTIF($E146:$E149,$A$3))</f>
        <v/>
      </c>
      <c r="BN149" s="53" t="str">
        <f aca="false">IF($F149="","",COUNTIF($F146:$F149,BJ$21)+COUNTIF($F146:$F149,$A$3))</f>
        <v/>
      </c>
      <c r="BP149" s="65" t="str">
        <f aca="false">IF($B149="","",COUNTIF($B146:$B149,BP$21)+COUNTIF($B146:$B149,$A$3))</f>
        <v/>
      </c>
      <c r="BQ149" s="52" t="str">
        <f aca="false">IF($C149="","",COUNTIF($C146:$C149,BP$21)+COUNTIF($C146:$C149,$A$3))</f>
        <v/>
      </c>
      <c r="BR149" s="52" t="str">
        <f aca="false">IF($D149="","",COUNTIF($D146:$D149,BP$21)+COUNTIF($D146:$D149,$A$3))</f>
        <v/>
      </c>
      <c r="BS149" s="52" t="str">
        <f aca="false">IF($E149="","",COUNTIF($E146:$E149,BP$21)+COUNTIF($E146:$E149,$A$3))</f>
        <v/>
      </c>
      <c r="BT149" s="53" t="str">
        <f aca="false">IF($F149="","",COUNTIF($F146:$F149,BP$21)+COUNTIF($F146:$F149,$A$3))</f>
        <v/>
      </c>
    </row>
    <row r="150" customFormat="false" ht="15" hidden="false" customHeight="false" outlineLevel="0" collapsed="false">
      <c r="A150" s="13" t="n">
        <v>128</v>
      </c>
      <c r="B150" s="116" t="str">
        <f aca="false">IF('Game Info'!J133="","",'Game Info'!J133)</f>
        <v/>
      </c>
      <c r="C150" s="116" t="str">
        <f aca="false">IF('Game Info'!K133="","",'Game Info'!K133)</f>
        <v/>
      </c>
      <c r="D150" s="116" t="str">
        <f aca="false">IF('Game Info'!L133="","",'Game Info'!L133)</f>
        <v/>
      </c>
      <c r="E150" s="116" t="str">
        <f aca="false">IF('Game Info'!M133="","",'Game Info'!M133)</f>
        <v/>
      </c>
      <c r="F150" s="117" t="str">
        <f aca="false">IF('Game Info'!N133="","",'Game Info'!N133)</f>
        <v/>
      </c>
      <c r="H150" s="65" t="str">
        <f aca="false">IF($B150="","",COUNTIF($B147:$B150,H$21)+COUNTIF($B147:$B150,$A$3))</f>
        <v/>
      </c>
      <c r="I150" s="52" t="str">
        <f aca="false">IF($C150="","",COUNTIF($C147:$C150,H$21)+COUNTIF($C147:$C150,$A$3))</f>
        <v/>
      </c>
      <c r="J150" s="52" t="str">
        <f aca="false">IF($D150="","",COUNTIF($D147:$D150,H$21)+COUNTIF($D147:$D150,$A$3))</f>
        <v/>
      </c>
      <c r="K150" s="52" t="str">
        <f aca="false">IF($E150="","",COUNTIF($E147:$E150,H$21)+COUNTIF($E147:$E150,$A$3))</f>
        <v/>
      </c>
      <c r="L150" s="53" t="str">
        <f aca="false">IF($F150="","",COUNTIF($F147:$F150,H$21)+COUNTIF($F147:$F150,$A$3))</f>
        <v/>
      </c>
      <c r="N150" s="65" t="str">
        <f aca="false">IF($B150="","",COUNTIF($B147:$B150,N$21)+COUNTIF($B147:$B150,$A$3))</f>
        <v/>
      </c>
      <c r="O150" s="52" t="str">
        <f aca="false">IF($C150="","",COUNTIF($C147:$C150,N$21)+COUNTIF($C147:$C150,$A$3))</f>
        <v/>
      </c>
      <c r="P150" s="52" t="str">
        <f aca="false">IF($D150="","",COUNTIF($D147:$D150,N$21)+COUNTIF($D147:$D150,$A$3))</f>
        <v/>
      </c>
      <c r="Q150" s="52" t="str">
        <f aca="false">IF($E150="","",COUNTIF($E147:$E150,N$21)+COUNTIF($E147:$E150,$A$3))</f>
        <v/>
      </c>
      <c r="R150" s="53" t="str">
        <f aca="false">IF($F150="","",COUNTIF($F147:$F150,N$21)+COUNTIF($F147:$F150,$A$3))</f>
        <v/>
      </c>
      <c r="T150" s="65" t="str">
        <f aca="false">IF($B150="","",COUNTIF($B147:$B150,T$21)+COUNTIF($B147:$B150,$A$3))</f>
        <v/>
      </c>
      <c r="U150" s="52" t="str">
        <f aca="false">IF($C150="","",COUNTIF($C147:$C150,T$21)+COUNTIF($C147:$C150,$A$3))</f>
        <v/>
      </c>
      <c r="V150" s="52" t="str">
        <f aca="false">IF($D150="","",COUNTIF($D147:$D150,T$21)+COUNTIF($D147:$D150,$A$3))</f>
        <v/>
      </c>
      <c r="W150" s="52" t="str">
        <f aca="false">IF($E150="","",COUNTIF($E147:$E150,T$21)+COUNTIF($E147:$E150,$A$3))</f>
        <v/>
      </c>
      <c r="X150" s="53" t="str">
        <f aca="false">IF($F150="","",COUNTIF($F147:$F150,T$21)+COUNTIF($F147:$F150,$A$3))</f>
        <v/>
      </c>
      <c r="Z150" s="65" t="str">
        <f aca="false">IF($B150="","",COUNTIF($B147:$B150,Z$21)+COUNTIF($B147:$B150,$A$3))</f>
        <v/>
      </c>
      <c r="AA150" s="52" t="str">
        <f aca="false">IF($C150="","",COUNTIF($C147:$C150,Z$21)+COUNTIF($C147:$C150,$A$3))</f>
        <v/>
      </c>
      <c r="AB150" s="52" t="str">
        <f aca="false">IF($D150="","",COUNTIF($D147:$D150,Z$21)+COUNTIF($D147:$D150,$A$3))</f>
        <v/>
      </c>
      <c r="AC150" s="52" t="str">
        <f aca="false">IF($E150="","",COUNTIF($E147:$E150,Z$21)+COUNTIF($E147:$E150,$A$3))</f>
        <v/>
      </c>
      <c r="AD150" s="53" t="str">
        <f aca="false">IF($F150="","",COUNTIF($F147:$F150,Z$21)+COUNTIF($F147:$F150,$A$3))</f>
        <v/>
      </c>
      <c r="AF150" s="65" t="str">
        <f aca="false">IF($B150="","",COUNTIF($B147:$B150,AF$21)+COUNTIF($B147:$B150,$A$3))</f>
        <v/>
      </c>
      <c r="AG150" s="52" t="str">
        <f aca="false">IF($C150="","",COUNTIF($C147:$C150,AF$21)+COUNTIF($C147:$C150,$A$3))</f>
        <v/>
      </c>
      <c r="AH150" s="52" t="str">
        <f aca="false">IF($D150="","",COUNTIF($D147:$D150,AF$21)+COUNTIF($D147:$D150,$A$3))</f>
        <v/>
      </c>
      <c r="AI150" s="52" t="str">
        <f aca="false">IF($E150="","",COUNTIF($E147:$E150,AF$21)+COUNTIF($E147:$E150,$A$3))</f>
        <v/>
      </c>
      <c r="AJ150" s="53" t="str">
        <f aca="false">IF($F150="","",COUNTIF($F147:$F150,AF$21)+COUNTIF($F147:$F150,$A$3))</f>
        <v/>
      </c>
      <c r="AL150" s="65" t="str">
        <f aca="false">IF($B150="","",COUNTIF($B147:$B150,AL$21)+COUNTIF($B147:$B150,$A$3))</f>
        <v/>
      </c>
      <c r="AM150" s="52" t="str">
        <f aca="false">IF($C150="","",COUNTIF($C147:$C150,AL$21)+COUNTIF($C147:$C150,$A$3))</f>
        <v/>
      </c>
      <c r="AN150" s="52" t="str">
        <f aca="false">IF($D150="","",COUNTIF($D147:$D150,AL$21)+COUNTIF($D147:$D150,$A$3))</f>
        <v/>
      </c>
      <c r="AO150" s="52" t="str">
        <f aca="false">IF($E150="","",COUNTIF($E147:$E150,AL$21)+COUNTIF($E147:$E150,$A$3))</f>
        <v/>
      </c>
      <c r="AP150" s="53" t="str">
        <f aca="false">IF($F150="","",COUNTIF($F147:$F150,AL$21)+COUNTIF($F147:$F150,$A$3))</f>
        <v/>
      </c>
      <c r="AR150" s="65" t="str">
        <f aca="false">IF($B150="","",COUNTIF($B147:$B150,AR$21)+COUNTIF($B147:$B150,$A$3))</f>
        <v/>
      </c>
      <c r="AS150" s="52" t="str">
        <f aca="false">IF($C150="","",COUNTIF($C147:$C150,AR$21)+COUNTIF($C147:$C150,$A$3))</f>
        <v/>
      </c>
      <c r="AT150" s="52" t="str">
        <f aca="false">IF($D150="","",COUNTIF($D147:$D150,AR$21)+COUNTIF($D147:$D150,$A$3))</f>
        <v/>
      </c>
      <c r="AU150" s="52" t="str">
        <f aca="false">IF($E150="","",COUNTIF($E147:$E150,AR$21)+COUNTIF($E147:$E150,$A$3))</f>
        <v/>
      </c>
      <c r="AV150" s="53" t="str">
        <f aca="false">IF($F150="","",COUNTIF($F147:$F150,AR$21)+COUNTIF($F147:$F150,$A$3))</f>
        <v/>
      </c>
      <c r="AX150" s="65" t="str">
        <f aca="false">IF($B150="","",COUNTIF($B147:$B150,AX$21)+COUNTIF($B147:$B150,$A$3))</f>
        <v/>
      </c>
      <c r="AY150" s="52" t="str">
        <f aca="false">IF($C150="","",COUNTIF($C147:$C150,AX$21)+COUNTIF($C147:$C150,$A$3))</f>
        <v/>
      </c>
      <c r="AZ150" s="52" t="str">
        <f aca="false">IF($D150="","",COUNTIF($D147:$D150,AX$21)+COUNTIF($D147:$D150,$A$3))</f>
        <v/>
      </c>
      <c r="BA150" s="52" t="str">
        <f aca="false">IF($E150="","",COUNTIF($E147:$E150,AX$21)+COUNTIF($E147:$E150,$A$3))</f>
        <v/>
      </c>
      <c r="BB150" s="53" t="str">
        <f aca="false">IF($F150="","",COUNTIF($F147:$F150,AX$21)+COUNTIF($F147:$F150,$A$3))</f>
        <v/>
      </c>
      <c r="BD150" s="65" t="str">
        <f aca="false">IF($B150="","",COUNTIF($B147:$B150,BD$21)+COUNTIF($B147:$B150,$A$3))</f>
        <v/>
      </c>
      <c r="BE150" s="52" t="str">
        <f aca="false">IF($C150="","",COUNTIF($C147:$C150,BD$21)+COUNTIF($C147:$C150,$A$3))</f>
        <v/>
      </c>
      <c r="BF150" s="52" t="str">
        <f aca="false">IF($D150="","",COUNTIF($D147:$D150,BD$21)+COUNTIF($D147:$D150,$A$3))</f>
        <v/>
      </c>
      <c r="BG150" s="52" t="str">
        <f aca="false">IF($E150="","",COUNTIF($E147:$E150,BD$21)+COUNTIF($E147:$E150,$A$3))</f>
        <v/>
      </c>
      <c r="BH150" s="53" t="str">
        <f aca="false">IF($F150="","",COUNTIF($F147:$F150,BD$21)+COUNTIF($F147:$F150,$A$3))</f>
        <v/>
      </c>
      <c r="BJ150" s="65" t="str">
        <f aca="false">IF($B150="","",COUNTIF($B147:$B150,BJ$21)+COUNTIF($B147:$B150,$A$3))</f>
        <v/>
      </c>
      <c r="BK150" s="52" t="str">
        <f aca="false">IF($C150="","",COUNTIF($C147:$C150,BJ$21)+COUNTIF($C147:$C150,$A$3))</f>
        <v/>
      </c>
      <c r="BL150" s="52" t="str">
        <f aca="false">IF($D150="","",COUNTIF($D147:$D150,BJ$21)+COUNTIF($D147:$D150,$A$3))</f>
        <v/>
      </c>
      <c r="BM150" s="52" t="str">
        <f aca="false">IF($E150="","",COUNTIF($E147:$E150,BJ$21)+COUNTIF($E147:$E150,$A$3))</f>
        <v/>
      </c>
      <c r="BN150" s="53" t="str">
        <f aca="false">IF($F150="","",COUNTIF($F147:$F150,BJ$21)+COUNTIF($F147:$F150,$A$3))</f>
        <v/>
      </c>
      <c r="BP150" s="65" t="str">
        <f aca="false">IF($B150="","",COUNTIF($B147:$B150,BP$21)+COUNTIF($B147:$B150,$A$3))</f>
        <v/>
      </c>
      <c r="BQ150" s="52" t="str">
        <f aca="false">IF($C150="","",COUNTIF($C147:$C150,BP$21)+COUNTIF($C147:$C150,$A$3))</f>
        <v/>
      </c>
      <c r="BR150" s="52" t="str">
        <f aca="false">IF($D150="","",COUNTIF($D147:$D150,BP$21)+COUNTIF($D147:$D150,$A$3))</f>
        <v/>
      </c>
      <c r="BS150" s="52" t="str">
        <f aca="false">IF($E150="","",COUNTIF($E147:$E150,BP$21)+COUNTIF($E147:$E150,$A$3))</f>
        <v/>
      </c>
      <c r="BT150" s="53" t="str">
        <f aca="false">IF($F150="","",COUNTIF($F147:$F150,BP$21)+COUNTIF($F147:$F150,$A$3))</f>
        <v/>
      </c>
    </row>
    <row r="151" customFormat="false" ht="15" hidden="false" customHeight="false" outlineLevel="0" collapsed="false">
      <c r="A151" s="13" t="n">
        <v>129</v>
      </c>
      <c r="B151" s="116" t="str">
        <f aca="false">IF('Game Info'!J134="","",'Game Info'!J134)</f>
        <v/>
      </c>
      <c r="C151" s="116" t="str">
        <f aca="false">IF('Game Info'!K134="","",'Game Info'!K134)</f>
        <v/>
      </c>
      <c r="D151" s="116" t="str">
        <f aca="false">IF('Game Info'!L134="","",'Game Info'!L134)</f>
        <v/>
      </c>
      <c r="E151" s="116" t="str">
        <f aca="false">IF('Game Info'!M134="","",'Game Info'!M134)</f>
        <v/>
      </c>
      <c r="F151" s="117" t="str">
        <f aca="false">IF('Game Info'!N134="","",'Game Info'!N134)</f>
        <v/>
      </c>
      <c r="H151" s="65" t="str">
        <f aca="false">IF($B151="","",COUNTIF($B148:$B151,H$21)+COUNTIF($B148:$B151,$A$3))</f>
        <v/>
      </c>
      <c r="I151" s="52" t="str">
        <f aca="false">IF($C151="","",COUNTIF($C148:$C151,H$21)+COUNTIF($C148:$C151,$A$3))</f>
        <v/>
      </c>
      <c r="J151" s="52" t="str">
        <f aca="false">IF($D151="","",COUNTIF($D148:$D151,H$21)+COUNTIF($D148:$D151,$A$3))</f>
        <v/>
      </c>
      <c r="K151" s="52" t="str">
        <f aca="false">IF($E151="","",COUNTIF($E148:$E151,H$21)+COUNTIF($E148:$E151,$A$3))</f>
        <v/>
      </c>
      <c r="L151" s="53" t="str">
        <f aca="false">IF($F151="","",COUNTIF($F148:$F151,H$21)+COUNTIF($F148:$F151,$A$3))</f>
        <v/>
      </c>
      <c r="N151" s="65" t="str">
        <f aca="false">IF($B151="","",COUNTIF($B148:$B151,N$21)+COUNTIF($B148:$B151,$A$3))</f>
        <v/>
      </c>
      <c r="O151" s="52" t="str">
        <f aca="false">IF($C151="","",COUNTIF($C148:$C151,N$21)+COUNTIF($C148:$C151,$A$3))</f>
        <v/>
      </c>
      <c r="P151" s="52" t="str">
        <f aca="false">IF($D151="","",COUNTIF($D148:$D151,N$21)+COUNTIF($D148:$D151,$A$3))</f>
        <v/>
      </c>
      <c r="Q151" s="52" t="str">
        <f aca="false">IF($E151="","",COUNTIF($E148:$E151,N$21)+COUNTIF($E148:$E151,$A$3))</f>
        <v/>
      </c>
      <c r="R151" s="53" t="str">
        <f aca="false">IF($F151="","",COUNTIF($F148:$F151,N$21)+COUNTIF($F148:$F151,$A$3))</f>
        <v/>
      </c>
      <c r="T151" s="65" t="str">
        <f aca="false">IF($B151="","",COUNTIF($B148:$B151,T$21)+COUNTIF($B148:$B151,$A$3))</f>
        <v/>
      </c>
      <c r="U151" s="52" t="str">
        <f aca="false">IF($C151="","",COUNTIF($C148:$C151,T$21)+COUNTIF($C148:$C151,$A$3))</f>
        <v/>
      </c>
      <c r="V151" s="52" t="str">
        <f aca="false">IF($D151="","",COUNTIF($D148:$D151,T$21)+COUNTIF($D148:$D151,$A$3))</f>
        <v/>
      </c>
      <c r="W151" s="52" t="str">
        <f aca="false">IF($E151="","",COUNTIF($E148:$E151,T$21)+COUNTIF($E148:$E151,$A$3))</f>
        <v/>
      </c>
      <c r="X151" s="53" t="str">
        <f aca="false">IF($F151="","",COUNTIF($F148:$F151,T$21)+COUNTIF($F148:$F151,$A$3))</f>
        <v/>
      </c>
      <c r="Z151" s="65" t="str">
        <f aca="false">IF($B151="","",COUNTIF($B148:$B151,Z$21)+COUNTIF($B148:$B151,$A$3))</f>
        <v/>
      </c>
      <c r="AA151" s="52" t="str">
        <f aca="false">IF($C151="","",COUNTIF($C148:$C151,Z$21)+COUNTIF($C148:$C151,$A$3))</f>
        <v/>
      </c>
      <c r="AB151" s="52" t="str">
        <f aca="false">IF($D151="","",COUNTIF($D148:$D151,Z$21)+COUNTIF($D148:$D151,$A$3))</f>
        <v/>
      </c>
      <c r="AC151" s="52" t="str">
        <f aca="false">IF($E151="","",COUNTIF($E148:$E151,Z$21)+COUNTIF($E148:$E151,$A$3))</f>
        <v/>
      </c>
      <c r="AD151" s="53" t="str">
        <f aca="false">IF($F151="","",COUNTIF($F148:$F151,Z$21)+COUNTIF($F148:$F151,$A$3))</f>
        <v/>
      </c>
      <c r="AF151" s="65" t="str">
        <f aca="false">IF($B151="","",COUNTIF($B148:$B151,AF$21)+COUNTIF($B148:$B151,$A$3))</f>
        <v/>
      </c>
      <c r="AG151" s="52" t="str">
        <f aca="false">IF($C151="","",COUNTIF($C148:$C151,AF$21)+COUNTIF($C148:$C151,$A$3))</f>
        <v/>
      </c>
      <c r="AH151" s="52" t="str">
        <f aca="false">IF($D151="","",COUNTIF($D148:$D151,AF$21)+COUNTIF($D148:$D151,$A$3))</f>
        <v/>
      </c>
      <c r="AI151" s="52" t="str">
        <f aca="false">IF($E151="","",COUNTIF($E148:$E151,AF$21)+COUNTIF($E148:$E151,$A$3))</f>
        <v/>
      </c>
      <c r="AJ151" s="53" t="str">
        <f aca="false">IF($F151="","",COUNTIF($F148:$F151,AF$21)+COUNTIF($F148:$F151,$A$3))</f>
        <v/>
      </c>
      <c r="AL151" s="65" t="str">
        <f aca="false">IF($B151="","",COUNTIF($B148:$B151,AL$21)+COUNTIF($B148:$B151,$A$3))</f>
        <v/>
      </c>
      <c r="AM151" s="52" t="str">
        <f aca="false">IF($C151="","",COUNTIF($C148:$C151,AL$21)+COUNTIF($C148:$C151,$A$3))</f>
        <v/>
      </c>
      <c r="AN151" s="52" t="str">
        <f aca="false">IF($D151="","",COUNTIF($D148:$D151,AL$21)+COUNTIF($D148:$D151,$A$3))</f>
        <v/>
      </c>
      <c r="AO151" s="52" t="str">
        <f aca="false">IF($E151="","",COUNTIF($E148:$E151,AL$21)+COUNTIF($E148:$E151,$A$3))</f>
        <v/>
      </c>
      <c r="AP151" s="53" t="str">
        <f aca="false">IF($F151="","",COUNTIF($F148:$F151,AL$21)+COUNTIF($F148:$F151,$A$3))</f>
        <v/>
      </c>
      <c r="AR151" s="65" t="str">
        <f aca="false">IF($B151="","",COUNTIF($B148:$B151,AR$21)+COUNTIF($B148:$B151,$A$3))</f>
        <v/>
      </c>
      <c r="AS151" s="52" t="str">
        <f aca="false">IF($C151="","",COUNTIF($C148:$C151,AR$21)+COUNTIF($C148:$C151,$A$3))</f>
        <v/>
      </c>
      <c r="AT151" s="52" t="str">
        <f aca="false">IF($D151="","",COUNTIF($D148:$D151,AR$21)+COUNTIF($D148:$D151,$A$3))</f>
        <v/>
      </c>
      <c r="AU151" s="52" t="str">
        <f aca="false">IF($E151="","",COUNTIF($E148:$E151,AR$21)+COUNTIF($E148:$E151,$A$3))</f>
        <v/>
      </c>
      <c r="AV151" s="53" t="str">
        <f aca="false">IF($F151="","",COUNTIF($F148:$F151,AR$21)+COUNTIF($F148:$F151,$A$3))</f>
        <v/>
      </c>
      <c r="AX151" s="65" t="str">
        <f aca="false">IF($B151="","",COUNTIF($B148:$B151,AX$21)+COUNTIF($B148:$B151,$A$3))</f>
        <v/>
      </c>
      <c r="AY151" s="52" t="str">
        <f aca="false">IF($C151="","",COUNTIF($C148:$C151,AX$21)+COUNTIF($C148:$C151,$A$3))</f>
        <v/>
      </c>
      <c r="AZ151" s="52" t="str">
        <f aca="false">IF($D151="","",COUNTIF($D148:$D151,AX$21)+COUNTIF($D148:$D151,$A$3))</f>
        <v/>
      </c>
      <c r="BA151" s="52" t="str">
        <f aca="false">IF($E151="","",COUNTIF($E148:$E151,AX$21)+COUNTIF($E148:$E151,$A$3))</f>
        <v/>
      </c>
      <c r="BB151" s="53" t="str">
        <f aca="false">IF($F151="","",COUNTIF($F148:$F151,AX$21)+COUNTIF($F148:$F151,$A$3))</f>
        <v/>
      </c>
      <c r="BD151" s="65" t="str">
        <f aca="false">IF($B151="","",COUNTIF($B148:$B151,BD$21)+COUNTIF($B148:$B151,$A$3))</f>
        <v/>
      </c>
      <c r="BE151" s="52" t="str">
        <f aca="false">IF($C151="","",COUNTIF($C148:$C151,BD$21)+COUNTIF($C148:$C151,$A$3))</f>
        <v/>
      </c>
      <c r="BF151" s="52" t="str">
        <f aca="false">IF($D151="","",COUNTIF($D148:$D151,BD$21)+COUNTIF($D148:$D151,$A$3))</f>
        <v/>
      </c>
      <c r="BG151" s="52" t="str">
        <f aca="false">IF($E151="","",COUNTIF($E148:$E151,BD$21)+COUNTIF($E148:$E151,$A$3))</f>
        <v/>
      </c>
      <c r="BH151" s="53" t="str">
        <f aca="false">IF($F151="","",COUNTIF($F148:$F151,BD$21)+COUNTIF($F148:$F151,$A$3))</f>
        <v/>
      </c>
      <c r="BJ151" s="65" t="str">
        <f aca="false">IF($B151="","",COUNTIF($B148:$B151,BJ$21)+COUNTIF($B148:$B151,$A$3))</f>
        <v/>
      </c>
      <c r="BK151" s="52" t="str">
        <f aca="false">IF($C151="","",COUNTIF($C148:$C151,BJ$21)+COUNTIF($C148:$C151,$A$3))</f>
        <v/>
      </c>
      <c r="BL151" s="52" t="str">
        <f aca="false">IF($D151="","",COUNTIF($D148:$D151,BJ$21)+COUNTIF($D148:$D151,$A$3))</f>
        <v/>
      </c>
      <c r="BM151" s="52" t="str">
        <f aca="false">IF($E151="","",COUNTIF($E148:$E151,BJ$21)+COUNTIF($E148:$E151,$A$3))</f>
        <v/>
      </c>
      <c r="BN151" s="53" t="str">
        <f aca="false">IF($F151="","",COUNTIF($F148:$F151,BJ$21)+COUNTIF($F148:$F151,$A$3))</f>
        <v/>
      </c>
      <c r="BP151" s="65" t="str">
        <f aca="false">IF($B151="","",COUNTIF($B148:$B151,BP$21)+COUNTIF($B148:$B151,$A$3))</f>
        <v/>
      </c>
      <c r="BQ151" s="52" t="str">
        <f aca="false">IF($C151="","",COUNTIF($C148:$C151,BP$21)+COUNTIF($C148:$C151,$A$3))</f>
        <v/>
      </c>
      <c r="BR151" s="52" t="str">
        <f aca="false">IF($D151="","",COUNTIF($D148:$D151,BP$21)+COUNTIF($D148:$D151,$A$3))</f>
        <v/>
      </c>
      <c r="BS151" s="52" t="str">
        <f aca="false">IF($E151="","",COUNTIF($E148:$E151,BP$21)+COUNTIF($E148:$E151,$A$3))</f>
        <v/>
      </c>
      <c r="BT151" s="53" t="str">
        <f aca="false">IF($F151="","",COUNTIF($F148:$F151,BP$21)+COUNTIF($F148:$F151,$A$3))</f>
        <v/>
      </c>
    </row>
    <row r="152" customFormat="false" ht="15" hidden="false" customHeight="false" outlineLevel="0" collapsed="false">
      <c r="A152" s="13" t="n">
        <v>130</v>
      </c>
      <c r="B152" s="116" t="str">
        <f aca="false">IF('Game Info'!J135="","",'Game Info'!J135)</f>
        <v/>
      </c>
      <c r="C152" s="116" t="str">
        <f aca="false">IF('Game Info'!K135="","",'Game Info'!K135)</f>
        <v/>
      </c>
      <c r="D152" s="116" t="str">
        <f aca="false">IF('Game Info'!L135="","",'Game Info'!L135)</f>
        <v/>
      </c>
      <c r="E152" s="116" t="str">
        <f aca="false">IF('Game Info'!M135="","",'Game Info'!M135)</f>
        <v/>
      </c>
      <c r="F152" s="117" t="str">
        <f aca="false">IF('Game Info'!N135="","",'Game Info'!N135)</f>
        <v/>
      </c>
      <c r="H152" s="65" t="str">
        <f aca="false">IF($B152="","",COUNTIF($B149:$B152,H$21)+COUNTIF($B149:$B152,$A$3))</f>
        <v/>
      </c>
      <c r="I152" s="52" t="str">
        <f aca="false">IF($C152="","",COUNTIF($C149:$C152,H$21)+COUNTIF($C149:$C152,$A$3))</f>
        <v/>
      </c>
      <c r="J152" s="52" t="str">
        <f aca="false">IF($D152="","",COUNTIF($D149:$D152,H$21)+COUNTIF($D149:$D152,$A$3))</f>
        <v/>
      </c>
      <c r="K152" s="52" t="str">
        <f aca="false">IF($E152="","",COUNTIF($E149:$E152,H$21)+COUNTIF($E149:$E152,$A$3))</f>
        <v/>
      </c>
      <c r="L152" s="53" t="str">
        <f aca="false">IF($F152="","",COUNTIF($F149:$F152,H$21)+COUNTIF($F149:$F152,$A$3))</f>
        <v/>
      </c>
      <c r="N152" s="65" t="str">
        <f aca="false">IF($B152="","",COUNTIF($B149:$B152,N$21)+COUNTIF($B149:$B152,$A$3))</f>
        <v/>
      </c>
      <c r="O152" s="52" t="str">
        <f aca="false">IF($C152="","",COUNTIF($C149:$C152,N$21)+COUNTIF($C149:$C152,$A$3))</f>
        <v/>
      </c>
      <c r="P152" s="52" t="str">
        <f aca="false">IF($D152="","",COUNTIF($D149:$D152,N$21)+COUNTIF($D149:$D152,$A$3))</f>
        <v/>
      </c>
      <c r="Q152" s="52" t="str">
        <f aca="false">IF($E152="","",COUNTIF($E149:$E152,N$21)+COUNTIF($E149:$E152,$A$3))</f>
        <v/>
      </c>
      <c r="R152" s="53" t="str">
        <f aca="false">IF($F152="","",COUNTIF($F149:$F152,N$21)+COUNTIF($F149:$F152,$A$3))</f>
        <v/>
      </c>
      <c r="T152" s="65" t="str">
        <f aca="false">IF($B152="","",COUNTIF($B149:$B152,T$21)+COUNTIF($B149:$B152,$A$3))</f>
        <v/>
      </c>
      <c r="U152" s="52" t="str">
        <f aca="false">IF($C152="","",COUNTIF($C149:$C152,T$21)+COUNTIF($C149:$C152,$A$3))</f>
        <v/>
      </c>
      <c r="V152" s="52" t="str">
        <f aca="false">IF($D152="","",COUNTIF($D149:$D152,T$21)+COUNTIF($D149:$D152,$A$3))</f>
        <v/>
      </c>
      <c r="W152" s="52" t="str">
        <f aca="false">IF($E152="","",COUNTIF($E149:$E152,T$21)+COUNTIF($E149:$E152,$A$3))</f>
        <v/>
      </c>
      <c r="X152" s="53" t="str">
        <f aca="false">IF($F152="","",COUNTIF($F149:$F152,T$21)+COUNTIF($F149:$F152,$A$3))</f>
        <v/>
      </c>
      <c r="Z152" s="65" t="str">
        <f aca="false">IF($B152="","",COUNTIF($B149:$B152,Z$21)+COUNTIF($B149:$B152,$A$3))</f>
        <v/>
      </c>
      <c r="AA152" s="52" t="str">
        <f aca="false">IF($C152="","",COUNTIF($C149:$C152,Z$21)+COUNTIF($C149:$C152,$A$3))</f>
        <v/>
      </c>
      <c r="AB152" s="52" t="str">
        <f aca="false">IF($D152="","",COUNTIF($D149:$D152,Z$21)+COUNTIF($D149:$D152,$A$3))</f>
        <v/>
      </c>
      <c r="AC152" s="52" t="str">
        <f aca="false">IF($E152="","",COUNTIF($E149:$E152,Z$21)+COUNTIF($E149:$E152,$A$3))</f>
        <v/>
      </c>
      <c r="AD152" s="53" t="str">
        <f aca="false">IF($F152="","",COUNTIF($F149:$F152,Z$21)+COUNTIF($F149:$F152,$A$3))</f>
        <v/>
      </c>
      <c r="AF152" s="65" t="str">
        <f aca="false">IF($B152="","",COUNTIF($B149:$B152,AF$21)+COUNTIF($B149:$B152,$A$3))</f>
        <v/>
      </c>
      <c r="AG152" s="52" t="str">
        <f aca="false">IF($C152="","",COUNTIF($C149:$C152,AF$21)+COUNTIF($C149:$C152,$A$3))</f>
        <v/>
      </c>
      <c r="AH152" s="52" t="str">
        <f aca="false">IF($D152="","",COUNTIF($D149:$D152,AF$21)+COUNTIF($D149:$D152,$A$3))</f>
        <v/>
      </c>
      <c r="AI152" s="52" t="str">
        <f aca="false">IF($E152="","",COUNTIF($E149:$E152,AF$21)+COUNTIF($E149:$E152,$A$3))</f>
        <v/>
      </c>
      <c r="AJ152" s="53" t="str">
        <f aca="false">IF($F152="","",COUNTIF($F149:$F152,AF$21)+COUNTIF($F149:$F152,$A$3))</f>
        <v/>
      </c>
      <c r="AL152" s="65" t="str">
        <f aca="false">IF($B152="","",COUNTIF($B149:$B152,AL$21)+COUNTIF($B149:$B152,$A$3))</f>
        <v/>
      </c>
      <c r="AM152" s="52" t="str">
        <f aca="false">IF($C152="","",COUNTIF($C149:$C152,AL$21)+COUNTIF($C149:$C152,$A$3))</f>
        <v/>
      </c>
      <c r="AN152" s="52" t="str">
        <f aca="false">IF($D152="","",COUNTIF($D149:$D152,AL$21)+COUNTIF($D149:$D152,$A$3))</f>
        <v/>
      </c>
      <c r="AO152" s="52" t="str">
        <f aca="false">IF($E152="","",COUNTIF($E149:$E152,AL$21)+COUNTIF($E149:$E152,$A$3))</f>
        <v/>
      </c>
      <c r="AP152" s="53" t="str">
        <f aca="false">IF($F152="","",COUNTIF($F149:$F152,AL$21)+COUNTIF($F149:$F152,$A$3))</f>
        <v/>
      </c>
      <c r="AR152" s="65" t="str">
        <f aca="false">IF($B152="","",COUNTIF($B149:$B152,AR$21)+COUNTIF($B149:$B152,$A$3))</f>
        <v/>
      </c>
      <c r="AS152" s="52" t="str">
        <f aca="false">IF($C152="","",COUNTIF($C149:$C152,AR$21)+COUNTIF($C149:$C152,$A$3))</f>
        <v/>
      </c>
      <c r="AT152" s="52" t="str">
        <f aca="false">IF($D152="","",COUNTIF($D149:$D152,AR$21)+COUNTIF($D149:$D152,$A$3))</f>
        <v/>
      </c>
      <c r="AU152" s="52" t="str">
        <f aca="false">IF($E152="","",COUNTIF($E149:$E152,AR$21)+COUNTIF($E149:$E152,$A$3))</f>
        <v/>
      </c>
      <c r="AV152" s="53" t="str">
        <f aca="false">IF($F152="","",COUNTIF($F149:$F152,AR$21)+COUNTIF($F149:$F152,$A$3))</f>
        <v/>
      </c>
      <c r="AX152" s="65" t="str">
        <f aca="false">IF($B152="","",COUNTIF($B149:$B152,AX$21)+COUNTIF($B149:$B152,$A$3))</f>
        <v/>
      </c>
      <c r="AY152" s="52" t="str">
        <f aca="false">IF($C152="","",COUNTIF($C149:$C152,AX$21)+COUNTIF($C149:$C152,$A$3))</f>
        <v/>
      </c>
      <c r="AZ152" s="52" t="str">
        <f aca="false">IF($D152="","",COUNTIF($D149:$D152,AX$21)+COUNTIF($D149:$D152,$A$3))</f>
        <v/>
      </c>
      <c r="BA152" s="52" t="str">
        <f aca="false">IF($E152="","",COUNTIF($E149:$E152,AX$21)+COUNTIF($E149:$E152,$A$3))</f>
        <v/>
      </c>
      <c r="BB152" s="53" t="str">
        <f aca="false">IF($F152="","",COUNTIF($F149:$F152,AX$21)+COUNTIF($F149:$F152,$A$3))</f>
        <v/>
      </c>
      <c r="BD152" s="65" t="str">
        <f aca="false">IF($B152="","",COUNTIF($B149:$B152,BD$21)+COUNTIF($B149:$B152,$A$3))</f>
        <v/>
      </c>
      <c r="BE152" s="52" t="str">
        <f aca="false">IF($C152="","",COUNTIF($C149:$C152,BD$21)+COUNTIF($C149:$C152,$A$3))</f>
        <v/>
      </c>
      <c r="BF152" s="52" t="str">
        <f aca="false">IF($D152="","",COUNTIF($D149:$D152,BD$21)+COUNTIF($D149:$D152,$A$3))</f>
        <v/>
      </c>
      <c r="BG152" s="52" t="str">
        <f aca="false">IF($E152="","",COUNTIF($E149:$E152,BD$21)+COUNTIF($E149:$E152,$A$3))</f>
        <v/>
      </c>
      <c r="BH152" s="53" t="str">
        <f aca="false">IF($F152="","",COUNTIF($F149:$F152,BD$21)+COUNTIF($F149:$F152,$A$3))</f>
        <v/>
      </c>
      <c r="BJ152" s="65" t="str">
        <f aca="false">IF($B152="","",COUNTIF($B149:$B152,BJ$21)+COUNTIF($B149:$B152,$A$3))</f>
        <v/>
      </c>
      <c r="BK152" s="52" t="str">
        <f aca="false">IF($C152="","",COUNTIF($C149:$C152,BJ$21)+COUNTIF($C149:$C152,$A$3))</f>
        <v/>
      </c>
      <c r="BL152" s="52" t="str">
        <f aca="false">IF($D152="","",COUNTIF($D149:$D152,BJ$21)+COUNTIF($D149:$D152,$A$3))</f>
        <v/>
      </c>
      <c r="BM152" s="52" t="str">
        <f aca="false">IF($E152="","",COUNTIF($E149:$E152,BJ$21)+COUNTIF($E149:$E152,$A$3))</f>
        <v/>
      </c>
      <c r="BN152" s="53" t="str">
        <f aca="false">IF($F152="","",COUNTIF($F149:$F152,BJ$21)+COUNTIF($F149:$F152,$A$3))</f>
        <v/>
      </c>
      <c r="BP152" s="65" t="str">
        <f aca="false">IF($B152="","",COUNTIF($B149:$B152,BP$21)+COUNTIF($B149:$B152,$A$3))</f>
        <v/>
      </c>
      <c r="BQ152" s="52" t="str">
        <f aca="false">IF($C152="","",COUNTIF($C149:$C152,BP$21)+COUNTIF($C149:$C152,$A$3))</f>
        <v/>
      </c>
      <c r="BR152" s="52" t="str">
        <f aca="false">IF($D152="","",COUNTIF($D149:$D152,BP$21)+COUNTIF($D149:$D152,$A$3))</f>
        <v/>
      </c>
      <c r="BS152" s="52" t="str">
        <f aca="false">IF($E152="","",COUNTIF($E149:$E152,BP$21)+COUNTIF($E149:$E152,$A$3))</f>
        <v/>
      </c>
      <c r="BT152" s="53" t="str">
        <f aca="false">IF($F152="","",COUNTIF($F149:$F152,BP$21)+COUNTIF($F149:$F152,$A$3))</f>
        <v/>
      </c>
    </row>
    <row r="153" customFormat="false" ht="15" hidden="false" customHeight="false" outlineLevel="0" collapsed="false">
      <c r="A153" s="13" t="n">
        <v>131</v>
      </c>
      <c r="B153" s="116" t="str">
        <f aca="false">IF('Game Info'!J136="","",'Game Info'!J136)</f>
        <v/>
      </c>
      <c r="C153" s="116" t="str">
        <f aca="false">IF('Game Info'!K136="","",'Game Info'!K136)</f>
        <v/>
      </c>
      <c r="D153" s="116" t="str">
        <f aca="false">IF('Game Info'!L136="","",'Game Info'!L136)</f>
        <v/>
      </c>
      <c r="E153" s="116" t="str">
        <f aca="false">IF('Game Info'!M136="","",'Game Info'!M136)</f>
        <v/>
      </c>
      <c r="F153" s="117" t="str">
        <f aca="false">IF('Game Info'!N136="","",'Game Info'!N136)</f>
        <v/>
      </c>
      <c r="H153" s="65" t="str">
        <f aca="false">IF($B153="","",COUNTIF($B150:$B153,H$21)+COUNTIF($B150:$B153,$A$3))</f>
        <v/>
      </c>
      <c r="I153" s="52" t="str">
        <f aca="false">IF($C153="","",COUNTIF($C150:$C153,H$21)+COUNTIF($C150:$C153,$A$3))</f>
        <v/>
      </c>
      <c r="J153" s="52" t="str">
        <f aca="false">IF($D153="","",COUNTIF($D150:$D153,H$21)+COUNTIF($D150:$D153,$A$3))</f>
        <v/>
      </c>
      <c r="K153" s="52" t="str">
        <f aca="false">IF($E153="","",COUNTIF($E150:$E153,H$21)+COUNTIF($E150:$E153,$A$3))</f>
        <v/>
      </c>
      <c r="L153" s="53" t="str">
        <f aca="false">IF($F153="","",COUNTIF($F150:$F153,H$21)+COUNTIF($F150:$F153,$A$3))</f>
        <v/>
      </c>
      <c r="N153" s="65" t="str">
        <f aca="false">IF($B153="","",COUNTIF($B150:$B153,N$21)+COUNTIF($B150:$B153,$A$3))</f>
        <v/>
      </c>
      <c r="O153" s="52" t="str">
        <f aca="false">IF($C153="","",COUNTIF($C150:$C153,N$21)+COUNTIF($C150:$C153,$A$3))</f>
        <v/>
      </c>
      <c r="P153" s="52" t="str">
        <f aca="false">IF($D153="","",COUNTIF($D150:$D153,N$21)+COUNTIF($D150:$D153,$A$3))</f>
        <v/>
      </c>
      <c r="Q153" s="52" t="str">
        <f aca="false">IF($E153="","",COUNTIF($E150:$E153,N$21)+COUNTIF($E150:$E153,$A$3))</f>
        <v/>
      </c>
      <c r="R153" s="53" t="str">
        <f aca="false">IF($F153="","",COUNTIF($F150:$F153,N$21)+COUNTIF($F150:$F153,$A$3))</f>
        <v/>
      </c>
      <c r="T153" s="65" t="str">
        <f aca="false">IF($B153="","",COUNTIF($B150:$B153,T$21)+COUNTIF($B150:$B153,$A$3))</f>
        <v/>
      </c>
      <c r="U153" s="52" t="str">
        <f aca="false">IF($C153="","",COUNTIF($C150:$C153,T$21)+COUNTIF($C150:$C153,$A$3))</f>
        <v/>
      </c>
      <c r="V153" s="52" t="str">
        <f aca="false">IF($D153="","",COUNTIF($D150:$D153,T$21)+COUNTIF($D150:$D153,$A$3))</f>
        <v/>
      </c>
      <c r="W153" s="52" t="str">
        <f aca="false">IF($E153="","",COUNTIF($E150:$E153,T$21)+COUNTIF($E150:$E153,$A$3))</f>
        <v/>
      </c>
      <c r="X153" s="53" t="str">
        <f aca="false">IF($F153="","",COUNTIF($F150:$F153,T$21)+COUNTIF($F150:$F153,$A$3))</f>
        <v/>
      </c>
      <c r="Z153" s="65" t="str">
        <f aca="false">IF($B153="","",COUNTIF($B150:$B153,Z$21)+COUNTIF($B150:$B153,$A$3))</f>
        <v/>
      </c>
      <c r="AA153" s="52" t="str">
        <f aca="false">IF($C153="","",COUNTIF($C150:$C153,Z$21)+COUNTIF($C150:$C153,$A$3))</f>
        <v/>
      </c>
      <c r="AB153" s="52" t="str">
        <f aca="false">IF($D153="","",COUNTIF($D150:$D153,Z$21)+COUNTIF($D150:$D153,$A$3))</f>
        <v/>
      </c>
      <c r="AC153" s="52" t="str">
        <f aca="false">IF($E153="","",COUNTIF($E150:$E153,Z$21)+COUNTIF($E150:$E153,$A$3))</f>
        <v/>
      </c>
      <c r="AD153" s="53" t="str">
        <f aca="false">IF($F153="","",COUNTIF($F150:$F153,Z$21)+COUNTIF($F150:$F153,$A$3))</f>
        <v/>
      </c>
      <c r="AF153" s="65" t="str">
        <f aca="false">IF($B153="","",COUNTIF($B150:$B153,AF$21)+COUNTIF($B150:$B153,$A$3))</f>
        <v/>
      </c>
      <c r="AG153" s="52" t="str">
        <f aca="false">IF($C153="","",COUNTIF($C150:$C153,AF$21)+COUNTIF($C150:$C153,$A$3))</f>
        <v/>
      </c>
      <c r="AH153" s="52" t="str">
        <f aca="false">IF($D153="","",COUNTIF($D150:$D153,AF$21)+COUNTIF($D150:$D153,$A$3))</f>
        <v/>
      </c>
      <c r="AI153" s="52" t="str">
        <f aca="false">IF($E153="","",COUNTIF($E150:$E153,AF$21)+COUNTIF($E150:$E153,$A$3))</f>
        <v/>
      </c>
      <c r="AJ153" s="53" t="str">
        <f aca="false">IF($F153="","",COUNTIF($F150:$F153,AF$21)+COUNTIF($F150:$F153,$A$3))</f>
        <v/>
      </c>
      <c r="AL153" s="65" t="str">
        <f aca="false">IF($B153="","",COUNTIF($B150:$B153,AL$21)+COUNTIF($B150:$B153,$A$3))</f>
        <v/>
      </c>
      <c r="AM153" s="52" t="str">
        <f aca="false">IF($C153="","",COUNTIF($C150:$C153,AL$21)+COUNTIF($C150:$C153,$A$3))</f>
        <v/>
      </c>
      <c r="AN153" s="52" t="str">
        <f aca="false">IF($D153="","",COUNTIF($D150:$D153,AL$21)+COUNTIF($D150:$D153,$A$3))</f>
        <v/>
      </c>
      <c r="AO153" s="52" t="str">
        <f aca="false">IF($E153="","",COUNTIF($E150:$E153,AL$21)+COUNTIF($E150:$E153,$A$3))</f>
        <v/>
      </c>
      <c r="AP153" s="53" t="str">
        <f aca="false">IF($F153="","",COUNTIF($F150:$F153,AL$21)+COUNTIF($F150:$F153,$A$3))</f>
        <v/>
      </c>
      <c r="AR153" s="65" t="str">
        <f aca="false">IF($B153="","",COUNTIF($B150:$B153,AR$21)+COUNTIF($B150:$B153,$A$3))</f>
        <v/>
      </c>
      <c r="AS153" s="52" t="str">
        <f aca="false">IF($C153="","",COUNTIF($C150:$C153,AR$21)+COUNTIF($C150:$C153,$A$3))</f>
        <v/>
      </c>
      <c r="AT153" s="52" t="str">
        <f aca="false">IF($D153="","",COUNTIF($D150:$D153,AR$21)+COUNTIF($D150:$D153,$A$3))</f>
        <v/>
      </c>
      <c r="AU153" s="52" t="str">
        <f aca="false">IF($E153="","",COUNTIF($E150:$E153,AR$21)+COUNTIF($E150:$E153,$A$3))</f>
        <v/>
      </c>
      <c r="AV153" s="53" t="str">
        <f aca="false">IF($F153="","",COUNTIF($F150:$F153,AR$21)+COUNTIF($F150:$F153,$A$3))</f>
        <v/>
      </c>
      <c r="AX153" s="65" t="str">
        <f aca="false">IF($B153="","",COUNTIF($B150:$B153,AX$21)+COUNTIF($B150:$B153,$A$3))</f>
        <v/>
      </c>
      <c r="AY153" s="52" t="str">
        <f aca="false">IF($C153="","",COUNTIF($C150:$C153,AX$21)+COUNTIF($C150:$C153,$A$3))</f>
        <v/>
      </c>
      <c r="AZ153" s="52" t="str">
        <f aca="false">IF($D153="","",COUNTIF($D150:$D153,AX$21)+COUNTIF($D150:$D153,$A$3))</f>
        <v/>
      </c>
      <c r="BA153" s="52" t="str">
        <f aca="false">IF($E153="","",COUNTIF($E150:$E153,AX$21)+COUNTIF($E150:$E153,$A$3))</f>
        <v/>
      </c>
      <c r="BB153" s="53" t="str">
        <f aca="false">IF($F153="","",COUNTIF($F150:$F153,AX$21)+COUNTIF($F150:$F153,$A$3))</f>
        <v/>
      </c>
      <c r="BD153" s="65" t="str">
        <f aca="false">IF($B153="","",COUNTIF($B150:$B153,BD$21)+COUNTIF($B150:$B153,$A$3))</f>
        <v/>
      </c>
      <c r="BE153" s="52" t="str">
        <f aca="false">IF($C153="","",COUNTIF($C150:$C153,BD$21)+COUNTIF($C150:$C153,$A$3))</f>
        <v/>
      </c>
      <c r="BF153" s="52" t="str">
        <f aca="false">IF($D153="","",COUNTIF($D150:$D153,BD$21)+COUNTIF($D150:$D153,$A$3))</f>
        <v/>
      </c>
      <c r="BG153" s="52" t="str">
        <f aca="false">IF($E153="","",COUNTIF($E150:$E153,BD$21)+COUNTIF($E150:$E153,$A$3))</f>
        <v/>
      </c>
      <c r="BH153" s="53" t="str">
        <f aca="false">IF($F153="","",COUNTIF($F150:$F153,BD$21)+COUNTIF($F150:$F153,$A$3))</f>
        <v/>
      </c>
      <c r="BJ153" s="65" t="str">
        <f aca="false">IF($B153="","",COUNTIF($B150:$B153,BJ$21)+COUNTIF($B150:$B153,$A$3))</f>
        <v/>
      </c>
      <c r="BK153" s="52" t="str">
        <f aca="false">IF($C153="","",COUNTIF($C150:$C153,BJ$21)+COUNTIF($C150:$C153,$A$3))</f>
        <v/>
      </c>
      <c r="BL153" s="52" t="str">
        <f aca="false">IF($D153="","",COUNTIF($D150:$D153,BJ$21)+COUNTIF($D150:$D153,$A$3))</f>
        <v/>
      </c>
      <c r="BM153" s="52" t="str">
        <f aca="false">IF($E153="","",COUNTIF($E150:$E153,BJ$21)+COUNTIF($E150:$E153,$A$3))</f>
        <v/>
      </c>
      <c r="BN153" s="53" t="str">
        <f aca="false">IF($F153="","",COUNTIF($F150:$F153,BJ$21)+COUNTIF($F150:$F153,$A$3))</f>
        <v/>
      </c>
      <c r="BP153" s="65" t="str">
        <f aca="false">IF($B153="","",COUNTIF($B150:$B153,BP$21)+COUNTIF($B150:$B153,$A$3))</f>
        <v/>
      </c>
      <c r="BQ153" s="52" t="str">
        <f aca="false">IF($C153="","",COUNTIF($C150:$C153,BP$21)+COUNTIF($C150:$C153,$A$3))</f>
        <v/>
      </c>
      <c r="BR153" s="52" t="str">
        <f aca="false">IF($D153="","",COUNTIF($D150:$D153,BP$21)+COUNTIF($D150:$D153,$A$3))</f>
        <v/>
      </c>
      <c r="BS153" s="52" t="str">
        <f aca="false">IF($E153="","",COUNTIF($E150:$E153,BP$21)+COUNTIF($E150:$E153,$A$3))</f>
        <v/>
      </c>
      <c r="BT153" s="53" t="str">
        <f aca="false">IF($F153="","",COUNTIF($F150:$F153,BP$21)+COUNTIF($F150:$F153,$A$3))</f>
        <v/>
      </c>
    </row>
    <row r="154" customFormat="false" ht="15" hidden="false" customHeight="false" outlineLevel="0" collapsed="false">
      <c r="A154" s="13" t="n">
        <v>132</v>
      </c>
      <c r="B154" s="116" t="str">
        <f aca="false">IF('Game Info'!J137="","",'Game Info'!J137)</f>
        <v/>
      </c>
      <c r="C154" s="116" t="str">
        <f aca="false">IF('Game Info'!K137="","",'Game Info'!K137)</f>
        <v/>
      </c>
      <c r="D154" s="116" t="str">
        <f aca="false">IF('Game Info'!L137="","",'Game Info'!L137)</f>
        <v/>
      </c>
      <c r="E154" s="116" t="str">
        <f aca="false">IF('Game Info'!M137="","",'Game Info'!M137)</f>
        <v/>
      </c>
      <c r="F154" s="117" t="str">
        <f aca="false">IF('Game Info'!N137="","",'Game Info'!N137)</f>
        <v/>
      </c>
      <c r="H154" s="65" t="str">
        <f aca="false">IF($B154="","",COUNTIF($B151:$B154,H$21)+COUNTIF($B151:$B154,$A$3))</f>
        <v/>
      </c>
      <c r="I154" s="52" t="str">
        <f aca="false">IF($C154="","",COUNTIF($C151:$C154,H$21)+COUNTIF($C151:$C154,$A$3))</f>
        <v/>
      </c>
      <c r="J154" s="52" t="str">
        <f aca="false">IF($D154="","",COUNTIF($D151:$D154,H$21)+COUNTIF($D151:$D154,$A$3))</f>
        <v/>
      </c>
      <c r="K154" s="52" t="str">
        <f aca="false">IF($E154="","",COUNTIF($E151:$E154,H$21)+COUNTIF($E151:$E154,$A$3))</f>
        <v/>
      </c>
      <c r="L154" s="53" t="str">
        <f aca="false">IF($F154="","",COUNTIF($F151:$F154,H$21)+COUNTIF($F151:$F154,$A$3))</f>
        <v/>
      </c>
      <c r="N154" s="65" t="str">
        <f aca="false">IF($B154="","",COUNTIF($B151:$B154,N$21)+COUNTIF($B151:$B154,$A$3))</f>
        <v/>
      </c>
      <c r="O154" s="52" t="str">
        <f aca="false">IF($C154="","",COUNTIF($C151:$C154,N$21)+COUNTIF($C151:$C154,$A$3))</f>
        <v/>
      </c>
      <c r="P154" s="52" t="str">
        <f aca="false">IF($D154="","",COUNTIF($D151:$D154,N$21)+COUNTIF($D151:$D154,$A$3))</f>
        <v/>
      </c>
      <c r="Q154" s="52" t="str">
        <f aca="false">IF($E154="","",COUNTIF($E151:$E154,N$21)+COUNTIF($E151:$E154,$A$3))</f>
        <v/>
      </c>
      <c r="R154" s="53" t="str">
        <f aca="false">IF($F154="","",COUNTIF($F151:$F154,N$21)+COUNTIF($F151:$F154,$A$3))</f>
        <v/>
      </c>
      <c r="T154" s="65" t="str">
        <f aca="false">IF($B154="","",COUNTIF($B151:$B154,T$21)+COUNTIF($B151:$B154,$A$3))</f>
        <v/>
      </c>
      <c r="U154" s="52" t="str">
        <f aca="false">IF($C154="","",COUNTIF($C151:$C154,T$21)+COUNTIF($C151:$C154,$A$3))</f>
        <v/>
      </c>
      <c r="V154" s="52" t="str">
        <f aca="false">IF($D154="","",COUNTIF($D151:$D154,T$21)+COUNTIF($D151:$D154,$A$3))</f>
        <v/>
      </c>
      <c r="W154" s="52" t="str">
        <f aca="false">IF($E154="","",COUNTIF($E151:$E154,T$21)+COUNTIF($E151:$E154,$A$3))</f>
        <v/>
      </c>
      <c r="X154" s="53" t="str">
        <f aca="false">IF($F154="","",COUNTIF($F151:$F154,T$21)+COUNTIF($F151:$F154,$A$3))</f>
        <v/>
      </c>
      <c r="Z154" s="65" t="str">
        <f aca="false">IF($B154="","",COUNTIF($B151:$B154,Z$21)+COUNTIF($B151:$B154,$A$3))</f>
        <v/>
      </c>
      <c r="AA154" s="52" t="str">
        <f aca="false">IF($C154="","",COUNTIF($C151:$C154,Z$21)+COUNTIF($C151:$C154,$A$3))</f>
        <v/>
      </c>
      <c r="AB154" s="52" t="str">
        <f aca="false">IF($D154="","",COUNTIF($D151:$D154,Z$21)+COUNTIF($D151:$D154,$A$3))</f>
        <v/>
      </c>
      <c r="AC154" s="52" t="str">
        <f aca="false">IF($E154="","",COUNTIF($E151:$E154,Z$21)+COUNTIF($E151:$E154,$A$3))</f>
        <v/>
      </c>
      <c r="AD154" s="53" t="str">
        <f aca="false">IF($F154="","",COUNTIF($F151:$F154,Z$21)+COUNTIF($F151:$F154,$A$3))</f>
        <v/>
      </c>
      <c r="AF154" s="65" t="str">
        <f aca="false">IF($B154="","",COUNTIF($B151:$B154,AF$21)+COUNTIF($B151:$B154,$A$3))</f>
        <v/>
      </c>
      <c r="AG154" s="52" t="str">
        <f aca="false">IF($C154="","",COUNTIF($C151:$C154,AF$21)+COUNTIF($C151:$C154,$A$3))</f>
        <v/>
      </c>
      <c r="AH154" s="52" t="str">
        <f aca="false">IF($D154="","",COUNTIF($D151:$D154,AF$21)+COUNTIF($D151:$D154,$A$3))</f>
        <v/>
      </c>
      <c r="AI154" s="52" t="str">
        <f aca="false">IF($E154="","",COUNTIF($E151:$E154,AF$21)+COUNTIF($E151:$E154,$A$3))</f>
        <v/>
      </c>
      <c r="AJ154" s="53" t="str">
        <f aca="false">IF($F154="","",COUNTIF($F151:$F154,AF$21)+COUNTIF($F151:$F154,$A$3))</f>
        <v/>
      </c>
      <c r="AL154" s="65" t="str">
        <f aca="false">IF($B154="","",COUNTIF($B151:$B154,AL$21)+COUNTIF($B151:$B154,$A$3))</f>
        <v/>
      </c>
      <c r="AM154" s="52" t="str">
        <f aca="false">IF($C154="","",COUNTIF($C151:$C154,AL$21)+COUNTIF($C151:$C154,$A$3))</f>
        <v/>
      </c>
      <c r="AN154" s="52" t="str">
        <f aca="false">IF($D154="","",COUNTIF($D151:$D154,AL$21)+COUNTIF($D151:$D154,$A$3))</f>
        <v/>
      </c>
      <c r="AO154" s="52" t="str">
        <f aca="false">IF($E154="","",COUNTIF($E151:$E154,AL$21)+COUNTIF($E151:$E154,$A$3))</f>
        <v/>
      </c>
      <c r="AP154" s="53" t="str">
        <f aca="false">IF($F154="","",COUNTIF($F151:$F154,AL$21)+COUNTIF($F151:$F154,$A$3))</f>
        <v/>
      </c>
      <c r="AR154" s="65" t="str">
        <f aca="false">IF($B154="","",COUNTIF($B151:$B154,AR$21)+COUNTIF($B151:$B154,$A$3))</f>
        <v/>
      </c>
      <c r="AS154" s="52" t="str">
        <f aca="false">IF($C154="","",COUNTIF($C151:$C154,AR$21)+COUNTIF($C151:$C154,$A$3))</f>
        <v/>
      </c>
      <c r="AT154" s="52" t="str">
        <f aca="false">IF($D154="","",COUNTIF($D151:$D154,AR$21)+COUNTIF($D151:$D154,$A$3))</f>
        <v/>
      </c>
      <c r="AU154" s="52" t="str">
        <f aca="false">IF($E154="","",COUNTIF($E151:$E154,AR$21)+COUNTIF($E151:$E154,$A$3))</f>
        <v/>
      </c>
      <c r="AV154" s="53" t="str">
        <f aca="false">IF($F154="","",COUNTIF($F151:$F154,AR$21)+COUNTIF($F151:$F154,$A$3))</f>
        <v/>
      </c>
      <c r="AX154" s="65" t="str">
        <f aca="false">IF($B154="","",COUNTIF($B151:$B154,AX$21)+COUNTIF($B151:$B154,$A$3))</f>
        <v/>
      </c>
      <c r="AY154" s="52" t="str">
        <f aca="false">IF($C154="","",COUNTIF($C151:$C154,AX$21)+COUNTIF($C151:$C154,$A$3))</f>
        <v/>
      </c>
      <c r="AZ154" s="52" t="str">
        <f aca="false">IF($D154="","",COUNTIF($D151:$D154,AX$21)+COUNTIF($D151:$D154,$A$3))</f>
        <v/>
      </c>
      <c r="BA154" s="52" t="str">
        <f aca="false">IF($E154="","",COUNTIF($E151:$E154,AX$21)+COUNTIF($E151:$E154,$A$3))</f>
        <v/>
      </c>
      <c r="BB154" s="53" t="str">
        <f aca="false">IF($F154="","",COUNTIF($F151:$F154,AX$21)+COUNTIF($F151:$F154,$A$3))</f>
        <v/>
      </c>
      <c r="BD154" s="65" t="str">
        <f aca="false">IF($B154="","",COUNTIF($B151:$B154,BD$21)+COUNTIF($B151:$B154,$A$3))</f>
        <v/>
      </c>
      <c r="BE154" s="52" t="str">
        <f aca="false">IF($C154="","",COUNTIF($C151:$C154,BD$21)+COUNTIF($C151:$C154,$A$3))</f>
        <v/>
      </c>
      <c r="BF154" s="52" t="str">
        <f aca="false">IF($D154="","",COUNTIF($D151:$D154,BD$21)+COUNTIF($D151:$D154,$A$3))</f>
        <v/>
      </c>
      <c r="BG154" s="52" t="str">
        <f aca="false">IF($E154="","",COUNTIF($E151:$E154,BD$21)+COUNTIF($E151:$E154,$A$3))</f>
        <v/>
      </c>
      <c r="BH154" s="53" t="str">
        <f aca="false">IF($F154="","",COUNTIF($F151:$F154,BD$21)+COUNTIF($F151:$F154,$A$3))</f>
        <v/>
      </c>
      <c r="BJ154" s="65" t="str">
        <f aca="false">IF($B154="","",COUNTIF($B151:$B154,BJ$21)+COUNTIF($B151:$B154,$A$3))</f>
        <v/>
      </c>
      <c r="BK154" s="52" t="str">
        <f aca="false">IF($C154="","",COUNTIF($C151:$C154,BJ$21)+COUNTIF($C151:$C154,$A$3))</f>
        <v/>
      </c>
      <c r="BL154" s="52" t="str">
        <f aca="false">IF($D154="","",COUNTIF($D151:$D154,BJ$21)+COUNTIF($D151:$D154,$A$3))</f>
        <v/>
      </c>
      <c r="BM154" s="52" t="str">
        <f aca="false">IF($E154="","",COUNTIF($E151:$E154,BJ$21)+COUNTIF($E151:$E154,$A$3))</f>
        <v/>
      </c>
      <c r="BN154" s="53" t="str">
        <f aca="false">IF($F154="","",COUNTIF($F151:$F154,BJ$21)+COUNTIF($F151:$F154,$A$3))</f>
        <v/>
      </c>
      <c r="BP154" s="65" t="str">
        <f aca="false">IF($B154="","",COUNTIF($B151:$B154,BP$21)+COUNTIF($B151:$B154,$A$3))</f>
        <v/>
      </c>
      <c r="BQ154" s="52" t="str">
        <f aca="false">IF($C154="","",COUNTIF($C151:$C154,BP$21)+COUNTIF($C151:$C154,$A$3))</f>
        <v/>
      </c>
      <c r="BR154" s="52" t="str">
        <f aca="false">IF($D154="","",COUNTIF($D151:$D154,BP$21)+COUNTIF($D151:$D154,$A$3))</f>
        <v/>
      </c>
      <c r="BS154" s="52" t="str">
        <f aca="false">IF($E154="","",COUNTIF($E151:$E154,BP$21)+COUNTIF($E151:$E154,$A$3))</f>
        <v/>
      </c>
      <c r="BT154" s="53" t="str">
        <f aca="false">IF($F154="","",COUNTIF($F151:$F154,BP$21)+COUNTIF($F151:$F154,$A$3))</f>
        <v/>
      </c>
    </row>
    <row r="155" customFormat="false" ht="15" hidden="false" customHeight="false" outlineLevel="0" collapsed="false">
      <c r="A155" s="13" t="n">
        <v>133</v>
      </c>
      <c r="B155" s="116" t="str">
        <f aca="false">IF('Game Info'!J138="","",'Game Info'!J138)</f>
        <v/>
      </c>
      <c r="C155" s="116" t="str">
        <f aca="false">IF('Game Info'!K138="","",'Game Info'!K138)</f>
        <v/>
      </c>
      <c r="D155" s="116" t="str">
        <f aca="false">IF('Game Info'!L138="","",'Game Info'!L138)</f>
        <v/>
      </c>
      <c r="E155" s="116" t="str">
        <f aca="false">IF('Game Info'!M138="","",'Game Info'!M138)</f>
        <v/>
      </c>
      <c r="F155" s="117" t="str">
        <f aca="false">IF('Game Info'!N138="","",'Game Info'!N138)</f>
        <v/>
      </c>
      <c r="H155" s="65" t="str">
        <f aca="false">IF($B155="","",COUNTIF($B152:$B155,H$21)+COUNTIF($B152:$B155,$A$3))</f>
        <v/>
      </c>
      <c r="I155" s="52" t="str">
        <f aca="false">IF($C155="","",COUNTIF($C152:$C155,H$21)+COUNTIF($C152:$C155,$A$3))</f>
        <v/>
      </c>
      <c r="J155" s="52" t="str">
        <f aca="false">IF($D155="","",COUNTIF($D152:$D155,H$21)+COUNTIF($D152:$D155,$A$3))</f>
        <v/>
      </c>
      <c r="K155" s="52" t="str">
        <f aca="false">IF($E155="","",COUNTIF($E152:$E155,H$21)+COUNTIF($E152:$E155,$A$3))</f>
        <v/>
      </c>
      <c r="L155" s="53" t="str">
        <f aca="false">IF($F155="","",COUNTIF($F152:$F155,H$21)+COUNTIF($F152:$F155,$A$3))</f>
        <v/>
      </c>
      <c r="N155" s="65" t="str">
        <f aca="false">IF($B155="","",COUNTIF($B152:$B155,N$21)+COUNTIF($B152:$B155,$A$3))</f>
        <v/>
      </c>
      <c r="O155" s="52" t="str">
        <f aca="false">IF($C155="","",COUNTIF($C152:$C155,N$21)+COUNTIF($C152:$C155,$A$3))</f>
        <v/>
      </c>
      <c r="P155" s="52" t="str">
        <f aca="false">IF($D155="","",COUNTIF($D152:$D155,N$21)+COUNTIF($D152:$D155,$A$3))</f>
        <v/>
      </c>
      <c r="Q155" s="52" t="str">
        <f aca="false">IF($E155="","",COUNTIF($E152:$E155,N$21)+COUNTIF($E152:$E155,$A$3))</f>
        <v/>
      </c>
      <c r="R155" s="53" t="str">
        <f aca="false">IF($F155="","",COUNTIF($F152:$F155,N$21)+COUNTIF($F152:$F155,$A$3))</f>
        <v/>
      </c>
      <c r="T155" s="65" t="str">
        <f aca="false">IF($B155="","",COUNTIF($B152:$B155,T$21)+COUNTIF($B152:$B155,$A$3))</f>
        <v/>
      </c>
      <c r="U155" s="52" t="str">
        <f aca="false">IF($C155="","",COUNTIF($C152:$C155,T$21)+COUNTIF($C152:$C155,$A$3))</f>
        <v/>
      </c>
      <c r="V155" s="52" t="str">
        <f aca="false">IF($D155="","",COUNTIF($D152:$D155,T$21)+COUNTIF($D152:$D155,$A$3))</f>
        <v/>
      </c>
      <c r="W155" s="52" t="str">
        <f aca="false">IF($E155="","",COUNTIF($E152:$E155,T$21)+COUNTIF($E152:$E155,$A$3))</f>
        <v/>
      </c>
      <c r="X155" s="53" t="str">
        <f aca="false">IF($F155="","",COUNTIF($F152:$F155,T$21)+COUNTIF($F152:$F155,$A$3))</f>
        <v/>
      </c>
      <c r="Z155" s="65" t="str">
        <f aca="false">IF($B155="","",COUNTIF($B152:$B155,Z$21)+COUNTIF($B152:$B155,$A$3))</f>
        <v/>
      </c>
      <c r="AA155" s="52" t="str">
        <f aca="false">IF($C155="","",COUNTIF($C152:$C155,Z$21)+COUNTIF($C152:$C155,$A$3))</f>
        <v/>
      </c>
      <c r="AB155" s="52" t="str">
        <f aca="false">IF($D155="","",COUNTIF($D152:$D155,Z$21)+COUNTIF($D152:$D155,$A$3))</f>
        <v/>
      </c>
      <c r="AC155" s="52" t="str">
        <f aca="false">IF($E155="","",COUNTIF($E152:$E155,Z$21)+COUNTIF($E152:$E155,$A$3))</f>
        <v/>
      </c>
      <c r="AD155" s="53" t="str">
        <f aca="false">IF($F155="","",COUNTIF($F152:$F155,Z$21)+COUNTIF($F152:$F155,$A$3))</f>
        <v/>
      </c>
      <c r="AF155" s="65" t="str">
        <f aca="false">IF($B155="","",COUNTIF($B152:$B155,AF$21)+COUNTIF($B152:$B155,$A$3))</f>
        <v/>
      </c>
      <c r="AG155" s="52" t="str">
        <f aca="false">IF($C155="","",COUNTIF($C152:$C155,AF$21)+COUNTIF($C152:$C155,$A$3))</f>
        <v/>
      </c>
      <c r="AH155" s="52" t="str">
        <f aca="false">IF($D155="","",COUNTIF($D152:$D155,AF$21)+COUNTIF($D152:$D155,$A$3))</f>
        <v/>
      </c>
      <c r="AI155" s="52" t="str">
        <f aca="false">IF($E155="","",COUNTIF($E152:$E155,AF$21)+COUNTIF($E152:$E155,$A$3))</f>
        <v/>
      </c>
      <c r="AJ155" s="53" t="str">
        <f aca="false">IF($F155="","",COUNTIF($F152:$F155,AF$21)+COUNTIF($F152:$F155,$A$3))</f>
        <v/>
      </c>
      <c r="AL155" s="65" t="str">
        <f aca="false">IF($B155="","",COUNTIF($B152:$B155,AL$21)+COUNTIF($B152:$B155,$A$3))</f>
        <v/>
      </c>
      <c r="AM155" s="52" t="str">
        <f aca="false">IF($C155="","",COUNTIF($C152:$C155,AL$21)+COUNTIF($C152:$C155,$A$3))</f>
        <v/>
      </c>
      <c r="AN155" s="52" t="str">
        <f aca="false">IF($D155="","",COUNTIF($D152:$D155,AL$21)+COUNTIF($D152:$D155,$A$3))</f>
        <v/>
      </c>
      <c r="AO155" s="52" t="str">
        <f aca="false">IF($E155="","",COUNTIF($E152:$E155,AL$21)+COUNTIF($E152:$E155,$A$3))</f>
        <v/>
      </c>
      <c r="AP155" s="53" t="str">
        <f aca="false">IF($F155="","",COUNTIF($F152:$F155,AL$21)+COUNTIF($F152:$F155,$A$3))</f>
        <v/>
      </c>
      <c r="AR155" s="65" t="str">
        <f aca="false">IF($B155="","",COUNTIF($B152:$B155,AR$21)+COUNTIF($B152:$B155,$A$3))</f>
        <v/>
      </c>
      <c r="AS155" s="52" t="str">
        <f aca="false">IF($C155="","",COUNTIF($C152:$C155,AR$21)+COUNTIF($C152:$C155,$A$3))</f>
        <v/>
      </c>
      <c r="AT155" s="52" t="str">
        <f aca="false">IF($D155="","",COUNTIF($D152:$D155,AR$21)+COUNTIF($D152:$D155,$A$3))</f>
        <v/>
      </c>
      <c r="AU155" s="52" t="str">
        <f aca="false">IF($E155="","",COUNTIF($E152:$E155,AR$21)+COUNTIF($E152:$E155,$A$3))</f>
        <v/>
      </c>
      <c r="AV155" s="53" t="str">
        <f aca="false">IF($F155="","",COUNTIF($F152:$F155,AR$21)+COUNTIF($F152:$F155,$A$3))</f>
        <v/>
      </c>
      <c r="AX155" s="65" t="str">
        <f aca="false">IF($B155="","",COUNTIF($B152:$B155,AX$21)+COUNTIF($B152:$B155,$A$3))</f>
        <v/>
      </c>
      <c r="AY155" s="52" t="str">
        <f aca="false">IF($C155="","",COUNTIF($C152:$C155,AX$21)+COUNTIF($C152:$C155,$A$3))</f>
        <v/>
      </c>
      <c r="AZ155" s="52" t="str">
        <f aca="false">IF($D155="","",COUNTIF($D152:$D155,AX$21)+COUNTIF($D152:$D155,$A$3))</f>
        <v/>
      </c>
      <c r="BA155" s="52" t="str">
        <f aca="false">IF($E155="","",COUNTIF($E152:$E155,AX$21)+COUNTIF($E152:$E155,$A$3))</f>
        <v/>
      </c>
      <c r="BB155" s="53" t="str">
        <f aca="false">IF($F155="","",COUNTIF($F152:$F155,AX$21)+COUNTIF($F152:$F155,$A$3))</f>
        <v/>
      </c>
      <c r="BD155" s="65" t="str">
        <f aca="false">IF($B155="","",COUNTIF($B152:$B155,BD$21)+COUNTIF($B152:$B155,$A$3))</f>
        <v/>
      </c>
      <c r="BE155" s="52" t="str">
        <f aca="false">IF($C155="","",COUNTIF($C152:$C155,BD$21)+COUNTIF($C152:$C155,$A$3))</f>
        <v/>
      </c>
      <c r="BF155" s="52" t="str">
        <f aca="false">IF($D155="","",COUNTIF($D152:$D155,BD$21)+COUNTIF($D152:$D155,$A$3))</f>
        <v/>
      </c>
      <c r="BG155" s="52" t="str">
        <f aca="false">IF($E155="","",COUNTIF($E152:$E155,BD$21)+COUNTIF($E152:$E155,$A$3))</f>
        <v/>
      </c>
      <c r="BH155" s="53" t="str">
        <f aca="false">IF($F155="","",COUNTIF($F152:$F155,BD$21)+COUNTIF($F152:$F155,$A$3))</f>
        <v/>
      </c>
      <c r="BJ155" s="65" t="str">
        <f aca="false">IF($B155="","",COUNTIF($B152:$B155,BJ$21)+COUNTIF($B152:$B155,$A$3))</f>
        <v/>
      </c>
      <c r="BK155" s="52" t="str">
        <f aca="false">IF($C155="","",COUNTIF($C152:$C155,BJ$21)+COUNTIF($C152:$C155,$A$3))</f>
        <v/>
      </c>
      <c r="BL155" s="52" t="str">
        <f aca="false">IF($D155="","",COUNTIF($D152:$D155,BJ$21)+COUNTIF($D152:$D155,$A$3))</f>
        <v/>
      </c>
      <c r="BM155" s="52" t="str">
        <f aca="false">IF($E155="","",COUNTIF($E152:$E155,BJ$21)+COUNTIF($E152:$E155,$A$3))</f>
        <v/>
      </c>
      <c r="BN155" s="53" t="str">
        <f aca="false">IF($F155="","",COUNTIF($F152:$F155,BJ$21)+COUNTIF($F152:$F155,$A$3))</f>
        <v/>
      </c>
      <c r="BP155" s="65" t="str">
        <f aca="false">IF($B155="","",COUNTIF($B152:$B155,BP$21)+COUNTIF($B152:$B155,$A$3))</f>
        <v/>
      </c>
      <c r="BQ155" s="52" t="str">
        <f aca="false">IF($C155="","",COUNTIF($C152:$C155,BP$21)+COUNTIF($C152:$C155,$A$3))</f>
        <v/>
      </c>
      <c r="BR155" s="52" t="str">
        <f aca="false">IF($D155="","",COUNTIF($D152:$D155,BP$21)+COUNTIF($D152:$D155,$A$3))</f>
        <v/>
      </c>
      <c r="BS155" s="52" t="str">
        <f aca="false">IF($E155="","",COUNTIF($E152:$E155,BP$21)+COUNTIF($E152:$E155,$A$3))</f>
        <v/>
      </c>
      <c r="BT155" s="53" t="str">
        <f aca="false">IF($F155="","",COUNTIF($F152:$F155,BP$21)+COUNTIF($F152:$F155,$A$3))</f>
        <v/>
      </c>
    </row>
    <row r="156" customFormat="false" ht="15" hidden="false" customHeight="false" outlineLevel="0" collapsed="false">
      <c r="A156" s="13" t="n">
        <v>134</v>
      </c>
      <c r="B156" s="116" t="str">
        <f aca="false">IF('Game Info'!J139="","",'Game Info'!J139)</f>
        <v/>
      </c>
      <c r="C156" s="116" t="str">
        <f aca="false">IF('Game Info'!K139="","",'Game Info'!K139)</f>
        <v/>
      </c>
      <c r="D156" s="116" t="str">
        <f aca="false">IF('Game Info'!L139="","",'Game Info'!L139)</f>
        <v/>
      </c>
      <c r="E156" s="116" t="str">
        <f aca="false">IF('Game Info'!M139="","",'Game Info'!M139)</f>
        <v/>
      </c>
      <c r="F156" s="117" t="str">
        <f aca="false">IF('Game Info'!N139="","",'Game Info'!N139)</f>
        <v/>
      </c>
      <c r="H156" s="65" t="str">
        <f aca="false">IF($B156="","",COUNTIF($B153:$B156,H$21)+COUNTIF($B153:$B156,$A$3))</f>
        <v/>
      </c>
      <c r="I156" s="52" t="str">
        <f aca="false">IF($C156="","",COUNTIF($C153:$C156,H$21)+COUNTIF($C153:$C156,$A$3))</f>
        <v/>
      </c>
      <c r="J156" s="52" t="str">
        <f aca="false">IF($D156="","",COUNTIF($D153:$D156,H$21)+COUNTIF($D153:$D156,$A$3))</f>
        <v/>
      </c>
      <c r="K156" s="52" t="str">
        <f aca="false">IF($E156="","",COUNTIF($E153:$E156,H$21)+COUNTIF($E153:$E156,$A$3))</f>
        <v/>
      </c>
      <c r="L156" s="53" t="str">
        <f aca="false">IF($F156="","",COUNTIF($F153:$F156,H$21)+COUNTIF($F153:$F156,$A$3))</f>
        <v/>
      </c>
      <c r="N156" s="65" t="str">
        <f aca="false">IF($B156="","",COUNTIF($B153:$B156,N$21)+COUNTIF($B153:$B156,$A$3))</f>
        <v/>
      </c>
      <c r="O156" s="52" t="str">
        <f aca="false">IF($C156="","",COUNTIF($C153:$C156,N$21)+COUNTIF($C153:$C156,$A$3))</f>
        <v/>
      </c>
      <c r="P156" s="52" t="str">
        <f aca="false">IF($D156="","",COUNTIF($D153:$D156,N$21)+COUNTIF($D153:$D156,$A$3))</f>
        <v/>
      </c>
      <c r="Q156" s="52" t="str">
        <f aca="false">IF($E156="","",COUNTIF($E153:$E156,N$21)+COUNTIF($E153:$E156,$A$3))</f>
        <v/>
      </c>
      <c r="R156" s="53" t="str">
        <f aca="false">IF($F156="","",COUNTIF($F153:$F156,N$21)+COUNTIF($F153:$F156,$A$3))</f>
        <v/>
      </c>
      <c r="T156" s="65" t="str">
        <f aca="false">IF($B156="","",COUNTIF($B153:$B156,T$21)+COUNTIF($B153:$B156,$A$3))</f>
        <v/>
      </c>
      <c r="U156" s="52" t="str">
        <f aca="false">IF($C156="","",COUNTIF($C153:$C156,T$21)+COUNTIF($C153:$C156,$A$3))</f>
        <v/>
      </c>
      <c r="V156" s="52" t="str">
        <f aca="false">IF($D156="","",COUNTIF($D153:$D156,T$21)+COUNTIF($D153:$D156,$A$3))</f>
        <v/>
      </c>
      <c r="W156" s="52" t="str">
        <f aca="false">IF($E156="","",COUNTIF($E153:$E156,T$21)+COUNTIF($E153:$E156,$A$3))</f>
        <v/>
      </c>
      <c r="X156" s="53" t="str">
        <f aca="false">IF($F156="","",COUNTIF($F153:$F156,T$21)+COUNTIF($F153:$F156,$A$3))</f>
        <v/>
      </c>
      <c r="Z156" s="65" t="str">
        <f aca="false">IF($B156="","",COUNTIF($B153:$B156,Z$21)+COUNTIF($B153:$B156,$A$3))</f>
        <v/>
      </c>
      <c r="AA156" s="52" t="str">
        <f aca="false">IF($C156="","",COUNTIF($C153:$C156,Z$21)+COUNTIF($C153:$C156,$A$3))</f>
        <v/>
      </c>
      <c r="AB156" s="52" t="str">
        <f aca="false">IF($D156="","",COUNTIF($D153:$D156,Z$21)+COUNTIF($D153:$D156,$A$3))</f>
        <v/>
      </c>
      <c r="AC156" s="52" t="str">
        <f aca="false">IF($E156="","",COUNTIF($E153:$E156,Z$21)+COUNTIF($E153:$E156,$A$3))</f>
        <v/>
      </c>
      <c r="AD156" s="53" t="str">
        <f aca="false">IF($F156="","",COUNTIF($F153:$F156,Z$21)+COUNTIF($F153:$F156,$A$3))</f>
        <v/>
      </c>
      <c r="AF156" s="65" t="str">
        <f aca="false">IF($B156="","",COUNTIF($B153:$B156,AF$21)+COUNTIF($B153:$B156,$A$3))</f>
        <v/>
      </c>
      <c r="AG156" s="52" t="str">
        <f aca="false">IF($C156="","",COUNTIF($C153:$C156,AF$21)+COUNTIF($C153:$C156,$A$3))</f>
        <v/>
      </c>
      <c r="AH156" s="52" t="str">
        <f aca="false">IF($D156="","",COUNTIF($D153:$D156,AF$21)+COUNTIF($D153:$D156,$A$3))</f>
        <v/>
      </c>
      <c r="AI156" s="52" t="str">
        <f aca="false">IF($E156="","",COUNTIF($E153:$E156,AF$21)+COUNTIF($E153:$E156,$A$3))</f>
        <v/>
      </c>
      <c r="AJ156" s="53" t="str">
        <f aca="false">IF($F156="","",COUNTIF($F153:$F156,AF$21)+COUNTIF($F153:$F156,$A$3))</f>
        <v/>
      </c>
      <c r="AL156" s="65" t="str">
        <f aca="false">IF($B156="","",COUNTIF($B153:$B156,AL$21)+COUNTIF($B153:$B156,$A$3))</f>
        <v/>
      </c>
      <c r="AM156" s="52" t="str">
        <f aca="false">IF($C156="","",COUNTIF($C153:$C156,AL$21)+COUNTIF($C153:$C156,$A$3))</f>
        <v/>
      </c>
      <c r="AN156" s="52" t="str">
        <f aca="false">IF($D156="","",COUNTIF($D153:$D156,AL$21)+COUNTIF($D153:$D156,$A$3))</f>
        <v/>
      </c>
      <c r="AO156" s="52" t="str">
        <f aca="false">IF($E156="","",COUNTIF($E153:$E156,AL$21)+COUNTIF($E153:$E156,$A$3))</f>
        <v/>
      </c>
      <c r="AP156" s="53" t="str">
        <f aca="false">IF($F156="","",COUNTIF($F153:$F156,AL$21)+COUNTIF($F153:$F156,$A$3))</f>
        <v/>
      </c>
      <c r="AR156" s="65" t="str">
        <f aca="false">IF($B156="","",COUNTIF($B153:$B156,AR$21)+COUNTIF($B153:$B156,$A$3))</f>
        <v/>
      </c>
      <c r="AS156" s="52" t="str">
        <f aca="false">IF($C156="","",COUNTIF($C153:$C156,AR$21)+COUNTIF($C153:$C156,$A$3))</f>
        <v/>
      </c>
      <c r="AT156" s="52" t="str">
        <f aca="false">IF($D156="","",COUNTIF($D153:$D156,AR$21)+COUNTIF($D153:$D156,$A$3))</f>
        <v/>
      </c>
      <c r="AU156" s="52" t="str">
        <f aca="false">IF($E156="","",COUNTIF($E153:$E156,AR$21)+COUNTIF($E153:$E156,$A$3))</f>
        <v/>
      </c>
      <c r="AV156" s="53" t="str">
        <f aca="false">IF($F156="","",COUNTIF($F153:$F156,AR$21)+COUNTIF($F153:$F156,$A$3))</f>
        <v/>
      </c>
      <c r="AX156" s="65" t="str">
        <f aca="false">IF($B156="","",COUNTIF($B153:$B156,AX$21)+COUNTIF($B153:$B156,$A$3))</f>
        <v/>
      </c>
      <c r="AY156" s="52" t="str">
        <f aca="false">IF($C156="","",COUNTIF($C153:$C156,AX$21)+COUNTIF($C153:$C156,$A$3))</f>
        <v/>
      </c>
      <c r="AZ156" s="52" t="str">
        <f aca="false">IF($D156="","",COUNTIF($D153:$D156,AX$21)+COUNTIF($D153:$D156,$A$3))</f>
        <v/>
      </c>
      <c r="BA156" s="52" t="str">
        <f aca="false">IF($E156="","",COUNTIF($E153:$E156,AX$21)+COUNTIF($E153:$E156,$A$3))</f>
        <v/>
      </c>
      <c r="BB156" s="53" t="str">
        <f aca="false">IF($F156="","",COUNTIF($F153:$F156,AX$21)+COUNTIF($F153:$F156,$A$3))</f>
        <v/>
      </c>
      <c r="BD156" s="65" t="str">
        <f aca="false">IF($B156="","",COUNTIF($B153:$B156,BD$21)+COUNTIF($B153:$B156,$A$3))</f>
        <v/>
      </c>
      <c r="BE156" s="52" t="str">
        <f aca="false">IF($C156="","",COUNTIF($C153:$C156,BD$21)+COUNTIF($C153:$C156,$A$3))</f>
        <v/>
      </c>
      <c r="BF156" s="52" t="str">
        <f aca="false">IF($D156="","",COUNTIF($D153:$D156,BD$21)+COUNTIF($D153:$D156,$A$3))</f>
        <v/>
      </c>
      <c r="BG156" s="52" t="str">
        <f aca="false">IF($E156="","",COUNTIF($E153:$E156,BD$21)+COUNTIF($E153:$E156,$A$3))</f>
        <v/>
      </c>
      <c r="BH156" s="53" t="str">
        <f aca="false">IF($F156="","",COUNTIF($F153:$F156,BD$21)+COUNTIF($F153:$F156,$A$3))</f>
        <v/>
      </c>
      <c r="BJ156" s="65" t="str">
        <f aca="false">IF($B156="","",COUNTIF($B153:$B156,BJ$21)+COUNTIF($B153:$B156,$A$3))</f>
        <v/>
      </c>
      <c r="BK156" s="52" t="str">
        <f aca="false">IF($C156="","",COUNTIF($C153:$C156,BJ$21)+COUNTIF($C153:$C156,$A$3))</f>
        <v/>
      </c>
      <c r="BL156" s="52" t="str">
        <f aca="false">IF($D156="","",COUNTIF($D153:$D156,BJ$21)+COUNTIF($D153:$D156,$A$3))</f>
        <v/>
      </c>
      <c r="BM156" s="52" t="str">
        <f aca="false">IF($E156="","",COUNTIF($E153:$E156,BJ$21)+COUNTIF($E153:$E156,$A$3))</f>
        <v/>
      </c>
      <c r="BN156" s="53" t="str">
        <f aca="false">IF($F156="","",COUNTIF($F153:$F156,BJ$21)+COUNTIF($F153:$F156,$A$3))</f>
        <v/>
      </c>
      <c r="BP156" s="65" t="str">
        <f aca="false">IF($B156="","",COUNTIF($B153:$B156,BP$21)+COUNTIF($B153:$B156,$A$3))</f>
        <v/>
      </c>
      <c r="BQ156" s="52" t="str">
        <f aca="false">IF($C156="","",COUNTIF($C153:$C156,BP$21)+COUNTIF($C153:$C156,$A$3))</f>
        <v/>
      </c>
      <c r="BR156" s="52" t="str">
        <f aca="false">IF($D156="","",COUNTIF($D153:$D156,BP$21)+COUNTIF($D153:$D156,$A$3))</f>
        <v/>
      </c>
      <c r="BS156" s="52" t="str">
        <f aca="false">IF($E156="","",COUNTIF($E153:$E156,BP$21)+COUNTIF($E153:$E156,$A$3))</f>
        <v/>
      </c>
      <c r="BT156" s="53" t="str">
        <f aca="false">IF($F156="","",COUNTIF($F153:$F156,BP$21)+COUNTIF($F153:$F156,$A$3))</f>
        <v/>
      </c>
    </row>
    <row r="157" customFormat="false" ht="15" hidden="false" customHeight="false" outlineLevel="0" collapsed="false">
      <c r="A157" s="13" t="n">
        <v>135</v>
      </c>
      <c r="B157" s="116" t="str">
        <f aca="false">IF('Game Info'!J140="","",'Game Info'!J140)</f>
        <v/>
      </c>
      <c r="C157" s="116" t="str">
        <f aca="false">IF('Game Info'!K140="","",'Game Info'!K140)</f>
        <v/>
      </c>
      <c r="D157" s="116" t="str">
        <f aca="false">IF('Game Info'!L140="","",'Game Info'!L140)</f>
        <v/>
      </c>
      <c r="E157" s="116" t="str">
        <f aca="false">IF('Game Info'!M140="","",'Game Info'!M140)</f>
        <v/>
      </c>
      <c r="F157" s="117" t="str">
        <f aca="false">IF('Game Info'!N140="","",'Game Info'!N140)</f>
        <v/>
      </c>
      <c r="H157" s="65" t="str">
        <f aca="false">IF($B157="","",COUNTIF($B154:$B157,H$21)+COUNTIF($B154:$B157,$A$3))</f>
        <v/>
      </c>
      <c r="I157" s="52" t="str">
        <f aca="false">IF($C157="","",COUNTIF($C154:$C157,H$21)+COUNTIF($C154:$C157,$A$3))</f>
        <v/>
      </c>
      <c r="J157" s="52" t="str">
        <f aca="false">IF($D157="","",COUNTIF($D154:$D157,H$21)+COUNTIF($D154:$D157,$A$3))</f>
        <v/>
      </c>
      <c r="K157" s="52" t="str">
        <f aca="false">IF($E157="","",COUNTIF($E154:$E157,H$21)+COUNTIF($E154:$E157,$A$3))</f>
        <v/>
      </c>
      <c r="L157" s="53" t="str">
        <f aca="false">IF($F157="","",COUNTIF($F154:$F157,H$21)+COUNTIF($F154:$F157,$A$3))</f>
        <v/>
      </c>
      <c r="N157" s="65" t="str">
        <f aca="false">IF($B157="","",COUNTIF($B154:$B157,N$21)+COUNTIF($B154:$B157,$A$3))</f>
        <v/>
      </c>
      <c r="O157" s="52" t="str">
        <f aca="false">IF($C157="","",COUNTIF($C154:$C157,N$21)+COUNTIF($C154:$C157,$A$3))</f>
        <v/>
      </c>
      <c r="P157" s="52" t="str">
        <f aca="false">IF($D157="","",COUNTIF($D154:$D157,N$21)+COUNTIF($D154:$D157,$A$3))</f>
        <v/>
      </c>
      <c r="Q157" s="52" t="str">
        <f aca="false">IF($E157="","",COUNTIF($E154:$E157,N$21)+COUNTIF($E154:$E157,$A$3))</f>
        <v/>
      </c>
      <c r="R157" s="53" t="str">
        <f aca="false">IF($F157="","",COUNTIF($F154:$F157,N$21)+COUNTIF($F154:$F157,$A$3))</f>
        <v/>
      </c>
      <c r="T157" s="65" t="str">
        <f aca="false">IF($B157="","",COUNTIF($B154:$B157,T$21)+COUNTIF($B154:$B157,$A$3))</f>
        <v/>
      </c>
      <c r="U157" s="52" t="str">
        <f aca="false">IF($C157="","",COUNTIF($C154:$C157,T$21)+COUNTIF($C154:$C157,$A$3))</f>
        <v/>
      </c>
      <c r="V157" s="52" t="str">
        <f aca="false">IF($D157="","",COUNTIF($D154:$D157,T$21)+COUNTIF($D154:$D157,$A$3))</f>
        <v/>
      </c>
      <c r="W157" s="52" t="str">
        <f aca="false">IF($E157="","",COUNTIF($E154:$E157,T$21)+COUNTIF($E154:$E157,$A$3))</f>
        <v/>
      </c>
      <c r="X157" s="53" t="str">
        <f aca="false">IF($F157="","",COUNTIF($F154:$F157,T$21)+COUNTIF($F154:$F157,$A$3))</f>
        <v/>
      </c>
      <c r="Z157" s="65" t="str">
        <f aca="false">IF($B157="","",COUNTIF($B154:$B157,Z$21)+COUNTIF($B154:$B157,$A$3))</f>
        <v/>
      </c>
      <c r="AA157" s="52" t="str">
        <f aca="false">IF($C157="","",COUNTIF($C154:$C157,Z$21)+COUNTIF($C154:$C157,$A$3))</f>
        <v/>
      </c>
      <c r="AB157" s="52" t="str">
        <f aca="false">IF($D157="","",COUNTIF($D154:$D157,Z$21)+COUNTIF($D154:$D157,$A$3))</f>
        <v/>
      </c>
      <c r="AC157" s="52" t="str">
        <f aca="false">IF($E157="","",COUNTIF($E154:$E157,Z$21)+COUNTIF($E154:$E157,$A$3))</f>
        <v/>
      </c>
      <c r="AD157" s="53" t="str">
        <f aca="false">IF($F157="","",COUNTIF($F154:$F157,Z$21)+COUNTIF($F154:$F157,$A$3))</f>
        <v/>
      </c>
      <c r="AF157" s="65" t="str">
        <f aca="false">IF($B157="","",COUNTIF($B154:$B157,AF$21)+COUNTIF($B154:$B157,$A$3))</f>
        <v/>
      </c>
      <c r="AG157" s="52" t="str">
        <f aca="false">IF($C157="","",COUNTIF($C154:$C157,AF$21)+COUNTIF($C154:$C157,$A$3))</f>
        <v/>
      </c>
      <c r="AH157" s="52" t="str">
        <f aca="false">IF($D157="","",COUNTIF($D154:$D157,AF$21)+COUNTIF($D154:$D157,$A$3))</f>
        <v/>
      </c>
      <c r="AI157" s="52" t="str">
        <f aca="false">IF($E157="","",COUNTIF($E154:$E157,AF$21)+COUNTIF($E154:$E157,$A$3))</f>
        <v/>
      </c>
      <c r="AJ157" s="53" t="str">
        <f aca="false">IF($F157="","",COUNTIF($F154:$F157,AF$21)+COUNTIF($F154:$F157,$A$3))</f>
        <v/>
      </c>
      <c r="AL157" s="65" t="str">
        <f aca="false">IF($B157="","",COUNTIF($B154:$B157,AL$21)+COUNTIF($B154:$B157,$A$3))</f>
        <v/>
      </c>
      <c r="AM157" s="52" t="str">
        <f aca="false">IF($C157="","",COUNTIF($C154:$C157,AL$21)+COUNTIF($C154:$C157,$A$3))</f>
        <v/>
      </c>
      <c r="AN157" s="52" t="str">
        <f aca="false">IF($D157="","",COUNTIF($D154:$D157,AL$21)+COUNTIF($D154:$D157,$A$3))</f>
        <v/>
      </c>
      <c r="AO157" s="52" t="str">
        <f aca="false">IF($E157="","",COUNTIF($E154:$E157,AL$21)+COUNTIF($E154:$E157,$A$3))</f>
        <v/>
      </c>
      <c r="AP157" s="53" t="str">
        <f aca="false">IF($F157="","",COUNTIF($F154:$F157,AL$21)+COUNTIF($F154:$F157,$A$3))</f>
        <v/>
      </c>
      <c r="AR157" s="65" t="str">
        <f aca="false">IF($B157="","",COUNTIF($B154:$B157,AR$21)+COUNTIF($B154:$B157,$A$3))</f>
        <v/>
      </c>
      <c r="AS157" s="52" t="str">
        <f aca="false">IF($C157="","",COUNTIF($C154:$C157,AR$21)+COUNTIF($C154:$C157,$A$3))</f>
        <v/>
      </c>
      <c r="AT157" s="52" t="str">
        <f aca="false">IF($D157="","",COUNTIF($D154:$D157,AR$21)+COUNTIF($D154:$D157,$A$3))</f>
        <v/>
      </c>
      <c r="AU157" s="52" t="str">
        <f aca="false">IF($E157="","",COUNTIF($E154:$E157,AR$21)+COUNTIF($E154:$E157,$A$3))</f>
        <v/>
      </c>
      <c r="AV157" s="53" t="str">
        <f aca="false">IF($F157="","",COUNTIF($F154:$F157,AR$21)+COUNTIF($F154:$F157,$A$3))</f>
        <v/>
      </c>
      <c r="AX157" s="65" t="str">
        <f aca="false">IF($B157="","",COUNTIF($B154:$B157,AX$21)+COUNTIF($B154:$B157,$A$3))</f>
        <v/>
      </c>
      <c r="AY157" s="52" t="str">
        <f aca="false">IF($C157="","",COUNTIF($C154:$C157,AX$21)+COUNTIF($C154:$C157,$A$3))</f>
        <v/>
      </c>
      <c r="AZ157" s="52" t="str">
        <f aca="false">IF($D157="","",COUNTIF($D154:$D157,AX$21)+COUNTIF($D154:$D157,$A$3))</f>
        <v/>
      </c>
      <c r="BA157" s="52" t="str">
        <f aca="false">IF($E157="","",COUNTIF($E154:$E157,AX$21)+COUNTIF($E154:$E157,$A$3))</f>
        <v/>
      </c>
      <c r="BB157" s="53" t="str">
        <f aca="false">IF($F157="","",COUNTIF($F154:$F157,AX$21)+COUNTIF($F154:$F157,$A$3))</f>
        <v/>
      </c>
      <c r="BD157" s="65" t="str">
        <f aca="false">IF($B157="","",COUNTIF($B154:$B157,BD$21)+COUNTIF($B154:$B157,$A$3))</f>
        <v/>
      </c>
      <c r="BE157" s="52" t="str">
        <f aca="false">IF($C157="","",COUNTIF($C154:$C157,BD$21)+COUNTIF($C154:$C157,$A$3))</f>
        <v/>
      </c>
      <c r="BF157" s="52" t="str">
        <f aca="false">IF($D157="","",COUNTIF($D154:$D157,BD$21)+COUNTIF($D154:$D157,$A$3))</f>
        <v/>
      </c>
      <c r="BG157" s="52" t="str">
        <f aca="false">IF($E157="","",COUNTIF($E154:$E157,BD$21)+COUNTIF($E154:$E157,$A$3))</f>
        <v/>
      </c>
      <c r="BH157" s="53" t="str">
        <f aca="false">IF($F157="","",COUNTIF($F154:$F157,BD$21)+COUNTIF($F154:$F157,$A$3))</f>
        <v/>
      </c>
      <c r="BJ157" s="65" t="str">
        <f aca="false">IF($B157="","",COUNTIF($B154:$B157,BJ$21)+COUNTIF($B154:$B157,$A$3))</f>
        <v/>
      </c>
      <c r="BK157" s="52" t="str">
        <f aca="false">IF($C157="","",COUNTIF($C154:$C157,BJ$21)+COUNTIF($C154:$C157,$A$3))</f>
        <v/>
      </c>
      <c r="BL157" s="52" t="str">
        <f aca="false">IF($D157="","",COUNTIF($D154:$D157,BJ$21)+COUNTIF($D154:$D157,$A$3))</f>
        <v/>
      </c>
      <c r="BM157" s="52" t="str">
        <f aca="false">IF($E157="","",COUNTIF($E154:$E157,BJ$21)+COUNTIF($E154:$E157,$A$3))</f>
        <v/>
      </c>
      <c r="BN157" s="53" t="str">
        <f aca="false">IF($F157="","",COUNTIF($F154:$F157,BJ$21)+COUNTIF($F154:$F157,$A$3))</f>
        <v/>
      </c>
      <c r="BP157" s="65" t="str">
        <f aca="false">IF($B157="","",COUNTIF($B154:$B157,BP$21)+COUNTIF($B154:$B157,$A$3))</f>
        <v/>
      </c>
      <c r="BQ157" s="52" t="str">
        <f aca="false">IF($C157="","",COUNTIF($C154:$C157,BP$21)+COUNTIF($C154:$C157,$A$3))</f>
        <v/>
      </c>
      <c r="BR157" s="52" t="str">
        <f aca="false">IF($D157="","",COUNTIF($D154:$D157,BP$21)+COUNTIF($D154:$D157,$A$3))</f>
        <v/>
      </c>
      <c r="BS157" s="52" t="str">
        <f aca="false">IF($E157="","",COUNTIF($E154:$E157,BP$21)+COUNTIF($E154:$E157,$A$3))</f>
        <v/>
      </c>
      <c r="BT157" s="53" t="str">
        <f aca="false">IF($F157="","",COUNTIF($F154:$F157,BP$21)+COUNTIF($F154:$F157,$A$3))</f>
        <v/>
      </c>
    </row>
    <row r="158" customFormat="false" ht="15" hidden="false" customHeight="false" outlineLevel="0" collapsed="false">
      <c r="A158" s="13" t="n">
        <v>136</v>
      </c>
      <c r="B158" s="116" t="str">
        <f aca="false">IF('Game Info'!J141="","",'Game Info'!J141)</f>
        <v/>
      </c>
      <c r="C158" s="116" t="str">
        <f aca="false">IF('Game Info'!K141="","",'Game Info'!K141)</f>
        <v/>
      </c>
      <c r="D158" s="116" t="str">
        <f aca="false">IF('Game Info'!L141="","",'Game Info'!L141)</f>
        <v/>
      </c>
      <c r="E158" s="116" t="str">
        <f aca="false">IF('Game Info'!M141="","",'Game Info'!M141)</f>
        <v/>
      </c>
      <c r="F158" s="117" t="str">
        <f aca="false">IF('Game Info'!N141="","",'Game Info'!N141)</f>
        <v/>
      </c>
      <c r="H158" s="65" t="str">
        <f aca="false">IF($B158="","",COUNTIF($B155:$B158,H$21)+COUNTIF($B155:$B158,$A$3))</f>
        <v/>
      </c>
      <c r="I158" s="52" t="str">
        <f aca="false">IF($C158="","",COUNTIF($C155:$C158,H$21)+COUNTIF($C155:$C158,$A$3))</f>
        <v/>
      </c>
      <c r="J158" s="52" t="str">
        <f aca="false">IF($D158="","",COUNTIF($D155:$D158,H$21)+COUNTIF($D155:$D158,$A$3))</f>
        <v/>
      </c>
      <c r="K158" s="52" t="str">
        <f aca="false">IF($E158="","",COUNTIF($E155:$E158,H$21)+COUNTIF($E155:$E158,$A$3))</f>
        <v/>
      </c>
      <c r="L158" s="53" t="str">
        <f aca="false">IF($F158="","",COUNTIF($F155:$F158,H$21)+COUNTIF($F155:$F158,$A$3))</f>
        <v/>
      </c>
      <c r="N158" s="65" t="str">
        <f aca="false">IF($B158="","",COUNTIF($B155:$B158,N$21)+COUNTIF($B155:$B158,$A$3))</f>
        <v/>
      </c>
      <c r="O158" s="52" t="str">
        <f aca="false">IF($C158="","",COUNTIF($C155:$C158,N$21)+COUNTIF($C155:$C158,$A$3))</f>
        <v/>
      </c>
      <c r="P158" s="52" t="str">
        <f aca="false">IF($D158="","",COUNTIF($D155:$D158,N$21)+COUNTIF($D155:$D158,$A$3))</f>
        <v/>
      </c>
      <c r="Q158" s="52" t="str">
        <f aca="false">IF($E158="","",COUNTIF($E155:$E158,N$21)+COUNTIF($E155:$E158,$A$3))</f>
        <v/>
      </c>
      <c r="R158" s="53" t="str">
        <f aca="false">IF($F158="","",COUNTIF($F155:$F158,N$21)+COUNTIF($F155:$F158,$A$3))</f>
        <v/>
      </c>
      <c r="T158" s="65" t="str">
        <f aca="false">IF($B158="","",COUNTIF($B155:$B158,T$21)+COUNTIF($B155:$B158,$A$3))</f>
        <v/>
      </c>
      <c r="U158" s="52" t="str">
        <f aca="false">IF($C158="","",COUNTIF($C155:$C158,T$21)+COUNTIF($C155:$C158,$A$3))</f>
        <v/>
      </c>
      <c r="V158" s="52" t="str">
        <f aca="false">IF($D158="","",COUNTIF($D155:$D158,T$21)+COUNTIF($D155:$D158,$A$3))</f>
        <v/>
      </c>
      <c r="W158" s="52" t="str">
        <f aca="false">IF($E158="","",COUNTIF($E155:$E158,T$21)+COUNTIF($E155:$E158,$A$3))</f>
        <v/>
      </c>
      <c r="X158" s="53" t="str">
        <f aca="false">IF($F158="","",COUNTIF($F155:$F158,T$21)+COUNTIF($F155:$F158,$A$3))</f>
        <v/>
      </c>
      <c r="Z158" s="65" t="str">
        <f aca="false">IF($B158="","",COUNTIF($B155:$B158,Z$21)+COUNTIF($B155:$B158,$A$3))</f>
        <v/>
      </c>
      <c r="AA158" s="52" t="str">
        <f aca="false">IF($C158="","",COUNTIF($C155:$C158,Z$21)+COUNTIF($C155:$C158,$A$3))</f>
        <v/>
      </c>
      <c r="AB158" s="52" t="str">
        <f aca="false">IF($D158="","",COUNTIF($D155:$D158,Z$21)+COUNTIF($D155:$D158,$A$3))</f>
        <v/>
      </c>
      <c r="AC158" s="52" t="str">
        <f aca="false">IF($E158="","",COUNTIF($E155:$E158,Z$21)+COUNTIF($E155:$E158,$A$3))</f>
        <v/>
      </c>
      <c r="AD158" s="53" t="str">
        <f aca="false">IF($F158="","",COUNTIF($F155:$F158,Z$21)+COUNTIF($F155:$F158,$A$3))</f>
        <v/>
      </c>
      <c r="AF158" s="65" t="str">
        <f aca="false">IF($B158="","",COUNTIF($B155:$B158,AF$21)+COUNTIF($B155:$B158,$A$3))</f>
        <v/>
      </c>
      <c r="AG158" s="52" t="str">
        <f aca="false">IF($C158="","",COUNTIF($C155:$C158,AF$21)+COUNTIF($C155:$C158,$A$3))</f>
        <v/>
      </c>
      <c r="AH158" s="52" t="str">
        <f aca="false">IF($D158="","",COUNTIF($D155:$D158,AF$21)+COUNTIF($D155:$D158,$A$3))</f>
        <v/>
      </c>
      <c r="AI158" s="52" t="str">
        <f aca="false">IF($E158="","",COUNTIF($E155:$E158,AF$21)+COUNTIF($E155:$E158,$A$3))</f>
        <v/>
      </c>
      <c r="AJ158" s="53" t="str">
        <f aca="false">IF($F158="","",COUNTIF($F155:$F158,AF$21)+COUNTIF($F155:$F158,$A$3))</f>
        <v/>
      </c>
      <c r="AL158" s="65" t="str">
        <f aca="false">IF($B158="","",COUNTIF($B155:$B158,AL$21)+COUNTIF($B155:$B158,$A$3))</f>
        <v/>
      </c>
      <c r="AM158" s="52" t="str">
        <f aca="false">IF($C158="","",COUNTIF($C155:$C158,AL$21)+COUNTIF($C155:$C158,$A$3))</f>
        <v/>
      </c>
      <c r="AN158" s="52" t="str">
        <f aca="false">IF($D158="","",COUNTIF($D155:$D158,AL$21)+COUNTIF($D155:$D158,$A$3))</f>
        <v/>
      </c>
      <c r="AO158" s="52" t="str">
        <f aca="false">IF($E158="","",COUNTIF($E155:$E158,AL$21)+COUNTIF($E155:$E158,$A$3))</f>
        <v/>
      </c>
      <c r="AP158" s="53" t="str">
        <f aca="false">IF($F158="","",COUNTIF($F155:$F158,AL$21)+COUNTIF($F155:$F158,$A$3))</f>
        <v/>
      </c>
      <c r="AR158" s="65" t="str">
        <f aca="false">IF($B158="","",COUNTIF($B155:$B158,AR$21)+COUNTIF($B155:$B158,$A$3))</f>
        <v/>
      </c>
      <c r="AS158" s="52" t="str">
        <f aca="false">IF($C158="","",COUNTIF($C155:$C158,AR$21)+COUNTIF($C155:$C158,$A$3))</f>
        <v/>
      </c>
      <c r="AT158" s="52" t="str">
        <f aca="false">IF($D158="","",COUNTIF($D155:$D158,AR$21)+COUNTIF($D155:$D158,$A$3))</f>
        <v/>
      </c>
      <c r="AU158" s="52" t="str">
        <f aca="false">IF($E158="","",COUNTIF($E155:$E158,AR$21)+COUNTIF($E155:$E158,$A$3))</f>
        <v/>
      </c>
      <c r="AV158" s="53" t="str">
        <f aca="false">IF($F158="","",COUNTIF($F155:$F158,AR$21)+COUNTIF($F155:$F158,$A$3))</f>
        <v/>
      </c>
      <c r="AX158" s="65" t="str">
        <f aca="false">IF($B158="","",COUNTIF($B155:$B158,AX$21)+COUNTIF($B155:$B158,$A$3))</f>
        <v/>
      </c>
      <c r="AY158" s="52" t="str">
        <f aca="false">IF($C158="","",COUNTIF($C155:$C158,AX$21)+COUNTIF($C155:$C158,$A$3))</f>
        <v/>
      </c>
      <c r="AZ158" s="52" t="str">
        <f aca="false">IF($D158="","",COUNTIF($D155:$D158,AX$21)+COUNTIF($D155:$D158,$A$3))</f>
        <v/>
      </c>
      <c r="BA158" s="52" t="str">
        <f aca="false">IF($E158="","",COUNTIF($E155:$E158,AX$21)+COUNTIF($E155:$E158,$A$3))</f>
        <v/>
      </c>
      <c r="BB158" s="53" t="str">
        <f aca="false">IF($F158="","",COUNTIF($F155:$F158,AX$21)+COUNTIF($F155:$F158,$A$3))</f>
        <v/>
      </c>
      <c r="BD158" s="65" t="str">
        <f aca="false">IF($B158="","",COUNTIF($B155:$B158,BD$21)+COUNTIF($B155:$B158,$A$3))</f>
        <v/>
      </c>
      <c r="BE158" s="52" t="str">
        <f aca="false">IF($C158="","",COUNTIF($C155:$C158,BD$21)+COUNTIF($C155:$C158,$A$3))</f>
        <v/>
      </c>
      <c r="BF158" s="52" t="str">
        <f aca="false">IF($D158="","",COUNTIF($D155:$D158,BD$21)+COUNTIF($D155:$D158,$A$3))</f>
        <v/>
      </c>
      <c r="BG158" s="52" t="str">
        <f aca="false">IF($E158="","",COUNTIF($E155:$E158,BD$21)+COUNTIF($E155:$E158,$A$3))</f>
        <v/>
      </c>
      <c r="BH158" s="53" t="str">
        <f aca="false">IF($F158="","",COUNTIF($F155:$F158,BD$21)+COUNTIF($F155:$F158,$A$3))</f>
        <v/>
      </c>
      <c r="BJ158" s="65" t="str">
        <f aca="false">IF($B158="","",COUNTIF($B155:$B158,BJ$21)+COUNTIF($B155:$B158,$A$3))</f>
        <v/>
      </c>
      <c r="BK158" s="52" t="str">
        <f aca="false">IF($C158="","",COUNTIF($C155:$C158,BJ$21)+COUNTIF($C155:$C158,$A$3))</f>
        <v/>
      </c>
      <c r="BL158" s="52" t="str">
        <f aca="false">IF($D158="","",COUNTIF($D155:$D158,BJ$21)+COUNTIF($D155:$D158,$A$3))</f>
        <v/>
      </c>
      <c r="BM158" s="52" t="str">
        <f aca="false">IF($E158="","",COUNTIF($E155:$E158,BJ$21)+COUNTIF($E155:$E158,$A$3))</f>
        <v/>
      </c>
      <c r="BN158" s="53" t="str">
        <f aca="false">IF($F158="","",COUNTIF($F155:$F158,BJ$21)+COUNTIF($F155:$F158,$A$3))</f>
        <v/>
      </c>
      <c r="BP158" s="65" t="str">
        <f aca="false">IF($B158="","",COUNTIF($B155:$B158,BP$21)+COUNTIF($B155:$B158,$A$3))</f>
        <v/>
      </c>
      <c r="BQ158" s="52" t="str">
        <f aca="false">IF($C158="","",COUNTIF($C155:$C158,BP$21)+COUNTIF($C155:$C158,$A$3))</f>
        <v/>
      </c>
      <c r="BR158" s="52" t="str">
        <f aca="false">IF($D158="","",COUNTIF($D155:$D158,BP$21)+COUNTIF($D155:$D158,$A$3))</f>
        <v/>
      </c>
      <c r="BS158" s="52" t="str">
        <f aca="false">IF($E158="","",COUNTIF($E155:$E158,BP$21)+COUNTIF($E155:$E158,$A$3))</f>
        <v/>
      </c>
      <c r="BT158" s="53" t="str">
        <f aca="false">IF($F158="","",COUNTIF($F155:$F158,BP$21)+COUNTIF($F155:$F158,$A$3))</f>
        <v/>
      </c>
    </row>
    <row r="159" customFormat="false" ht="15" hidden="false" customHeight="false" outlineLevel="0" collapsed="false">
      <c r="A159" s="13" t="n">
        <v>137</v>
      </c>
      <c r="B159" s="116" t="str">
        <f aca="false">IF('Game Info'!J142="","",'Game Info'!J142)</f>
        <v/>
      </c>
      <c r="C159" s="116" t="str">
        <f aca="false">IF('Game Info'!K142="","",'Game Info'!K142)</f>
        <v/>
      </c>
      <c r="D159" s="116" t="str">
        <f aca="false">IF('Game Info'!L142="","",'Game Info'!L142)</f>
        <v/>
      </c>
      <c r="E159" s="116" t="str">
        <f aca="false">IF('Game Info'!M142="","",'Game Info'!M142)</f>
        <v/>
      </c>
      <c r="F159" s="117" t="str">
        <f aca="false">IF('Game Info'!N142="","",'Game Info'!N142)</f>
        <v/>
      </c>
      <c r="H159" s="65" t="str">
        <f aca="false">IF($B159="","",COUNTIF($B156:$B159,H$21)+COUNTIF($B156:$B159,$A$3))</f>
        <v/>
      </c>
      <c r="I159" s="52" t="str">
        <f aca="false">IF($C159="","",COUNTIF($C156:$C159,H$21)+COUNTIF($C156:$C159,$A$3))</f>
        <v/>
      </c>
      <c r="J159" s="52" t="str">
        <f aca="false">IF($D159="","",COUNTIF($D156:$D159,H$21)+COUNTIF($D156:$D159,$A$3))</f>
        <v/>
      </c>
      <c r="K159" s="52" t="str">
        <f aca="false">IF($E159="","",COUNTIF($E156:$E159,H$21)+COUNTIF($E156:$E159,$A$3))</f>
        <v/>
      </c>
      <c r="L159" s="53" t="str">
        <f aca="false">IF($F159="","",COUNTIF($F156:$F159,H$21)+COUNTIF($F156:$F159,$A$3))</f>
        <v/>
      </c>
      <c r="N159" s="65" t="str">
        <f aca="false">IF($B159="","",COUNTIF($B156:$B159,N$21)+COUNTIF($B156:$B159,$A$3))</f>
        <v/>
      </c>
      <c r="O159" s="52" t="str">
        <f aca="false">IF($C159="","",COUNTIF($C156:$C159,N$21)+COUNTIF($C156:$C159,$A$3))</f>
        <v/>
      </c>
      <c r="P159" s="52" t="str">
        <f aca="false">IF($D159="","",COUNTIF($D156:$D159,N$21)+COUNTIF($D156:$D159,$A$3))</f>
        <v/>
      </c>
      <c r="Q159" s="52" t="str">
        <f aca="false">IF($E159="","",COUNTIF($E156:$E159,N$21)+COUNTIF($E156:$E159,$A$3))</f>
        <v/>
      </c>
      <c r="R159" s="53" t="str">
        <f aca="false">IF($F159="","",COUNTIF($F156:$F159,N$21)+COUNTIF($F156:$F159,$A$3))</f>
        <v/>
      </c>
      <c r="T159" s="65" t="str">
        <f aca="false">IF($B159="","",COUNTIF($B156:$B159,T$21)+COUNTIF($B156:$B159,$A$3))</f>
        <v/>
      </c>
      <c r="U159" s="52" t="str">
        <f aca="false">IF($C159="","",COUNTIF($C156:$C159,T$21)+COUNTIF($C156:$C159,$A$3))</f>
        <v/>
      </c>
      <c r="V159" s="52" t="str">
        <f aca="false">IF($D159="","",COUNTIF($D156:$D159,T$21)+COUNTIF($D156:$D159,$A$3))</f>
        <v/>
      </c>
      <c r="W159" s="52" t="str">
        <f aca="false">IF($E159="","",COUNTIF($E156:$E159,T$21)+COUNTIF($E156:$E159,$A$3))</f>
        <v/>
      </c>
      <c r="X159" s="53" t="str">
        <f aca="false">IF($F159="","",COUNTIF($F156:$F159,T$21)+COUNTIF($F156:$F159,$A$3))</f>
        <v/>
      </c>
      <c r="Z159" s="65" t="str">
        <f aca="false">IF($B159="","",COUNTIF($B156:$B159,Z$21)+COUNTIF($B156:$B159,$A$3))</f>
        <v/>
      </c>
      <c r="AA159" s="52" t="str">
        <f aca="false">IF($C159="","",COUNTIF($C156:$C159,Z$21)+COUNTIF($C156:$C159,$A$3))</f>
        <v/>
      </c>
      <c r="AB159" s="52" t="str">
        <f aca="false">IF($D159="","",COUNTIF($D156:$D159,Z$21)+COUNTIF($D156:$D159,$A$3))</f>
        <v/>
      </c>
      <c r="AC159" s="52" t="str">
        <f aca="false">IF($E159="","",COUNTIF($E156:$E159,Z$21)+COUNTIF($E156:$E159,$A$3))</f>
        <v/>
      </c>
      <c r="AD159" s="53" t="str">
        <f aca="false">IF($F159="","",COUNTIF($F156:$F159,Z$21)+COUNTIF($F156:$F159,$A$3))</f>
        <v/>
      </c>
      <c r="AF159" s="65" t="str">
        <f aca="false">IF($B159="","",COUNTIF($B156:$B159,AF$21)+COUNTIF($B156:$B159,$A$3))</f>
        <v/>
      </c>
      <c r="AG159" s="52" t="str">
        <f aca="false">IF($C159="","",COUNTIF($C156:$C159,AF$21)+COUNTIF($C156:$C159,$A$3))</f>
        <v/>
      </c>
      <c r="AH159" s="52" t="str">
        <f aca="false">IF($D159="","",COUNTIF($D156:$D159,AF$21)+COUNTIF($D156:$D159,$A$3))</f>
        <v/>
      </c>
      <c r="AI159" s="52" t="str">
        <f aca="false">IF($E159="","",COUNTIF($E156:$E159,AF$21)+COUNTIF($E156:$E159,$A$3))</f>
        <v/>
      </c>
      <c r="AJ159" s="53" t="str">
        <f aca="false">IF($F159="","",COUNTIF($F156:$F159,AF$21)+COUNTIF($F156:$F159,$A$3))</f>
        <v/>
      </c>
      <c r="AL159" s="65" t="str">
        <f aca="false">IF($B159="","",COUNTIF($B156:$B159,AL$21)+COUNTIF($B156:$B159,$A$3))</f>
        <v/>
      </c>
      <c r="AM159" s="52" t="str">
        <f aca="false">IF($C159="","",COUNTIF($C156:$C159,AL$21)+COUNTIF($C156:$C159,$A$3))</f>
        <v/>
      </c>
      <c r="AN159" s="52" t="str">
        <f aca="false">IF($D159="","",COUNTIF($D156:$D159,AL$21)+COUNTIF($D156:$D159,$A$3))</f>
        <v/>
      </c>
      <c r="AO159" s="52" t="str">
        <f aca="false">IF($E159="","",COUNTIF($E156:$E159,AL$21)+COUNTIF($E156:$E159,$A$3))</f>
        <v/>
      </c>
      <c r="AP159" s="53" t="str">
        <f aca="false">IF($F159="","",COUNTIF($F156:$F159,AL$21)+COUNTIF($F156:$F159,$A$3))</f>
        <v/>
      </c>
      <c r="AR159" s="65" t="str">
        <f aca="false">IF($B159="","",COUNTIF($B156:$B159,AR$21)+COUNTIF($B156:$B159,$A$3))</f>
        <v/>
      </c>
      <c r="AS159" s="52" t="str">
        <f aca="false">IF($C159="","",COUNTIF($C156:$C159,AR$21)+COUNTIF($C156:$C159,$A$3))</f>
        <v/>
      </c>
      <c r="AT159" s="52" t="str">
        <f aca="false">IF($D159="","",COUNTIF($D156:$D159,AR$21)+COUNTIF($D156:$D159,$A$3))</f>
        <v/>
      </c>
      <c r="AU159" s="52" t="str">
        <f aca="false">IF($E159="","",COUNTIF($E156:$E159,AR$21)+COUNTIF($E156:$E159,$A$3))</f>
        <v/>
      </c>
      <c r="AV159" s="53" t="str">
        <f aca="false">IF($F159="","",COUNTIF($F156:$F159,AR$21)+COUNTIF($F156:$F159,$A$3))</f>
        <v/>
      </c>
      <c r="AX159" s="65" t="str">
        <f aca="false">IF($B159="","",COUNTIF($B156:$B159,AX$21)+COUNTIF($B156:$B159,$A$3))</f>
        <v/>
      </c>
      <c r="AY159" s="52" t="str">
        <f aca="false">IF($C159="","",COUNTIF($C156:$C159,AX$21)+COUNTIF($C156:$C159,$A$3))</f>
        <v/>
      </c>
      <c r="AZ159" s="52" t="str">
        <f aca="false">IF($D159="","",COUNTIF($D156:$D159,AX$21)+COUNTIF($D156:$D159,$A$3))</f>
        <v/>
      </c>
      <c r="BA159" s="52" t="str">
        <f aca="false">IF($E159="","",COUNTIF($E156:$E159,AX$21)+COUNTIF($E156:$E159,$A$3))</f>
        <v/>
      </c>
      <c r="BB159" s="53" t="str">
        <f aca="false">IF($F159="","",COUNTIF($F156:$F159,AX$21)+COUNTIF($F156:$F159,$A$3))</f>
        <v/>
      </c>
      <c r="BD159" s="65" t="str">
        <f aca="false">IF($B159="","",COUNTIF($B156:$B159,BD$21)+COUNTIF($B156:$B159,$A$3))</f>
        <v/>
      </c>
      <c r="BE159" s="52" t="str">
        <f aca="false">IF($C159="","",COUNTIF($C156:$C159,BD$21)+COUNTIF($C156:$C159,$A$3))</f>
        <v/>
      </c>
      <c r="BF159" s="52" t="str">
        <f aca="false">IF($D159="","",COUNTIF($D156:$D159,BD$21)+COUNTIF($D156:$D159,$A$3))</f>
        <v/>
      </c>
      <c r="BG159" s="52" t="str">
        <f aca="false">IF($E159="","",COUNTIF($E156:$E159,BD$21)+COUNTIF($E156:$E159,$A$3))</f>
        <v/>
      </c>
      <c r="BH159" s="53" t="str">
        <f aca="false">IF($F159="","",COUNTIF($F156:$F159,BD$21)+COUNTIF($F156:$F159,$A$3))</f>
        <v/>
      </c>
      <c r="BJ159" s="65" t="str">
        <f aca="false">IF($B159="","",COUNTIF($B156:$B159,BJ$21)+COUNTIF($B156:$B159,$A$3))</f>
        <v/>
      </c>
      <c r="BK159" s="52" t="str">
        <f aca="false">IF($C159="","",COUNTIF($C156:$C159,BJ$21)+COUNTIF($C156:$C159,$A$3))</f>
        <v/>
      </c>
      <c r="BL159" s="52" t="str">
        <f aca="false">IF($D159="","",COUNTIF($D156:$D159,BJ$21)+COUNTIF($D156:$D159,$A$3))</f>
        <v/>
      </c>
      <c r="BM159" s="52" t="str">
        <f aca="false">IF($E159="","",COUNTIF($E156:$E159,BJ$21)+COUNTIF($E156:$E159,$A$3))</f>
        <v/>
      </c>
      <c r="BN159" s="53" t="str">
        <f aca="false">IF($F159="","",COUNTIF($F156:$F159,BJ$21)+COUNTIF($F156:$F159,$A$3))</f>
        <v/>
      </c>
      <c r="BP159" s="65" t="str">
        <f aca="false">IF($B159="","",COUNTIF($B156:$B159,BP$21)+COUNTIF($B156:$B159,$A$3))</f>
        <v/>
      </c>
      <c r="BQ159" s="52" t="str">
        <f aca="false">IF($C159="","",COUNTIF($C156:$C159,BP$21)+COUNTIF($C156:$C159,$A$3))</f>
        <v/>
      </c>
      <c r="BR159" s="52" t="str">
        <f aca="false">IF($D159="","",COUNTIF($D156:$D159,BP$21)+COUNTIF($D156:$D159,$A$3))</f>
        <v/>
      </c>
      <c r="BS159" s="52" t="str">
        <f aca="false">IF($E159="","",COUNTIF($E156:$E159,BP$21)+COUNTIF($E156:$E159,$A$3))</f>
        <v/>
      </c>
      <c r="BT159" s="53" t="str">
        <f aca="false">IF($F159="","",COUNTIF($F156:$F159,BP$21)+COUNTIF($F156:$F159,$A$3))</f>
        <v/>
      </c>
    </row>
    <row r="160" customFormat="false" ht="15" hidden="false" customHeight="false" outlineLevel="0" collapsed="false">
      <c r="A160" s="13" t="n">
        <v>138</v>
      </c>
      <c r="B160" s="116" t="str">
        <f aca="false">IF('Game Info'!J143="","",'Game Info'!J143)</f>
        <v/>
      </c>
      <c r="C160" s="116" t="str">
        <f aca="false">IF('Game Info'!K143="","",'Game Info'!K143)</f>
        <v/>
      </c>
      <c r="D160" s="116" t="str">
        <f aca="false">IF('Game Info'!L143="","",'Game Info'!L143)</f>
        <v/>
      </c>
      <c r="E160" s="116" t="str">
        <f aca="false">IF('Game Info'!M143="","",'Game Info'!M143)</f>
        <v/>
      </c>
      <c r="F160" s="117" t="str">
        <f aca="false">IF('Game Info'!N143="","",'Game Info'!N143)</f>
        <v/>
      </c>
      <c r="H160" s="65" t="str">
        <f aca="false">IF($B160="","",COUNTIF($B157:$B160,H$21)+COUNTIF($B157:$B160,$A$3))</f>
        <v/>
      </c>
      <c r="I160" s="52" t="str">
        <f aca="false">IF($C160="","",COUNTIF($C157:$C160,H$21)+COUNTIF($C157:$C160,$A$3))</f>
        <v/>
      </c>
      <c r="J160" s="52" t="str">
        <f aca="false">IF($D160="","",COUNTIF($D157:$D160,H$21)+COUNTIF($D157:$D160,$A$3))</f>
        <v/>
      </c>
      <c r="K160" s="52" t="str">
        <f aca="false">IF($E160="","",COUNTIF($E157:$E160,H$21)+COUNTIF($E157:$E160,$A$3))</f>
        <v/>
      </c>
      <c r="L160" s="53" t="str">
        <f aca="false">IF($F160="","",COUNTIF($F157:$F160,H$21)+COUNTIF($F157:$F160,$A$3))</f>
        <v/>
      </c>
      <c r="N160" s="65" t="str">
        <f aca="false">IF($B160="","",COUNTIF($B157:$B160,N$21)+COUNTIF($B157:$B160,$A$3))</f>
        <v/>
      </c>
      <c r="O160" s="52" t="str">
        <f aca="false">IF($C160="","",COUNTIF($C157:$C160,N$21)+COUNTIF($C157:$C160,$A$3))</f>
        <v/>
      </c>
      <c r="P160" s="52" t="str">
        <f aca="false">IF($D160="","",COUNTIF($D157:$D160,N$21)+COUNTIF($D157:$D160,$A$3))</f>
        <v/>
      </c>
      <c r="Q160" s="52" t="str">
        <f aca="false">IF($E160="","",COUNTIF($E157:$E160,N$21)+COUNTIF($E157:$E160,$A$3))</f>
        <v/>
      </c>
      <c r="R160" s="53" t="str">
        <f aca="false">IF($F160="","",COUNTIF($F157:$F160,N$21)+COUNTIF($F157:$F160,$A$3))</f>
        <v/>
      </c>
      <c r="T160" s="65" t="str">
        <f aca="false">IF($B160="","",COUNTIF($B157:$B160,T$21)+COUNTIF($B157:$B160,$A$3))</f>
        <v/>
      </c>
      <c r="U160" s="52" t="str">
        <f aca="false">IF($C160="","",COUNTIF($C157:$C160,T$21)+COUNTIF($C157:$C160,$A$3))</f>
        <v/>
      </c>
      <c r="V160" s="52" t="str">
        <f aca="false">IF($D160="","",COUNTIF($D157:$D160,T$21)+COUNTIF($D157:$D160,$A$3))</f>
        <v/>
      </c>
      <c r="W160" s="52" t="str">
        <f aca="false">IF($E160="","",COUNTIF($E157:$E160,T$21)+COUNTIF($E157:$E160,$A$3))</f>
        <v/>
      </c>
      <c r="X160" s="53" t="str">
        <f aca="false">IF($F160="","",COUNTIF($F157:$F160,T$21)+COUNTIF($F157:$F160,$A$3))</f>
        <v/>
      </c>
      <c r="Z160" s="65" t="str">
        <f aca="false">IF($B160="","",COUNTIF($B157:$B160,Z$21)+COUNTIF($B157:$B160,$A$3))</f>
        <v/>
      </c>
      <c r="AA160" s="52" t="str">
        <f aca="false">IF($C160="","",COUNTIF($C157:$C160,Z$21)+COUNTIF($C157:$C160,$A$3))</f>
        <v/>
      </c>
      <c r="AB160" s="52" t="str">
        <f aca="false">IF($D160="","",COUNTIF($D157:$D160,Z$21)+COUNTIF($D157:$D160,$A$3))</f>
        <v/>
      </c>
      <c r="AC160" s="52" t="str">
        <f aca="false">IF($E160="","",COUNTIF($E157:$E160,Z$21)+COUNTIF($E157:$E160,$A$3))</f>
        <v/>
      </c>
      <c r="AD160" s="53" t="str">
        <f aca="false">IF($F160="","",COUNTIF($F157:$F160,Z$21)+COUNTIF($F157:$F160,$A$3))</f>
        <v/>
      </c>
      <c r="AF160" s="65" t="str">
        <f aca="false">IF($B160="","",COUNTIF($B157:$B160,AF$21)+COUNTIF($B157:$B160,$A$3))</f>
        <v/>
      </c>
      <c r="AG160" s="52" t="str">
        <f aca="false">IF($C160="","",COUNTIF($C157:$C160,AF$21)+COUNTIF($C157:$C160,$A$3))</f>
        <v/>
      </c>
      <c r="AH160" s="52" t="str">
        <f aca="false">IF($D160="","",COUNTIF($D157:$D160,AF$21)+COUNTIF($D157:$D160,$A$3))</f>
        <v/>
      </c>
      <c r="AI160" s="52" t="str">
        <f aca="false">IF($E160="","",COUNTIF($E157:$E160,AF$21)+COUNTIF($E157:$E160,$A$3))</f>
        <v/>
      </c>
      <c r="AJ160" s="53" t="str">
        <f aca="false">IF($F160="","",COUNTIF($F157:$F160,AF$21)+COUNTIF($F157:$F160,$A$3))</f>
        <v/>
      </c>
      <c r="AL160" s="65" t="str">
        <f aca="false">IF($B160="","",COUNTIF($B157:$B160,AL$21)+COUNTIF($B157:$B160,$A$3))</f>
        <v/>
      </c>
      <c r="AM160" s="52" t="str">
        <f aca="false">IF($C160="","",COUNTIF($C157:$C160,AL$21)+COUNTIF($C157:$C160,$A$3))</f>
        <v/>
      </c>
      <c r="AN160" s="52" t="str">
        <f aca="false">IF($D160="","",COUNTIF($D157:$D160,AL$21)+COUNTIF($D157:$D160,$A$3))</f>
        <v/>
      </c>
      <c r="AO160" s="52" t="str">
        <f aca="false">IF($E160="","",COUNTIF($E157:$E160,AL$21)+COUNTIF($E157:$E160,$A$3))</f>
        <v/>
      </c>
      <c r="AP160" s="53" t="str">
        <f aca="false">IF($F160="","",COUNTIF($F157:$F160,AL$21)+COUNTIF($F157:$F160,$A$3))</f>
        <v/>
      </c>
      <c r="AR160" s="65" t="str">
        <f aca="false">IF($B160="","",COUNTIF($B157:$B160,AR$21)+COUNTIF($B157:$B160,$A$3))</f>
        <v/>
      </c>
      <c r="AS160" s="52" t="str">
        <f aca="false">IF($C160="","",COUNTIF($C157:$C160,AR$21)+COUNTIF($C157:$C160,$A$3))</f>
        <v/>
      </c>
      <c r="AT160" s="52" t="str">
        <f aca="false">IF($D160="","",COUNTIF($D157:$D160,AR$21)+COUNTIF($D157:$D160,$A$3))</f>
        <v/>
      </c>
      <c r="AU160" s="52" t="str">
        <f aca="false">IF($E160="","",COUNTIF($E157:$E160,AR$21)+COUNTIF($E157:$E160,$A$3))</f>
        <v/>
      </c>
      <c r="AV160" s="53" t="str">
        <f aca="false">IF($F160="","",COUNTIF($F157:$F160,AR$21)+COUNTIF($F157:$F160,$A$3))</f>
        <v/>
      </c>
      <c r="AX160" s="65" t="str">
        <f aca="false">IF($B160="","",COUNTIF($B157:$B160,AX$21)+COUNTIF($B157:$B160,$A$3))</f>
        <v/>
      </c>
      <c r="AY160" s="52" t="str">
        <f aca="false">IF($C160="","",COUNTIF($C157:$C160,AX$21)+COUNTIF($C157:$C160,$A$3))</f>
        <v/>
      </c>
      <c r="AZ160" s="52" t="str">
        <f aca="false">IF($D160="","",COUNTIF($D157:$D160,AX$21)+COUNTIF($D157:$D160,$A$3))</f>
        <v/>
      </c>
      <c r="BA160" s="52" t="str">
        <f aca="false">IF($E160="","",COUNTIF($E157:$E160,AX$21)+COUNTIF($E157:$E160,$A$3))</f>
        <v/>
      </c>
      <c r="BB160" s="53" t="str">
        <f aca="false">IF($F160="","",COUNTIF($F157:$F160,AX$21)+COUNTIF($F157:$F160,$A$3))</f>
        <v/>
      </c>
      <c r="BD160" s="65" t="str">
        <f aca="false">IF($B160="","",COUNTIF($B157:$B160,BD$21)+COUNTIF($B157:$B160,$A$3))</f>
        <v/>
      </c>
      <c r="BE160" s="52" t="str">
        <f aca="false">IF($C160="","",COUNTIF($C157:$C160,BD$21)+COUNTIF($C157:$C160,$A$3))</f>
        <v/>
      </c>
      <c r="BF160" s="52" t="str">
        <f aca="false">IF($D160="","",COUNTIF($D157:$D160,BD$21)+COUNTIF($D157:$D160,$A$3))</f>
        <v/>
      </c>
      <c r="BG160" s="52" t="str">
        <f aca="false">IF($E160="","",COUNTIF($E157:$E160,BD$21)+COUNTIF($E157:$E160,$A$3))</f>
        <v/>
      </c>
      <c r="BH160" s="53" t="str">
        <f aca="false">IF($F160="","",COUNTIF($F157:$F160,BD$21)+COUNTIF($F157:$F160,$A$3))</f>
        <v/>
      </c>
      <c r="BJ160" s="65" t="str">
        <f aca="false">IF($B160="","",COUNTIF($B157:$B160,BJ$21)+COUNTIF($B157:$B160,$A$3))</f>
        <v/>
      </c>
      <c r="BK160" s="52" t="str">
        <f aca="false">IF($C160="","",COUNTIF($C157:$C160,BJ$21)+COUNTIF($C157:$C160,$A$3))</f>
        <v/>
      </c>
      <c r="BL160" s="52" t="str">
        <f aca="false">IF($D160="","",COUNTIF($D157:$D160,BJ$21)+COUNTIF($D157:$D160,$A$3))</f>
        <v/>
      </c>
      <c r="BM160" s="52" t="str">
        <f aca="false">IF($E160="","",COUNTIF($E157:$E160,BJ$21)+COUNTIF($E157:$E160,$A$3))</f>
        <v/>
      </c>
      <c r="BN160" s="53" t="str">
        <f aca="false">IF($F160="","",COUNTIF($F157:$F160,BJ$21)+COUNTIF($F157:$F160,$A$3))</f>
        <v/>
      </c>
      <c r="BP160" s="65" t="str">
        <f aca="false">IF($B160="","",COUNTIF($B157:$B160,BP$21)+COUNTIF($B157:$B160,$A$3))</f>
        <v/>
      </c>
      <c r="BQ160" s="52" t="str">
        <f aca="false">IF($C160="","",COUNTIF($C157:$C160,BP$21)+COUNTIF($C157:$C160,$A$3))</f>
        <v/>
      </c>
      <c r="BR160" s="52" t="str">
        <f aca="false">IF($D160="","",COUNTIF($D157:$D160,BP$21)+COUNTIF($D157:$D160,$A$3))</f>
        <v/>
      </c>
      <c r="BS160" s="52" t="str">
        <f aca="false">IF($E160="","",COUNTIF($E157:$E160,BP$21)+COUNTIF($E157:$E160,$A$3))</f>
        <v/>
      </c>
      <c r="BT160" s="53" t="str">
        <f aca="false">IF($F160="","",COUNTIF($F157:$F160,BP$21)+COUNTIF($F157:$F160,$A$3))</f>
        <v/>
      </c>
    </row>
    <row r="161" customFormat="false" ht="15" hidden="false" customHeight="false" outlineLevel="0" collapsed="false">
      <c r="A161" s="13" t="n">
        <v>139</v>
      </c>
      <c r="B161" s="116" t="str">
        <f aca="false">IF('Game Info'!J144="","",'Game Info'!J144)</f>
        <v/>
      </c>
      <c r="C161" s="116" t="str">
        <f aca="false">IF('Game Info'!K144="","",'Game Info'!K144)</f>
        <v/>
      </c>
      <c r="D161" s="116" t="str">
        <f aca="false">IF('Game Info'!L144="","",'Game Info'!L144)</f>
        <v/>
      </c>
      <c r="E161" s="116" t="str">
        <f aca="false">IF('Game Info'!M144="","",'Game Info'!M144)</f>
        <v/>
      </c>
      <c r="F161" s="117" t="str">
        <f aca="false">IF('Game Info'!N144="","",'Game Info'!N144)</f>
        <v/>
      </c>
      <c r="H161" s="65" t="str">
        <f aca="false">IF($B161="","",COUNTIF($B158:$B161,H$21)+COUNTIF($B158:$B161,$A$3))</f>
        <v/>
      </c>
      <c r="I161" s="52" t="str">
        <f aca="false">IF($C161="","",COUNTIF($C158:$C161,H$21)+COUNTIF($C158:$C161,$A$3))</f>
        <v/>
      </c>
      <c r="J161" s="52" t="str">
        <f aca="false">IF($D161="","",COUNTIF($D158:$D161,H$21)+COUNTIF($D158:$D161,$A$3))</f>
        <v/>
      </c>
      <c r="K161" s="52" t="str">
        <f aca="false">IF($E161="","",COUNTIF($E158:$E161,H$21)+COUNTIF($E158:$E161,$A$3))</f>
        <v/>
      </c>
      <c r="L161" s="53" t="str">
        <f aca="false">IF($F161="","",COUNTIF($F158:$F161,H$21)+COUNTIF($F158:$F161,$A$3))</f>
        <v/>
      </c>
      <c r="N161" s="65" t="str">
        <f aca="false">IF($B161="","",COUNTIF($B158:$B161,N$21)+COUNTIF($B158:$B161,$A$3))</f>
        <v/>
      </c>
      <c r="O161" s="52" t="str">
        <f aca="false">IF($C161="","",COUNTIF($C158:$C161,N$21)+COUNTIF($C158:$C161,$A$3))</f>
        <v/>
      </c>
      <c r="P161" s="52" t="str">
        <f aca="false">IF($D161="","",COUNTIF($D158:$D161,N$21)+COUNTIF($D158:$D161,$A$3))</f>
        <v/>
      </c>
      <c r="Q161" s="52" t="str">
        <f aca="false">IF($E161="","",COUNTIF($E158:$E161,N$21)+COUNTIF($E158:$E161,$A$3))</f>
        <v/>
      </c>
      <c r="R161" s="53" t="str">
        <f aca="false">IF($F161="","",COUNTIF($F158:$F161,N$21)+COUNTIF($F158:$F161,$A$3))</f>
        <v/>
      </c>
      <c r="T161" s="65" t="str">
        <f aca="false">IF($B161="","",COUNTIF($B158:$B161,T$21)+COUNTIF($B158:$B161,$A$3))</f>
        <v/>
      </c>
      <c r="U161" s="52" t="str">
        <f aca="false">IF($C161="","",COUNTIF($C158:$C161,T$21)+COUNTIF($C158:$C161,$A$3))</f>
        <v/>
      </c>
      <c r="V161" s="52" t="str">
        <f aca="false">IF($D161="","",COUNTIF($D158:$D161,T$21)+COUNTIF($D158:$D161,$A$3))</f>
        <v/>
      </c>
      <c r="W161" s="52" t="str">
        <f aca="false">IF($E161="","",COUNTIF($E158:$E161,T$21)+COUNTIF($E158:$E161,$A$3))</f>
        <v/>
      </c>
      <c r="X161" s="53" t="str">
        <f aca="false">IF($F161="","",COUNTIF($F158:$F161,T$21)+COUNTIF($F158:$F161,$A$3))</f>
        <v/>
      </c>
      <c r="Z161" s="65" t="str">
        <f aca="false">IF($B161="","",COUNTIF($B158:$B161,Z$21)+COUNTIF($B158:$B161,$A$3))</f>
        <v/>
      </c>
      <c r="AA161" s="52" t="str">
        <f aca="false">IF($C161="","",COUNTIF($C158:$C161,Z$21)+COUNTIF($C158:$C161,$A$3))</f>
        <v/>
      </c>
      <c r="AB161" s="52" t="str">
        <f aca="false">IF($D161="","",COUNTIF($D158:$D161,Z$21)+COUNTIF($D158:$D161,$A$3))</f>
        <v/>
      </c>
      <c r="AC161" s="52" t="str">
        <f aca="false">IF($E161="","",COUNTIF($E158:$E161,Z$21)+COUNTIF($E158:$E161,$A$3))</f>
        <v/>
      </c>
      <c r="AD161" s="53" t="str">
        <f aca="false">IF($F161="","",COUNTIF($F158:$F161,Z$21)+COUNTIF($F158:$F161,$A$3))</f>
        <v/>
      </c>
      <c r="AF161" s="65" t="str">
        <f aca="false">IF($B161="","",COUNTIF($B158:$B161,AF$21)+COUNTIF($B158:$B161,$A$3))</f>
        <v/>
      </c>
      <c r="AG161" s="52" t="str">
        <f aca="false">IF($C161="","",COUNTIF($C158:$C161,AF$21)+COUNTIF($C158:$C161,$A$3))</f>
        <v/>
      </c>
      <c r="AH161" s="52" t="str">
        <f aca="false">IF($D161="","",COUNTIF($D158:$D161,AF$21)+COUNTIF($D158:$D161,$A$3))</f>
        <v/>
      </c>
      <c r="AI161" s="52" t="str">
        <f aca="false">IF($E161="","",COUNTIF($E158:$E161,AF$21)+COUNTIF($E158:$E161,$A$3))</f>
        <v/>
      </c>
      <c r="AJ161" s="53" t="str">
        <f aca="false">IF($F161="","",COUNTIF($F158:$F161,AF$21)+COUNTIF($F158:$F161,$A$3))</f>
        <v/>
      </c>
      <c r="AL161" s="65" t="str">
        <f aca="false">IF($B161="","",COUNTIF($B158:$B161,AL$21)+COUNTIF($B158:$B161,$A$3))</f>
        <v/>
      </c>
      <c r="AM161" s="52" t="str">
        <f aca="false">IF($C161="","",COUNTIF($C158:$C161,AL$21)+COUNTIF($C158:$C161,$A$3))</f>
        <v/>
      </c>
      <c r="AN161" s="52" t="str">
        <f aca="false">IF($D161="","",COUNTIF($D158:$D161,AL$21)+COUNTIF($D158:$D161,$A$3))</f>
        <v/>
      </c>
      <c r="AO161" s="52" t="str">
        <f aca="false">IF($E161="","",COUNTIF($E158:$E161,AL$21)+COUNTIF($E158:$E161,$A$3))</f>
        <v/>
      </c>
      <c r="AP161" s="53" t="str">
        <f aca="false">IF($F161="","",COUNTIF($F158:$F161,AL$21)+COUNTIF($F158:$F161,$A$3))</f>
        <v/>
      </c>
      <c r="AR161" s="65" t="str">
        <f aca="false">IF($B161="","",COUNTIF($B158:$B161,AR$21)+COUNTIF($B158:$B161,$A$3))</f>
        <v/>
      </c>
      <c r="AS161" s="52" t="str">
        <f aca="false">IF($C161="","",COUNTIF($C158:$C161,AR$21)+COUNTIF($C158:$C161,$A$3))</f>
        <v/>
      </c>
      <c r="AT161" s="52" t="str">
        <f aca="false">IF($D161="","",COUNTIF($D158:$D161,AR$21)+COUNTIF($D158:$D161,$A$3))</f>
        <v/>
      </c>
      <c r="AU161" s="52" t="str">
        <f aca="false">IF($E161="","",COUNTIF($E158:$E161,AR$21)+COUNTIF($E158:$E161,$A$3))</f>
        <v/>
      </c>
      <c r="AV161" s="53" t="str">
        <f aca="false">IF($F161="","",COUNTIF($F158:$F161,AR$21)+COUNTIF($F158:$F161,$A$3))</f>
        <v/>
      </c>
      <c r="AX161" s="65" t="str">
        <f aca="false">IF($B161="","",COUNTIF($B158:$B161,AX$21)+COUNTIF($B158:$B161,$A$3))</f>
        <v/>
      </c>
      <c r="AY161" s="52" t="str">
        <f aca="false">IF($C161="","",COUNTIF($C158:$C161,AX$21)+COUNTIF($C158:$C161,$A$3))</f>
        <v/>
      </c>
      <c r="AZ161" s="52" t="str">
        <f aca="false">IF($D161="","",COUNTIF($D158:$D161,AX$21)+COUNTIF($D158:$D161,$A$3))</f>
        <v/>
      </c>
      <c r="BA161" s="52" t="str">
        <f aca="false">IF($E161="","",COUNTIF($E158:$E161,AX$21)+COUNTIF($E158:$E161,$A$3))</f>
        <v/>
      </c>
      <c r="BB161" s="53" t="str">
        <f aca="false">IF($F161="","",COUNTIF($F158:$F161,AX$21)+COUNTIF($F158:$F161,$A$3))</f>
        <v/>
      </c>
      <c r="BD161" s="65" t="str">
        <f aca="false">IF($B161="","",COUNTIF($B158:$B161,BD$21)+COUNTIF($B158:$B161,$A$3))</f>
        <v/>
      </c>
      <c r="BE161" s="52" t="str">
        <f aca="false">IF($C161="","",COUNTIF($C158:$C161,BD$21)+COUNTIF($C158:$C161,$A$3))</f>
        <v/>
      </c>
      <c r="BF161" s="52" t="str">
        <f aca="false">IF($D161="","",COUNTIF($D158:$D161,BD$21)+COUNTIF($D158:$D161,$A$3))</f>
        <v/>
      </c>
      <c r="BG161" s="52" t="str">
        <f aca="false">IF($E161="","",COUNTIF($E158:$E161,BD$21)+COUNTIF($E158:$E161,$A$3))</f>
        <v/>
      </c>
      <c r="BH161" s="53" t="str">
        <f aca="false">IF($F161="","",COUNTIF($F158:$F161,BD$21)+COUNTIF($F158:$F161,$A$3))</f>
        <v/>
      </c>
      <c r="BJ161" s="65" t="str">
        <f aca="false">IF($B161="","",COUNTIF($B158:$B161,BJ$21)+COUNTIF($B158:$B161,$A$3))</f>
        <v/>
      </c>
      <c r="BK161" s="52" t="str">
        <f aca="false">IF($C161="","",COUNTIF($C158:$C161,BJ$21)+COUNTIF($C158:$C161,$A$3))</f>
        <v/>
      </c>
      <c r="BL161" s="52" t="str">
        <f aca="false">IF($D161="","",COUNTIF($D158:$D161,BJ$21)+COUNTIF($D158:$D161,$A$3))</f>
        <v/>
      </c>
      <c r="BM161" s="52" t="str">
        <f aca="false">IF($E161="","",COUNTIF($E158:$E161,BJ$21)+COUNTIF($E158:$E161,$A$3))</f>
        <v/>
      </c>
      <c r="BN161" s="53" t="str">
        <f aca="false">IF($F161="","",COUNTIF($F158:$F161,BJ$21)+COUNTIF($F158:$F161,$A$3))</f>
        <v/>
      </c>
      <c r="BP161" s="65" t="str">
        <f aca="false">IF($B161="","",COUNTIF($B158:$B161,BP$21)+COUNTIF($B158:$B161,$A$3))</f>
        <v/>
      </c>
      <c r="BQ161" s="52" t="str">
        <f aca="false">IF($C161="","",COUNTIF($C158:$C161,BP$21)+COUNTIF($C158:$C161,$A$3))</f>
        <v/>
      </c>
      <c r="BR161" s="52" t="str">
        <f aca="false">IF($D161="","",COUNTIF($D158:$D161,BP$21)+COUNTIF($D158:$D161,$A$3))</f>
        <v/>
      </c>
      <c r="BS161" s="52" t="str">
        <f aca="false">IF($E161="","",COUNTIF($E158:$E161,BP$21)+COUNTIF($E158:$E161,$A$3))</f>
        <v/>
      </c>
      <c r="BT161" s="53" t="str">
        <f aca="false">IF($F161="","",COUNTIF($F158:$F161,BP$21)+COUNTIF($F158:$F161,$A$3))</f>
        <v/>
      </c>
    </row>
    <row r="162" customFormat="false" ht="15" hidden="false" customHeight="false" outlineLevel="0" collapsed="false">
      <c r="A162" s="13" t="n">
        <v>140</v>
      </c>
      <c r="B162" s="116" t="str">
        <f aca="false">IF('Game Info'!J145="","",'Game Info'!J145)</f>
        <v/>
      </c>
      <c r="C162" s="116" t="str">
        <f aca="false">IF('Game Info'!K145="","",'Game Info'!K145)</f>
        <v/>
      </c>
      <c r="D162" s="116" t="str">
        <f aca="false">IF('Game Info'!L145="","",'Game Info'!L145)</f>
        <v/>
      </c>
      <c r="E162" s="116" t="str">
        <f aca="false">IF('Game Info'!M145="","",'Game Info'!M145)</f>
        <v/>
      </c>
      <c r="F162" s="117" t="str">
        <f aca="false">IF('Game Info'!N145="","",'Game Info'!N145)</f>
        <v/>
      </c>
      <c r="H162" s="65" t="str">
        <f aca="false">IF($B162="","",COUNTIF($B159:$B162,H$21)+COUNTIF($B159:$B162,$A$3))</f>
        <v/>
      </c>
      <c r="I162" s="52" t="str">
        <f aca="false">IF($C162="","",COUNTIF($C159:$C162,H$21)+COUNTIF($C159:$C162,$A$3))</f>
        <v/>
      </c>
      <c r="J162" s="52" t="str">
        <f aca="false">IF($D162="","",COUNTIF($D159:$D162,H$21)+COUNTIF($D159:$D162,$A$3))</f>
        <v/>
      </c>
      <c r="K162" s="52" t="str">
        <f aca="false">IF($E162="","",COUNTIF($E159:$E162,H$21)+COUNTIF($E159:$E162,$A$3))</f>
        <v/>
      </c>
      <c r="L162" s="53" t="str">
        <f aca="false">IF($F162="","",COUNTIF($F159:$F162,H$21)+COUNTIF($F159:$F162,$A$3))</f>
        <v/>
      </c>
      <c r="N162" s="65" t="str">
        <f aca="false">IF($B162="","",COUNTIF($B159:$B162,N$21)+COUNTIF($B159:$B162,$A$3))</f>
        <v/>
      </c>
      <c r="O162" s="52" t="str">
        <f aca="false">IF($C162="","",COUNTIF($C159:$C162,N$21)+COUNTIF($C159:$C162,$A$3))</f>
        <v/>
      </c>
      <c r="P162" s="52" t="str">
        <f aca="false">IF($D162="","",COUNTIF($D159:$D162,N$21)+COUNTIF($D159:$D162,$A$3))</f>
        <v/>
      </c>
      <c r="Q162" s="52" t="str">
        <f aca="false">IF($E162="","",COUNTIF($E159:$E162,N$21)+COUNTIF($E159:$E162,$A$3))</f>
        <v/>
      </c>
      <c r="R162" s="53" t="str">
        <f aca="false">IF($F162="","",COUNTIF($F159:$F162,N$21)+COUNTIF($F159:$F162,$A$3))</f>
        <v/>
      </c>
      <c r="T162" s="65" t="str">
        <f aca="false">IF($B162="","",COUNTIF($B159:$B162,T$21)+COUNTIF($B159:$B162,$A$3))</f>
        <v/>
      </c>
      <c r="U162" s="52" t="str">
        <f aca="false">IF($C162="","",COUNTIF($C159:$C162,T$21)+COUNTIF($C159:$C162,$A$3))</f>
        <v/>
      </c>
      <c r="V162" s="52" t="str">
        <f aca="false">IF($D162="","",COUNTIF($D159:$D162,T$21)+COUNTIF($D159:$D162,$A$3))</f>
        <v/>
      </c>
      <c r="W162" s="52" t="str">
        <f aca="false">IF($E162="","",COUNTIF($E159:$E162,T$21)+COUNTIF($E159:$E162,$A$3))</f>
        <v/>
      </c>
      <c r="X162" s="53" t="str">
        <f aca="false">IF($F162="","",COUNTIF($F159:$F162,T$21)+COUNTIF($F159:$F162,$A$3))</f>
        <v/>
      </c>
      <c r="Z162" s="65" t="str">
        <f aca="false">IF($B162="","",COUNTIF($B159:$B162,Z$21)+COUNTIF($B159:$B162,$A$3))</f>
        <v/>
      </c>
      <c r="AA162" s="52" t="str">
        <f aca="false">IF($C162="","",COUNTIF($C159:$C162,Z$21)+COUNTIF($C159:$C162,$A$3))</f>
        <v/>
      </c>
      <c r="AB162" s="52" t="str">
        <f aca="false">IF($D162="","",COUNTIF($D159:$D162,Z$21)+COUNTIF($D159:$D162,$A$3))</f>
        <v/>
      </c>
      <c r="AC162" s="52" t="str">
        <f aca="false">IF($E162="","",COUNTIF($E159:$E162,Z$21)+COUNTIF($E159:$E162,$A$3))</f>
        <v/>
      </c>
      <c r="AD162" s="53" t="str">
        <f aca="false">IF($F162="","",COUNTIF($F159:$F162,Z$21)+COUNTIF($F159:$F162,$A$3))</f>
        <v/>
      </c>
      <c r="AF162" s="65" t="str">
        <f aca="false">IF($B162="","",COUNTIF($B159:$B162,AF$21)+COUNTIF($B159:$B162,$A$3))</f>
        <v/>
      </c>
      <c r="AG162" s="52" t="str">
        <f aca="false">IF($C162="","",COUNTIF($C159:$C162,AF$21)+COUNTIF($C159:$C162,$A$3))</f>
        <v/>
      </c>
      <c r="AH162" s="52" t="str">
        <f aca="false">IF($D162="","",COUNTIF($D159:$D162,AF$21)+COUNTIF($D159:$D162,$A$3))</f>
        <v/>
      </c>
      <c r="AI162" s="52" t="str">
        <f aca="false">IF($E162="","",COUNTIF($E159:$E162,AF$21)+COUNTIF($E159:$E162,$A$3))</f>
        <v/>
      </c>
      <c r="AJ162" s="53" t="str">
        <f aca="false">IF($F162="","",COUNTIF($F159:$F162,AF$21)+COUNTIF($F159:$F162,$A$3))</f>
        <v/>
      </c>
      <c r="AL162" s="65" t="str">
        <f aca="false">IF($B162="","",COUNTIF($B159:$B162,AL$21)+COUNTIF($B159:$B162,$A$3))</f>
        <v/>
      </c>
      <c r="AM162" s="52" t="str">
        <f aca="false">IF($C162="","",COUNTIF($C159:$C162,AL$21)+COUNTIF($C159:$C162,$A$3))</f>
        <v/>
      </c>
      <c r="AN162" s="52" t="str">
        <f aca="false">IF($D162="","",COUNTIF($D159:$D162,AL$21)+COUNTIF($D159:$D162,$A$3))</f>
        <v/>
      </c>
      <c r="AO162" s="52" t="str">
        <f aca="false">IF($E162="","",COUNTIF($E159:$E162,AL$21)+COUNTIF($E159:$E162,$A$3))</f>
        <v/>
      </c>
      <c r="AP162" s="53" t="str">
        <f aca="false">IF($F162="","",COUNTIF($F159:$F162,AL$21)+COUNTIF($F159:$F162,$A$3))</f>
        <v/>
      </c>
      <c r="AR162" s="65" t="str">
        <f aca="false">IF($B162="","",COUNTIF($B159:$B162,AR$21)+COUNTIF($B159:$B162,$A$3))</f>
        <v/>
      </c>
      <c r="AS162" s="52" t="str">
        <f aca="false">IF($C162="","",COUNTIF($C159:$C162,AR$21)+COUNTIF($C159:$C162,$A$3))</f>
        <v/>
      </c>
      <c r="AT162" s="52" t="str">
        <f aca="false">IF($D162="","",COUNTIF($D159:$D162,AR$21)+COUNTIF($D159:$D162,$A$3))</f>
        <v/>
      </c>
      <c r="AU162" s="52" t="str">
        <f aca="false">IF($E162="","",COUNTIF($E159:$E162,AR$21)+COUNTIF($E159:$E162,$A$3))</f>
        <v/>
      </c>
      <c r="AV162" s="53" t="str">
        <f aca="false">IF($F162="","",COUNTIF($F159:$F162,AR$21)+COUNTIF($F159:$F162,$A$3))</f>
        <v/>
      </c>
      <c r="AX162" s="65" t="str">
        <f aca="false">IF($B162="","",COUNTIF($B159:$B162,AX$21)+COUNTIF($B159:$B162,$A$3))</f>
        <v/>
      </c>
      <c r="AY162" s="52" t="str">
        <f aca="false">IF($C162="","",COUNTIF($C159:$C162,AX$21)+COUNTIF($C159:$C162,$A$3))</f>
        <v/>
      </c>
      <c r="AZ162" s="52" t="str">
        <f aca="false">IF($D162="","",COUNTIF($D159:$D162,AX$21)+COUNTIF($D159:$D162,$A$3))</f>
        <v/>
      </c>
      <c r="BA162" s="52" t="str">
        <f aca="false">IF($E162="","",COUNTIF($E159:$E162,AX$21)+COUNTIF($E159:$E162,$A$3))</f>
        <v/>
      </c>
      <c r="BB162" s="53" t="str">
        <f aca="false">IF($F162="","",COUNTIF($F159:$F162,AX$21)+COUNTIF($F159:$F162,$A$3))</f>
        <v/>
      </c>
      <c r="BD162" s="65" t="str">
        <f aca="false">IF($B162="","",COUNTIF($B159:$B162,BD$21)+COUNTIF($B159:$B162,$A$3))</f>
        <v/>
      </c>
      <c r="BE162" s="52" t="str">
        <f aca="false">IF($C162="","",COUNTIF($C159:$C162,BD$21)+COUNTIF($C159:$C162,$A$3))</f>
        <v/>
      </c>
      <c r="BF162" s="52" t="str">
        <f aca="false">IF($D162="","",COUNTIF($D159:$D162,BD$21)+COUNTIF($D159:$D162,$A$3))</f>
        <v/>
      </c>
      <c r="BG162" s="52" t="str">
        <f aca="false">IF($E162="","",COUNTIF($E159:$E162,BD$21)+COUNTIF($E159:$E162,$A$3))</f>
        <v/>
      </c>
      <c r="BH162" s="53" t="str">
        <f aca="false">IF($F162="","",COUNTIF($F159:$F162,BD$21)+COUNTIF($F159:$F162,$A$3))</f>
        <v/>
      </c>
      <c r="BJ162" s="65" t="str">
        <f aca="false">IF($B162="","",COUNTIF($B159:$B162,BJ$21)+COUNTIF($B159:$B162,$A$3))</f>
        <v/>
      </c>
      <c r="BK162" s="52" t="str">
        <f aca="false">IF($C162="","",COUNTIF($C159:$C162,BJ$21)+COUNTIF($C159:$C162,$A$3))</f>
        <v/>
      </c>
      <c r="BL162" s="52" t="str">
        <f aca="false">IF($D162="","",COUNTIF($D159:$D162,BJ$21)+COUNTIF($D159:$D162,$A$3))</f>
        <v/>
      </c>
      <c r="BM162" s="52" t="str">
        <f aca="false">IF($E162="","",COUNTIF($E159:$E162,BJ$21)+COUNTIF($E159:$E162,$A$3))</f>
        <v/>
      </c>
      <c r="BN162" s="53" t="str">
        <f aca="false">IF($F162="","",COUNTIF($F159:$F162,BJ$21)+COUNTIF($F159:$F162,$A$3))</f>
        <v/>
      </c>
      <c r="BP162" s="65" t="str">
        <f aca="false">IF($B162="","",COUNTIF($B159:$B162,BP$21)+COUNTIF($B159:$B162,$A$3))</f>
        <v/>
      </c>
      <c r="BQ162" s="52" t="str">
        <f aca="false">IF($C162="","",COUNTIF($C159:$C162,BP$21)+COUNTIF($C159:$C162,$A$3))</f>
        <v/>
      </c>
      <c r="BR162" s="52" t="str">
        <f aca="false">IF($D162="","",COUNTIF($D159:$D162,BP$21)+COUNTIF($D159:$D162,$A$3))</f>
        <v/>
      </c>
      <c r="BS162" s="52" t="str">
        <f aca="false">IF($E162="","",COUNTIF($E159:$E162,BP$21)+COUNTIF($E159:$E162,$A$3))</f>
        <v/>
      </c>
      <c r="BT162" s="53" t="str">
        <f aca="false">IF($F162="","",COUNTIF($F159:$F162,BP$21)+COUNTIF($F159:$F162,$A$3))</f>
        <v/>
      </c>
    </row>
    <row r="163" customFormat="false" ht="15" hidden="false" customHeight="false" outlineLevel="0" collapsed="false">
      <c r="A163" s="13" t="n">
        <v>141</v>
      </c>
      <c r="B163" s="116" t="str">
        <f aca="false">IF('Game Info'!J146="","",'Game Info'!J146)</f>
        <v/>
      </c>
      <c r="C163" s="116" t="str">
        <f aca="false">IF('Game Info'!K146="","",'Game Info'!K146)</f>
        <v/>
      </c>
      <c r="D163" s="116" t="str">
        <f aca="false">IF('Game Info'!L146="","",'Game Info'!L146)</f>
        <v/>
      </c>
      <c r="E163" s="116" t="str">
        <f aca="false">IF('Game Info'!M146="","",'Game Info'!M146)</f>
        <v/>
      </c>
      <c r="F163" s="117" t="str">
        <f aca="false">IF('Game Info'!N146="","",'Game Info'!N146)</f>
        <v/>
      </c>
      <c r="H163" s="65" t="str">
        <f aca="false">IF($B163="","",COUNTIF($B160:$B163,H$21)+COUNTIF($B160:$B163,$A$3))</f>
        <v/>
      </c>
      <c r="I163" s="52" t="str">
        <f aca="false">IF($C163="","",COUNTIF($C160:$C163,H$21)+COUNTIF($C160:$C163,$A$3))</f>
        <v/>
      </c>
      <c r="J163" s="52" t="str">
        <f aca="false">IF($D163="","",COUNTIF($D160:$D163,H$21)+COUNTIF($D160:$D163,$A$3))</f>
        <v/>
      </c>
      <c r="K163" s="52" t="str">
        <f aca="false">IF($E163="","",COUNTIF($E160:$E163,H$21)+COUNTIF($E160:$E163,$A$3))</f>
        <v/>
      </c>
      <c r="L163" s="53" t="str">
        <f aca="false">IF($F163="","",COUNTIF($F160:$F163,H$21)+COUNTIF($F160:$F163,$A$3))</f>
        <v/>
      </c>
      <c r="N163" s="65" t="str">
        <f aca="false">IF($B163="","",COUNTIF($B160:$B163,N$21)+COUNTIF($B160:$B163,$A$3))</f>
        <v/>
      </c>
      <c r="O163" s="52" t="str">
        <f aca="false">IF($C163="","",COUNTIF($C160:$C163,N$21)+COUNTIF($C160:$C163,$A$3))</f>
        <v/>
      </c>
      <c r="P163" s="52" t="str">
        <f aca="false">IF($D163="","",COUNTIF($D160:$D163,N$21)+COUNTIF($D160:$D163,$A$3))</f>
        <v/>
      </c>
      <c r="Q163" s="52" t="str">
        <f aca="false">IF($E163="","",COUNTIF($E160:$E163,N$21)+COUNTIF($E160:$E163,$A$3))</f>
        <v/>
      </c>
      <c r="R163" s="53" t="str">
        <f aca="false">IF($F163="","",COUNTIF($F160:$F163,N$21)+COUNTIF($F160:$F163,$A$3))</f>
        <v/>
      </c>
      <c r="T163" s="65" t="str">
        <f aca="false">IF($B163="","",COUNTIF($B160:$B163,T$21)+COUNTIF($B160:$B163,$A$3))</f>
        <v/>
      </c>
      <c r="U163" s="52" t="str">
        <f aca="false">IF($C163="","",COUNTIF($C160:$C163,T$21)+COUNTIF($C160:$C163,$A$3))</f>
        <v/>
      </c>
      <c r="V163" s="52" t="str">
        <f aca="false">IF($D163="","",COUNTIF($D160:$D163,T$21)+COUNTIF($D160:$D163,$A$3))</f>
        <v/>
      </c>
      <c r="W163" s="52" t="str">
        <f aca="false">IF($E163="","",COUNTIF($E160:$E163,T$21)+COUNTIF($E160:$E163,$A$3))</f>
        <v/>
      </c>
      <c r="X163" s="53" t="str">
        <f aca="false">IF($F163="","",COUNTIF($F160:$F163,T$21)+COUNTIF($F160:$F163,$A$3))</f>
        <v/>
      </c>
      <c r="Z163" s="65" t="str">
        <f aca="false">IF($B163="","",COUNTIF($B160:$B163,Z$21)+COUNTIF($B160:$B163,$A$3))</f>
        <v/>
      </c>
      <c r="AA163" s="52" t="str">
        <f aca="false">IF($C163="","",COUNTIF($C160:$C163,Z$21)+COUNTIF($C160:$C163,$A$3))</f>
        <v/>
      </c>
      <c r="AB163" s="52" t="str">
        <f aca="false">IF($D163="","",COUNTIF($D160:$D163,Z$21)+COUNTIF($D160:$D163,$A$3))</f>
        <v/>
      </c>
      <c r="AC163" s="52" t="str">
        <f aca="false">IF($E163="","",COUNTIF($E160:$E163,Z$21)+COUNTIF($E160:$E163,$A$3))</f>
        <v/>
      </c>
      <c r="AD163" s="53" t="str">
        <f aca="false">IF($F163="","",COUNTIF($F160:$F163,Z$21)+COUNTIF($F160:$F163,$A$3))</f>
        <v/>
      </c>
      <c r="AF163" s="65" t="str">
        <f aca="false">IF($B163="","",COUNTIF($B160:$B163,AF$21)+COUNTIF($B160:$B163,$A$3))</f>
        <v/>
      </c>
      <c r="AG163" s="52" t="str">
        <f aca="false">IF($C163="","",COUNTIF($C160:$C163,AF$21)+COUNTIF($C160:$C163,$A$3))</f>
        <v/>
      </c>
      <c r="AH163" s="52" t="str">
        <f aca="false">IF($D163="","",COUNTIF($D160:$D163,AF$21)+COUNTIF($D160:$D163,$A$3))</f>
        <v/>
      </c>
      <c r="AI163" s="52" t="str">
        <f aca="false">IF($E163="","",COUNTIF($E160:$E163,AF$21)+COUNTIF($E160:$E163,$A$3))</f>
        <v/>
      </c>
      <c r="AJ163" s="53" t="str">
        <f aca="false">IF($F163="","",COUNTIF($F160:$F163,AF$21)+COUNTIF($F160:$F163,$A$3))</f>
        <v/>
      </c>
      <c r="AL163" s="65" t="str">
        <f aca="false">IF($B163="","",COUNTIF($B160:$B163,AL$21)+COUNTIF($B160:$B163,$A$3))</f>
        <v/>
      </c>
      <c r="AM163" s="52" t="str">
        <f aca="false">IF($C163="","",COUNTIF($C160:$C163,AL$21)+COUNTIF($C160:$C163,$A$3))</f>
        <v/>
      </c>
      <c r="AN163" s="52" t="str">
        <f aca="false">IF($D163="","",COUNTIF($D160:$D163,AL$21)+COUNTIF($D160:$D163,$A$3))</f>
        <v/>
      </c>
      <c r="AO163" s="52" t="str">
        <f aca="false">IF($E163="","",COUNTIF($E160:$E163,AL$21)+COUNTIF($E160:$E163,$A$3))</f>
        <v/>
      </c>
      <c r="AP163" s="53" t="str">
        <f aca="false">IF($F163="","",COUNTIF($F160:$F163,AL$21)+COUNTIF($F160:$F163,$A$3))</f>
        <v/>
      </c>
      <c r="AR163" s="65" t="str">
        <f aca="false">IF($B163="","",COUNTIF($B160:$B163,AR$21)+COUNTIF($B160:$B163,$A$3))</f>
        <v/>
      </c>
      <c r="AS163" s="52" t="str">
        <f aca="false">IF($C163="","",COUNTIF($C160:$C163,AR$21)+COUNTIF($C160:$C163,$A$3))</f>
        <v/>
      </c>
      <c r="AT163" s="52" t="str">
        <f aca="false">IF($D163="","",COUNTIF($D160:$D163,AR$21)+COUNTIF($D160:$D163,$A$3))</f>
        <v/>
      </c>
      <c r="AU163" s="52" t="str">
        <f aca="false">IF($E163="","",COUNTIF($E160:$E163,AR$21)+COUNTIF($E160:$E163,$A$3))</f>
        <v/>
      </c>
      <c r="AV163" s="53" t="str">
        <f aca="false">IF($F163="","",COUNTIF($F160:$F163,AR$21)+COUNTIF($F160:$F163,$A$3))</f>
        <v/>
      </c>
      <c r="AX163" s="65" t="str">
        <f aca="false">IF($B163="","",COUNTIF($B160:$B163,AX$21)+COUNTIF($B160:$B163,$A$3))</f>
        <v/>
      </c>
      <c r="AY163" s="52" t="str">
        <f aca="false">IF($C163="","",COUNTIF($C160:$C163,AX$21)+COUNTIF($C160:$C163,$A$3))</f>
        <v/>
      </c>
      <c r="AZ163" s="52" t="str">
        <f aca="false">IF($D163="","",COUNTIF($D160:$D163,AX$21)+COUNTIF($D160:$D163,$A$3))</f>
        <v/>
      </c>
      <c r="BA163" s="52" t="str">
        <f aca="false">IF($E163="","",COUNTIF($E160:$E163,AX$21)+COUNTIF($E160:$E163,$A$3))</f>
        <v/>
      </c>
      <c r="BB163" s="53" t="str">
        <f aca="false">IF($F163="","",COUNTIF($F160:$F163,AX$21)+COUNTIF($F160:$F163,$A$3))</f>
        <v/>
      </c>
      <c r="BD163" s="65" t="str">
        <f aca="false">IF($B163="","",COUNTIF($B160:$B163,BD$21)+COUNTIF($B160:$B163,$A$3))</f>
        <v/>
      </c>
      <c r="BE163" s="52" t="str">
        <f aca="false">IF($C163="","",COUNTIF($C160:$C163,BD$21)+COUNTIF($C160:$C163,$A$3))</f>
        <v/>
      </c>
      <c r="BF163" s="52" t="str">
        <f aca="false">IF($D163="","",COUNTIF($D160:$D163,BD$21)+COUNTIF($D160:$D163,$A$3))</f>
        <v/>
      </c>
      <c r="BG163" s="52" t="str">
        <f aca="false">IF($E163="","",COUNTIF($E160:$E163,BD$21)+COUNTIF($E160:$E163,$A$3))</f>
        <v/>
      </c>
      <c r="BH163" s="53" t="str">
        <f aca="false">IF($F163="","",COUNTIF($F160:$F163,BD$21)+COUNTIF($F160:$F163,$A$3))</f>
        <v/>
      </c>
      <c r="BJ163" s="65" t="str">
        <f aca="false">IF($B163="","",COUNTIF($B160:$B163,BJ$21)+COUNTIF($B160:$B163,$A$3))</f>
        <v/>
      </c>
      <c r="BK163" s="52" t="str">
        <f aca="false">IF($C163="","",COUNTIF($C160:$C163,BJ$21)+COUNTIF($C160:$C163,$A$3))</f>
        <v/>
      </c>
      <c r="BL163" s="52" t="str">
        <f aca="false">IF($D163="","",COUNTIF($D160:$D163,BJ$21)+COUNTIF($D160:$D163,$A$3))</f>
        <v/>
      </c>
      <c r="BM163" s="52" t="str">
        <f aca="false">IF($E163="","",COUNTIF($E160:$E163,BJ$21)+COUNTIF($E160:$E163,$A$3))</f>
        <v/>
      </c>
      <c r="BN163" s="53" t="str">
        <f aca="false">IF($F163="","",COUNTIF($F160:$F163,BJ$21)+COUNTIF($F160:$F163,$A$3))</f>
        <v/>
      </c>
      <c r="BP163" s="65" t="str">
        <f aca="false">IF($B163="","",COUNTIF($B160:$B163,BP$21)+COUNTIF($B160:$B163,$A$3))</f>
        <v/>
      </c>
      <c r="BQ163" s="52" t="str">
        <f aca="false">IF($C163="","",COUNTIF($C160:$C163,BP$21)+COUNTIF($C160:$C163,$A$3))</f>
        <v/>
      </c>
      <c r="BR163" s="52" t="str">
        <f aca="false">IF($D163="","",COUNTIF($D160:$D163,BP$21)+COUNTIF($D160:$D163,$A$3))</f>
        <v/>
      </c>
      <c r="BS163" s="52" t="str">
        <f aca="false">IF($E163="","",COUNTIF($E160:$E163,BP$21)+COUNTIF($E160:$E163,$A$3))</f>
        <v/>
      </c>
      <c r="BT163" s="53" t="str">
        <f aca="false">IF($F163="","",COUNTIF($F160:$F163,BP$21)+COUNTIF($F160:$F163,$A$3))</f>
        <v/>
      </c>
    </row>
    <row r="164" customFormat="false" ht="15" hidden="false" customHeight="false" outlineLevel="0" collapsed="false">
      <c r="A164" s="13" t="n">
        <v>142</v>
      </c>
      <c r="B164" s="116" t="str">
        <f aca="false">IF('Game Info'!J147="","",'Game Info'!J147)</f>
        <v/>
      </c>
      <c r="C164" s="116" t="str">
        <f aca="false">IF('Game Info'!K147="","",'Game Info'!K147)</f>
        <v/>
      </c>
      <c r="D164" s="116" t="str">
        <f aca="false">IF('Game Info'!L147="","",'Game Info'!L147)</f>
        <v/>
      </c>
      <c r="E164" s="116" t="str">
        <f aca="false">IF('Game Info'!M147="","",'Game Info'!M147)</f>
        <v/>
      </c>
      <c r="F164" s="117" t="str">
        <f aca="false">IF('Game Info'!N147="","",'Game Info'!N147)</f>
        <v/>
      </c>
      <c r="H164" s="65" t="str">
        <f aca="false">IF($B164="","",COUNTIF($B161:$B164,H$21)+COUNTIF($B161:$B164,$A$3))</f>
        <v/>
      </c>
      <c r="I164" s="52" t="str">
        <f aca="false">IF($C164="","",COUNTIF($C161:$C164,H$21)+COUNTIF($C161:$C164,$A$3))</f>
        <v/>
      </c>
      <c r="J164" s="52" t="str">
        <f aca="false">IF($D164="","",COUNTIF($D161:$D164,H$21)+COUNTIF($D161:$D164,$A$3))</f>
        <v/>
      </c>
      <c r="K164" s="52" t="str">
        <f aca="false">IF($E164="","",COUNTIF($E161:$E164,H$21)+COUNTIF($E161:$E164,$A$3))</f>
        <v/>
      </c>
      <c r="L164" s="53" t="str">
        <f aca="false">IF($F164="","",COUNTIF($F161:$F164,H$21)+COUNTIF($F161:$F164,$A$3))</f>
        <v/>
      </c>
      <c r="N164" s="65" t="str">
        <f aca="false">IF($B164="","",COUNTIF($B161:$B164,N$21)+COUNTIF($B161:$B164,$A$3))</f>
        <v/>
      </c>
      <c r="O164" s="52" t="str">
        <f aca="false">IF($C164="","",COUNTIF($C161:$C164,N$21)+COUNTIF($C161:$C164,$A$3))</f>
        <v/>
      </c>
      <c r="P164" s="52" t="str">
        <f aca="false">IF($D164="","",COUNTIF($D161:$D164,N$21)+COUNTIF($D161:$D164,$A$3))</f>
        <v/>
      </c>
      <c r="Q164" s="52" t="str">
        <f aca="false">IF($E164="","",COUNTIF($E161:$E164,N$21)+COUNTIF($E161:$E164,$A$3))</f>
        <v/>
      </c>
      <c r="R164" s="53" t="str">
        <f aca="false">IF($F164="","",COUNTIF($F161:$F164,N$21)+COUNTIF($F161:$F164,$A$3))</f>
        <v/>
      </c>
      <c r="T164" s="65" t="str">
        <f aca="false">IF($B164="","",COUNTIF($B161:$B164,T$21)+COUNTIF($B161:$B164,$A$3))</f>
        <v/>
      </c>
      <c r="U164" s="52" t="str">
        <f aca="false">IF($C164="","",COUNTIF($C161:$C164,T$21)+COUNTIF($C161:$C164,$A$3))</f>
        <v/>
      </c>
      <c r="V164" s="52" t="str">
        <f aca="false">IF($D164="","",COUNTIF($D161:$D164,T$21)+COUNTIF($D161:$D164,$A$3))</f>
        <v/>
      </c>
      <c r="W164" s="52" t="str">
        <f aca="false">IF($E164="","",COUNTIF($E161:$E164,T$21)+COUNTIF($E161:$E164,$A$3))</f>
        <v/>
      </c>
      <c r="X164" s="53" t="str">
        <f aca="false">IF($F164="","",COUNTIF($F161:$F164,T$21)+COUNTIF($F161:$F164,$A$3))</f>
        <v/>
      </c>
      <c r="Z164" s="65" t="str">
        <f aca="false">IF($B164="","",COUNTIF($B161:$B164,Z$21)+COUNTIF($B161:$B164,$A$3))</f>
        <v/>
      </c>
      <c r="AA164" s="52" t="str">
        <f aca="false">IF($C164="","",COUNTIF($C161:$C164,Z$21)+COUNTIF($C161:$C164,$A$3))</f>
        <v/>
      </c>
      <c r="AB164" s="52" t="str">
        <f aca="false">IF($D164="","",COUNTIF($D161:$D164,Z$21)+COUNTIF($D161:$D164,$A$3))</f>
        <v/>
      </c>
      <c r="AC164" s="52" t="str">
        <f aca="false">IF($E164="","",COUNTIF($E161:$E164,Z$21)+COUNTIF($E161:$E164,$A$3))</f>
        <v/>
      </c>
      <c r="AD164" s="53" t="str">
        <f aca="false">IF($F164="","",COUNTIF($F161:$F164,Z$21)+COUNTIF($F161:$F164,$A$3))</f>
        <v/>
      </c>
      <c r="AF164" s="65" t="str">
        <f aca="false">IF($B164="","",COUNTIF($B161:$B164,AF$21)+COUNTIF($B161:$B164,$A$3))</f>
        <v/>
      </c>
      <c r="AG164" s="52" t="str">
        <f aca="false">IF($C164="","",COUNTIF($C161:$C164,AF$21)+COUNTIF($C161:$C164,$A$3))</f>
        <v/>
      </c>
      <c r="AH164" s="52" t="str">
        <f aca="false">IF($D164="","",COUNTIF($D161:$D164,AF$21)+COUNTIF($D161:$D164,$A$3))</f>
        <v/>
      </c>
      <c r="AI164" s="52" t="str">
        <f aca="false">IF($E164="","",COUNTIF($E161:$E164,AF$21)+COUNTIF($E161:$E164,$A$3))</f>
        <v/>
      </c>
      <c r="AJ164" s="53" t="str">
        <f aca="false">IF($F164="","",COUNTIF($F161:$F164,AF$21)+COUNTIF($F161:$F164,$A$3))</f>
        <v/>
      </c>
      <c r="AL164" s="65" t="str">
        <f aca="false">IF($B164="","",COUNTIF($B161:$B164,AL$21)+COUNTIF($B161:$B164,$A$3))</f>
        <v/>
      </c>
      <c r="AM164" s="52" t="str">
        <f aca="false">IF($C164="","",COUNTIF($C161:$C164,AL$21)+COUNTIF($C161:$C164,$A$3))</f>
        <v/>
      </c>
      <c r="AN164" s="52" t="str">
        <f aca="false">IF($D164="","",COUNTIF($D161:$D164,AL$21)+COUNTIF($D161:$D164,$A$3))</f>
        <v/>
      </c>
      <c r="AO164" s="52" t="str">
        <f aca="false">IF($E164="","",COUNTIF($E161:$E164,AL$21)+COUNTIF($E161:$E164,$A$3))</f>
        <v/>
      </c>
      <c r="AP164" s="53" t="str">
        <f aca="false">IF($F164="","",COUNTIF($F161:$F164,AL$21)+COUNTIF($F161:$F164,$A$3))</f>
        <v/>
      </c>
      <c r="AR164" s="65" t="str">
        <f aca="false">IF($B164="","",COUNTIF($B161:$B164,AR$21)+COUNTIF($B161:$B164,$A$3))</f>
        <v/>
      </c>
      <c r="AS164" s="52" t="str">
        <f aca="false">IF($C164="","",COUNTIF($C161:$C164,AR$21)+COUNTIF($C161:$C164,$A$3))</f>
        <v/>
      </c>
      <c r="AT164" s="52" t="str">
        <f aca="false">IF($D164="","",COUNTIF($D161:$D164,AR$21)+COUNTIF($D161:$D164,$A$3))</f>
        <v/>
      </c>
      <c r="AU164" s="52" t="str">
        <f aca="false">IF($E164="","",COUNTIF($E161:$E164,AR$21)+COUNTIF($E161:$E164,$A$3))</f>
        <v/>
      </c>
      <c r="AV164" s="53" t="str">
        <f aca="false">IF($F164="","",COUNTIF($F161:$F164,AR$21)+COUNTIF($F161:$F164,$A$3))</f>
        <v/>
      </c>
      <c r="AX164" s="65" t="str">
        <f aca="false">IF($B164="","",COUNTIF($B161:$B164,AX$21)+COUNTIF($B161:$B164,$A$3))</f>
        <v/>
      </c>
      <c r="AY164" s="52" t="str">
        <f aca="false">IF($C164="","",COUNTIF($C161:$C164,AX$21)+COUNTIF($C161:$C164,$A$3))</f>
        <v/>
      </c>
      <c r="AZ164" s="52" t="str">
        <f aca="false">IF($D164="","",COUNTIF($D161:$D164,AX$21)+COUNTIF($D161:$D164,$A$3))</f>
        <v/>
      </c>
      <c r="BA164" s="52" t="str">
        <f aca="false">IF($E164="","",COUNTIF($E161:$E164,AX$21)+COUNTIF($E161:$E164,$A$3))</f>
        <v/>
      </c>
      <c r="BB164" s="53" t="str">
        <f aca="false">IF($F164="","",COUNTIF($F161:$F164,AX$21)+COUNTIF($F161:$F164,$A$3))</f>
        <v/>
      </c>
      <c r="BD164" s="65" t="str">
        <f aca="false">IF($B164="","",COUNTIF($B161:$B164,BD$21)+COUNTIF($B161:$B164,$A$3))</f>
        <v/>
      </c>
      <c r="BE164" s="52" t="str">
        <f aca="false">IF($C164="","",COUNTIF($C161:$C164,BD$21)+COUNTIF($C161:$C164,$A$3))</f>
        <v/>
      </c>
      <c r="BF164" s="52" t="str">
        <f aca="false">IF($D164="","",COUNTIF($D161:$D164,BD$21)+COUNTIF($D161:$D164,$A$3))</f>
        <v/>
      </c>
      <c r="BG164" s="52" t="str">
        <f aca="false">IF($E164="","",COUNTIF($E161:$E164,BD$21)+COUNTIF($E161:$E164,$A$3))</f>
        <v/>
      </c>
      <c r="BH164" s="53" t="str">
        <f aca="false">IF($F164="","",COUNTIF($F161:$F164,BD$21)+COUNTIF($F161:$F164,$A$3))</f>
        <v/>
      </c>
      <c r="BJ164" s="65" t="str">
        <f aca="false">IF($B164="","",COUNTIF($B161:$B164,BJ$21)+COUNTIF($B161:$B164,$A$3))</f>
        <v/>
      </c>
      <c r="BK164" s="52" t="str">
        <f aca="false">IF($C164="","",COUNTIF($C161:$C164,BJ$21)+COUNTIF($C161:$C164,$A$3))</f>
        <v/>
      </c>
      <c r="BL164" s="52" t="str">
        <f aca="false">IF($D164="","",COUNTIF($D161:$D164,BJ$21)+COUNTIF($D161:$D164,$A$3))</f>
        <v/>
      </c>
      <c r="BM164" s="52" t="str">
        <f aca="false">IF($E164="","",COUNTIF($E161:$E164,BJ$21)+COUNTIF($E161:$E164,$A$3))</f>
        <v/>
      </c>
      <c r="BN164" s="53" t="str">
        <f aca="false">IF($F164="","",COUNTIF($F161:$F164,BJ$21)+COUNTIF($F161:$F164,$A$3))</f>
        <v/>
      </c>
      <c r="BP164" s="65" t="str">
        <f aca="false">IF($B164="","",COUNTIF($B161:$B164,BP$21)+COUNTIF($B161:$B164,$A$3))</f>
        <v/>
      </c>
      <c r="BQ164" s="52" t="str">
        <f aca="false">IF($C164="","",COUNTIF($C161:$C164,BP$21)+COUNTIF($C161:$C164,$A$3))</f>
        <v/>
      </c>
      <c r="BR164" s="52" t="str">
        <f aca="false">IF($D164="","",COUNTIF($D161:$D164,BP$21)+COUNTIF($D161:$D164,$A$3))</f>
        <v/>
      </c>
      <c r="BS164" s="52" t="str">
        <f aca="false">IF($E164="","",COUNTIF($E161:$E164,BP$21)+COUNTIF($E161:$E164,$A$3))</f>
        <v/>
      </c>
      <c r="BT164" s="53" t="str">
        <f aca="false">IF($F164="","",COUNTIF($F161:$F164,BP$21)+COUNTIF($F161:$F164,$A$3))</f>
        <v/>
      </c>
    </row>
    <row r="165" customFormat="false" ht="15" hidden="false" customHeight="false" outlineLevel="0" collapsed="false">
      <c r="A165" s="13" t="n">
        <v>143</v>
      </c>
      <c r="B165" s="116" t="str">
        <f aca="false">IF('Game Info'!J148="","",'Game Info'!J148)</f>
        <v/>
      </c>
      <c r="C165" s="116" t="str">
        <f aca="false">IF('Game Info'!K148="","",'Game Info'!K148)</f>
        <v/>
      </c>
      <c r="D165" s="116" t="str">
        <f aca="false">IF('Game Info'!L148="","",'Game Info'!L148)</f>
        <v/>
      </c>
      <c r="E165" s="116" t="str">
        <f aca="false">IF('Game Info'!M148="","",'Game Info'!M148)</f>
        <v/>
      </c>
      <c r="F165" s="117" t="str">
        <f aca="false">IF('Game Info'!N148="","",'Game Info'!N148)</f>
        <v/>
      </c>
      <c r="H165" s="65" t="str">
        <f aca="false">IF($B165="","",COUNTIF($B162:$B165,H$21)+COUNTIF($B162:$B165,$A$3))</f>
        <v/>
      </c>
      <c r="I165" s="52" t="str">
        <f aca="false">IF($C165="","",COUNTIF($C162:$C165,H$21)+COUNTIF($C162:$C165,$A$3))</f>
        <v/>
      </c>
      <c r="J165" s="52" t="str">
        <f aca="false">IF($D165="","",COUNTIF($D162:$D165,H$21)+COUNTIF($D162:$D165,$A$3))</f>
        <v/>
      </c>
      <c r="K165" s="52" t="str">
        <f aca="false">IF($E165="","",COUNTIF($E162:$E165,H$21)+COUNTIF($E162:$E165,$A$3))</f>
        <v/>
      </c>
      <c r="L165" s="53" t="str">
        <f aca="false">IF($F165="","",COUNTIF($F162:$F165,H$21)+COUNTIF($F162:$F165,$A$3))</f>
        <v/>
      </c>
      <c r="N165" s="65" t="str">
        <f aca="false">IF($B165="","",COUNTIF($B162:$B165,N$21)+COUNTIF($B162:$B165,$A$3))</f>
        <v/>
      </c>
      <c r="O165" s="52" t="str">
        <f aca="false">IF($C165="","",COUNTIF($C162:$C165,N$21)+COUNTIF($C162:$C165,$A$3))</f>
        <v/>
      </c>
      <c r="P165" s="52" t="str">
        <f aca="false">IF($D165="","",COUNTIF($D162:$D165,N$21)+COUNTIF($D162:$D165,$A$3))</f>
        <v/>
      </c>
      <c r="Q165" s="52" t="str">
        <f aca="false">IF($E165="","",COUNTIF($E162:$E165,N$21)+COUNTIF($E162:$E165,$A$3))</f>
        <v/>
      </c>
      <c r="R165" s="53" t="str">
        <f aca="false">IF($F165="","",COUNTIF($F162:$F165,N$21)+COUNTIF($F162:$F165,$A$3))</f>
        <v/>
      </c>
      <c r="T165" s="65" t="str">
        <f aca="false">IF($B165="","",COUNTIF($B162:$B165,T$21)+COUNTIF($B162:$B165,$A$3))</f>
        <v/>
      </c>
      <c r="U165" s="52" t="str">
        <f aca="false">IF($C165="","",COUNTIF($C162:$C165,T$21)+COUNTIF($C162:$C165,$A$3))</f>
        <v/>
      </c>
      <c r="V165" s="52" t="str">
        <f aca="false">IF($D165="","",COUNTIF($D162:$D165,T$21)+COUNTIF($D162:$D165,$A$3))</f>
        <v/>
      </c>
      <c r="W165" s="52" t="str">
        <f aca="false">IF($E165="","",COUNTIF($E162:$E165,T$21)+COUNTIF($E162:$E165,$A$3))</f>
        <v/>
      </c>
      <c r="X165" s="53" t="str">
        <f aca="false">IF($F165="","",COUNTIF($F162:$F165,T$21)+COUNTIF($F162:$F165,$A$3))</f>
        <v/>
      </c>
      <c r="Z165" s="65" t="str">
        <f aca="false">IF($B165="","",COUNTIF($B162:$B165,Z$21)+COUNTIF($B162:$B165,$A$3))</f>
        <v/>
      </c>
      <c r="AA165" s="52" t="str">
        <f aca="false">IF($C165="","",COUNTIF($C162:$C165,Z$21)+COUNTIF($C162:$C165,$A$3))</f>
        <v/>
      </c>
      <c r="AB165" s="52" t="str">
        <f aca="false">IF($D165="","",COUNTIF($D162:$D165,Z$21)+COUNTIF($D162:$D165,$A$3))</f>
        <v/>
      </c>
      <c r="AC165" s="52" t="str">
        <f aca="false">IF($E165="","",COUNTIF($E162:$E165,Z$21)+COUNTIF($E162:$E165,$A$3))</f>
        <v/>
      </c>
      <c r="AD165" s="53" t="str">
        <f aca="false">IF($F165="","",COUNTIF($F162:$F165,Z$21)+COUNTIF($F162:$F165,$A$3))</f>
        <v/>
      </c>
      <c r="AF165" s="65" t="str">
        <f aca="false">IF($B165="","",COUNTIF($B162:$B165,AF$21)+COUNTIF($B162:$B165,$A$3))</f>
        <v/>
      </c>
      <c r="AG165" s="52" t="str">
        <f aca="false">IF($C165="","",COUNTIF($C162:$C165,AF$21)+COUNTIF($C162:$C165,$A$3))</f>
        <v/>
      </c>
      <c r="AH165" s="52" t="str">
        <f aca="false">IF($D165="","",COUNTIF($D162:$D165,AF$21)+COUNTIF($D162:$D165,$A$3))</f>
        <v/>
      </c>
      <c r="AI165" s="52" t="str">
        <f aca="false">IF($E165="","",COUNTIF($E162:$E165,AF$21)+COUNTIF($E162:$E165,$A$3))</f>
        <v/>
      </c>
      <c r="AJ165" s="53" t="str">
        <f aca="false">IF($F165="","",COUNTIF($F162:$F165,AF$21)+COUNTIF($F162:$F165,$A$3))</f>
        <v/>
      </c>
      <c r="AL165" s="65" t="str">
        <f aca="false">IF($B165="","",COUNTIF($B162:$B165,AL$21)+COUNTIF($B162:$B165,$A$3))</f>
        <v/>
      </c>
      <c r="AM165" s="52" t="str">
        <f aca="false">IF($C165="","",COUNTIF($C162:$C165,AL$21)+COUNTIF($C162:$C165,$A$3))</f>
        <v/>
      </c>
      <c r="AN165" s="52" t="str">
        <f aca="false">IF($D165="","",COUNTIF($D162:$D165,AL$21)+COUNTIF($D162:$D165,$A$3))</f>
        <v/>
      </c>
      <c r="AO165" s="52" t="str">
        <f aca="false">IF($E165="","",COUNTIF($E162:$E165,AL$21)+COUNTIF($E162:$E165,$A$3))</f>
        <v/>
      </c>
      <c r="AP165" s="53" t="str">
        <f aca="false">IF($F165="","",COUNTIF($F162:$F165,AL$21)+COUNTIF($F162:$F165,$A$3))</f>
        <v/>
      </c>
      <c r="AR165" s="65" t="str">
        <f aca="false">IF($B165="","",COUNTIF($B162:$B165,AR$21)+COUNTIF($B162:$B165,$A$3))</f>
        <v/>
      </c>
      <c r="AS165" s="52" t="str">
        <f aca="false">IF($C165="","",COUNTIF($C162:$C165,AR$21)+COUNTIF($C162:$C165,$A$3))</f>
        <v/>
      </c>
      <c r="AT165" s="52" t="str">
        <f aca="false">IF($D165="","",COUNTIF($D162:$D165,AR$21)+COUNTIF($D162:$D165,$A$3))</f>
        <v/>
      </c>
      <c r="AU165" s="52" t="str">
        <f aca="false">IF($E165="","",COUNTIF($E162:$E165,AR$21)+COUNTIF($E162:$E165,$A$3))</f>
        <v/>
      </c>
      <c r="AV165" s="53" t="str">
        <f aca="false">IF($F165="","",COUNTIF($F162:$F165,AR$21)+COUNTIF($F162:$F165,$A$3))</f>
        <v/>
      </c>
      <c r="AX165" s="65" t="str">
        <f aca="false">IF($B165="","",COUNTIF($B162:$B165,AX$21)+COUNTIF($B162:$B165,$A$3))</f>
        <v/>
      </c>
      <c r="AY165" s="52" t="str">
        <f aca="false">IF($C165="","",COUNTIF($C162:$C165,AX$21)+COUNTIF($C162:$C165,$A$3))</f>
        <v/>
      </c>
      <c r="AZ165" s="52" t="str">
        <f aca="false">IF($D165="","",COUNTIF($D162:$D165,AX$21)+COUNTIF($D162:$D165,$A$3))</f>
        <v/>
      </c>
      <c r="BA165" s="52" t="str">
        <f aca="false">IF($E165="","",COUNTIF($E162:$E165,AX$21)+COUNTIF($E162:$E165,$A$3))</f>
        <v/>
      </c>
      <c r="BB165" s="53" t="str">
        <f aca="false">IF($F165="","",COUNTIF($F162:$F165,AX$21)+COUNTIF($F162:$F165,$A$3))</f>
        <v/>
      </c>
      <c r="BD165" s="65" t="str">
        <f aca="false">IF($B165="","",COUNTIF($B162:$B165,BD$21)+COUNTIF($B162:$B165,$A$3))</f>
        <v/>
      </c>
      <c r="BE165" s="52" t="str">
        <f aca="false">IF($C165="","",COUNTIF($C162:$C165,BD$21)+COUNTIF($C162:$C165,$A$3))</f>
        <v/>
      </c>
      <c r="BF165" s="52" t="str">
        <f aca="false">IF($D165="","",COUNTIF($D162:$D165,BD$21)+COUNTIF($D162:$D165,$A$3))</f>
        <v/>
      </c>
      <c r="BG165" s="52" t="str">
        <f aca="false">IF($E165="","",COUNTIF($E162:$E165,BD$21)+COUNTIF($E162:$E165,$A$3))</f>
        <v/>
      </c>
      <c r="BH165" s="53" t="str">
        <f aca="false">IF($F165="","",COUNTIF($F162:$F165,BD$21)+COUNTIF($F162:$F165,$A$3))</f>
        <v/>
      </c>
      <c r="BJ165" s="65" t="str">
        <f aca="false">IF($B165="","",COUNTIF($B162:$B165,BJ$21)+COUNTIF($B162:$B165,$A$3))</f>
        <v/>
      </c>
      <c r="BK165" s="52" t="str">
        <f aca="false">IF($C165="","",COUNTIF($C162:$C165,BJ$21)+COUNTIF($C162:$C165,$A$3))</f>
        <v/>
      </c>
      <c r="BL165" s="52" t="str">
        <f aca="false">IF($D165="","",COUNTIF($D162:$D165,BJ$21)+COUNTIF($D162:$D165,$A$3))</f>
        <v/>
      </c>
      <c r="BM165" s="52" t="str">
        <f aca="false">IF($E165="","",COUNTIF($E162:$E165,BJ$21)+COUNTIF($E162:$E165,$A$3))</f>
        <v/>
      </c>
      <c r="BN165" s="53" t="str">
        <f aca="false">IF($F165="","",COUNTIF($F162:$F165,BJ$21)+COUNTIF($F162:$F165,$A$3))</f>
        <v/>
      </c>
      <c r="BP165" s="65" t="str">
        <f aca="false">IF($B165="","",COUNTIF($B162:$B165,BP$21)+COUNTIF($B162:$B165,$A$3))</f>
        <v/>
      </c>
      <c r="BQ165" s="52" t="str">
        <f aca="false">IF($C165="","",COUNTIF($C162:$C165,BP$21)+COUNTIF($C162:$C165,$A$3))</f>
        <v/>
      </c>
      <c r="BR165" s="52" t="str">
        <f aca="false">IF($D165="","",COUNTIF($D162:$D165,BP$21)+COUNTIF($D162:$D165,$A$3))</f>
        <v/>
      </c>
      <c r="BS165" s="52" t="str">
        <f aca="false">IF($E165="","",COUNTIF($E162:$E165,BP$21)+COUNTIF($E162:$E165,$A$3))</f>
        <v/>
      </c>
      <c r="BT165" s="53" t="str">
        <f aca="false">IF($F165="","",COUNTIF($F162:$F165,BP$21)+COUNTIF($F162:$F165,$A$3))</f>
        <v/>
      </c>
    </row>
    <row r="166" customFormat="false" ht="15" hidden="false" customHeight="false" outlineLevel="0" collapsed="false">
      <c r="A166" s="13" t="n">
        <v>144</v>
      </c>
      <c r="B166" s="116" t="str">
        <f aca="false">IF('Game Info'!J149="","",'Game Info'!J149)</f>
        <v/>
      </c>
      <c r="C166" s="116" t="str">
        <f aca="false">IF('Game Info'!K149="","",'Game Info'!K149)</f>
        <v/>
      </c>
      <c r="D166" s="116" t="str">
        <f aca="false">IF('Game Info'!L149="","",'Game Info'!L149)</f>
        <v/>
      </c>
      <c r="E166" s="116" t="str">
        <f aca="false">IF('Game Info'!M149="","",'Game Info'!M149)</f>
        <v/>
      </c>
      <c r="F166" s="117" t="str">
        <f aca="false">IF('Game Info'!N149="","",'Game Info'!N149)</f>
        <v/>
      </c>
      <c r="H166" s="65" t="str">
        <f aca="false">IF($B166="","",COUNTIF($B163:$B166,H$21)+COUNTIF($B163:$B166,$A$3))</f>
        <v/>
      </c>
      <c r="I166" s="52" t="str">
        <f aca="false">IF($C166="","",COUNTIF($C163:$C166,H$21)+COUNTIF($C163:$C166,$A$3))</f>
        <v/>
      </c>
      <c r="J166" s="52" t="str">
        <f aca="false">IF($D166="","",COUNTIF($D163:$D166,H$21)+COUNTIF($D163:$D166,$A$3))</f>
        <v/>
      </c>
      <c r="K166" s="52" t="str">
        <f aca="false">IF($E166="","",COUNTIF($E163:$E166,H$21)+COUNTIF($E163:$E166,$A$3))</f>
        <v/>
      </c>
      <c r="L166" s="53" t="str">
        <f aca="false">IF($F166="","",COUNTIF($F163:$F166,H$21)+COUNTIF($F163:$F166,$A$3))</f>
        <v/>
      </c>
      <c r="N166" s="65" t="str">
        <f aca="false">IF($B166="","",COUNTIF($B163:$B166,N$21)+COUNTIF($B163:$B166,$A$3))</f>
        <v/>
      </c>
      <c r="O166" s="52" t="str">
        <f aca="false">IF($C166="","",COUNTIF($C163:$C166,N$21)+COUNTIF($C163:$C166,$A$3))</f>
        <v/>
      </c>
      <c r="P166" s="52" t="str">
        <f aca="false">IF($D166="","",COUNTIF($D163:$D166,N$21)+COUNTIF($D163:$D166,$A$3))</f>
        <v/>
      </c>
      <c r="Q166" s="52" t="str">
        <f aca="false">IF($E166="","",COUNTIF($E163:$E166,N$21)+COUNTIF($E163:$E166,$A$3))</f>
        <v/>
      </c>
      <c r="R166" s="53" t="str">
        <f aca="false">IF($F166="","",COUNTIF($F163:$F166,N$21)+COUNTIF($F163:$F166,$A$3))</f>
        <v/>
      </c>
      <c r="T166" s="65" t="str">
        <f aca="false">IF($B166="","",COUNTIF($B163:$B166,T$21)+COUNTIF($B163:$B166,$A$3))</f>
        <v/>
      </c>
      <c r="U166" s="52" t="str">
        <f aca="false">IF($C166="","",COUNTIF($C163:$C166,T$21)+COUNTIF($C163:$C166,$A$3))</f>
        <v/>
      </c>
      <c r="V166" s="52" t="str">
        <f aca="false">IF($D166="","",COUNTIF($D163:$D166,T$21)+COUNTIF($D163:$D166,$A$3))</f>
        <v/>
      </c>
      <c r="W166" s="52" t="str">
        <f aca="false">IF($E166="","",COUNTIF($E163:$E166,T$21)+COUNTIF($E163:$E166,$A$3))</f>
        <v/>
      </c>
      <c r="X166" s="53" t="str">
        <f aca="false">IF($F166="","",COUNTIF($F163:$F166,T$21)+COUNTIF($F163:$F166,$A$3))</f>
        <v/>
      </c>
      <c r="Z166" s="65" t="str">
        <f aca="false">IF($B166="","",COUNTIF($B163:$B166,Z$21)+COUNTIF($B163:$B166,$A$3))</f>
        <v/>
      </c>
      <c r="AA166" s="52" t="str">
        <f aca="false">IF($C166="","",COUNTIF($C163:$C166,Z$21)+COUNTIF($C163:$C166,$A$3))</f>
        <v/>
      </c>
      <c r="AB166" s="52" t="str">
        <f aca="false">IF($D166="","",COUNTIF($D163:$D166,Z$21)+COUNTIF($D163:$D166,$A$3))</f>
        <v/>
      </c>
      <c r="AC166" s="52" t="str">
        <f aca="false">IF($E166="","",COUNTIF($E163:$E166,Z$21)+COUNTIF($E163:$E166,$A$3))</f>
        <v/>
      </c>
      <c r="AD166" s="53" t="str">
        <f aca="false">IF($F166="","",COUNTIF($F163:$F166,Z$21)+COUNTIF($F163:$F166,$A$3))</f>
        <v/>
      </c>
      <c r="AF166" s="65" t="str">
        <f aca="false">IF($B166="","",COUNTIF($B163:$B166,AF$21)+COUNTIF($B163:$B166,$A$3))</f>
        <v/>
      </c>
      <c r="AG166" s="52" t="str">
        <f aca="false">IF($C166="","",COUNTIF($C163:$C166,AF$21)+COUNTIF($C163:$C166,$A$3))</f>
        <v/>
      </c>
      <c r="AH166" s="52" t="str">
        <f aca="false">IF($D166="","",COUNTIF($D163:$D166,AF$21)+COUNTIF($D163:$D166,$A$3))</f>
        <v/>
      </c>
      <c r="AI166" s="52" t="str">
        <f aca="false">IF($E166="","",COUNTIF($E163:$E166,AF$21)+COUNTIF($E163:$E166,$A$3))</f>
        <v/>
      </c>
      <c r="AJ166" s="53" t="str">
        <f aca="false">IF($F166="","",COUNTIF($F163:$F166,AF$21)+COUNTIF($F163:$F166,$A$3))</f>
        <v/>
      </c>
      <c r="AL166" s="65" t="str">
        <f aca="false">IF($B166="","",COUNTIF($B163:$B166,AL$21)+COUNTIF($B163:$B166,$A$3))</f>
        <v/>
      </c>
      <c r="AM166" s="52" t="str">
        <f aca="false">IF($C166="","",COUNTIF($C163:$C166,AL$21)+COUNTIF($C163:$C166,$A$3))</f>
        <v/>
      </c>
      <c r="AN166" s="52" t="str">
        <f aca="false">IF($D166="","",COUNTIF($D163:$D166,AL$21)+COUNTIF($D163:$D166,$A$3))</f>
        <v/>
      </c>
      <c r="AO166" s="52" t="str">
        <f aca="false">IF($E166="","",COUNTIF($E163:$E166,AL$21)+COUNTIF($E163:$E166,$A$3))</f>
        <v/>
      </c>
      <c r="AP166" s="53" t="str">
        <f aca="false">IF($F166="","",COUNTIF($F163:$F166,AL$21)+COUNTIF($F163:$F166,$A$3))</f>
        <v/>
      </c>
      <c r="AR166" s="65" t="str">
        <f aca="false">IF($B166="","",COUNTIF($B163:$B166,AR$21)+COUNTIF($B163:$B166,$A$3))</f>
        <v/>
      </c>
      <c r="AS166" s="52" t="str">
        <f aca="false">IF($C166="","",COUNTIF($C163:$C166,AR$21)+COUNTIF($C163:$C166,$A$3))</f>
        <v/>
      </c>
      <c r="AT166" s="52" t="str">
        <f aca="false">IF($D166="","",COUNTIF($D163:$D166,AR$21)+COUNTIF($D163:$D166,$A$3))</f>
        <v/>
      </c>
      <c r="AU166" s="52" t="str">
        <f aca="false">IF($E166="","",COUNTIF($E163:$E166,AR$21)+COUNTIF($E163:$E166,$A$3))</f>
        <v/>
      </c>
      <c r="AV166" s="53" t="str">
        <f aca="false">IF($F166="","",COUNTIF($F163:$F166,AR$21)+COUNTIF($F163:$F166,$A$3))</f>
        <v/>
      </c>
      <c r="AX166" s="65" t="str">
        <f aca="false">IF($B166="","",COUNTIF($B163:$B166,AX$21)+COUNTIF($B163:$B166,$A$3))</f>
        <v/>
      </c>
      <c r="AY166" s="52" t="str">
        <f aca="false">IF($C166="","",COUNTIF($C163:$C166,AX$21)+COUNTIF($C163:$C166,$A$3))</f>
        <v/>
      </c>
      <c r="AZ166" s="52" t="str">
        <f aca="false">IF($D166="","",COUNTIF($D163:$D166,AX$21)+COUNTIF($D163:$D166,$A$3))</f>
        <v/>
      </c>
      <c r="BA166" s="52" t="str">
        <f aca="false">IF($E166="","",COUNTIF($E163:$E166,AX$21)+COUNTIF($E163:$E166,$A$3))</f>
        <v/>
      </c>
      <c r="BB166" s="53" t="str">
        <f aca="false">IF($F166="","",COUNTIF($F163:$F166,AX$21)+COUNTIF($F163:$F166,$A$3))</f>
        <v/>
      </c>
      <c r="BD166" s="65" t="str">
        <f aca="false">IF($B166="","",COUNTIF($B163:$B166,BD$21)+COUNTIF($B163:$B166,$A$3))</f>
        <v/>
      </c>
      <c r="BE166" s="52" t="str">
        <f aca="false">IF($C166="","",COUNTIF($C163:$C166,BD$21)+COUNTIF($C163:$C166,$A$3))</f>
        <v/>
      </c>
      <c r="BF166" s="52" t="str">
        <f aca="false">IF($D166="","",COUNTIF($D163:$D166,BD$21)+COUNTIF($D163:$D166,$A$3))</f>
        <v/>
      </c>
      <c r="BG166" s="52" t="str">
        <f aca="false">IF($E166="","",COUNTIF($E163:$E166,BD$21)+COUNTIF($E163:$E166,$A$3))</f>
        <v/>
      </c>
      <c r="BH166" s="53" t="str">
        <f aca="false">IF($F166="","",COUNTIF($F163:$F166,BD$21)+COUNTIF($F163:$F166,$A$3))</f>
        <v/>
      </c>
      <c r="BJ166" s="65" t="str">
        <f aca="false">IF($B166="","",COUNTIF($B163:$B166,BJ$21)+COUNTIF($B163:$B166,$A$3))</f>
        <v/>
      </c>
      <c r="BK166" s="52" t="str">
        <f aca="false">IF($C166="","",COUNTIF($C163:$C166,BJ$21)+COUNTIF($C163:$C166,$A$3))</f>
        <v/>
      </c>
      <c r="BL166" s="52" t="str">
        <f aca="false">IF($D166="","",COUNTIF($D163:$D166,BJ$21)+COUNTIF($D163:$D166,$A$3))</f>
        <v/>
      </c>
      <c r="BM166" s="52" t="str">
        <f aca="false">IF($E166="","",COUNTIF($E163:$E166,BJ$21)+COUNTIF($E163:$E166,$A$3))</f>
        <v/>
      </c>
      <c r="BN166" s="53" t="str">
        <f aca="false">IF($F166="","",COUNTIF($F163:$F166,BJ$21)+COUNTIF($F163:$F166,$A$3))</f>
        <v/>
      </c>
      <c r="BP166" s="65" t="str">
        <f aca="false">IF($B166="","",COUNTIF($B163:$B166,BP$21)+COUNTIF($B163:$B166,$A$3))</f>
        <v/>
      </c>
      <c r="BQ166" s="52" t="str">
        <f aca="false">IF($C166="","",COUNTIF($C163:$C166,BP$21)+COUNTIF($C163:$C166,$A$3))</f>
        <v/>
      </c>
      <c r="BR166" s="52" t="str">
        <f aca="false">IF($D166="","",COUNTIF($D163:$D166,BP$21)+COUNTIF($D163:$D166,$A$3))</f>
        <v/>
      </c>
      <c r="BS166" s="52" t="str">
        <f aca="false">IF($E166="","",COUNTIF($E163:$E166,BP$21)+COUNTIF($E163:$E166,$A$3))</f>
        <v/>
      </c>
      <c r="BT166" s="53" t="str">
        <f aca="false">IF($F166="","",COUNTIF($F163:$F166,BP$21)+COUNTIF($F163:$F166,$A$3))</f>
        <v/>
      </c>
    </row>
    <row r="167" customFormat="false" ht="15" hidden="false" customHeight="false" outlineLevel="0" collapsed="false">
      <c r="A167" s="13" t="n">
        <v>145</v>
      </c>
      <c r="B167" s="116" t="str">
        <f aca="false">IF('Game Info'!J150="","",'Game Info'!J150)</f>
        <v/>
      </c>
      <c r="C167" s="116" t="str">
        <f aca="false">IF('Game Info'!K150="","",'Game Info'!K150)</f>
        <v/>
      </c>
      <c r="D167" s="116" t="str">
        <f aca="false">IF('Game Info'!L150="","",'Game Info'!L150)</f>
        <v/>
      </c>
      <c r="E167" s="116" t="str">
        <f aca="false">IF('Game Info'!M150="","",'Game Info'!M150)</f>
        <v/>
      </c>
      <c r="F167" s="117" t="str">
        <f aca="false">IF('Game Info'!N150="","",'Game Info'!N150)</f>
        <v/>
      </c>
      <c r="H167" s="65" t="str">
        <f aca="false">IF($B167="","",COUNTIF($B164:$B167,H$21)+COUNTIF($B164:$B167,$A$3))</f>
        <v/>
      </c>
      <c r="I167" s="52" t="str">
        <f aca="false">IF($C167="","",COUNTIF($C164:$C167,H$21)+COUNTIF($C164:$C167,$A$3))</f>
        <v/>
      </c>
      <c r="J167" s="52" t="str">
        <f aca="false">IF($D167="","",COUNTIF($D164:$D167,H$21)+COUNTIF($D164:$D167,$A$3))</f>
        <v/>
      </c>
      <c r="K167" s="52" t="str">
        <f aca="false">IF($E167="","",COUNTIF($E164:$E167,H$21)+COUNTIF($E164:$E167,$A$3))</f>
        <v/>
      </c>
      <c r="L167" s="53" t="str">
        <f aca="false">IF($F167="","",COUNTIF($F164:$F167,H$21)+COUNTIF($F164:$F167,$A$3))</f>
        <v/>
      </c>
      <c r="N167" s="65" t="str">
        <f aca="false">IF($B167="","",COUNTIF($B164:$B167,N$21)+COUNTIF($B164:$B167,$A$3))</f>
        <v/>
      </c>
      <c r="O167" s="52" t="str">
        <f aca="false">IF($C167="","",COUNTIF($C164:$C167,N$21)+COUNTIF($C164:$C167,$A$3))</f>
        <v/>
      </c>
      <c r="P167" s="52" t="str">
        <f aca="false">IF($D167="","",COUNTIF($D164:$D167,N$21)+COUNTIF($D164:$D167,$A$3))</f>
        <v/>
      </c>
      <c r="Q167" s="52" t="str">
        <f aca="false">IF($E167="","",COUNTIF($E164:$E167,N$21)+COUNTIF($E164:$E167,$A$3))</f>
        <v/>
      </c>
      <c r="R167" s="53" t="str">
        <f aca="false">IF($F167="","",COUNTIF($F164:$F167,N$21)+COUNTIF($F164:$F167,$A$3))</f>
        <v/>
      </c>
      <c r="T167" s="65" t="str">
        <f aca="false">IF($B167="","",COUNTIF($B164:$B167,T$21)+COUNTIF($B164:$B167,$A$3))</f>
        <v/>
      </c>
      <c r="U167" s="52" t="str">
        <f aca="false">IF($C167="","",COUNTIF($C164:$C167,T$21)+COUNTIF($C164:$C167,$A$3))</f>
        <v/>
      </c>
      <c r="V167" s="52" t="str">
        <f aca="false">IF($D167="","",COUNTIF($D164:$D167,T$21)+COUNTIF($D164:$D167,$A$3))</f>
        <v/>
      </c>
      <c r="W167" s="52" t="str">
        <f aca="false">IF($E167="","",COUNTIF($E164:$E167,T$21)+COUNTIF($E164:$E167,$A$3))</f>
        <v/>
      </c>
      <c r="X167" s="53" t="str">
        <f aca="false">IF($F167="","",COUNTIF($F164:$F167,T$21)+COUNTIF($F164:$F167,$A$3))</f>
        <v/>
      </c>
      <c r="Z167" s="65" t="str">
        <f aca="false">IF($B167="","",COUNTIF($B164:$B167,Z$21)+COUNTIF($B164:$B167,$A$3))</f>
        <v/>
      </c>
      <c r="AA167" s="52" t="str">
        <f aca="false">IF($C167="","",COUNTIF($C164:$C167,Z$21)+COUNTIF($C164:$C167,$A$3))</f>
        <v/>
      </c>
      <c r="AB167" s="52" t="str">
        <f aca="false">IF($D167="","",COUNTIF($D164:$D167,Z$21)+COUNTIF($D164:$D167,$A$3))</f>
        <v/>
      </c>
      <c r="AC167" s="52" t="str">
        <f aca="false">IF($E167="","",COUNTIF($E164:$E167,Z$21)+COUNTIF($E164:$E167,$A$3))</f>
        <v/>
      </c>
      <c r="AD167" s="53" t="str">
        <f aca="false">IF($F167="","",COUNTIF($F164:$F167,Z$21)+COUNTIF($F164:$F167,$A$3))</f>
        <v/>
      </c>
      <c r="AF167" s="65" t="str">
        <f aca="false">IF($B167="","",COUNTIF($B164:$B167,AF$21)+COUNTIF($B164:$B167,$A$3))</f>
        <v/>
      </c>
      <c r="AG167" s="52" t="str">
        <f aca="false">IF($C167="","",COUNTIF($C164:$C167,AF$21)+COUNTIF($C164:$C167,$A$3))</f>
        <v/>
      </c>
      <c r="AH167" s="52" t="str">
        <f aca="false">IF($D167="","",COUNTIF($D164:$D167,AF$21)+COUNTIF($D164:$D167,$A$3))</f>
        <v/>
      </c>
      <c r="AI167" s="52" t="str">
        <f aca="false">IF($E167="","",COUNTIF($E164:$E167,AF$21)+COUNTIF($E164:$E167,$A$3))</f>
        <v/>
      </c>
      <c r="AJ167" s="53" t="str">
        <f aca="false">IF($F167="","",COUNTIF($F164:$F167,AF$21)+COUNTIF($F164:$F167,$A$3))</f>
        <v/>
      </c>
      <c r="AL167" s="65" t="str">
        <f aca="false">IF($B167="","",COUNTIF($B164:$B167,AL$21)+COUNTIF($B164:$B167,$A$3))</f>
        <v/>
      </c>
      <c r="AM167" s="52" t="str">
        <f aca="false">IF($C167="","",COUNTIF($C164:$C167,AL$21)+COUNTIF($C164:$C167,$A$3))</f>
        <v/>
      </c>
      <c r="AN167" s="52" t="str">
        <f aca="false">IF($D167="","",COUNTIF($D164:$D167,AL$21)+COUNTIF($D164:$D167,$A$3))</f>
        <v/>
      </c>
      <c r="AO167" s="52" t="str">
        <f aca="false">IF($E167="","",COUNTIF($E164:$E167,AL$21)+COUNTIF($E164:$E167,$A$3))</f>
        <v/>
      </c>
      <c r="AP167" s="53" t="str">
        <f aca="false">IF($F167="","",COUNTIF($F164:$F167,AL$21)+COUNTIF($F164:$F167,$A$3))</f>
        <v/>
      </c>
      <c r="AR167" s="65" t="str">
        <f aca="false">IF($B167="","",COUNTIF($B164:$B167,AR$21)+COUNTIF($B164:$B167,$A$3))</f>
        <v/>
      </c>
      <c r="AS167" s="52" t="str">
        <f aca="false">IF($C167="","",COUNTIF($C164:$C167,AR$21)+COUNTIF($C164:$C167,$A$3))</f>
        <v/>
      </c>
      <c r="AT167" s="52" t="str">
        <f aca="false">IF($D167="","",COUNTIF($D164:$D167,AR$21)+COUNTIF($D164:$D167,$A$3))</f>
        <v/>
      </c>
      <c r="AU167" s="52" t="str">
        <f aca="false">IF($E167="","",COUNTIF($E164:$E167,AR$21)+COUNTIF($E164:$E167,$A$3))</f>
        <v/>
      </c>
      <c r="AV167" s="53" t="str">
        <f aca="false">IF($F167="","",COUNTIF($F164:$F167,AR$21)+COUNTIF($F164:$F167,$A$3))</f>
        <v/>
      </c>
      <c r="AX167" s="65" t="str">
        <f aca="false">IF($B167="","",COUNTIF($B164:$B167,AX$21)+COUNTIF($B164:$B167,$A$3))</f>
        <v/>
      </c>
      <c r="AY167" s="52" t="str">
        <f aca="false">IF($C167="","",COUNTIF($C164:$C167,AX$21)+COUNTIF($C164:$C167,$A$3))</f>
        <v/>
      </c>
      <c r="AZ167" s="52" t="str">
        <f aca="false">IF($D167="","",COUNTIF($D164:$D167,AX$21)+COUNTIF($D164:$D167,$A$3))</f>
        <v/>
      </c>
      <c r="BA167" s="52" t="str">
        <f aca="false">IF($E167="","",COUNTIF($E164:$E167,AX$21)+COUNTIF($E164:$E167,$A$3))</f>
        <v/>
      </c>
      <c r="BB167" s="53" t="str">
        <f aca="false">IF($F167="","",COUNTIF($F164:$F167,AX$21)+COUNTIF($F164:$F167,$A$3))</f>
        <v/>
      </c>
      <c r="BD167" s="65" t="str">
        <f aca="false">IF($B167="","",COUNTIF($B164:$B167,BD$21)+COUNTIF($B164:$B167,$A$3))</f>
        <v/>
      </c>
      <c r="BE167" s="52" t="str">
        <f aca="false">IF($C167="","",COUNTIF($C164:$C167,BD$21)+COUNTIF($C164:$C167,$A$3))</f>
        <v/>
      </c>
      <c r="BF167" s="52" t="str">
        <f aca="false">IF($D167="","",COUNTIF($D164:$D167,BD$21)+COUNTIF($D164:$D167,$A$3))</f>
        <v/>
      </c>
      <c r="BG167" s="52" t="str">
        <f aca="false">IF($E167="","",COUNTIF($E164:$E167,BD$21)+COUNTIF($E164:$E167,$A$3))</f>
        <v/>
      </c>
      <c r="BH167" s="53" t="str">
        <f aca="false">IF($F167="","",COUNTIF($F164:$F167,BD$21)+COUNTIF($F164:$F167,$A$3))</f>
        <v/>
      </c>
      <c r="BJ167" s="65" t="str">
        <f aca="false">IF($B167="","",COUNTIF($B164:$B167,BJ$21)+COUNTIF($B164:$B167,$A$3))</f>
        <v/>
      </c>
      <c r="BK167" s="52" t="str">
        <f aca="false">IF($C167="","",COUNTIF($C164:$C167,BJ$21)+COUNTIF($C164:$C167,$A$3))</f>
        <v/>
      </c>
      <c r="BL167" s="52" t="str">
        <f aca="false">IF($D167="","",COUNTIF($D164:$D167,BJ$21)+COUNTIF($D164:$D167,$A$3))</f>
        <v/>
      </c>
      <c r="BM167" s="52" t="str">
        <f aca="false">IF($E167="","",COUNTIF($E164:$E167,BJ$21)+COUNTIF($E164:$E167,$A$3))</f>
        <v/>
      </c>
      <c r="BN167" s="53" t="str">
        <f aca="false">IF($F167="","",COUNTIF($F164:$F167,BJ$21)+COUNTIF($F164:$F167,$A$3))</f>
        <v/>
      </c>
      <c r="BP167" s="65" t="str">
        <f aca="false">IF($B167="","",COUNTIF($B164:$B167,BP$21)+COUNTIF($B164:$B167,$A$3))</f>
        <v/>
      </c>
      <c r="BQ167" s="52" t="str">
        <f aca="false">IF($C167="","",COUNTIF($C164:$C167,BP$21)+COUNTIF($C164:$C167,$A$3))</f>
        <v/>
      </c>
      <c r="BR167" s="52" t="str">
        <f aca="false">IF($D167="","",COUNTIF($D164:$D167,BP$21)+COUNTIF($D164:$D167,$A$3))</f>
        <v/>
      </c>
      <c r="BS167" s="52" t="str">
        <f aca="false">IF($E167="","",COUNTIF($E164:$E167,BP$21)+COUNTIF($E164:$E167,$A$3))</f>
        <v/>
      </c>
      <c r="BT167" s="53" t="str">
        <f aca="false">IF($F167="","",COUNTIF($F164:$F167,BP$21)+COUNTIF($F164:$F167,$A$3))</f>
        <v/>
      </c>
    </row>
    <row r="168" customFormat="false" ht="15" hidden="false" customHeight="false" outlineLevel="0" collapsed="false">
      <c r="A168" s="13" t="n">
        <v>146</v>
      </c>
      <c r="B168" s="116" t="str">
        <f aca="false">IF('Game Info'!J151="","",'Game Info'!J151)</f>
        <v/>
      </c>
      <c r="C168" s="116" t="str">
        <f aca="false">IF('Game Info'!K151="","",'Game Info'!K151)</f>
        <v/>
      </c>
      <c r="D168" s="116" t="str">
        <f aca="false">IF('Game Info'!L151="","",'Game Info'!L151)</f>
        <v/>
      </c>
      <c r="E168" s="116" t="str">
        <f aca="false">IF('Game Info'!M151="","",'Game Info'!M151)</f>
        <v/>
      </c>
      <c r="F168" s="117" t="str">
        <f aca="false">IF('Game Info'!N151="","",'Game Info'!N151)</f>
        <v/>
      </c>
      <c r="H168" s="65" t="str">
        <f aca="false">IF($B168="","",COUNTIF($B165:$B168,H$21)+COUNTIF($B165:$B168,$A$3))</f>
        <v/>
      </c>
      <c r="I168" s="52" t="str">
        <f aca="false">IF($C168="","",COUNTIF($C165:$C168,H$21)+COUNTIF($C165:$C168,$A$3))</f>
        <v/>
      </c>
      <c r="J168" s="52" t="str">
        <f aca="false">IF($D168="","",COUNTIF($D165:$D168,H$21)+COUNTIF($D165:$D168,$A$3))</f>
        <v/>
      </c>
      <c r="K168" s="52" t="str">
        <f aca="false">IF($E168="","",COUNTIF($E165:$E168,H$21)+COUNTIF($E165:$E168,$A$3))</f>
        <v/>
      </c>
      <c r="L168" s="53" t="str">
        <f aca="false">IF($F168="","",COUNTIF($F165:$F168,H$21)+COUNTIF($F165:$F168,$A$3))</f>
        <v/>
      </c>
      <c r="N168" s="65" t="str">
        <f aca="false">IF($B168="","",COUNTIF($B165:$B168,N$21)+COUNTIF($B165:$B168,$A$3))</f>
        <v/>
      </c>
      <c r="O168" s="52" t="str">
        <f aca="false">IF($C168="","",COUNTIF($C165:$C168,N$21)+COUNTIF($C165:$C168,$A$3))</f>
        <v/>
      </c>
      <c r="P168" s="52" t="str">
        <f aca="false">IF($D168="","",COUNTIF($D165:$D168,N$21)+COUNTIF($D165:$D168,$A$3))</f>
        <v/>
      </c>
      <c r="Q168" s="52" t="str">
        <f aca="false">IF($E168="","",COUNTIF($E165:$E168,N$21)+COUNTIF($E165:$E168,$A$3))</f>
        <v/>
      </c>
      <c r="R168" s="53" t="str">
        <f aca="false">IF($F168="","",COUNTIF($F165:$F168,N$21)+COUNTIF($F165:$F168,$A$3))</f>
        <v/>
      </c>
      <c r="T168" s="65" t="str">
        <f aca="false">IF($B168="","",COUNTIF($B165:$B168,T$21)+COUNTIF($B165:$B168,$A$3))</f>
        <v/>
      </c>
      <c r="U168" s="52" t="str">
        <f aca="false">IF($C168="","",COUNTIF($C165:$C168,T$21)+COUNTIF($C165:$C168,$A$3))</f>
        <v/>
      </c>
      <c r="V168" s="52" t="str">
        <f aca="false">IF($D168="","",COUNTIF($D165:$D168,T$21)+COUNTIF($D165:$D168,$A$3))</f>
        <v/>
      </c>
      <c r="W168" s="52" t="str">
        <f aca="false">IF($E168="","",COUNTIF($E165:$E168,T$21)+COUNTIF($E165:$E168,$A$3))</f>
        <v/>
      </c>
      <c r="X168" s="53" t="str">
        <f aca="false">IF($F168="","",COUNTIF($F165:$F168,T$21)+COUNTIF($F165:$F168,$A$3))</f>
        <v/>
      </c>
      <c r="Z168" s="65" t="str">
        <f aca="false">IF($B168="","",COUNTIF($B165:$B168,Z$21)+COUNTIF($B165:$B168,$A$3))</f>
        <v/>
      </c>
      <c r="AA168" s="52" t="str">
        <f aca="false">IF($C168="","",COUNTIF($C165:$C168,Z$21)+COUNTIF($C165:$C168,$A$3))</f>
        <v/>
      </c>
      <c r="AB168" s="52" t="str">
        <f aca="false">IF($D168="","",COUNTIF($D165:$D168,Z$21)+COUNTIF($D165:$D168,$A$3))</f>
        <v/>
      </c>
      <c r="AC168" s="52" t="str">
        <f aca="false">IF($E168="","",COUNTIF($E165:$E168,Z$21)+COUNTIF($E165:$E168,$A$3))</f>
        <v/>
      </c>
      <c r="AD168" s="53" t="str">
        <f aca="false">IF($F168="","",COUNTIF($F165:$F168,Z$21)+COUNTIF($F165:$F168,$A$3))</f>
        <v/>
      </c>
      <c r="AF168" s="65" t="str">
        <f aca="false">IF($B168="","",COUNTIF($B165:$B168,AF$21)+COUNTIF($B165:$B168,$A$3))</f>
        <v/>
      </c>
      <c r="AG168" s="52" t="str">
        <f aca="false">IF($C168="","",COUNTIF($C165:$C168,AF$21)+COUNTIF($C165:$C168,$A$3))</f>
        <v/>
      </c>
      <c r="AH168" s="52" t="str">
        <f aca="false">IF($D168="","",COUNTIF($D165:$D168,AF$21)+COUNTIF($D165:$D168,$A$3))</f>
        <v/>
      </c>
      <c r="AI168" s="52" t="str">
        <f aca="false">IF($E168="","",COUNTIF($E165:$E168,AF$21)+COUNTIF($E165:$E168,$A$3))</f>
        <v/>
      </c>
      <c r="AJ168" s="53" t="str">
        <f aca="false">IF($F168="","",COUNTIF($F165:$F168,AF$21)+COUNTIF($F165:$F168,$A$3))</f>
        <v/>
      </c>
      <c r="AL168" s="65" t="str">
        <f aca="false">IF($B168="","",COUNTIF($B165:$B168,AL$21)+COUNTIF($B165:$B168,$A$3))</f>
        <v/>
      </c>
      <c r="AM168" s="52" t="str">
        <f aca="false">IF($C168="","",COUNTIF($C165:$C168,AL$21)+COUNTIF($C165:$C168,$A$3))</f>
        <v/>
      </c>
      <c r="AN168" s="52" t="str">
        <f aca="false">IF($D168="","",COUNTIF($D165:$D168,AL$21)+COUNTIF($D165:$D168,$A$3))</f>
        <v/>
      </c>
      <c r="AO168" s="52" t="str">
        <f aca="false">IF($E168="","",COUNTIF($E165:$E168,AL$21)+COUNTIF($E165:$E168,$A$3))</f>
        <v/>
      </c>
      <c r="AP168" s="53" t="str">
        <f aca="false">IF($F168="","",COUNTIF($F165:$F168,AL$21)+COUNTIF($F165:$F168,$A$3))</f>
        <v/>
      </c>
      <c r="AR168" s="65" t="str">
        <f aca="false">IF($B168="","",COUNTIF($B165:$B168,AR$21)+COUNTIF($B165:$B168,$A$3))</f>
        <v/>
      </c>
      <c r="AS168" s="52" t="str">
        <f aca="false">IF($C168="","",COUNTIF($C165:$C168,AR$21)+COUNTIF($C165:$C168,$A$3))</f>
        <v/>
      </c>
      <c r="AT168" s="52" t="str">
        <f aca="false">IF($D168="","",COUNTIF($D165:$D168,AR$21)+COUNTIF($D165:$D168,$A$3))</f>
        <v/>
      </c>
      <c r="AU168" s="52" t="str">
        <f aca="false">IF($E168="","",COUNTIF($E165:$E168,AR$21)+COUNTIF($E165:$E168,$A$3))</f>
        <v/>
      </c>
      <c r="AV168" s="53" t="str">
        <f aca="false">IF($F168="","",COUNTIF($F165:$F168,AR$21)+COUNTIF($F165:$F168,$A$3))</f>
        <v/>
      </c>
      <c r="AX168" s="65" t="str">
        <f aca="false">IF($B168="","",COUNTIF($B165:$B168,AX$21)+COUNTIF($B165:$B168,$A$3))</f>
        <v/>
      </c>
      <c r="AY168" s="52" t="str">
        <f aca="false">IF($C168="","",COUNTIF($C165:$C168,AX$21)+COUNTIF($C165:$C168,$A$3))</f>
        <v/>
      </c>
      <c r="AZ168" s="52" t="str">
        <f aca="false">IF($D168="","",COUNTIF($D165:$D168,AX$21)+COUNTIF($D165:$D168,$A$3))</f>
        <v/>
      </c>
      <c r="BA168" s="52" t="str">
        <f aca="false">IF($E168="","",COUNTIF($E165:$E168,AX$21)+COUNTIF($E165:$E168,$A$3))</f>
        <v/>
      </c>
      <c r="BB168" s="53" t="str">
        <f aca="false">IF($F168="","",COUNTIF($F165:$F168,AX$21)+COUNTIF($F165:$F168,$A$3))</f>
        <v/>
      </c>
      <c r="BD168" s="65" t="str">
        <f aca="false">IF($B168="","",COUNTIF($B165:$B168,BD$21)+COUNTIF($B165:$B168,$A$3))</f>
        <v/>
      </c>
      <c r="BE168" s="52" t="str">
        <f aca="false">IF($C168="","",COUNTIF($C165:$C168,BD$21)+COUNTIF($C165:$C168,$A$3))</f>
        <v/>
      </c>
      <c r="BF168" s="52" t="str">
        <f aca="false">IF($D168="","",COUNTIF($D165:$D168,BD$21)+COUNTIF($D165:$D168,$A$3))</f>
        <v/>
      </c>
      <c r="BG168" s="52" t="str">
        <f aca="false">IF($E168="","",COUNTIF($E165:$E168,BD$21)+COUNTIF($E165:$E168,$A$3))</f>
        <v/>
      </c>
      <c r="BH168" s="53" t="str">
        <f aca="false">IF($F168="","",COUNTIF($F165:$F168,BD$21)+COUNTIF($F165:$F168,$A$3))</f>
        <v/>
      </c>
      <c r="BJ168" s="65" t="str">
        <f aca="false">IF($B168="","",COUNTIF($B165:$B168,BJ$21)+COUNTIF($B165:$B168,$A$3))</f>
        <v/>
      </c>
      <c r="BK168" s="52" t="str">
        <f aca="false">IF($C168="","",COUNTIF($C165:$C168,BJ$21)+COUNTIF($C165:$C168,$A$3))</f>
        <v/>
      </c>
      <c r="BL168" s="52" t="str">
        <f aca="false">IF($D168="","",COUNTIF($D165:$D168,BJ$21)+COUNTIF($D165:$D168,$A$3))</f>
        <v/>
      </c>
      <c r="BM168" s="52" t="str">
        <f aca="false">IF($E168="","",COUNTIF($E165:$E168,BJ$21)+COUNTIF($E165:$E168,$A$3))</f>
        <v/>
      </c>
      <c r="BN168" s="53" t="str">
        <f aca="false">IF($F168="","",COUNTIF($F165:$F168,BJ$21)+COUNTIF($F165:$F168,$A$3))</f>
        <v/>
      </c>
      <c r="BP168" s="65" t="str">
        <f aca="false">IF($B168="","",COUNTIF($B165:$B168,BP$21)+COUNTIF($B165:$B168,$A$3))</f>
        <v/>
      </c>
      <c r="BQ168" s="52" t="str">
        <f aca="false">IF($C168="","",COUNTIF($C165:$C168,BP$21)+COUNTIF($C165:$C168,$A$3))</f>
        <v/>
      </c>
      <c r="BR168" s="52" t="str">
        <f aca="false">IF($D168="","",COUNTIF($D165:$D168,BP$21)+COUNTIF($D165:$D168,$A$3))</f>
        <v/>
      </c>
      <c r="BS168" s="52" t="str">
        <f aca="false">IF($E168="","",COUNTIF($E165:$E168,BP$21)+COUNTIF($E165:$E168,$A$3))</f>
        <v/>
      </c>
      <c r="BT168" s="53" t="str">
        <f aca="false">IF($F168="","",COUNTIF($F165:$F168,BP$21)+COUNTIF($F165:$F168,$A$3))</f>
        <v/>
      </c>
    </row>
    <row r="169" customFormat="false" ht="15" hidden="false" customHeight="false" outlineLevel="0" collapsed="false">
      <c r="A169" s="13" t="n">
        <v>147</v>
      </c>
      <c r="B169" s="116" t="str">
        <f aca="false">IF('Game Info'!J152="","",'Game Info'!J152)</f>
        <v/>
      </c>
      <c r="C169" s="116" t="str">
        <f aca="false">IF('Game Info'!K152="","",'Game Info'!K152)</f>
        <v/>
      </c>
      <c r="D169" s="116" t="str">
        <f aca="false">IF('Game Info'!L152="","",'Game Info'!L152)</f>
        <v/>
      </c>
      <c r="E169" s="116" t="str">
        <f aca="false">IF('Game Info'!M152="","",'Game Info'!M152)</f>
        <v/>
      </c>
      <c r="F169" s="117" t="str">
        <f aca="false">IF('Game Info'!N152="","",'Game Info'!N152)</f>
        <v/>
      </c>
      <c r="H169" s="65" t="str">
        <f aca="false">IF($B169="","",COUNTIF($B166:$B169,H$21)+COUNTIF($B166:$B169,$A$3))</f>
        <v/>
      </c>
      <c r="I169" s="52" t="str">
        <f aca="false">IF($C169="","",COUNTIF($C166:$C169,H$21)+COUNTIF($C166:$C169,$A$3))</f>
        <v/>
      </c>
      <c r="J169" s="52" t="str">
        <f aca="false">IF($D169="","",COUNTIF($D166:$D169,H$21)+COUNTIF($D166:$D169,$A$3))</f>
        <v/>
      </c>
      <c r="K169" s="52" t="str">
        <f aca="false">IF($E169="","",COUNTIF($E166:$E169,H$21)+COUNTIF($E166:$E169,$A$3))</f>
        <v/>
      </c>
      <c r="L169" s="53" t="str">
        <f aca="false">IF($F169="","",COUNTIF($F166:$F169,H$21)+COUNTIF($F166:$F169,$A$3))</f>
        <v/>
      </c>
      <c r="N169" s="65" t="str">
        <f aca="false">IF($B169="","",COUNTIF($B166:$B169,N$21)+COUNTIF($B166:$B169,$A$3))</f>
        <v/>
      </c>
      <c r="O169" s="52" t="str">
        <f aca="false">IF($C169="","",COUNTIF($C166:$C169,N$21)+COUNTIF($C166:$C169,$A$3))</f>
        <v/>
      </c>
      <c r="P169" s="52" t="str">
        <f aca="false">IF($D169="","",COUNTIF($D166:$D169,N$21)+COUNTIF($D166:$D169,$A$3))</f>
        <v/>
      </c>
      <c r="Q169" s="52" t="str">
        <f aca="false">IF($E169="","",COUNTIF($E166:$E169,N$21)+COUNTIF($E166:$E169,$A$3))</f>
        <v/>
      </c>
      <c r="R169" s="53" t="str">
        <f aca="false">IF($F169="","",COUNTIF($F166:$F169,N$21)+COUNTIF($F166:$F169,$A$3))</f>
        <v/>
      </c>
      <c r="T169" s="65" t="str">
        <f aca="false">IF($B169="","",COUNTIF($B166:$B169,T$21)+COUNTIF($B166:$B169,$A$3))</f>
        <v/>
      </c>
      <c r="U169" s="52" t="str">
        <f aca="false">IF($C169="","",COUNTIF($C166:$C169,T$21)+COUNTIF($C166:$C169,$A$3))</f>
        <v/>
      </c>
      <c r="V169" s="52" t="str">
        <f aca="false">IF($D169="","",COUNTIF($D166:$D169,T$21)+COUNTIF($D166:$D169,$A$3))</f>
        <v/>
      </c>
      <c r="W169" s="52" t="str">
        <f aca="false">IF($E169="","",COUNTIF($E166:$E169,T$21)+COUNTIF($E166:$E169,$A$3))</f>
        <v/>
      </c>
      <c r="X169" s="53" t="str">
        <f aca="false">IF($F169="","",COUNTIF($F166:$F169,T$21)+COUNTIF($F166:$F169,$A$3))</f>
        <v/>
      </c>
      <c r="Z169" s="65" t="str">
        <f aca="false">IF($B169="","",COUNTIF($B166:$B169,Z$21)+COUNTIF($B166:$B169,$A$3))</f>
        <v/>
      </c>
      <c r="AA169" s="52" t="str">
        <f aca="false">IF($C169="","",COUNTIF($C166:$C169,Z$21)+COUNTIF($C166:$C169,$A$3))</f>
        <v/>
      </c>
      <c r="AB169" s="52" t="str">
        <f aca="false">IF($D169="","",COUNTIF($D166:$D169,Z$21)+COUNTIF($D166:$D169,$A$3))</f>
        <v/>
      </c>
      <c r="AC169" s="52" t="str">
        <f aca="false">IF($E169="","",COUNTIF($E166:$E169,Z$21)+COUNTIF($E166:$E169,$A$3))</f>
        <v/>
      </c>
      <c r="AD169" s="53" t="str">
        <f aca="false">IF($F169="","",COUNTIF($F166:$F169,Z$21)+COUNTIF($F166:$F169,$A$3))</f>
        <v/>
      </c>
      <c r="AF169" s="65" t="str">
        <f aca="false">IF($B169="","",COUNTIF($B166:$B169,AF$21)+COUNTIF($B166:$B169,$A$3))</f>
        <v/>
      </c>
      <c r="AG169" s="52" t="str">
        <f aca="false">IF($C169="","",COUNTIF($C166:$C169,AF$21)+COUNTIF($C166:$C169,$A$3))</f>
        <v/>
      </c>
      <c r="AH169" s="52" t="str">
        <f aca="false">IF($D169="","",COUNTIF($D166:$D169,AF$21)+COUNTIF($D166:$D169,$A$3))</f>
        <v/>
      </c>
      <c r="AI169" s="52" t="str">
        <f aca="false">IF($E169="","",COUNTIF($E166:$E169,AF$21)+COUNTIF($E166:$E169,$A$3))</f>
        <v/>
      </c>
      <c r="AJ169" s="53" t="str">
        <f aca="false">IF($F169="","",COUNTIF($F166:$F169,AF$21)+COUNTIF($F166:$F169,$A$3))</f>
        <v/>
      </c>
      <c r="AL169" s="65" t="str">
        <f aca="false">IF($B169="","",COUNTIF($B166:$B169,AL$21)+COUNTIF($B166:$B169,$A$3))</f>
        <v/>
      </c>
      <c r="AM169" s="52" t="str">
        <f aca="false">IF($C169="","",COUNTIF($C166:$C169,AL$21)+COUNTIF($C166:$C169,$A$3))</f>
        <v/>
      </c>
      <c r="AN169" s="52" t="str">
        <f aca="false">IF($D169="","",COUNTIF($D166:$D169,AL$21)+COUNTIF($D166:$D169,$A$3))</f>
        <v/>
      </c>
      <c r="AO169" s="52" t="str">
        <f aca="false">IF($E169="","",COUNTIF($E166:$E169,AL$21)+COUNTIF($E166:$E169,$A$3))</f>
        <v/>
      </c>
      <c r="AP169" s="53" t="str">
        <f aca="false">IF($F169="","",COUNTIF($F166:$F169,AL$21)+COUNTIF($F166:$F169,$A$3))</f>
        <v/>
      </c>
      <c r="AR169" s="65" t="str">
        <f aca="false">IF($B169="","",COUNTIF($B166:$B169,AR$21)+COUNTIF($B166:$B169,$A$3))</f>
        <v/>
      </c>
      <c r="AS169" s="52" t="str">
        <f aca="false">IF($C169="","",COUNTIF($C166:$C169,AR$21)+COUNTIF($C166:$C169,$A$3))</f>
        <v/>
      </c>
      <c r="AT169" s="52" t="str">
        <f aca="false">IF($D169="","",COUNTIF($D166:$D169,AR$21)+COUNTIF($D166:$D169,$A$3))</f>
        <v/>
      </c>
      <c r="AU169" s="52" t="str">
        <f aca="false">IF($E169="","",COUNTIF($E166:$E169,AR$21)+COUNTIF($E166:$E169,$A$3))</f>
        <v/>
      </c>
      <c r="AV169" s="53" t="str">
        <f aca="false">IF($F169="","",COUNTIF($F166:$F169,AR$21)+COUNTIF($F166:$F169,$A$3))</f>
        <v/>
      </c>
      <c r="AX169" s="65" t="str">
        <f aca="false">IF($B169="","",COUNTIF($B166:$B169,AX$21)+COUNTIF($B166:$B169,$A$3))</f>
        <v/>
      </c>
      <c r="AY169" s="52" t="str">
        <f aca="false">IF($C169="","",COUNTIF($C166:$C169,AX$21)+COUNTIF($C166:$C169,$A$3))</f>
        <v/>
      </c>
      <c r="AZ169" s="52" t="str">
        <f aca="false">IF($D169="","",COUNTIF($D166:$D169,AX$21)+COUNTIF($D166:$D169,$A$3))</f>
        <v/>
      </c>
      <c r="BA169" s="52" t="str">
        <f aca="false">IF($E169="","",COUNTIF($E166:$E169,AX$21)+COUNTIF($E166:$E169,$A$3))</f>
        <v/>
      </c>
      <c r="BB169" s="53" t="str">
        <f aca="false">IF($F169="","",COUNTIF($F166:$F169,AX$21)+COUNTIF($F166:$F169,$A$3))</f>
        <v/>
      </c>
      <c r="BD169" s="65" t="str">
        <f aca="false">IF($B169="","",COUNTIF($B166:$B169,BD$21)+COUNTIF($B166:$B169,$A$3))</f>
        <v/>
      </c>
      <c r="BE169" s="52" t="str">
        <f aca="false">IF($C169="","",COUNTIF($C166:$C169,BD$21)+COUNTIF($C166:$C169,$A$3))</f>
        <v/>
      </c>
      <c r="BF169" s="52" t="str">
        <f aca="false">IF($D169="","",COUNTIF($D166:$D169,BD$21)+COUNTIF($D166:$D169,$A$3))</f>
        <v/>
      </c>
      <c r="BG169" s="52" t="str">
        <f aca="false">IF($E169="","",COUNTIF($E166:$E169,BD$21)+COUNTIF($E166:$E169,$A$3))</f>
        <v/>
      </c>
      <c r="BH169" s="53" t="str">
        <f aca="false">IF($F169="","",COUNTIF($F166:$F169,BD$21)+COUNTIF($F166:$F169,$A$3))</f>
        <v/>
      </c>
      <c r="BJ169" s="65" t="str">
        <f aca="false">IF($B169="","",COUNTIF($B166:$B169,BJ$21)+COUNTIF($B166:$B169,$A$3))</f>
        <v/>
      </c>
      <c r="BK169" s="52" t="str">
        <f aca="false">IF($C169="","",COUNTIF($C166:$C169,BJ$21)+COUNTIF($C166:$C169,$A$3))</f>
        <v/>
      </c>
      <c r="BL169" s="52" t="str">
        <f aca="false">IF($D169="","",COUNTIF($D166:$D169,BJ$21)+COUNTIF($D166:$D169,$A$3))</f>
        <v/>
      </c>
      <c r="BM169" s="52" t="str">
        <f aca="false">IF($E169="","",COUNTIF($E166:$E169,BJ$21)+COUNTIF($E166:$E169,$A$3))</f>
        <v/>
      </c>
      <c r="BN169" s="53" t="str">
        <f aca="false">IF($F169="","",COUNTIF($F166:$F169,BJ$21)+COUNTIF($F166:$F169,$A$3))</f>
        <v/>
      </c>
      <c r="BP169" s="65" t="str">
        <f aca="false">IF($B169="","",COUNTIF($B166:$B169,BP$21)+COUNTIF($B166:$B169,$A$3))</f>
        <v/>
      </c>
      <c r="BQ169" s="52" t="str">
        <f aca="false">IF($C169="","",COUNTIF($C166:$C169,BP$21)+COUNTIF($C166:$C169,$A$3))</f>
        <v/>
      </c>
      <c r="BR169" s="52" t="str">
        <f aca="false">IF($D169="","",COUNTIF($D166:$D169,BP$21)+COUNTIF($D166:$D169,$A$3))</f>
        <v/>
      </c>
      <c r="BS169" s="52" t="str">
        <f aca="false">IF($E169="","",COUNTIF($E166:$E169,BP$21)+COUNTIF($E166:$E169,$A$3))</f>
        <v/>
      </c>
      <c r="BT169" s="53" t="str">
        <f aca="false">IF($F169="","",COUNTIF($F166:$F169,BP$21)+COUNTIF($F166:$F169,$A$3))</f>
        <v/>
      </c>
    </row>
    <row r="170" customFormat="false" ht="15" hidden="false" customHeight="false" outlineLevel="0" collapsed="false">
      <c r="A170" s="13" t="n">
        <v>148</v>
      </c>
      <c r="B170" s="116" t="str">
        <f aca="false">IF('Game Info'!J153="","",'Game Info'!J153)</f>
        <v/>
      </c>
      <c r="C170" s="116" t="str">
        <f aca="false">IF('Game Info'!K153="","",'Game Info'!K153)</f>
        <v/>
      </c>
      <c r="D170" s="116" t="str">
        <f aca="false">IF('Game Info'!L153="","",'Game Info'!L153)</f>
        <v/>
      </c>
      <c r="E170" s="116" t="str">
        <f aca="false">IF('Game Info'!M153="","",'Game Info'!M153)</f>
        <v/>
      </c>
      <c r="F170" s="117" t="str">
        <f aca="false">IF('Game Info'!N153="","",'Game Info'!N153)</f>
        <v/>
      </c>
      <c r="H170" s="65" t="str">
        <f aca="false">IF($B170="","",COUNTIF($B167:$B170,H$21)+COUNTIF($B167:$B170,$A$3))</f>
        <v/>
      </c>
      <c r="I170" s="52" t="str">
        <f aca="false">IF($C170="","",COUNTIF($C167:$C170,H$21)+COUNTIF($C167:$C170,$A$3))</f>
        <v/>
      </c>
      <c r="J170" s="52" t="str">
        <f aca="false">IF($D170="","",COUNTIF($D167:$D170,H$21)+COUNTIF($D167:$D170,$A$3))</f>
        <v/>
      </c>
      <c r="K170" s="52" t="str">
        <f aca="false">IF($E170="","",COUNTIF($E167:$E170,H$21)+COUNTIF($E167:$E170,$A$3))</f>
        <v/>
      </c>
      <c r="L170" s="53" t="str">
        <f aca="false">IF($F170="","",COUNTIF($F167:$F170,H$21)+COUNTIF($F167:$F170,$A$3))</f>
        <v/>
      </c>
      <c r="N170" s="65" t="str">
        <f aca="false">IF($B170="","",COUNTIF($B167:$B170,N$21)+COUNTIF($B167:$B170,$A$3))</f>
        <v/>
      </c>
      <c r="O170" s="52" t="str">
        <f aca="false">IF($C170="","",COUNTIF($C167:$C170,N$21)+COUNTIF($C167:$C170,$A$3))</f>
        <v/>
      </c>
      <c r="P170" s="52" t="str">
        <f aca="false">IF($D170="","",COUNTIF($D167:$D170,N$21)+COUNTIF($D167:$D170,$A$3))</f>
        <v/>
      </c>
      <c r="Q170" s="52" t="str">
        <f aca="false">IF($E170="","",COUNTIF($E167:$E170,N$21)+COUNTIF($E167:$E170,$A$3))</f>
        <v/>
      </c>
      <c r="R170" s="53" t="str">
        <f aca="false">IF($F170="","",COUNTIF($F167:$F170,N$21)+COUNTIF($F167:$F170,$A$3))</f>
        <v/>
      </c>
      <c r="T170" s="65" t="str">
        <f aca="false">IF($B170="","",COUNTIF($B167:$B170,T$21)+COUNTIF($B167:$B170,$A$3))</f>
        <v/>
      </c>
      <c r="U170" s="52" t="str">
        <f aca="false">IF($C170="","",COUNTIF($C167:$C170,T$21)+COUNTIF($C167:$C170,$A$3))</f>
        <v/>
      </c>
      <c r="V170" s="52" t="str">
        <f aca="false">IF($D170="","",COUNTIF($D167:$D170,T$21)+COUNTIF($D167:$D170,$A$3))</f>
        <v/>
      </c>
      <c r="W170" s="52" t="str">
        <f aca="false">IF($E170="","",COUNTIF($E167:$E170,T$21)+COUNTIF($E167:$E170,$A$3))</f>
        <v/>
      </c>
      <c r="X170" s="53" t="str">
        <f aca="false">IF($F170="","",COUNTIF($F167:$F170,T$21)+COUNTIF($F167:$F170,$A$3))</f>
        <v/>
      </c>
      <c r="Z170" s="65" t="str">
        <f aca="false">IF($B170="","",COUNTIF($B167:$B170,Z$21)+COUNTIF($B167:$B170,$A$3))</f>
        <v/>
      </c>
      <c r="AA170" s="52" t="str">
        <f aca="false">IF($C170="","",COUNTIF($C167:$C170,Z$21)+COUNTIF($C167:$C170,$A$3))</f>
        <v/>
      </c>
      <c r="AB170" s="52" t="str">
        <f aca="false">IF($D170="","",COUNTIF($D167:$D170,Z$21)+COUNTIF($D167:$D170,$A$3))</f>
        <v/>
      </c>
      <c r="AC170" s="52" t="str">
        <f aca="false">IF($E170="","",COUNTIF($E167:$E170,Z$21)+COUNTIF($E167:$E170,$A$3))</f>
        <v/>
      </c>
      <c r="AD170" s="53" t="str">
        <f aca="false">IF($F170="","",COUNTIF($F167:$F170,Z$21)+COUNTIF($F167:$F170,$A$3))</f>
        <v/>
      </c>
      <c r="AF170" s="65" t="str">
        <f aca="false">IF($B170="","",COUNTIF($B167:$B170,AF$21)+COUNTIF($B167:$B170,$A$3))</f>
        <v/>
      </c>
      <c r="AG170" s="52" t="str">
        <f aca="false">IF($C170="","",COUNTIF($C167:$C170,AF$21)+COUNTIF($C167:$C170,$A$3))</f>
        <v/>
      </c>
      <c r="AH170" s="52" t="str">
        <f aca="false">IF($D170="","",COUNTIF($D167:$D170,AF$21)+COUNTIF($D167:$D170,$A$3))</f>
        <v/>
      </c>
      <c r="AI170" s="52" t="str">
        <f aca="false">IF($E170="","",COUNTIF($E167:$E170,AF$21)+COUNTIF($E167:$E170,$A$3))</f>
        <v/>
      </c>
      <c r="AJ170" s="53" t="str">
        <f aca="false">IF($F170="","",COUNTIF($F167:$F170,AF$21)+COUNTIF($F167:$F170,$A$3))</f>
        <v/>
      </c>
      <c r="AL170" s="65" t="str">
        <f aca="false">IF($B170="","",COUNTIF($B167:$B170,AL$21)+COUNTIF($B167:$B170,$A$3))</f>
        <v/>
      </c>
      <c r="AM170" s="52" t="str">
        <f aca="false">IF($C170="","",COUNTIF($C167:$C170,AL$21)+COUNTIF($C167:$C170,$A$3))</f>
        <v/>
      </c>
      <c r="AN170" s="52" t="str">
        <f aca="false">IF($D170="","",COUNTIF($D167:$D170,AL$21)+COUNTIF($D167:$D170,$A$3))</f>
        <v/>
      </c>
      <c r="AO170" s="52" t="str">
        <f aca="false">IF($E170="","",COUNTIF($E167:$E170,AL$21)+COUNTIF($E167:$E170,$A$3))</f>
        <v/>
      </c>
      <c r="AP170" s="53" t="str">
        <f aca="false">IF($F170="","",COUNTIF($F167:$F170,AL$21)+COUNTIF($F167:$F170,$A$3))</f>
        <v/>
      </c>
      <c r="AR170" s="65" t="str">
        <f aca="false">IF($B170="","",COUNTIF($B167:$B170,AR$21)+COUNTIF($B167:$B170,$A$3))</f>
        <v/>
      </c>
      <c r="AS170" s="52" t="str">
        <f aca="false">IF($C170="","",COUNTIF($C167:$C170,AR$21)+COUNTIF($C167:$C170,$A$3))</f>
        <v/>
      </c>
      <c r="AT170" s="52" t="str">
        <f aca="false">IF($D170="","",COUNTIF($D167:$D170,AR$21)+COUNTIF($D167:$D170,$A$3))</f>
        <v/>
      </c>
      <c r="AU170" s="52" t="str">
        <f aca="false">IF($E170="","",COUNTIF($E167:$E170,AR$21)+COUNTIF($E167:$E170,$A$3))</f>
        <v/>
      </c>
      <c r="AV170" s="53" t="str">
        <f aca="false">IF($F170="","",COUNTIF($F167:$F170,AR$21)+COUNTIF($F167:$F170,$A$3))</f>
        <v/>
      </c>
      <c r="AX170" s="65" t="str">
        <f aca="false">IF($B170="","",COUNTIF($B167:$B170,AX$21)+COUNTIF($B167:$B170,$A$3))</f>
        <v/>
      </c>
      <c r="AY170" s="52" t="str">
        <f aca="false">IF($C170="","",COUNTIF($C167:$C170,AX$21)+COUNTIF($C167:$C170,$A$3))</f>
        <v/>
      </c>
      <c r="AZ170" s="52" t="str">
        <f aca="false">IF($D170="","",COUNTIF($D167:$D170,AX$21)+COUNTIF($D167:$D170,$A$3))</f>
        <v/>
      </c>
      <c r="BA170" s="52" t="str">
        <f aca="false">IF($E170="","",COUNTIF($E167:$E170,AX$21)+COUNTIF($E167:$E170,$A$3))</f>
        <v/>
      </c>
      <c r="BB170" s="53" t="str">
        <f aca="false">IF($F170="","",COUNTIF($F167:$F170,AX$21)+COUNTIF($F167:$F170,$A$3))</f>
        <v/>
      </c>
      <c r="BD170" s="65" t="str">
        <f aca="false">IF($B170="","",COUNTIF($B167:$B170,BD$21)+COUNTIF($B167:$B170,$A$3))</f>
        <v/>
      </c>
      <c r="BE170" s="52" t="str">
        <f aca="false">IF($C170="","",COUNTIF($C167:$C170,BD$21)+COUNTIF($C167:$C170,$A$3))</f>
        <v/>
      </c>
      <c r="BF170" s="52" t="str">
        <f aca="false">IF($D170="","",COUNTIF($D167:$D170,BD$21)+COUNTIF($D167:$D170,$A$3))</f>
        <v/>
      </c>
      <c r="BG170" s="52" t="str">
        <f aca="false">IF($E170="","",COUNTIF($E167:$E170,BD$21)+COUNTIF($E167:$E170,$A$3))</f>
        <v/>
      </c>
      <c r="BH170" s="53" t="str">
        <f aca="false">IF($F170="","",COUNTIF($F167:$F170,BD$21)+COUNTIF($F167:$F170,$A$3))</f>
        <v/>
      </c>
      <c r="BJ170" s="65" t="str">
        <f aca="false">IF($B170="","",COUNTIF($B167:$B170,BJ$21)+COUNTIF($B167:$B170,$A$3))</f>
        <v/>
      </c>
      <c r="BK170" s="52" t="str">
        <f aca="false">IF($C170="","",COUNTIF($C167:$C170,BJ$21)+COUNTIF($C167:$C170,$A$3))</f>
        <v/>
      </c>
      <c r="BL170" s="52" t="str">
        <f aca="false">IF($D170="","",COUNTIF($D167:$D170,BJ$21)+COUNTIF($D167:$D170,$A$3))</f>
        <v/>
      </c>
      <c r="BM170" s="52" t="str">
        <f aca="false">IF($E170="","",COUNTIF($E167:$E170,BJ$21)+COUNTIF($E167:$E170,$A$3))</f>
        <v/>
      </c>
      <c r="BN170" s="53" t="str">
        <f aca="false">IF($F170="","",COUNTIF($F167:$F170,BJ$21)+COUNTIF($F167:$F170,$A$3))</f>
        <v/>
      </c>
      <c r="BP170" s="65" t="str">
        <f aca="false">IF($B170="","",COUNTIF($B167:$B170,BP$21)+COUNTIF($B167:$B170,$A$3))</f>
        <v/>
      </c>
      <c r="BQ170" s="52" t="str">
        <f aca="false">IF($C170="","",COUNTIF($C167:$C170,BP$21)+COUNTIF($C167:$C170,$A$3))</f>
        <v/>
      </c>
      <c r="BR170" s="52" t="str">
        <f aca="false">IF($D170="","",COUNTIF($D167:$D170,BP$21)+COUNTIF($D167:$D170,$A$3))</f>
        <v/>
      </c>
      <c r="BS170" s="52" t="str">
        <f aca="false">IF($E170="","",COUNTIF($E167:$E170,BP$21)+COUNTIF($E167:$E170,$A$3))</f>
        <v/>
      </c>
      <c r="BT170" s="53" t="str">
        <f aca="false">IF($F170="","",COUNTIF($F167:$F170,BP$21)+COUNTIF($F167:$F170,$A$3))</f>
        <v/>
      </c>
    </row>
    <row r="171" customFormat="false" ht="15" hidden="false" customHeight="false" outlineLevel="0" collapsed="false">
      <c r="A171" s="13" t="n">
        <v>149</v>
      </c>
      <c r="B171" s="93" t="str">
        <f aca="false">IF('Game Info'!J154="","",'Game Info'!J154)</f>
        <v/>
      </c>
      <c r="C171" s="93" t="str">
        <f aca="false">IF('Game Info'!K154="","",'Game Info'!K154)</f>
        <v/>
      </c>
      <c r="D171" s="93" t="str">
        <f aca="false">IF('Game Info'!L154="","",'Game Info'!L154)</f>
        <v/>
      </c>
      <c r="E171" s="93" t="str">
        <f aca="false">IF('Game Info'!M154="","",'Game Info'!M154)</f>
        <v/>
      </c>
      <c r="F171" s="118" t="str">
        <f aca="false">IF('Game Info'!N154="","",'Game Info'!N154)</f>
        <v/>
      </c>
      <c r="H171" s="65" t="str">
        <f aca="false">IF($B171="","",COUNTIF($B168:$B171,H$21)+COUNTIF($B168:$B171,$A$3))</f>
        <v/>
      </c>
      <c r="I171" s="52" t="str">
        <f aca="false">IF($C171="","",COUNTIF($C168:$C171,H$21)+COUNTIF($C168:$C171,$A$3))</f>
        <v/>
      </c>
      <c r="J171" s="52" t="str">
        <f aca="false">IF($D171="","",COUNTIF($D168:$D171,H$21)+COUNTIF($D168:$D171,$A$3))</f>
        <v/>
      </c>
      <c r="K171" s="52" t="str">
        <f aca="false">IF($E171="","",COUNTIF($E168:$E171,H$21)+COUNTIF($E168:$E171,$A$3))</f>
        <v/>
      </c>
      <c r="L171" s="53" t="str">
        <f aca="false">IF($F171="","",COUNTIF($F168:$F171,H$21)+COUNTIF($F168:$F171,$A$3))</f>
        <v/>
      </c>
      <c r="N171" s="65" t="str">
        <f aca="false">IF($B171="","",COUNTIF($B168:$B171,N$21)+COUNTIF($B168:$B171,$A$3))</f>
        <v/>
      </c>
      <c r="O171" s="52" t="str">
        <f aca="false">IF($C171="","",COUNTIF($C168:$C171,N$21)+COUNTIF($C168:$C171,$A$3))</f>
        <v/>
      </c>
      <c r="P171" s="52" t="str">
        <f aca="false">IF($D171="","",COUNTIF($D168:$D171,N$21)+COUNTIF($D168:$D171,$A$3))</f>
        <v/>
      </c>
      <c r="Q171" s="52" t="str">
        <f aca="false">IF($E171="","",COUNTIF($E168:$E171,N$21)+COUNTIF($E168:$E171,$A$3))</f>
        <v/>
      </c>
      <c r="R171" s="53" t="str">
        <f aca="false">IF($F171="","",COUNTIF($F168:$F171,N$21)+COUNTIF($F168:$F171,$A$3))</f>
        <v/>
      </c>
      <c r="T171" s="65" t="str">
        <f aca="false">IF($B171="","",COUNTIF($B168:$B171,T$21)+COUNTIF($B168:$B171,$A$3))</f>
        <v/>
      </c>
      <c r="U171" s="52" t="str">
        <f aca="false">IF($C171="","",COUNTIF($C168:$C171,T$21)+COUNTIF($C168:$C171,$A$3))</f>
        <v/>
      </c>
      <c r="V171" s="52" t="str">
        <f aca="false">IF($D171="","",COUNTIF($D168:$D171,T$21)+COUNTIF($D168:$D171,$A$3))</f>
        <v/>
      </c>
      <c r="W171" s="52" t="str">
        <f aca="false">IF($E171="","",COUNTIF($E168:$E171,T$21)+COUNTIF($E168:$E171,$A$3))</f>
        <v/>
      </c>
      <c r="X171" s="53" t="str">
        <f aca="false">IF($F171="","",COUNTIF($F168:$F171,T$21)+COUNTIF($F168:$F171,$A$3))</f>
        <v/>
      </c>
      <c r="Z171" s="65" t="str">
        <f aca="false">IF($B171="","",COUNTIF($B168:$B171,Z$21)+COUNTIF($B168:$B171,$A$3))</f>
        <v/>
      </c>
      <c r="AA171" s="52" t="str">
        <f aca="false">IF($C171="","",COUNTIF($C168:$C171,Z$21)+COUNTIF($C168:$C171,$A$3))</f>
        <v/>
      </c>
      <c r="AB171" s="52" t="str">
        <f aca="false">IF($D171="","",COUNTIF($D168:$D171,Z$21)+COUNTIF($D168:$D171,$A$3))</f>
        <v/>
      </c>
      <c r="AC171" s="52" t="str">
        <f aca="false">IF($E171="","",COUNTIF($E168:$E171,Z$21)+COUNTIF($E168:$E171,$A$3))</f>
        <v/>
      </c>
      <c r="AD171" s="53" t="str">
        <f aca="false">IF($F171="","",COUNTIF($F168:$F171,Z$21)+COUNTIF($F168:$F171,$A$3))</f>
        <v/>
      </c>
      <c r="AF171" s="65" t="str">
        <f aca="false">IF($B171="","",COUNTIF($B168:$B171,AF$21)+COUNTIF($B168:$B171,$A$3))</f>
        <v/>
      </c>
      <c r="AG171" s="52" t="str">
        <f aca="false">IF($C171="","",COUNTIF($C168:$C171,AF$21)+COUNTIF($C168:$C171,$A$3))</f>
        <v/>
      </c>
      <c r="AH171" s="52" t="str">
        <f aca="false">IF($D171="","",COUNTIF($D168:$D171,AF$21)+COUNTIF($D168:$D171,$A$3))</f>
        <v/>
      </c>
      <c r="AI171" s="52" t="str">
        <f aca="false">IF($E171="","",COUNTIF($E168:$E171,AF$21)+COUNTIF($E168:$E171,$A$3))</f>
        <v/>
      </c>
      <c r="AJ171" s="53" t="str">
        <f aca="false">IF($F171="","",COUNTIF($F168:$F171,AF$21)+COUNTIF($F168:$F171,$A$3))</f>
        <v/>
      </c>
      <c r="AL171" s="65" t="str">
        <f aca="false">IF($B171="","",COUNTIF($B168:$B171,AL$21)+COUNTIF($B168:$B171,$A$3))</f>
        <v/>
      </c>
      <c r="AM171" s="52" t="str">
        <f aca="false">IF($C171="","",COUNTIF($C168:$C171,AL$21)+COUNTIF($C168:$C171,$A$3))</f>
        <v/>
      </c>
      <c r="AN171" s="52" t="str">
        <f aca="false">IF($D171="","",COUNTIF($D168:$D171,AL$21)+COUNTIF($D168:$D171,$A$3))</f>
        <v/>
      </c>
      <c r="AO171" s="52" t="str">
        <f aca="false">IF($E171="","",COUNTIF($E168:$E171,AL$21)+COUNTIF($E168:$E171,$A$3))</f>
        <v/>
      </c>
      <c r="AP171" s="53" t="str">
        <f aca="false">IF($F171="","",COUNTIF($F168:$F171,AL$21)+COUNTIF($F168:$F171,$A$3))</f>
        <v/>
      </c>
      <c r="AR171" s="65" t="str">
        <f aca="false">IF($B171="","",COUNTIF($B168:$B171,AR$21)+COUNTIF($B168:$B171,$A$3))</f>
        <v/>
      </c>
      <c r="AS171" s="52" t="str">
        <f aca="false">IF($C171="","",COUNTIF($C168:$C171,AR$21)+COUNTIF($C168:$C171,$A$3))</f>
        <v/>
      </c>
      <c r="AT171" s="52" t="str">
        <f aca="false">IF($D171="","",COUNTIF($D168:$D171,AR$21)+COUNTIF($D168:$D171,$A$3))</f>
        <v/>
      </c>
      <c r="AU171" s="52" t="str">
        <f aca="false">IF($E171="","",COUNTIF($E168:$E171,AR$21)+COUNTIF($E168:$E171,$A$3))</f>
        <v/>
      </c>
      <c r="AV171" s="53" t="str">
        <f aca="false">IF($F171="","",COUNTIF($F168:$F171,AR$21)+COUNTIF($F168:$F171,$A$3))</f>
        <v/>
      </c>
      <c r="AX171" s="65" t="str">
        <f aca="false">IF($B171="","",COUNTIF($B168:$B171,AX$21)+COUNTIF($B168:$B171,$A$3))</f>
        <v/>
      </c>
      <c r="AY171" s="52" t="str">
        <f aca="false">IF($C171="","",COUNTIF($C168:$C171,AX$21)+COUNTIF($C168:$C171,$A$3))</f>
        <v/>
      </c>
      <c r="AZ171" s="52" t="str">
        <f aca="false">IF($D171="","",COUNTIF($D168:$D171,AX$21)+COUNTIF($D168:$D171,$A$3))</f>
        <v/>
      </c>
      <c r="BA171" s="52" t="str">
        <f aca="false">IF($E171="","",COUNTIF($E168:$E171,AX$21)+COUNTIF($E168:$E171,$A$3))</f>
        <v/>
      </c>
      <c r="BB171" s="53" t="str">
        <f aca="false">IF($F171="","",COUNTIF($F168:$F171,AX$21)+COUNTIF($F168:$F171,$A$3))</f>
        <v/>
      </c>
      <c r="BD171" s="65" t="str">
        <f aca="false">IF($B171="","",COUNTIF($B168:$B171,BD$21)+COUNTIF($B168:$B171,$A$3))</f>
        <v/>
      </c>
      <c r="BE171" s="52" t="str">
        <f aca="false">IF($C171="","",COUNTIF($C168:$C171,BD$21)+COUNTIF($C168:$C171,$A$3))</f>
        <v/>
      </c>
      <c r="BF171" s="52" t="str">
        <f aca="false">IF($D171="","",COUNTIF($D168:$D171,BD$21)+COUNTIF($D168:$D171,$A$3))</f>
        <v/>
      </c>
      <c r="BG171" s="52" t="str">
        <f aca="false">IF($E171="","",COUNTIF($E168:$E171,BD$21)+COUNTIF($E168:$E171,$A$3))</f>
        <v/>
      </c>
      <c r="BH171" s="53" t="str">
        <f aca="false">IF($F171="","",COUNTIF($F168:$F171,BD$21)+COUNTIF($F168:$F171,$A$3))</f>
        <v/>
      </c>
      <c r="BJ171" s="65" t="str">
        <f aca="false">IF($B171="","",COUNTIF($B168:$B171,BJ$21)+COUNTIF($B168:$B171,$A$3))</f>
        <v/>
      </c>
      <c r="BK171" s="52" t="str">
        <f aca="false">IF($C171="","",COUNTIF($C168:$C171,BJ$21)+COUNTIF($C168:$C171,$A$3))</f>
        <v/>
      </c>
      <c r="BL171" s="52" t="str">
        <f aca="false">IF($D171="","",COUNTIF($D168:$D171,BJ$21)+COUNTIF($D168:$D171,$A$3))</f>
        <v/>
      </c>
      <c r="BM171" s="52" t="str">
        <f aca="false">IF($E171="","",COUNTIF($E168:$E171,BJ$21)+COUNTIF($E168:$E171,$A$3))</f>
        <v/>
      </c>
      <c r="BN171" s="53" t="str">
        <f aca="false">IF($F171="","",COUNTIF($F168:$F171,BJ$21)+COUNTIF($F168:$F171,$A$3))</f>
        <v/>
      </c>
      <c r="BP171" s="65" t="str">
        <f aca="false">IF($B171="","",COUNTIF($B168:$B171,BP$21)+COUNTIF($B168:$B171,$A$3))</f>
        <v/>
      </c>
      <c r="BQ171" s="52" t="str">
        <f aca="false">IF($C171="","",COUNTIF($C168:$C171,BP$21)+COUNTIF($C168:$C171,$A$3))</f>
        <v/>
      </c>
      <c r="BR171" s="52" t="str">
        <f aca="false">IF($D171="","",COUNTIF($D168:$D171,BP$21)+COUNTIF($D168:$D171,$A$3))</f>
        <v/>
      </c>
      <c r="BS171" s="52" t="str">
        <f aca="false">IF($E171="","",COUNTIF($E168:$E171,BP$21)+COUNTIF($E168:$E171,$A$3))</f>
        <v/>
      </c>
      <c r="BT171" s="53" t="str">
        <f aca="false">IF($F171="","",COUNTIF($F168:$F171,BP$21)+COUNTIF($F168:$F171,$A$3))</f>
        <v/>
      </c>
    </row>
    <row r="172" customFormat="false" ht="15" hidden="false" customHeight="false" outlineLevel="0" collapsed="false">
      <c r="A172" s="41" t="n">
        <v>150</v>
      </c>
      <c r="B172" s="99" t="str">
        <f aca="false">IF('Game Info'!J155="","",'Game Info'!J155)</f>
        <v/>
      </c>
      <c r="C172" s="99" t="str">
        <f aca="false">IF('Game Info'!K155="","",'Game Info'!K155)</f>
        <v/>
      </c>
      <c r="D172" s="99" t="str">
        <f aca="false">IF('Game Info'!L155="","",'Game Info'!L155)</f>
        <v/>
      </c>
      <c r="E172" s="99" t="str">
        <f aca="false">IF('Game Info'!M155="","",'Game Info'!M155)</f>
        <v/>
      </c>
      <c r="F172" s="119" t="str">
        <f aca="false">IF('Game Info'!N155="","",'Game Info'!N155)</f>
        <v/>
      </c>
      <c r="H172" s="69" t="str">
        <f aca="false">IF($B172="","",COUNTIF($B169:$B172,H$21)+COUNTIF($B169:$B172,$A$3))</f>
        <v/>
      </c>
      <c r="I172" s="70" t="str">
        <f aca="false">IF($C172="","",COUNTIF($C169:$C172,H$21)+COUNTIF($C169:$C172,$A$3))</f>
        <v/>
      </c>
      <c r="J172" s="70" t="str">
        <f aca="false">IF($D172="","",COUNTIF($D169:$D172,H$21)+COUNTIF($D169:$D172,$A$3))</f>
        <v/>
      </c>
      <c r="K172" s="70" t="str">
        <f aca="false">IF($E172="","",COUNTIF($E169:$E172,H$21)+COUNTIF($E169:$E172,$A$3))</f>
        <v/>
      </c>
      <c r="L172" s="71" t="str">
        <f aca="false">IF($F172="","",COUNTIF($F169:$F172,H$21)+COUNTIF($F169:$F172,$A$3))</f>
        <v/>
      </c>
      <c r="N172" s="69" t="str">
        <f aca="false">IF($B172="","",COUNTIF($B169:$B172,N$21)+COUNTIF($B169:$B172,$A$3))</f>
        <v/>
      </c>
      <c r="O172" s="70" t="str">
        <f aca="false">IF($C172="","",COUNTIF($C169:$C172,N$21)+COUNTIF($C169:$C172,$A$3))</f>
        <v/>
      </c>
      <c r="P172" s="70" t="str">
        <f aca="false">IF($D172="","",COUNTIF($D169:$D172,N$21)+COUNTIF($D169:$D172,$A$3))</f>
        <v/>
      </c>
      <c r="Q172" s="70" t="str">
        <f aca="false">IF($E172="","",COUNTIF($E169:$E172,N$21)+COUNTIF($E169:$E172,$A$3))</f>
        <v/>
      </c>
      <c r="R172" s="71" t="str">
        <f aca="false">IF($F172="","",COUNTIF($F169:$F172,N$21)+COUNTIF($F169:$F172,$A$3))</f>
        <v/>
      </c>
      <c r="T172" s="69" t="str">
        <f aca="false">IF($B172="","",COUNTIF($B169:$B172,T$21)+COUNTIF($B169:$B172,$A$3))</f>
        <v/>
      </c>
      <c r="U172" s="70" t="str">
        <f aca="false">IF($C172="","",COUNTIF($C169:$C172,T$21)+COUNTIF($C169:$C172,$A$3))</f>
        <v/>
      </c>
      <c r="V172" s="70" t="str">
        <f aca="false">IF($D172="","",COUNTIF($D169:$D172,T$21)+COUNTIF($D169:$D172,$A$3))</f>
        <v/>
      </c>
      <c r="W172" s="70" t="str">
        <f aca="false">IF($E172="","",COUNTIF($E169:$E172,T$21)+COUNTIF($E169:$E172,$A$3))</f>
        <v/>
      </c>
      <c r="X172" s="71" t="str">
        <f aca="false">IF($F172="","",COUNTIF($F169:$F172,T$21)+COUNTIF($F169:$F172,$A$3))</f>
        <v/>
      </c>
      <c r="Z172" s="69" t="str">
        <f aca="false">IF($B172="","",COUNTIF($B169:$B172,Z$21)+COUNTIF($B169:$B172,$A$3))</f>
        <v/>
      </c>
      <c r="AA172" s="70" t="str">
        <f aca="false">IF($C172="","",COUNTIF($C169:$C172,Z$21)+COUNTIF($C169:$C172,$A$3))</f>
        <v/>
      </c>
      <c r="AB172" s="70" t="str">
        <f aca="false">IF($D172="","",COUNTIF($D169:$D172,Z$21)+COUNTIF($D169:$D172,$A$3))</f>
        <v/>
      </c>
      <c r="AC172" s="70" t="str">
        <f aca="false">IF($E172="","",COUNTIF($E169:$E172,Z$21)+COUNTIF($E169:$E172,$A$3))</f>
        <v/>
      </c>
      <c r="AD172" s="71" t="str">
        <f aca="false">IF($F172="","",COUNTIF($F169:$F172,Z$21)+COUNTIF($F169:$F172,$A$3))</f>
        <v/>
      </c>
      <c r="AF172" s="69" t="str">
        <f aca="false">IF($B172="","",COUNTIF($B169:$B172,AF$21)+COUNTIF($B169:$B172,$A$3))</f>
        <v/>
      </c>
      <c r="AG172" s="70" t="str">
        <f aca="false">IF($C172="","",COUNTIF($C169:$C172,AF$21)+COUNTIF($C169:$C172,$A$3))</f>
        <v/>
      </c>
      <c r="AH172" s="70" t="str">
        <f aca="false">IF($D172="","",COUNTIF($D169:$D172,AF$21)+COUNTIF($D169:$D172,$A$3))</f>
        <v/>
      </c>
      <c r="AI172" s="70" t="str">
        <f aca="false">IF($E172="","",COUNTIF($E169:$E172,AF$21)+COUNTIF($E169:$E172,$A$3))</f>
        <v/>
      </c>
      <c r="AJ172" s="71" t="str">
        <f aca="false">IF($F172="","",COUNTIF($F169:$F172,AF$21)+COUNTIF($F169:$F172,$A$3))</f>
        <v/>
      </c>
      <c r="AL172" s="69" t="str">
        <f aca="false">IF($B172="","",COUNTIF($B169:$B172,AL$21)+COUNTIF($B169:$B172,$A$3))</f>
        <v/>
      </c>
      <c r="AM172" s="70" t="str">
        <f aca="false">IF($C172="","",COUNTIF($C169:$C172,AL$21)+COUNTIF($C169:$C172,$A$3))</f>
        <v/>
      </c>
      <c r="AN172" s="70" t="str">
        <f aca="false">IF($D172="","",COUNTIF($D169:$D172,AL$21)+COUNTIF($D169:$D172,$A$3))</f>
        <v/>
      </c>
      <c r="AO172" s="70" t="str">
        <f aca="false">IF($E172="","",COUNTIF($E169:$E172,AL$21)+COUNTIF($E169:$E172,$A$3))</f>
        <v/>
      </c>
      <c r="AP172" s="71" t="str">
        <f aca="false">IF($F172="","",COUNTIF($F169:$F172,AL$21)+COUNTIF($F169:$F172,$A$3))</f>
        <v/>
      </c>
      <c r="AR172" s="69" t="str">
        <f aca="false">IF($B172="","",COUNTIF($B169:$B172,AR$21)+COUNTIF($B169:$B172,$A$3))</f>
        <v/>
      </c>
      <c r="AS172" s="70" t="str">
        <f aca="false">IF($C172="","",COUNTIF($C169:$C172,AR$21)+COUNTIF($C169:$C172,$A$3))</f>
        <v/>
      </c>
      <c r="AT172" s="70" t="str">
        <f aca="false">IF($D172="","",COUNTIF($D169:$D172,AR$21)+COUNTIF($D169:$D172,$A$3))</f>
        <v/>
      </c>
      <c r="AU172" s="70" t="str">
        <f aca="false">IF($E172="","",COUNTIF($E169:$E172,AR$21)+COUNTIF($E169:$E172,$A$3))</f>
        <v/>
      </c>
      <c r="AV172" s="71" t="str">
        <f aca="false">IF($F172="","",COUNTIF($F169:$F172,AR$21)+COUNTIF($F169:$F172,$A$3))</f>
        <v/>
      </c>
      <c r="AX172" s="69" t="str">
        <f aca="false">IF($B172="","",COUNTIF($B169:$B172,AX$21)+COUNTIF($B169:$B172,$A$3))</f>
        <v/>
      </c>
      <c r="AY172" s="70" t="str">
        <f aca="false">IF($C172="","",COUNTIF($C169:$C172,AX$21)+COUNTIF($C169:$C172,$A$3))</f>
        <v/>
      </c>
      <c r="AZ172" s="70" t="str">
        <f aca="false">IF($D172="","",COUNTIF($D169:$D172,AX$21)+COUNTIF($D169:$D172,$A$3))</f>
        <v/>
      </c>
      <c r="BA172" s="70" t="str">
        <f aca="false">IF($E172="","",COUNTIF($E169:$E172,AX$21)+COUNTIF($E169:$E172,$A$3))</f>
        <v/>
      </c>
      <c r="BB172" s="71" t="str">
        <f aca="false">IF($F172="","",COUNTIF($F169:$F172,AX$21)+COUNTIF($F169:$F172,$A$3))</f>
        <v/>
      </c>
      <c r="BD172" s="69" t="str">
        <f aca="false">IF($B172="","",COUNTIF($B169:$B172,BD$21)+COUNTIF($B169:$B172,$A$3))</f>
        <v/>
      </c>
      <c r="BE172" s="70" t="str">
        <f aca="false">IF($C172="","",COUNTIF($C169:$C172,BD$21)+COUNTIF($C169:$C172,$A$3))</f>
        <v/>
      </c>
      <c r="BF172" s="70" t="str">
        <f aca="false">IF($D172="","",COUNTIF($D169:$D172,BD$21)+COUNTIF($D169:$D172,$A$3))</f>
        <v/>
      </c>
      <c r="BG172" s="70" t="str">
        <f aca="false">IF($E172="","",COUNTIF($E169:$E172,BD$21)+COUNTIF($E169:$E172,$A$3))</f>
        <v/>
      </c>
      <c r="BH172" s="71" t="str">
        <f aca="false">IF($F172="","",COUNTIF($F169:$F172,BD$21)+COUNTIF($F169:$F172,$A$3))</f>
        <v/>
      </c>
      <c r="BJ172" s="69" t="str">
        <f aca="false">IF($B172="","",COUNTIF($B169:$B172,BJ$21)+COUNTIF($B169:$B172,$A$3))</f>
        <v/>
      </c>
      <c r="BK172" s="70" t="str">
        <f aca="false">IF($C172="","",COUNTIF($C169:$C172,BJ$21)+COUNTIF($C169:$C172,$A$3))</f>
        <v/>
      </c>
      <c r="BL172" s="70" t="str">
        <f aca="false">IF($D172="","",COUNTIF($D169:$D172,BJ$21)+COUNTIF($D169:$D172,$A$3))</f>
        <v/>
      </c>
      <c r="BM172" s="70" t="str">
        <f aca="false">IF($E172="","",COUNTIF($E169:$E172,BJ$21)+COUNTIF($E169:$E172,$A$3))</f>
        <v/>
      </c>
      <c r="BN172" s="71" t="str">
        <f aca="false">IF($F172="","",COUNTIF($F169:$F172,BJ$21)+COUNTIF($F169:$F172,$A$3))</f>
        <v/>
      </c>
      <c r="BP172" s="69" t="str">
        <f aca="false">IF($B172="","",COUNTIF($B169:$B172,BP$21)+COUNTIF($B169:$B172,$A$3))</f>
        <v/>
      </c>
      <c r="BQ172" s="70" t="str">
        <f aca="false">IF($C172="","",COUNTIF($C169:$C172,BP$21)+COUNTIF($C169:$C172,$A$3))</f>
        <v/>
      </c>
      <c r="BR172" s="70" t="str">
        <f aca="false">IF($D172="","",COUNTIF($D169:$D172,BP$21)+COUNTIF($D169:$D172,$A$3))</f>
        <v/>
      </c>
      <c r="BS172" s="70" t="str">
        <f aca="false">IF($E172="","",COUNTIF($E169:$E172,BP$21)+COUNTIF($E169:$E172,$A$3))</f>
        <v/>
      </c>
      <c r="BT172" s="71" t="str">
        <f aca="false">IF($F172="","",COUNTIF($F169:$F172,BP$21)+COUNTIF($F169:$F172,$A$3))</f>
        <v/>
      </c>
    </row>
  </sheetData>
  <conditionalFormatting sqref="B20:F20">
    <cfRule type="containsText" priority="2" operator="containsText" aboveAverage="0" equalAverage="0" bottom="0" percent="0" rank="0" text="SCAT" dxfId="12">
      <formula>NOT(ISERROR(SEARCH("SCAT",B20)))</formula>
    </cfRule>
  </conditionalFormatting>
  <conditionalFormatting sqref="B20:F20">
    <cfRule type="containsText" priority="3" operator="containsText" aboveAverage="0" equalAverage="0" bottom="0" percent="0" rank="0" text="MYST" dxfId="13">
      <formula>NOT(ISERROR(SEARCH("MYST",B20)))</formula>
    </cfRule>
  </conditionalFormatting>
  <conditionalFormatting sqref="BP21">
    <cfRule type="containsText" priority="4" operator="containsText" aboveAverage="0" equalAverage="0" bottom="0" percent="0" rank="0" text="SCAT" dxfId="14">
      <formula>NOT(ISERROR(SEARCH("SCAT",BP21)))</formula>
    </cfRule>
  </conditionalFormatting>
  <conditionalFormatting sqref="BP21">
    <cfRule type="containsText" priority="5" operator="containsText" aboveAverage="0" equalAverage="0" bottom="0" percent="0" rank="0" text="MYST" dxfId="15">
      <formula>NOT(ISERROR(SEARCH("MYST",BP21)))</formula>
    </cfRule>
  </conditionalFormatting>
  <conditionalFormatting sqref="BJ21">
    <cfRule type="containsText" priority="6" operator="containsText" aboveAverage="0" equalAverage="0" bottom="0" percent="0" rank="0" text="SCAT" dxfId="16">
      <formula>NOT(ISERROR(SEARCH("SCAT",BJ21)))</formula>
    </cfRule>
  </conditionalFormatting>
  <conditionalFormatting sqref="BJ21">
    <cfRule type="containsText" priority="7" operator="containsText" aboveAverage="0" equalAverage="0" bottom="0" percent="0" rank="0" text="MYST" dxfId="17">
      <formula>NOT(ISERROR(SEARCH("MYST",BJ21)))</formula>
    </cfRule>
  </conditionalFormatting>
  <conditionalFormatting sqref="T21 Z21 AF21 AL21 AR21 AX21 BD21">
    <cfRule type="containsText" priority="8" operator="containsText" aboveAverage="0" equalAverage="0" bottom="0" percent="0" rank="0" text="SCAT" dxfId="18">
      <formula>NOT(ISERROR(SEARCH("SCAT",T21)))</formula>
    </cfRule>
  </conditionalFormatting>
  <conditionalFormatting sqref="T21 Z21 AF21 AL21 AR21 AX21 BD21">
    <cfRule type="containsText" priority="9" operator="containsText" aboveAverage="0" equalAverage="0" bottom="0" percent="0" rank="0" text="MYST" dxfId="19">
      <formula>NOT(ISERROR(SEARCH("MYST",T21)))</formula>
    </cfRule>
  </conditionalFormatting>
  <conditionalFormatting sqref="N21">
    <cfRule type="containsText" priority="10" operator="containsText" aboveAverage="0" equalAverage="0" bottom="0" percent="0" rank="0" text="SCAT" dxfId="20">
      <formula>NOT(ISERROR(SEARCH("SCAT",N21)))</formula>
    </cfRule>
  </conditionalFormatting>
  <conditionalFormatting sqref="N21">
    <cfRule type="containsText" priority="11" operator="containsText" aboveAverage="0" equalAverage="0" bottom="0" percent="0" rank="0" text="MYST" dxfId="21">
      <formula>NOT(ISERROR(SEARCH("MYST",N21)))</formula>
    </cfRule>
  </conditionalFormatting>
  <conditionalFormatting sqref="B2:F2">
    <cfRule type="containsText" priority="12" operator="containsText" aboveAverage="0" equalAverage="0" bottom="0" percent="0" rank="0" text="SCAT" dxfId="22">
      <formula>NOT(ISERROR(SEARCH("SCAT",B2)))</formula>
    </cfRule>
  </conditionalFormatting>
  <conditionalFormatting sqref="B2:F2">
    <cfRule type="containsText" priority="13" operator="containsText" aboveAverage="0" equalAverage="0" bottom="0" percent="0" rank="0" text="MYST" dxfId="23">
      <formula>NOT(ISERROR(SEARCH("MYST",B2)))</formula>
    </cfRule>
  </conditionalFormatting>
  <conditionalFormatting sqref="A23:A172 H21 A18:F19 A21:F22 A20">
    <cfRule type="containsText" priority="14" operator="containsText" aboveAverage="0" equalAverage="0" bottom="0" percent="0" rank="0" text="SCAT" dxfId="24">
      <formula>NOT(ISERROR(SEARCH("SCAT",A18)))</formula>
    </cfRule>
  </conditionalFormatting>
  <conditionalFormatting sqref="H21 B16:F19 B21:F22">
    <cfRule type="containsText" priority="15" operator="containsText" aboveAverage="0" equalAverage="0" bottom="0" percent="0" rank="0" text="MYST" dxfId="25">
      <formula>NOT(ISERROR(SEARCH("MYST",B16)))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T17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9" activeCellId="0" sqref="A19"/>
    </sheetView>
  </sheetViews>
  <sheetFormatPr defaultColWidth="8.85546875" defaultRowHeight="15" customHeight="false" zeroHeight="false" outlineLevelRow="0" outlineLevelCol="0"/>
  <cols>
    <col collapsed="false" customWidth="false" hidden="false" outlineLevel="0" max="6" min="1" style="1" width="8.85"/>
  </cols>
  <sheetData>
    <row r="2" customFormat="false" ht="15" hidden="false" customHeight="false" outlineLevel="0" collapsed="false">
      <c r="A2" s="10" t="s">
        <v>13</v>
      </c>
      <c r="B2" s="8" t="s">
        <v>8</v>
      </c>
      <c r="C2" s="8" t="s">
        <v>9</v>
      </c>
      <c r="D2" s="8" t="s">
        <v>10</v>
      </c>
      <c r="E2" s="8" t="s">
        <v>11</v>
      </c>
      <c r="F2" s="9" t="s">
        <v>12</v>
      </c>
    </row>
    <row r="3" customFormat="false" ht="15" hidden="false" customHeight="false" outlineLevel="0" collapsed="false">
      <c r="A3" s="18" t="s">
        <v>35</v>
      </c>
      <c r="B3" s="39" t="n">
        <f aca="false">COUNTIF(B$23:B$172,$A3)</f>
        <v>0</v>
      </c>
      <c r="C3" s="39" t="n">
        <f aca="false">COUNTIF(C$23:C$172,$A3)</f>
        <v>3</v>
      </c>
      <c r="D3" s="39" t="n">
        <f aca="false">COUNTIF(D$23:D$172,$A3)</f>
        <v>3</v>
      </c>
      <c r="E3" s="39" t="n">
        <f aca="false">COUNTIF(E$23:E$172,$A3)</f>
        <v>2</v>
      </c>
      <c r="F3" s="104" t="n">
        <f aca="false">COUNTIF(F$23:F$172,$A3)</f>
        <v>0</v>
      </c>
      <c r="H3" s="57" t="s">
        <v>48</v>
      </c>
    </row>
    <row r="4" customFormat="false" ht="15" hidden="false" customHeight="false" outlineLevel="0" collapsed="false">
      <c r="A4" s="18" t="s">
        <v>22</v>
      </c>
      <c r="B4" s="39" t="n">
        <f aca="false">COUNTIF(B$23:B$172,$A4)</f>
        <v>8</v>
      </c>
      <c r="C4" s="39" t="n">
        <f aca="false">COUNTIF(C$23:C$172,$A4)</f>
        <v>5</v>
      </c>
      <c r="D4" s="39" t="n">
        <f aca="false">COUNTIF(D$23:D$172,$A4)</f>
        <v>12</v>
      </c>
      <c r="E4" s="39" t="n">
        <f aca="false">COUNTIF(E$23:E$172,$A4)</f>
        <v>8</v>
      </c>
      <c r="F4" s="104" t="n">
        <f aca="false">COUNTIF(F$23:F$172,$A4)</f>
        <v>17</v>
      </c>
      <c r="H4" s="58" t="s">
        <v>22</v>
      </c>
      <c r="I4" s="60" t="n">
        <f aca="false">COUNTIF(H23:H172,"&gt;0")</f>
        <v>26</v>
      </c>
      <c r="J4" s="61" t="n">
        <f aca="false">COUNTIF(I23:I172,"&gt;0")</f>
        <v>30</v>
      </c>
      <c r="K4" s="61" t="n">
        <f aca="false">COUNTIF(J23:J172,"&gt;0")</f>
        <v>49</v>
      </c>
      <c r="L4" s="61" t="n">
        <f aca="false">COUNTIF(K23:K172,"&gt;0")</f>
        <v>31</v>
      </c>
      <c r="M4" s="62" t="n">
        <f aca="false">COUNTIF(L23:L172,"&gt;0")</f>
        <v>56</v>
      </c>
    </row>
    <row r="5" customFormat="false" ht="15" hidden="false" customHeight="false" outlineLevel="0" collapsed="false">
      <c r="A5" s="18" t="s">
        <v>27</v>
      </c>
      <c r="B5" s="39" t="n">
        <f aca="false">COUNTIF(B$23:B$172,$A5)</f>
        <v>12</v>
      </c>
      <c r="C5" s="39" t="n">
        <f aca="false">COUNTIF(C$23:C$172,$A5)</f>
        <v>12</v>
      </c>
      <c r="D5" s="39" t="n">
        <f aca="false">COUNTIF(D$23:D$172,$A5)</f>
        <v>4</v>
      </c>
      <c r="E5" s="39" t="n">
        <f aca="false">COUNTIF(E$23:E$172,$A5)</f>
        <v>9</v>
      </c>
      <c r="F5" s="104" t="n">
        <f aca="false">COUNTIF(F$23:F$172,$A5)</f>
        <v>8</v>
      </c>
      <c r="H5" s="18" t="s">
        <v>27</v>
      </c>
      <c r="I5" s="65" t="n">
        <f aca="false">COUNTIF(N23:N172,"&gt;0")</f>
        <v>45</v>
      </c>
      <c r="J5" s="52" t="n">
        <f aca="false">COUNTIF(O23:O172,"&gt;0")</f>
        <v>48</v>
      </c>
      <c r="K5" s="52" t="n">
        <f aca="false">COUNTIF(P23:P172,"&gt;0")</f>
        <v>26</v>
      </c>
      <c r="L5" s="52" t="n">
        <f aca="false">COUNTIF(Q23:Q172,"&gt;0")</f>
        <v>36</v>
      </c>
      <c r="M5" s="53" t="n">
        <f aca="false">COUNTIF(R23:R172,"&gt;0")</f>
        <v>26</v>
      </c>
    </row>
    <row r="6" customFormat="false" ht="15" hidden="false" customHeight="false" outlineLevel="0" collapsed="false">
      <c r="A6" s="18" t="s">
        <v>24</v>
      </c>
      <c r="B6" s="39" t="n">
        <f aca="false">COUNTIF(B$23:B$172,$A6)</f>
        <v>14</v>
      </c>
      <c r="C6" s="39" t="n">
        <f aca="false">COUNTIF(C$23:C$172,$A6)</f>
        <v>6</v>
      </c>
      <c r="D6" s="39" t="n">
        <f aca="false">COUNTIF(D$23:D$172,$A6)</f>
        <v>11</v>
      </c>
      <c r="E6" s="39" t="n">
        <f aca="false">COUNTIF(E$23:E$172,$A6)</f>
        <v>7</v>
      </c>
      <c r="F6" s="104" t="n">
        <f aca="false">COUNTIF(F$23:F$172,$A6)</f>
        <v>15</v>
      </c>
      <c r="H6" s="18" t="s">
        <v>24</v>
      </c>
      <c r="I6" s="65" t="n">
        <f aca="false">COUNTIF(T23:T172,"&gt;0")</f>
        <v>52</v>
      </c>
      <c r="J6" s="52" t="n">
        <f aca="false">COUNTIF(U23:U172,"&gt;0")</f>
        <v>34</v>
      </c>
      <c r="K6" s="52" t="n">
        <f aca="false">COUNTIF(V23:V172,"&gt;0")</f>
        <v>50</v>
      </c>
      <c r="L6" s="52" t="n">
        <f aca="false">COUNTIF(W23:W172,"&gt;0")</f>
        <v>28</v>
      </c>
      <c r="M6" s="53" t="n">
        <f aca="false">COUNTIF(X23:X172,"&gt;0")</f>
        <v>53</v>
      </c>
    </row>
    <row r="7" customFormat="false" ht="15" hidden="false" customHeight="false" outlineLevel="0" collapsed="false">
      <c r="A7" s="18" t="s">
        <v>21</v>
      </c>
      <c r="B7" s="39" t="n">
        <f aca="false">COUNTIF(B$23:B$172,$A7)</f>
        <v>6</v>
      </c>
      <c r="C7" s="39" t="n">
        <f aca="false">COUNTIF(C$23:C$172,$A7)</f>
        <v>10</v>
      </c>
      <c r="D7" s="39" t="n">
        <f aca="false">COUNTIF(D$23:D$172,$A7)</f>
        <v>11</v>
      </c>
      <c r="E7" s="39" t="n">
        <f aca="false">COUNTIF(E$23:E$172,$A7)</f>
        <v>10</v>
      </c>
      <c r="F7" s="104" t="n">
        <f aca="false">COUNTIF(F$23:F$172,$A7)</f>
        <v>8</v>
      </c>
      <c r="H7" s="18" t="s">
        <v>21</v>
      </c>
      <c r="I7" s="65" t="n">
        <f aca="false">COUNTIF(Z23:Z172,"&gt;0")</f>
        <v>21</v>
      </c>
      <c r="J7" s="52" t="n">
        <f aca="false">COUNTIF(AA23:AA172,"&gt;0")</f>
        <v>40</v>
      </c>
      <c r="K7" s="52" t="n">
        <f aca="false">COUNTIF(AB23:AB172,"&gt;0")</f>
        <v>42</v>
      </c>
      <c r="L7" s="52" t="n">
        <f aca="false">COUNTIF(AC23:AC172,"&gt;0")</f>
        <v>40</v>
      </c>
      <c r="M7" s="53" t="n">
        <f aca="false">COUNTIF(AD23:AD172,"&gt;0")</f>
        <v>32</v>
      </c>
    </row>
    <row r="8" customFormat="false" ht="15" hidden="false" customHeight="false" outlineLevel="0" collapsed="false">
      <c r="A8" s="18" t="s">
        <v>26</v>
      </c>
      <c r="B8" s="39" t="n">
        <f aca="false">COUNTIF(B$23:B$172,$A8)</f>
        <v>6</v>
      </c>
      <c r="C8" s="39" t="n">
        <f aca="false">COUNTIF(C$23:C$172,$A8)</f>
        <v>8</v>
      </c>
      <c r="D8" s="39" t="n">
        <f aca="false">COUNTIF(D$23:D$172,$A8)</f>
        <v>10</v>
      </c>
      <c r="E8" s="39" t="n">
        <f aca="false">COUNTIF(E$23:E$172,$A8)</f>
        <v>9</v>
      </c>
      <c r="F8" s="104" t="n">
        <f aca="false">COUNTIF(F$23:F$172,$A8)</f>
        <v>5</v>
      </c>
      <c r="H8" s="18" t="s">
        <v>26</v>
      </c>
      <c r="I8" s="65" t="n">
        <f aca="false">COUNTIF(AF23:AF172,"&gt;0")</f>
        <v>17</v>
      </c>
      <c r="J8" s="52" t="n">
        <f aca="false">COUNTIF(AG23:AG172,"&gt;0")</f>
        <v>34</v>
      </c>
      <c r="K8" s="52" t="n">
        <f aca="false">COUNTIF(AH23:AH172,"&gt;0")</f>
        <v>46</v>
      </c>
      <c r="L8" s="52" t="n">
        <f aca="false">COUNTIF(AI23:AI172,"&gt;0")</f>
        <v>38</v>
      </c>
      <c r="M8" s="53" t="n">
        <f aca="false">COUNTIF(AJ23:AJ172,"&gt;0")</f>
        <v>14</v>
      </c>
    </row>
    <row r="9" customFormat="false" ht="15" hidden="false" customHeight="false" outlineLevel="0" collapsed="false">
      <c r="A9" s="18" t="s">
        <v>34</v>
      </c>
      <c r="B9" s="39" t="n">
        <f aca="false">COUNTIF(B$23:B$172,$A9)</f>
        <v>8</v>
      </c>
      <c r="C9" s="39" t="n">
        <f aca="false">COUNTIF(C$23:C$172,$A9)</f>
        <v>8</v>
      </c>
      <c r="D9" s="39" t="n">
        <f aca="false">COUNTIF(D$23:D$172,$A9)</f>
        <v>6</v>
      </c>
      <c r="E9" s="39" t="n">
        <f aca="false">COUNTIF(E$23:E$172,$A9)</f>
        <v>5</v>
      </c>
      <c r="F9" s="104" t="n">
        <f aca="false">COUNTIF(F$23:F$172,$A9)</f>
        <v>7</v>
      </c>
      <c r="H9" s="18" t="s">
        <v>34</v>
      </c>
      <c r="I9" s="65" t="n">
        <f aca="false">COUNTIF(AL23:AL172,"&gt;0")</f>
        <v>32</v>
      </c>
      <c r="J9" s="52" t="n">
        <f aca="false">COUNTIF(AM23:AM172,"&gt;0")</f>
        <v>38</v>
      </c>
      <c r="K9" s="52" t="n">
        <f aca="false">COUNTIF(AN23:AN172,"&gt;0")</f>
        <v>36</v>
      </c>
      <c r="L9" s="52" t="n">
        <f aca="false">COUNTIF(AO23:AO172,"&gt;0")</f>
        <v>22</v>
      </c>
      <c r="M9" s="53" t="n">
        <f aca="false">COUNTIF(AP23:AP172,"&gt;0")</f>
        <v>28</v>
      </c>
    </row>
    <row r="10" customFormat="false" ht="15" hidden="false" customHeight="false" outlineLevel="0" collapsed="false">
      <c r="A10" s="18" t="s">
        <v>25</v>
      </c>
      <c r="B10" s="39" t="n">
        <f aca="false">COUNTIF(B$23:B$172,$A10)</f>
        <v>7</v>
      </c>
      <c r="C10" s="39" t="n">
        <f aca="false">COUNTIF(C$23:C$172,$A10)</f>
        <v>13</v>
      </c>
      <c r="D10" s="39" t="n">
        <f aca="false">COUNTIF(D$23:D$172,$A10)</f>
        <v>9</v>
      </c>
      <c r="E10" s="39" t="n">
        <f aca="false">COUNTIF(E$23:E$172,$A10)</f>
        <v>6</v>
      </c>
      <c r="F10" s="104" t="n">
        <f aca="false">COUNTIF(F$23:F$172,$A10)</f>
        <v>15</v>
      </c>
      <c r="H10" s="18" t="s">
        <v>25</v>
      </c>
      <c r="I10" s="65" t="n">
        <f aca="false">COUNTIF(AR23:AR172,"&gt;0")</f>
        <v>28</v>
      </c>
      <c r="J10" s="52" t="n">
        <f aca="false">COUNTIF(AS23:AS172,"&gt;0")</f>
        <v>57</v>
      </c>
      <c r="K10" s="52" t="n">
        <f aca="false">COUNTIF(AT23:AT172,"&gt;0")</f>
        <v>47</v>
      </c>
      <c r="L10" s="52" t="n">
        <f aca="false">COUNTIF(AU23:AU172,"&gt;0")</f>
        <v>31</v>
      </c>
      <c r="M10" s="53" t="n">
        <f aca="false">COUNTIF(AV23:AV172,"&gt;0")</f>
        <v>57</v>
      </c>
    </row>
    <row r="11" customFormat="false" ht="15" hidden="false" customHeight="false" outlineLevel="0" collapsed="false">
      <c r="A11" s="18" t="s">
        <v>30</v>
      </c>
      <c r="B11" s="39" t="n">
        <f aca="false">COUNTIF(B$23:B$172,$A11)</f>
        <v>11</v>
      </c>
      <c r="C11" s="39" t="n">
        <f aca="false">COUNTIF(C$23:C$172,$A11)</f>
        <v>10</v>
      </c>
      <c r="D11" s="39" t="n">
        <f aca="false">COUNTIF(D$23:D$172,$A11)</f>
        <v>16</v>
      </c>
      <c r="E11" s="39" t="n">
        <f aca="false">COUNTIF(E$23:E$172,$A11)</f>
        <v>9</v>
      </c>
      <c r="F11" s="104" t="n">
        <f aca="false">COUNTIF(F$23:F$172,$A11)</f>
        <v>14</v>
      </c>
      <c r="H11" s="18" t="s">
        <v>30</v>
      </c>
      <c r="I11" s="65" t="n">
        <f aca="false">COUNTIF(AX23:AX172,"&gt;0")</f>
        <v>42</v>
      </c>
      <c r="J11" s="52" t="n">
        <f aca="false">COUNTIF(AY23:AY172,"&gt;0")</f>
        <v>43</v>
      </c>
      <c r="K11" s="52" t="n">
        <f aca="false">COUNTIF(AZ23:AZ172,"&gt;0")</f>
        <v>69</v>
      </c>
      <c r="L11" s="52" t="n">
        <f aca="false">COUNTIF(BA23:BA172,"&gt;0")</f>
        <v>42</v>
      </c>
      <c r="M11" s="53" t="n">
        <f aca="false">COUNTIF(BB23:BB172,"&gt;0")</f>
        <v>54</v>
      </c>
    </row>
    <row r="12" customFormat="false" ht="15" hidden="false" customHeight="false" outlineLevel="0" collapsed="false">
      <c r="A12" s="18" t="s">
        <v>29</v>
      </c>
      <c r="B12" s="39" t="n">
        <f aca="false">COUNTIF(B$23:B$172,$A12)</f>
        <v>8</v>
      </c>
      <c r="C12" s="39" t="n">
        <f aca="false">COUNTIF(C$23:C$172,$A12)</f>
        <v>13</v>
      </c>
      <c r="D12" s="39" t="n">
        <f aca="false">COUNTIF(D$23:D$172,$A12)</f>
        <v>9</v>
      </c>
      <c r="E12" s="39" t="n">
        <f aca="false">COUNTIF(E$23:E$172,$A12)</f>
        <v>6</v>
      </c>
      <c r="F12" s="104" t="n">
        <f aca="false">COUNTIF(F$23:F$172,$A12)</f>
        <v>9</v>
      </c>
      <c r="H12" s="18" t="s">
        <v>29</v>
      </c>
      <c r="I12" s="65" t="n">
        <f aca="false">COUNTIF(BD23:BD172,"&gt;0")</f>
        <v>30</v>
      </c>
      <c r="J12" s="52" t="n">
        <f aca="false">COUNTIF(BE23:BE172,"&gt;0")</f>
        <v>59</v>
      </c>
      <c r="K12" s="52" t="n">
        <f aca="false">COUNTIF(BF23:BF172,"&gt;0")</f>
        <v>41</v>
      </c>
      <c r="L12" s="52" t="n">
        <f aca="false">COUNTIF(BG23:BG172,"&gt;0")</f>
        <v>32</v>
      </c>
      <c r="M12" s="53" t="n">
        <f aca="false">COUNTIF(BH23:BH172,"&gt;0")</f>
        <v>36</v>
      </c>
    </row>
    <row r="13" customFormat="false" ht="15" hidden="false" customHeight="false" outlineLevel="0" collapsed="false">
      <c r="A13" s="18" t="n">
        <v>10</v>
      </c>
      <c r="B13" s="39" t="n">
        <f aca="false">COUNTIF(B$23:B$172,$A13)</f>
        <v>15</v>
      </c>
      <c r="C13" s="39" t="n">
        <f aca="false">COUNTIF(C$23:C$172,$A13)</f>
        <v>7</v>
      </c>
      <c r="D13" s="39" t="n">
        <f aca="false">COUNTIF(D$23:D$172,$A13)</f>
        <v>13</v>
      </c>
      <c r="E13" s="39" t="n">
        <f aca="false">COUNTIF(E$23:E$172,$A13)</f>
        <v>6</v>
      </c>
      <c r="F13" s="104" t="n">
        <f aca="false">COUNTIF(F$23:F$172,$A13)</f>
        <v>10</v>
      </c>
      <c r="H13" s="18" t="n">
        <v>10</v>
      </c>
      <c r="I13" s="65" t="n">
        <f aca="false">COUNTIF(BJ23:BJ172,"&gt;0")</f>
        <v>58</v>
      </c>
      <c r="J13" s="52" t="n">
        <f aca="false">COUNTIF(BK23:BK172,"&gt;0")</f>
        <v>37</v>
      </c>
      <c r="K13" s="52" t="n">
        <f aca="false">COUNTIF(BL23:BL172,"&gt;0")</f>
        <v>55</v>
      </c>
      <c r="L13" s="52" t="n">
        <f aca="false">COUNTIF(BM23:BM172,"&gt;0")</f>
        <v>29</v>
      </c>
      <c r="M13" s="53" t="n">
        <f aca="false">COUNTIF(BN23:BN172,"&gt;0")</f>
        <v>39</v>
      </c>
    </row>
    <row r="14" customFormat="false" ht="15" hidden="false" customHeight="false" outlineLevel="0" collapsed="false">
      <c r="A14" s="18" t="n">
        <v>9</v>
      </c>
      <c r="B14" s="39" t="n">
        <f aca="false">COUNTIF(B$23:B$172,$A14)</f>
        <v>9</v>
      </c>
      <c r="C14" s="39" t="n">
        <f aca="false">COUNTIF(C$23:C$172,$A14)</f>
        <v>4</v>
      </c>
      <c r="D14" s="39" t="n">
        <f aca="false">COUNTIF(D$23:D$172,$A14)</f>
        <v>3</v>
      </c>
      <c r="E14" s="39" t="n">
        <f aca="false">COUNTIF(E$23:E$172,$A14)</f>
        <v>8</v>
      </c>
      <c r="F14" s="104" t="n">
        <f aca="false">COUNTIF(F$23:F$172,$A14)</f>
        <v>4</v>
      </c>
      <c r="H14" s="66" t="n">
        <v>9</v>
      </c>
      <c r="I14" s="69" t="n">
        <f aca="false">COUNTIF(BP23:BP172,"&gt;0")</f>
        <v>36</v>
      </c>
      <c r="J14" s="70" t="n">
        <f aca="false">COUNTIF(BQ23:BQ172,"&gt;0")</f>
        <v>28</v>
      </c>
      <c r="K14" s="70" t="n">
        <f aca="false">COUNTIF(BR23:BR172,"&gt;0")</f>
        <v>24</v>
      </c>
      <c r="L14" s="70" t="n">
        <f aca="false">COUNTIF(BS23:BS172,"&gt;0")</f>
        <v>35</v>
      </c>
      <c r="M14" s="71" t="n">
        <f aca="false">COUNTIF(BT23:BT172,"&gt;0")</f>
        <v>14</v>
      </c>
    </row>
    <row r="15" customFormat="false" ht="15" hidden="false" customHeight="false" outlineLevel="0" collapsed="false">
      <c r="A15" s="18" t="s">
        <v>20</v>
      </c>
      <c r="B15" s="39" t="n">
        <f aca="false">COUNTIF(B$23:B$172,$A15)</f>
        <v>3</v>
      </c>
      <c r="C15" s="39" t="n">
        <f aca="false">COUNTIF(C$23:C$172,$A15)</f>
        <v>3</v>
      </c>
      <c r="D15" s="39" t="n">
        <f aca="false">COUNTIF(D$23:D$172,$A15)</f>
        <v>3</v>
      </c>
      <c r="E15" s="39" t="n">
        <f aca="false">COUNTIF(E$23:E$172,$A15)</f>
        <v>1</v>
      </c>
      <c r="F15" s="104" t="n">
        <f aca="false">COUNTIF(F$23:F$172,$A15)</f>
        <v>1</v>
      </c>
    </row>
    <row r="16" customFormat="false" ht="15" hidden="false" customHeight="false" outlineLevel="0" collapsed="false">
      <c r="A16" s="37" t="s">
        <v>46</v>
      </c>
      <c r="B16" s="107" t="n">
        <f aca="false">SUM(B3:B15)</f>
        <v>107</v>
      </c>
      <c r="C16" s="107" t="n">
        <f aca="false">SUM(C3:C15)</f>
        <v>102</v>
      </c>
      <c r="D16" s="107" t="n">
        <f aca="false">SUM(D3:D15)</f>
        <v>110</v>
      </c>
      <c r="E16" s="107" t="n">
        <f aca="false">SUM(E3:E15)</f>
        <v>86</v>
      </c>
      <c r="F16" s="108" t="n">
        <f aca="false">SUM(F3:F15)</f>
        <v>113</v>
      </c>
    </row>
    <row r="17" customFormat="false" ht="15" hidden="false" customHeight="false" outlineLevel="0" collapsed="false">
      <c r="A17" s="52"/>
    </row>
    <row r="18" customFormat="false" ht="15" hidden="false" customHeight="false" outlineLevel="0" collapsed="false">
      <c r="A18" s="3" t="s">
        <v>3</v>
      </c>
    </row>
    <row r="19" customFormat="false" ht="15" hidden="false" customHeight="false" outlineLevel="0" collapsed="false">
      <c r="A19" s="7" t="s">
        <v>7</v>
      </c>
      <c r="B19" s="8" t="s">
        <v>8</v>
      </c>
      <c r="C19" s="8" t="s">
        <v>9</v>
      </c>
      <c r="D19" s="8" t="s">
        <v>10</v>
      </c>
      <c r="E19" s="8" t="s">
        <v>11</v>
      </c>
      <c r="F19" s="9" t="s">
        <v>12</v>
      </c>
    </row>
    <row r="20" customFormat="false" ht="15" hidden="false" customHeight="false" outlineLevel="0" collapsed="false">
      <c r="A20" s="109" t="n">
        <v>-3</v>
      </c>
      <c r="B20" s="120" t="str">
        <f aca="true">OFFSET(B23,B16+$A20,)</f>
        <v>Q</v>
      </c>
      <c r="C20" s="120" t="str">
        <f aca="true">OFFSET(C23,C16+$A20,)</f>
        <v>SYM3</v>
      </c>
      <c r="D20" s="120" t="n">
        <f aca="true">OFFSET(D23,D16+$A20,)</f>
        <v>10</v>
      </c>
      <c r="E20" s="120" t="str">
        <f aca="true">OFFSET(E23,E16+$A20,)</f>
        <v>SYM4</v>
      </c>
      <c r="F20" s="121" t="str">
        <f aca="true">OFFSET(F23,F16+$A20,)</f>
        <v>Q</v>
      </c>
    </row>
    <row r="21" s="112" customFormat="true" ht="15" hidden="false" customHeight="false" outlineLevel="0" collapsed="false">
      <c r="A21" s="109" t="n">
        <v>-2</v>
      </c>
      <c r="B21" s="120" t="n">
        <f aca="true">OFFSET(B23,B16+$A21,)</f>
        <v>10</v>
      </c>
      <c r="C21" s="120" t="str">
        <f aca="true">OFFSET(C23,C16+$A21,)</f>
        <v>A</v>
      </c>
      <c r="D21" s="120" t="str">
        <f aca="true">OFFSET(D23,D16+$A21,)</f>
        <v>SYM4</v>
      </c>
      <c r="E21" s="120" t="n">
        <f aca="true">OFFSET(E23,E16+$A21,)</f>
        <v>9</v>
      </c>
      <c r="F21" s="121" t="str">
        <f aca="true">OFFSET(F23,F16+$A21,)</f>
        <v>SYM4</v>
      </c>
      <c r="H21" s="47" t="str">
        <f aca="false">$A$4</f>
        <v>SYM1</v>
      </c>
      <c r="N21" s="47" t="str">
        <f aca="false">$A$5</f>
        <v>SYM2</v>
      </c>
      <c r="T21" s="47" t="str">
        <f aca="false">$A$6</f>
        <v>SYM3</v>
      </c>
      <c r="Z21" s="47" t="str">
        <f aca="false">$A$7</f>
        <v>SYM4</v>
      </c>
      <c r="AF21" s="47" t="str">
        <f aca="false">$A$8</f>
        <v>SYM5</v>
      </c>
      <c r="AL21" s="47" t="str">
        <f aca="false">$A$9</f>
        <v>A</v>
      </c>
      <c r="AR21" s="47" t="str">
        <f aca="false">$A$10</f>
        <v>K</v>
      </c>
      <c r="AX21" s="47" t="str">
        <f aca="false">$A$11</f>
        <v>Q</v>
      </c>
      <c r="BD21" s="47" t="str">
        <f aca="false">$A$12</f>
        <v>J</v>
      </c>
      <c r="BJ21" s="47" t="n">
        <f aca="false">$A$13</f>
        <v>10</v>
      </c>
      <c r="BP21" s="47" t="n">
        <f aca="false">$A$14</f>
        <v>9</v>
      </c>
    </row>
    <row r="22" s="112" customFormat="true" ht="15" hidden="false" customHeight="false" outlineLevel="0" collapsed="false">
      <c r="A22" s="113" t="n">
        <v>-1</v>
      </c>
      <c r="B22" s="122" t="str">
        <f aca="true">OFFSET(B23,B16+$A22,)</f>
        <v>SYM2</v>
      </c>
      <c r="C22" s="122" t="str">
        <f aca="true">OFFSET(C23,C16+$A22,)</f>
        <v>SYM4</v>
      </c>
      <c r="D22" s="122" t="str">
        <f aca="true">OFFSET(D23,D16+$A22,)</f>
        <v>Q</v>
      </c>
      <c r="E22" s="122" t="str">
        <f aca="true">OFFSET(E23,E16+$A22,)</f>
        <v>SYM1</v>
      </c>
      <c r="F22" s="123" t="str">
        <f aca="true">OFFSET(F23,F16+$A22,)</f>
        <v>J</v>
      </c>
    </row>
    <row r="23" customFormat="false" ht="15" hidden="false" customHeight="false" outlineLevel="0" collapsed="false">
      <c r="A23" s="13" t="n">
        <v>1</v>
      </c>
      <c r="B23" s="116" t="n">
        <f aca="false">IF('Game Info'!Q6="","",'Game Info'!Q6)</f>
        <v>10</v>
      </c>
      <c r="C23" s="116" t="str">
        <f aca="false">IF('Game Info'!R6="","",'Game Info'!R6)</f>
        <v>SYM4</v>
      </c>
      <c r="D23" s="116" t="str">
        <f aca="false">IF('Game Info'!S6="","",'Game Info'!S6)</f>
        <v>SYM1</v>
      </c>
      <c r="E23" s="116" t="n">
        <f aca="false">IF('Game Info'!T6="","",'Game Info'!T6)</f>
        <v>10</v>
      </c>
      <c r="F23" s="117" t="n">
        <f aca="false">IF('Game Info'!U6="","",'Game Info'!U6)</f>
        <v>10</v>
      </c>
      <c r="H23" s="105" t="n">
        <f aca="false">IF($B23="","",COUNTIF($B20:$B23,H$21)+COUNTIF($B20:$B23,$A$3))</f>
        <v>0</v>
      </c>
      <c r="I23" s="83" t="n">
        <f aca="false">IF($C23="","",COUNTIF($C20:$C23,H$21)+COUNTIF($C20:$C23,$A$3))</f>
        <v>0</v>
      </c>
      <c r="J23" s="83" t="n">
        <f aca="false">IF($D23="","",COUNTIF($D20:$D23,H$21)+COUNTIF($D20:$D23,$A$3))</f>
        <v>1</v>
      </c>
      <c r="K23" s="83" t="n">
        <f aca="false">IF($E23="","",COUNTIF($E20:$E23,H$21)+COUNTIF($E20:$E23,$A$3))</f>
        <v>1</v>
      </c>
      <c r="L23" s="106" t="n">
        <f aca="false">IF($F23="","",COUNTIF($F20:$F23,H$21)+COUNTIF($F20:$F23,$A$3))</f>
        <v>0</v>
      </c>
      <c r="N23" s="105" t="n">
        <f aca="false">IF($B23="","",COUNTIF($B20:$B23,N$21)+COUNTIF($B20:$B23,$A$3))</f>
        <v>1</v>
      </c>
      <c r="O23" s="83" t="n">
        <f aca="false">IF($C23="","",COUNTIF($C20:$C23,N$21)+COUNTIF($C20:$C23,$A$3))</f>
        <v>0</v>
      </c>
      <c r="P23" s="83" t="n">
        <f aca="false">IF($D23="","",COUNTIF($D20:$D23,N$21)+COUNTIF($D20:$D23,$A$3))</f>
        <v>0</v>
      </c>
      <c r="Q23" s="83" t="n">
        <f aca="false">IF($E23="","",COUNTIF($E20:$E23,N$21)+COUNTIF($E20:$E23,$A$3))</f>
        <v>0</v>
      </c>
      <c r="R23" s="106" t="n">
        <f aca="false">IF($F23="","",COUNTIF($F20:$F23,N$21)+COUNTIF($F20:$F23,$A$3))</f>
        <v>0</v>
      </c>
      <c r="T23" s="105" t="n">
        <f aca="false">IF($B23="","",COUNTIF($B20:$B23,T$21)+COUNTIF($B20:$B23,$A$3))</f>
        <v>0</v>
      </c>
      <c r="U23" s="83" t="n">
        <f aca="false">IF($C23="","",COUNTIF($C20:$C23,T$21)+COUNTIF($C20:$C23,$A$3))</f>
        <v>1</v>
      </c>
      <c r="V23" s="83" t="n">
        <f aca="false">IF($D23="","",COUNTIF($D20:$D23,T$21)+COUNTIF($D20:$D23,$A$3))</f>
        <v>0</v>
      </c>
      <c r="W23" s="83" t="n">
        <f aca="false">IF($E23="","",COUNTIF($E20:$E23,T$21)+COUNTIF($E20:$E23,$A$3))</f>
        <v>0</v>
      </c>
      <c r="X23" s="106" t="n">
        <f aca="false">IF($F23="","",COUNTIF($F20:$F23,T$21)+COUNTIF($F20:$F23,$A$3))</f>
        <v>0</v>
      </c>
      <c r="Z23" s="105" t="n">
        <f aca="false">IF($B23="","",COUNTIF($B20:$B23,Z$21)+COUNTIF($B20:$B23,$A$3))</f>
        <v>0</v>
      </c>
      <c r="AA23" s="83" t="n">
        <f aca="false">IF($C23="","",COUNTIF($C20:$C23,Z$21)+COUNTIF($C20:$C23,$A$3))</f>
        <v>2</v>
      </c>
      <c r="AB23" s="83" t="n">
        <f aca="false">IF($D23="","",COUNTIF($D20:$D23,Z$21)+COUNTIF($D20:$D23,$A$3))</f>
        <v>1</v>
      </c>
      <c r="AC23" s="83" t="n">
        <f aca="false">IF($E23="","",COUNTIF($E20:$E23,Z$21)+COUNTIF($E20:$E23,$A$3))</f>
        <v>1</v>
      </c>
      <c r="AD23" s="106" t="n">
        <f aca="false">IF($F23="","",COUNTIF($F20:$F23,Z$21)+COUNTIF($F20:$F23,$A$3))</f>
        <v>1</v>
      </c>
      <c r="AF23" s="105" t="n">
        <f aca="false">IF($B23="","",COUNTIF($B20:$B23,AF$21)+COUNTIF($B20:$B23,$A$3))</f>
        <v>0</v>
      </c>
      <c r="AG23" s="83" t="n">
        <f aca="false">IF($C23="","",COUNTIF($C20:$C23,AF$21)+COUNTIF($C20:$C23,$A$3))</f>
        <v>0</v>
      </c>
      <c r="AH23" s="83" t="n">
        <f aca="false">IF($D23="","",COUNTIF($D20:$D23,AF$21)+COUNTIF($D20:$D23,$A$3))</f>
        <v>0</v>
      </c>
      <c r="AI23" s="83" t="n">
        <f aca="false">IF($E23="","",COUNTIF($E20:$E23,AF$21)+COUNTIF($E20:$E23,$A$3))</f>
        <v>0</v>
      </c>
      <c r="AJ23" s="106" t="n">
        <f aca="false">IF($F23="","",COUNTIF($F20:$F23,AF$21)+COUNTIF($F20:$F23,$A$3))</f>
        <v>0</v>
      </c>
      <c r="AL23" s="105" t="n">
        <f aca="false">IF($B23="","",COUNTIF($B20:$B23,AL$21)+COUNTIF($B20:$B23,$A$3))</f>
        <v>0</v>
      </c>
      <c r="AM23" s="83" t="n">
        <f aca="false">IF($C23="","",COUNTIF($C20:$C23,AL$21)+COUNTIF($C20:$C23,$A$3))</f>
        <v>1</v>
      </c>
      <c r="AN23" s="83" t="n">
        <f aca="false">IF($D23="","",COUNTIF($D20:$D23,AL$21)+COUNTIF($D20:$D23,$A$3))</f>
        <v>0</v>
      </c>
      <c r="AO23" s="83" t="n">
        <f aca="false">IF($E23="","",COUNTIF($E20:$E23,AL$21)+COUNTIF($E20:$E23,$A$3))</f>
        <v>0</v>
      </c>
      <c r="AP23" s="106" t="n">
        <f aca="false">IF($F23="","",COUNTIF($F20:$F23,AL$21)+COUNTIF($F20:$F23,$A$3))</f>
        <v>0</v>
      </c>
      <c r="AR23" s="105" t="n">
        <f aca="false">IF($B23="","",COUNTIF($B20:$B23,AR$21)+COUNTIF($B20:$B23,$A$3))</f>
        <v>0</v>
      </c>
      <c r="AS23" s="83" t="n">
        <f aca="false">IF($C23="","",COUNTIF($C20:$C23,AR$21)+COUNTIF($C20:$C23,$A$3))</f>
        <v>0</v>
      </c>
      <c r="AT23" s="83" t="n">
        <f aca="false">IF($D23="","",COUNTIF($D20:$D23,AR$21)+COUNTIF($D20:$D23,$A$3))</f>
        <v>0</v>
      </c>
      <c r="AU23" s="83" t="n">
        <f aca="false">IF($E23="","",COUNTIF($E20:$E23,AR$21)+COUNTIF($E20:$E23,$A$3))</f>
        <v>0</v>
      </c>
      <c r="AV23" s="106" t="n">
        <f aca="false">IF($F23="","",COUNTIF($F20:$F23,AR$21)+COUNTIF($F20:$F23,$A$3))</f>
        <v>0</v>
      </c>
      <c r="AX23" s="105" t="n">
        <f aca="false">IF($B23="","",COUNTIF($B20:$B23,AX$21)+COUNTIF($B20:$B23,$A$3))</f>
        <v>1</v>
      </c>
      <c r="AY23" s="83" t="n">
        <f aca="false">IF($C23="","",COUNTIF($C20:$C23,AX$21)+COUNTIF($C20:$C23,$A$3))</f>
        <v>0</v>
      </c>
      <c r="AZ23" s="83" t="n">
        <f aca="false">IF($D23="","",COUNTIF($D20:$D23,AX$21)+COUNTIF($D20:$D23,$A$3))</f>
        <v>1</v>
      </c>
      <c r="BA23" s="83" t="n">
        <f aca="false">IF($E23="","",COUNTIF($E20:$E23,AX$21)+COUNTIF($E20:$E23,$A$3))</f>
        <v>0</v>
      </c>
      <c r="BB23" s="106" t="n">
        <f aca="false">IF($F23="","",COUNTIF($F20:$F23,AX$21)+COUNTIF($F20:$F23,$A$3))</f>
        <v>1</v>
      </c>
      <c r="BD23" s="105" t="n">
        <f aca="false">IF($B23="","",COUNTIF($B20:$B23,BD$21)+COUNTIF($B20:$B23,$A$3))</f>
        <v>0</v>
      </c>
      <c r="BE23" s="83" t="n">
        <f aca="false">IF($C23="","",COUNTIF($C20:$C23,BD$21)+COUNTIF($C20:$C23,$A$3))</f>
        <v>0</v>
      </c>
      <c r="BF23" s="83" t="n">
        <f aca="false">IF($D23="","",COUNTIF($D20:$D23,BD$21)+COUNTIF($D20:$D23,$A$3))</f>
        <v>0</v>
      </c>
      <c r="BG23" s="83" t="n">
        <f aca="false">IF($E23="","",COUNTIF($E20:$E23,BD$21)+COUNTIF($E20:$E23,$A$3))</f>
        <v>0</v>
      </c>
      <c r="BH23" s="106" t="n">
        <f aca="false">IF($F23="","",COUNTIF($F20:$F23,BD$21)+COUNTIF($F20:$F23,$A$3))</f>
        <v>1</v>
      </c>
      <c r="BJ23" s="105" t="n">
        <f aca="false">IF($B23="","",COUNTIF($B20:$B23,BJ$21)+COUNTIF($B20:$B23,$A$3))</f>
        <v>2</v>
      </c>
      <c r="BK23" s="83" t="n">
        <f aca="false">IF($C23="","",COUNTIF($C20:$C23,BJ$21)+COUNTIF($C20:$C23,$A$3))</f>
        <v>0</v>
      </c>
      <c r="BL23" s="83" t="n">
        <f aca="false">IF($D23="","",COUNTIF($D20:$D23,BJ$21)+COUNTIF($D20:$D23,$A$3))</f>
        <v>1</v>
      </c>
      <c r="BM23" s="83" t="n">
        <f aca="false">IF($E23="","",COUNTIF($E20:$E23,BJ$21)+COUNTIF($E20:$E23,$A$3))</f>
        <v>1</v>
      </c>
      <c r="BN23" s="106" t="n">
        <f aca="false">IF($F23="","",COUNTIF($F20:$F23,BJ$21)+COUNTIF($F20:$F23,$A$3))</f>
        <v>1</v>
      </c>
      <c r="BP23" s="105" t="n">
        <f aca="false">IF($B23="","",COUNTIF($B20:$B23,BP$21)+COUNTIF($B20:$B23,$A$3))</f>
        <v>0</v>
      </c>
      <c r="BQ23" s="83" t="n">
        <f aca="false">IF($C23="","",COUNTIF($C20:$C23,BP$21)+COUNTIF($C20:$C23,$A$3))</f>
        <v>0</v>
      </c>
      <c r="BR23" s="83" t="n">
        <f aca="false">IF($D23="","",COUNTIF($D20:$D23,BP$21)+COUNTIF($D20:$D23,$A$3))</f>
        <v>0</v>
      </c>
      <c r="BS23" s="83" t="n">
        <f aca="false">IF($E23="","",COUNTIF($E20:$E23,BP$21)+COUNTIF($E20:$E23,$A$3))</f>
        <v>1</v>
      </c>
      <c r="BT23" s="106" t="n">
        <f aca="false">IF($F23="","",COUNTIF($F20:$F23,BP$21)+COUNTIF($F20:$F23,$A$3))</f>
        <v>0</v>
      </c>
    </row>
    <row r="24" customFormat="false" ht="15" hidden="false" customHeight="false" outlineLevel="0" collapsed="false">
      <c r="A24" s="13" t="n">
        <v>2</v>
      </c>
      <c r="B24" s="116" t="str">
        <f aca="false">IF('Game Info'!Q7="","",'Game Info'!Q7)</f>
        <v>SYM3</v>
      </c>
      <c r="C24" s="116" t="n">
        <f aca="false">IF('Game Info'!R7="","",'Game Info'!R7)</f>
        <v>9</v>
      </c>
      <c r="D24" s="116" t="str">
        <f aca="false">IF('Game Info'!S7="","",'Game Info'!S7)</f>
        <v>K</v>
      </c>
      <c r="E24" s="116" t="str">
        <f aca="false">IF('Game Info'!T7="","",'Game Info'!T7)</f>
        <v>SYM3</v>
      </c>
      <c r="F24" s="117" t="str">
        <f aca="false">IF('Game Info'!U7="","",'Game Info'!U7)</f>
        <v>SYM5</v>
      </c>
      <c r="H24" s="91" t="n">
        <f aca="false">IF($B24="","",COUNTIF($B21:$B24,H$21)+COUNTIF($B21:$B24,$A$3))</f>
        <v>0</v>
      </c>
      <c r="I24" s="73" t="n">
        <f aca="false">IF($C24="","",COUNTIF($C21:$C24,H$21)+COUNTIF($C21:$C24,$A$3))</f>
        <v>0</v>
      </c>
      <c r="J24" s="73" t="n">
        <f aca="false">IF($D24="","",COUNTIF($D21:$D24,H$21)+COUNTIF($D21:$D24,$A$3))</f>
        <v>1</v>
      </c>
      <c r="K24" s="73" t="n">
        <f aca="false">IF($E24="","",COUNTIF($E21:$E24,H$21)+COUNTIF($E21:$E24,$A$3))</f>
        <v>1</v>
      </c>
      <c r="L24" s="92" t="n">
        <f aca="false">IF($F24="","",COUNTIF($F21:$F24,H$21)+COUNTIF($F21:$F24,$A$3))</f>
        <v>0</v>
      </c>
      <c r="N24" s="91" t="n">
        <f aca="false">IF($B24="","",COUNTIF($B21:$B24,N$21)+COUNTIF($B21:$B24,$A$3))</f>
        <v>1</v>
      </c>
      <c r="O24" s="73" t="n">
        <f aca="false">IF($C24="","",COUNTIF($C21:$C24,N$21)+COUNTIF($C21:$C24,$A$3))</f>
        <v>0</v>
      </c>
      <c r="P24" s="73" t="n">
        <f aca="false">IF($D24="","",COUNTIF($D21:$D24,N$21)+COUNTIF($D21:$D24,$A$3))</f>
        <v>0</v>
      </c>
      <c r="Q24" s="73" t="n">
        <f aca="false">IF($E24="","",COUNTIF($E21:$E24,N$21)+COUNTIF($E21:$E24,$A$3))</f>
        <v>0</v>
      </c>
      <c r="R24" s="92" t="n">
        <f aca="false">IF($F24="","",COUNTIF($F21:$F24,N$21)+COUNTIF($F21:$F24,$A$3))</f>
        <v>0</v>
      </c>
      <c r="T24" s="91" t="n">
        <f aca="false">IF($B24="","",COUNTIF($B21:$B24,T$21)+COUNTIF($B21:$B24,$A$3))</f>
        <v>1</v>
      </c>
      <c r="U24" s="73" t="n">
        <f aca="false">IF($C24="","",COUNTIF($C21:$C24,T$21)+COUNTIF($C21:$C24,$A$3))</f>
        <v>0</v>
      </c>
      <c r="V24" s="73" t="n">
        <f aca="false">IF($D24="","",COUNTIF($D21:$D24,T$21)+COUNTIF($D21:$D24,$A$3))</f>
        <v>0</v>
      </c>
      <c r="W24" s="73" t="n">
        <f aca="false">IF($E24="","",COUNTIF($E21:$E24,T$21)+COUNTIF($E21:$E24,$A$3))</f>
        <v>1</v>
      </c>
      <c r="X24" s="92" t="n">
        <f aca="false">IF($F24="","",COUNTIF($F21:$F24,T$21)+COUNTIF($F21:$F24,$A$3))</f>
        <v>0</v>
      </c>
      <c r="Z24" s="91" t="n">
        <f aca="false">IF($B24="","",COUNTIF($B21:$B24,Z$21)+COUNTIF($B21:$B24,$A$3))</f>
        <v>0</v>
      </c>
      <c r="AA24" s="73" t="n">
        <f aca="false">IF($C24="","",COUNTIF($C21:$C24,Z$21)+COUNTIF($C21:$C24,$A$3))</f>
        <v>2</v>
      </c>
      <c r="AB24" s="73" t="n">
        <f aca="false">IF($D24="","",COUNTIF($D21:$D24,Z$21)+COUNTIF($D21:$D24,$A$3))</f>
        <v>1</v>
      </c>
      <c r="AC24" s="73" t="n">
        <f aca="false">IF($E24="","",COUNTIF($E21:$E24,Z$21)+COUNTIF($E21:$E24,$A$3))</f>
        <v>0</v>
      </c>
      <c r="AD24" s="92" t="n">
        <f aca="false">IF($F24="","",COUNTIF($F21:$F24,Z$21)+COUNTIF($F21:$F24,$A$3))</f>
        <v>1</v>
      </c>
      <c r="AF24" s="91" t="n">
        <f aca="false">IF($B24="","",COUNTIF($B21:$B24,AF$21)+COUNTIF($B21:$B24,$A$3))</f>
        <v>0</v>
      </c>
      <c r="AG24" s="73" t="n">
        <f aca="false">IF($C24="","",COUNTIF($C21:$C24,AF$21)+COUNTIF($C21:$C24,$A$3))</f>
        <v>0</v>
      </c>
      <c r="AH24" s="73" t="n">
        <f aca="false">IF($D24="","",COUNTIF($D21:$D24,AF$21)+COUNTIF($D21:$D24,$A$3))</f>
        <v>0</v>
      </c>
      <c r="AI24" s="73" t="n">
        <f aca="false">IF($E24="","",COUNTIF($E21:$E24,AF$21)+COUNTIF($E21:$E24,$A$3))</f>
        <v>0</v>
      </c>
      <c r="AJ24" s="92" t="n">
        <f aca="false">IF($F24="","",COUNTIF($F21:$F24,AF$21)+COUNTIF($F21:$F24,$A$3))</f>
        <v>1</v>
      </c>
      <c r="AL24" s="91" t="n">
        <f aca="false">IF($B24="","",COUNTIF($B21:$B24,AL$21)+COUNTIF($B21:$B24,$A$3))</f>
        <v>0</v>
      </c>
      <c r="AM24" s="73" t="n">
        <f aca="false">IF($C24="","",COUNTIF($C21:$C24,AL$21)+COUNTIF($C21:$C24,$A$3))</f>
        <v>1</v>
      </c>
      <c r="AN24" s="73" t="n">
        <f aca="false">IF($D24="","",COUNTIF($D21:$D24,AL$21)+COUNTIF($D21:$D24,$A$3))</f>
        <v>0</v>
      </c>
      <c r="AO24" s="73" t="n">
        <f aca="false">IF($E24="","",COUNTIF($E21:$E24,AL$21)+COUNTIF($E21:$E24,$A$3))</f>
        <v>0</v>
      </c>
      <c r="AP24" s="92" t="n">
        <f aca="false">IF($F24="","",COUNTIF($F21:$F24,AL$21)+COUNTIF($F21:$F24,$A$3))</f>
        <v>0</v>
      </c>
      <c r="AR24" s="91" t="n">
        <f aca="false">IF($B24="","",COUNTIF($B21:$B24,AR$21)+COUNTIF($B21:$B24,$A$3))</f>
        <v>0</v>
      </c>
      <c r="AS24" s="73" t="n">
        <f aca="false">IF($C24="","",COUNTIF($C21:$C24,AR$21)+COUNTIF($C21:$C24,$A$3))</f>
        <v>0</v>
      </c>
      <c r="AT24" s="73" t="n">
        <f aca="false">IF($D24="","",COUNTIF($D21:$D24,AR$21)+COUNTIF($D21:$D24,$A$3))</f>
        <v>1</v>
      </c>
      <c r="AU24" s="73" t="n">
        <f aca="false">IF($E24="","",COUNTIF($E21:$E24,AR$21)+COUNTIF($E21:$E24,$A$3))</f>
        <v>0</v>
      </c>
      <c r="AV24" s="92" t="n">
        <f aca="false">IF($F24="","",COUNTIF($F21:$F24,AR$21)+COUNTIF($F21:$F24,$A$3))</f>
        <v>0</v>
      </c>
      <c r="AX24" s="91" t="n">
        <f aca="false">IF($B24="","",COUNTIF($B21:$B24,AX$21)+COUNTIF($B21:$B24,$A$3))</f>
        <v>0</v>
      </c>
      <c r="AY24" s="73" t="n">
        <f aca="false">IF($C24="","",COUNTIF($C21:$C24,AX$21)+COUNTIF($C21:$C24,$A$3))</f>
        <v>0</v>
      </c>
      <c r="AZ24" s="73" t="n">
        <f aca="false">IF($D24="","",COUNTIF($D21:$D24,AX$21)+COUNTIF($D21:$D24,$A$3))</f>
        <v>1</v>
      </c>
      <c r="BA24" s="73" t="n">
        <f aca="false">IF($E24="","",COUNTIF($E21:$E24,AX$21)+COUNTIF($E21:$E24,$A$3))</f>
        <v>0</v>
      </c>
      <c r="BB24" s="92" t="n">
        <f aca="false">IF($F24="","",COUNTIF($F21:$F24,AX$21)+COUNTIF($F21:$F24,$A$3))</f>
        <v>0</v>
      </c>
      <c r="BD24" s="91" t="n">
        <f aca="false">IF($B24="","",COUNTIF($B21:$B24,BD$21)+COUNTIF($B21:$B24,$A$3))</f>
        <v>0</v>
      </c>
      <c r="BE24" s="73" t="n">
        <f aca="false">IF($C24="","",COUNTIF($C21:$C24,BD$21)+COUNTIF($C21:$C24,$A$3))</f>
        <v>0</v>
      </c>
      <c r="BF24" s="73" t="n">
        <f aca="false">IF($D24="","",COUNTIF($D21:$D24,BD$21)+COUNTIF($D21:$D24,$A$3))</f>
        <v>0</v>
      </c>
      <c r="BG24" s="73" t="n">
        <f aca="false">IF($E24="","",COUNTIF($E21:$E24,BD$21)+COUNTIF($E21:$E24,$A$3))</f>
        <v>0</v>
      </c>
      <c r="BH24" s="92" t="n">
        <f aca="false">IF($F24="","",COUNTIF($F21:$F24,BD$21)+COUNTIF($F21:$F24,$A$3))</f>
        <v>1</v>
      </c>
      <c r="BJ24" s="91" t="n">
        <f aca="false">IF($B24="","",COUNTIF($B21:$B24,BJ$21)+COUNTIF($B21:$B24,$A$3))</f>
        <v>2</v>
      </c>
      <c r="BK24" s="73" t="n">
        <f aca="false">IF($C24="","",COUNTIF($C21:$C24,BJ$21)+COUNTIF($C21:$C24,$A$3))</f>
        <v>0</v>
      </c>
      <c r="BL24" s="73" t="n">
        <f aca="false">IF($D24="","",COUNTIF($D21:$D24,BJ$21)+COUNTIF($D21:$D24,$A$3))</f>
        <v>0</v>
      </c>
      <c r="BM24" s="73" t="n">
        <f aca="false">IF($E24="","",COUNTIF($E21:$E24,BJ$21)+COUNTIF($E21:$E24,$A$3))</f>
        <v>1</v>
      </c>
      <c r="BN24" s="92" t="n">
        <f aca="false">IF($F24="","",COUNTIF($F21:$F24,BJ$21)+COUNTIF($F21:$F24,$A$3))</f>
        <v>1</v>
      </c>
      <c r="BP24" s="91" t="n">
        <f aca="false">IF($B24="","",COUNTIF($B21:$B24,BP$21)+COUNTIF($B21:$B24,$A$3))</f>
        <v>0</v>
      </c>
      <c r="BQ24" s="73" t="n">
        <f aca="false">IF($C24="","",COUNTIF($C21:$C24,BP$21)+COUNTIF($C21:$C24,$A$3))</f>
        <v>1</v>
      </c>
      <c r="BR24" s="73" t="n">
        <f aca="false">IF($D24="","",COUNTIF($D21:$D24,BP$21)+COUNTIF($D21:$D24,$A$3))</f>
        <v>0</v>
      </c>
      <c r="BS24" s="73" t="n">
        <f aca="false">IF($E24="","",COUNTIF($E21:$E24,BP$21)+COUNTIF($E21:$E24,$A$3))</f>
        <v>1</v>
      </c>
      <c r="BT24" s="92" t="n">
        <f aca="false">IF($F24="","",COUNTIF($F21:$F24,BP$21)+COUNTIF($F21:$F24,$A$3))</f>
        <v>0</v>
      </c>
    </row>
    <row r="25" customFormat="false" ht="15" hidden="false" customHeight="false" outlineLevel="0" collapsed="false">
      <c r="A25" s="13" t="n">
        <v>3</v>
      </c>
      <c r="B25" s="116" t="n">
        <f aca="false">IF('Game Info'!Q8="","",'Game Info'!Q8)</f>
        <v>9</v>
      </c>
      <c r="C25" s="116" t="str">
        <f aca="false">IF('Game Info'!R8="","",'Game Info'!R8)</f>
        <v>SYM2</v>
      </c>
      <c r="D25" s="116" t="n">
        <f aca="false">IF('Game Info'!S8="","",'Game Info'!S8)</f>
        <v>10</v>
      </c>
      <c r="E25" s="116" t="str">
        <f aca="false">IF('Game Info'!T8="","",'Game Info'!T8)</f>
        <v>J</v>
      </c>
      <c r="F25" s="117" t="str">
        <f aca="false">IF('Game Info'!U8="","",'Game Info'!U8)</f>
        <v>Q</v>
      </c>
      <c r="H25" s="91" t="n">
        <f aca="false">IF($B25="","",COUNTIF($B22:$B25,H$21)+COUNTIF($B22:$B25,$A$3))</f>
        <v>0</v>
      </c>
      <c r="I25" s="73" t="n">
        <f aca="false">IF($C25="","",COUNTIF($C22:$C25,H$21)+COUNTIF($C22:$C25,$A$3))</f>
        <v>0</v>
      </c>
      <c r="J25" s="73" t="n">
        <f aca="false">IF($D25="","",COUNTIF($D22:$D25,H$21)+COUNTIF($D22:$D25,$A$3))</f>
        <v>1</v>
      </c>
      <c r="K25" s="73" t="n">
        <f aca="false">IF($E25="","",COUNTIF($E22:$E25,H$21)+COUNTIF($E22:$E25,$A$3))</f>
        <v>1</v>
      </c>
      <c r="L25" s="92" t="n">
        <f aca="false">IF($F25="","",COUNTIF($F22:$F25,H$21)+COUNTIF($F22:$F25,$A$3))</f>
        <v>0</v>
      </c>
      <c r="N25" s="91" t="n">
        <f aca="false">IF($B25="","",COUNTIF($B22:$B25,N$21)+COUNTIF($B22:$B25,$A$3))</f>
        <v>1</v>
      </c>
      <c r="O25" s="73" t="n">
        <f aca="false">IF($C25="","",COUNTIF($C22:$C25,N$21)+COUNTIF($C22:$C25,$A$3))</f>
        <v>1</v>
      </c>
      <c r="P25" s="73" t="n">
        <f aca="false">IF($D25="","",COUNTIF($D22:$D25,N$21)+COUNTIF($D22:$D25,$A$3))</f>
        <v>0</v>
      </c>
      <c r="Q25" s="73" t="n">
        <f aca="false">IF($E25="","",COUNTIF($E22:$E25,N$21)+COUNTIF($E22:$E25,$A$3))</f>
        <v>0</v>
      </c>
      <c r="R25" s="92" t="n">
        <f aca="false">IF($F25="","",COUNTIF($F22:$F25,N$21)+COUNTIF($F22:$F25,$A$3))</f>
        <v>0</v>
      </c>
      <c r="T25" s="91" t="n">
        <f aca="false">IF($B25="","",COUNTIF($B22:$B25,T$21)+COUNTIF($B22:$B25,$A$3))</f>
        <v>1</v>
      </c>
      <c r="U25" s="73" t="n">
        <f aca="false">IF($C25="","",COUNTIF($C22:$C25,T$21)+COUNTIF($C22:$C25,$A$3))</f>
        <v>0</v>
      </c>
      <c r="V25" s="73" t="n">
        <f aca="false">IF($D25="","",COUNTIF($D22:$D25,T$21)+COUNTIF($D22:$D25,$A$3))</f>
        <v>0</v>
      </c>
      <c r="W25" s="73" t="n">
        <f aca="false">IF($E25="","",COUNTIF($E22:$E25,T$21)+COUNTIF($E22:$E25,$A$3))</f>
        <v>1</v>
      </c>
      <c r="X25" s="92" t="n">
        <f aca="false">IF($F25="","",COUNTIF($F22:$F25,T$21)+COUNTIF($F22:$F25,$A$3))</f>
        <v>0</v>
      </c>
      <c r="Z25" s="91" t="n">
        <f aca="false">IF($B25="","",COUNTIF($B22:$B25,Z$21)+COUNTIF($B22:$B25,$A$3))</f>
        <v>0</v>
      </c>
      <c r="AA25" s="73" t="n">
        <f aca="false">IF($C25="","",COUNTIF($C22:$C25,Z$21)+COUNTIF($C22:$C25,$A$3))</f>
        <v>2</v>
      </c>
      <c r="AB25" s="73" t="n">
        <f aca="false">IF($D25="","",COUNTIF($D22:$D25,Z$21)+COUNTIF($D22:$D25,$A$3))</f>
        <v>0</v>
      </c>
      <c r="AC25" s="73" t="n">
        <f aca="false">IF($E25="","",COUNTIF($E22:$E25,Z$21)+COUNTIF($E22:$E25,$A$3))</f>
        <v>0</v>
      </c>
      <c r="AD25" s="92" t="n">
        <f aca="false">IF($F25="","",COUNTIF($F22:$F25,Z$21)+COUNTIF($F22:$F25,$A$3))</f>
        <v>0</v>
      </c>
      <c r="AF25" s="91" t="n">
        <f aca="false">IF($B25="","",COUNTIF($B22:$B25,AF$21)+COUNTIF($B22:$B25,$A$3))</f>
        <v>0</v>
      </c>
      <c r="AG25" s="73" t="n">
        <f aca="false">IF($C25="","",COUNTIF($C22:$C25,AF$21)+COUNTIF($C22:$C25,$A$3))</f>
        <v>0</v>
      </c>
      <c r="AH25" s="73" t="n">
        <f aca="false">IF($D25="","",COUNTIF($D22:$D25,AF$21)+COUNTIF($D22:$D25,$A$3))</f>
        <v>0</v>
      </c>
      <c r="AI25" s="73" t="n">
        <f aca="false">IF($E25="","",COUNTIF($E22:$E25,AF$21)+COUNTIF($E22:$E25,$A$3))</f>
        <v>0</v>
      </c>
      <c r="AJ25" s="92" t="n">
        <f aca="false">IF($F25="","",COUNTIF($F22:$F25,AF$21)+COUNTIF($F22:$F25,$A$3))</f>
        <v>1</v>
      </c>
      <c r="AL25" s="91" t="n">
        <f aca="false">IF($B25="","",COUNTIF($B22:$B25,AL$21)+COUNTIF($B22:$B25,$A$3))</f>
        <v>0</v>
      </c>
      <c r="AM25" s="73" t="n">
        <f aca="false">IF($C25="","",COUNTIF($C22:$C25,AL$21)+COUNTIF($C22:$C25,$A$3))</f>
        <v>0</v>
      </c>
      <c r="AN25" s="73" t="n">
        <f aca="false">IF($D25="","",COUNTIF($D22:$D25,AL$21)+COUNTIF($D22:$D25,$A$3))</f>
        <v>0</v>
      </c>
      <c r="AO25" s="73" t="n">
        <f aca="false">IF($E25="","",COUNTIF($E22:$E25,AL$21)+COUNTIF($E22:$E25,$A$3))</f>
        <v>0</v>
      </c>
      <c r="AP25" s="92" t="n">
        <f aca="false">IF($F25="","",COUNTIF($F22:$F25,AL$21)+COUNTIF($F22:$F25,$A$3))</f>
        <v>0</v>
      </c>
      <c r="AR25" s="91" t="n">
        <f aca="false">IF($B25="","",COUNTIF($B22:$B25,AR$21)+COUNTIF($B22:$B25,$A$3))</f>
        <v>0</v>
      </c>
      <c r="AS25" s="73" t="n">
        <f aca="false">IF($C25="","",COUNTIF($C22:$C25,AR$21)+COUNTIF($C22:$C25,$A$3))</f>
        <v>0</v>
      </c>
      <c r="AT25" s="73" t="n">
        <f aca="false">IF($D25="","",COUNTIF($D22:$D25,AR$21)+COUNTIF($D22:$D25,$A$3))</f>
        <v>1</v>
      </c>
      <c r="AU25" s="73" t="n">
        <f aca="false">IF($E25="","",COUNTIF($E22:$E25,AR$21)+COUNTIF($E22:$E25,$A$3))</f>
        <v>0</v>
      </c>
      <c r="AV25" s="92" t="n">
        <f aca="false">IF($F25="","",COUNTIF($F22:$F25,AR$21)+COUNTIF($F22:$F25,$A$3))</f>
        <v>0</v>
      </c>
      <c r="AX25" s="91" t="n">
        <f aca="false">IF($B25="","",COUNTIF($B22:$B25,AX$21)+COUNTIF($B22:$B25,$A$3))</f>
        <v>0</v>
      </c>
      <c r="AY25" s="73" t="n">
        <f aca="false">IF($C25="","",COUNTIF($C22:$C25,AX$21)+COUNTIF($C22:$C25,$A$3))</f>
        <v>0</v>
      </c>
      <c r="AZ25" s="73" t="n">
        <f aca="false">IF($D25="","",COUNTIF($D22:$D25,AX$21)+COUNTIF($D22:$D25,$A$3))</f>
        <v>1</v>
      </c>
      <c r="BA25" s="73" t="n">
        <f aca="false">IF($E25="","",COUNTIF($E22:$E25,AX$21)+COUNTIF($E22:$E25,$A$3))</f>
        <v>0</v>
      </c>
      <c r="BB25" s="92" t="n">
        <f aca="false">IF($F25="","",COUNTIF($F22:$F25,AX$21)+COUNTIF($F22:$F25,$A$3))</f>
        <v>1</v>
      </c>
      <c r="BD25" s="91" t="n">
        <f aca="false">IF($B25="","",COUNTIF($B22:$B25,BD$21)+COUNTIF($B22:$B25,$A$3))</f>
        <v>0</v>
      </c>
      <c r="BE25" s="73" t="n">
        <f aca="false">IF($C25="","",COUNTIF($C22:$C25,BD$21)+COUNTIF($C22:$C25,$A$3))</f>
        <v>0</v>
      </c>
      <c r="BF25" s="73" t="n">
        <f aca="false">IF($D25="","",COUNTIF($D22:$D25,BD$21)+COUNTIF($D22:$D25,$A$3))</f>
        <v>0</v>
      </c>
      <c r="BG25" s="73" t="n">
        <f aca="false">IF($E25="","",COUNTIF($E22:$E25,BD$21)+COUNTIF($E22:$E25,$A$3))</f>
        <v>1</v>
      </c>
      <c r="BH25" s="92" t="n">
        <f aca="false">IF($F25="","",COUNTIF($F22:$F25,BD$21)+COUNTIF($F22:$F25,$A$3))</f>
        <v>1</v>
      </c>
      <c r="BJ25" s="91" t="n">
        <f aca="false">IF($B25="","",COUNTIF($B22:$B25,BJ$21)+COUNTIF($B22:$B25,$A$3))</f>
        <v>1</v>
      </c>
      <c r="BK25" s="73" t="n">
        <f aca="false">IF($C25="","",COUNTIF($C22:$C25,BJ$21)+COUNTIF($C22:$C25,$A$3))</f>
        <v>0</v>
      </c>
      <c r="BL25" s="73" t="n">
        <f aca="false">IF($D25="","",COUNTIF($D22:$D25,BJ$21)+COUNTIF($D22:$D25,$A$3))</f>
        <v>1</v>
      </c>
      <c r="BM25" s="73" t="n">
        <f aca="false">IF($E25="","",COUNTIF($E22:$E25,BJ$21)+COUNTIF($E22:$E25,$A$3))</f>
        <v>1</v>
      </c>
      <c r="BN25" s="92" t="n">
        <f aca="false">IF($F25="","",COUNTIF($F22:$F25,BJ$21)+COUNTIF($F22:$F25,$A$3))</f>
        <v>1</v>
      </c>
      <c r="BP25" s="91" t="n">
        <f aca="false">IF($B25="","",COUNTIF($B22:$B25,BP$21)+COUNTIF($B22:$B25,$A$3))</f>
        <v>1</v>
      </c>
      <c r="BQ25" s="73" t="n">
        <f aca="false">IF($C25="","",COUNTIF($C22:$C25,BP$21)+COUNTIF($C22:$C25,$A$3))</f>
        <v>1</v>
      </c>
      <c r="BR25" s="73" t="n">
        <f aca="false">IF($D25="","",COUNTIF($D22:$D25,BP$21)+COUNTIF($D22:$D25,$A$3))</f>
        <v>0</v>
      </c>
      <c r="BS25" s="73" t="n">
        <f aca="false">IF($E25="","",COUNTIF($E22:$E25,BP$21)+COUNTIF($E22:$E25,$A$3))</f>
        <v>0</v>
      </c>
      <c r="BT25" s="92" t="n">
        <f aca="false">IF($F25="","",COUNTIF($F22:$F25,BP$21)+COUNTIF($F22:$F25,$A$3))</f>
        <v>0</v>
      </c>
    </row>
    <row r="26" customFormat="false" ht="15" hidden="false" customHeight="false" outlineLevel="0" collapsed="false">
      <c r="A26" s="13" t="n">
        <v>4</v>
      </c>
      <c r="B26" s="116" t="str">
        <f aca="false">IF('Game Info'!Q9="","",'Game Info'!Q9)</f>
        <v>SYM2</v>
      </c>
      <c r="C26" s="116" t="str">
        <f aca="false">IF('Game Info'!R9="","",'Game Info'!R9)</f>
        <v>J</v>
      </c>
      <c r="D26" s="116" t="str">
        <f aca="false">IF('Game Info'!S9="","",'Game Info'!S9)</f>
        <v>Q</v>
      </c>
      <c r="E26" s="116" t="str">
        <f aca="false">IF('Game Info'!T9="","",'Game Info'!T9)</f>
        <v>SYM2</v>
      </c>
      <c r="F26" s="117" t="str">
        <f aca="false">IF('Game Info'!U9="","",'Game Info'!U9)</f>
        <v>K</v>
      </c>
      <c r="H26" s="91" t="n">
        <f aca="false">IF($B26="","",COUNTIF($B23:$B26,H$21)+COUNTIF($B23:$B26,$A$3))</f>
        <v>0</v>
      </c>
      <c r="I26" s="73" t="n">
        <f aca="false">IF($C26="","",COUNTIF($C23:$C26,H$21)+COUNTIF($C23:$C26,$A$3))</f>
        <v>0</v>
      </c>
      <c r="J26" s="73" t="n">
        <f aca="false">IF($D26="","",COUNTIF($D23:$D26,H$21)+COUNTIF($D23:$D26,$A$3))</f>
        <v>1</v>
      </c>
      <c r="K26" s="73" t="n">
        <f aca="false">IF($E26="","",COUNTIF($E23:$E26,H$21)+COUNTIF($E23:$E26,$A$3))</f>
        <v>0</v>
      </c>
      <c r="L26" s="92" t="n">
        <f aca="false">IF($F26="","",COUNTIF($F23:$F26,H$21)+COUNTIF($F23:$F26,$A$3))</f>
        <v>0</v>
      </c>
      <c r="N26" s="91" t="n">
        <f aca="false">IF($B26="","",COUNTIF($B23:$B26,N$21)+COUNTIF($B23:$B26,$A$3))</f>
        <v>1</v>
      </c>
      <c r="O26" s="73" t="n">
        <f aca="false">IF($C26="","",COUNTIF($C23:$C26,N$21)+COUNTIF($C23:$C26,$A$3))</f>
        <v>1</v>
      </c>
      <c r="P26" s="73" t="n">
        <f aca="false">IF($D26="","",COUNTIF($D23:$D26,N$21)+COUNTIF($D23:$D26,$A$3))</f>
        <v>0</v>
      </c>
      <c r="Q26" s="73" t="n">
        <f aca="false">IF($E26="","",COUNTIF($E23:$E26,N$21)+COUNTIF($E23:$E26,$A$3))</f>
        <v>1</v>
      </c>
      <c r="R26" s="92" t="n">
        <f aca="false">IF($F26="","",COUNTIF($F23:$F26,N$21)+COUNTIF($F23:$F26,$A$3))</f>
        <v>0</v>
      </c>
      <c r="T26" s="91" t="n">
        <f aca="false">IF($B26="","",COUNTIF($B23:$B26,T$21)+COUNTIF($B23:$B26,$A$3))</f>
        <v>1</v>
      </c>
      <c r="U26" s="73" t="n">
        <f aca="false">IF($C26="","",COUNTIF($C23:$C26,T$21)+COUNTIF($C23:$C26,$A$3))</f>
        <v>0</v>
      </c>
      <c r="V26" s="73" t="n">
        <f aca="false">IF($D26="","",COUNTIF($D23:$D26,T$21)+COUNTIF($D23:$D26,$A$3))</f>
        <v>0</v>
      </c>
      <c r="W26" s="73" t="n">
        <f aca="false">IF($E26="","",COUNTIF($E23:$E26,T$21)+COUNTIF($E23:$E26,$A$3))</f>
        <v>1</v>
      </c>
      <c r="X26" s="92" t="n">
        <f aca="false">IF($F26="","",COUNTIF($F23:$F26,T$21)+COUNTIF($F23:$F26,$A$3))</f>
        <v>0</v>
      </c>
      <c r="Z26" s="91" t="n">
        <f aca="false">IF($B26="","",COUNTIF($B23:$B26,Z$21)+COUNTIF($B23:$B26,$A$3))</f>
        <v>0</v>
      </c>
      <c r="AA26" s="73" t="n">
        <f aca="false">IF($C26="","",COUNTIF($C23:$C26,Z$21)+COUNTIF($C23:$C26,$A$3))</f>
        <v>1</v>
      </c>
      <c r="AB26" s="73" t="n">
        <f aca="false">IF($D26="","",COUNTIF($D23:$D26,Z$21)+COUNTIF($D23:$D26,$A$3))</f>
        <v>0</v>
      </c>
      <c r="AC26" s="73" t="n">
        <f aca="false">IF($E26="","",COUNTIF($E23:$E26,Z$21)+COUNTIF($E23:$E26,$A$3))</f>
        <v>0</v>
      </c>
      <c r="AD26" s="92" t="n">
        <f aca="false">IF($F26="","",COUNTIF($F23:$F26,Z$21)+COUNTIF($F23:$F26,$A$3))</f>
        <v>0</v>
      </c>
      <c r="AF26" s="91" t="n">
        <f aca="false">IF($B26="","",COUNTIF($B23:$B26,AF$21)+COUNTIF($B23:$B26,$A$3))</f>
        <v>0</v>
      </c>
      <c r="AG26" s="73" t="n">
        <f aca="false">IF($C26="","",COUNTIF($C23:$C26,AF$21)+COUNTIF($C23:$C26,$A$3))</f>
        <v>0</v>
      </c>
      <c r="AH26" s="73" t="n">
        <f aca="false">IF($D26="","",COUNTIF($D23:$D26,AF$21)+COUNTIF($D23:$D26,$A$3))</f>
        <v>0</v>
      </c>
      <c r="AI26" s="73" t="n">
        <f aca="false">IF($E26="","",COUNTIF($E23:$E26,AF$21)+COUNTIF($E23:$E26,$A$3))</f>
        <v>0</v>
      </c>
      <c r="AJ26" s="92" t="n">
        <f aca="false">IF($F26="","",COUNTIF($F23:$F26,AF$21)+COUNTIF($F23:$F26,$A$3))</f>
        <v>1</v>
      </c>
      <c r="AL26" s="91" t="n">
        <f aca="false">IF($B26="","",COUNTIF($B23:$B26,AL$21)+COUNTIF($B23:$B26,$A$3))</f>
        <v>0</v>
      </c>
      <c r="AM26" s="73" t="n">
        <f aca="false">IF($C26="","",COUNTIF($C23:$C26,AL$21)+COUNTIF($C23:$C26,$A$3))</f>
        <v>0</v>
      </c>
      <c r="AN26" s="73" t="n">
        <f aca="false">IF($D26="","",COUNTIF($D23:$D26,AL$21)+COUNTIF($D23:$D26,$A$3))</f>
        <v>0</v>
      </c>
      <c r="AO26" s="73" t="n">
        <f aca="false">IF($E26="","",COUNTIF($E23:$E26,AL$21)+COUNTIF($E23:$E26,$A$3))</f>
        <v>0</v>
      </c>
      <c r="AP26" s="92" t="n">
        <f aca="false">IF($F26="","",COUNTIF($F23:$F26,AL$21)+COUNTIF($F23:$F26,$A$3))</f>
        <v>0</v>
      </c>
      <c r="AR26" s="91" t="n">
        <f aca="false">IF($B26="","",COUNTIF($B23:$B26,AR$21)+COUNTIF($B23:$B26,$A$3))</f>
        <v>0</v>
      </c>
      <c r="AS26" s="73" t="n">
        <f aca="false">IF($C26="","",COUNTIF($C23:$C26,AR$21)+COUNTIF($C23:$C26,$A$3))</f>
        <v>0</v>
      </c>
      <c r="AT26" s="73" t="n">
        <f aca="false">IF($D26="","",COUNTIF($D23:$D26,AR$21)+COUNTIF($D23:$D26,$A$3))</f>
        <v>1</v>
      </c>
      <c r="AU26" s="73" t="n">
        <f aca="false">IF($E26="","",COUNTIF($E23:$E26,AR$21)+COUNTIF($E23:$E26,$A$3))</f>
        <v>0</v>
      </c>
      <c r="AV26" s="92" t="n">
        <f aca="false">IF($F26="","",COUNTIF($F23:$F26,AR$21)+COUNTIF($F23:$F26,$A$3))</f>
        <v>1</v>
      </c>
      <c r="AX26" s="91" t="n">
        <f aca="false">IF($B26="","",COUNTIF($B23:$B26,AX$21)+COUNTIF($B23:$B26,$A$3))</f>
        <v>0</v>
      </c>
      <c r="AY26" s="73" t="n">
        <f aca="false">IF($C26="","",COUNTIF($C23:$C26,AX$21)+COUNTIF($C23:$C26,$A$3))</f>
        <v>0</v>
      </c>
      <c r="AZ26" s="73" t="n">
        <f aca="false">IF($D26="","",COUNTIF($D23:$D26,AX$21)+COUNTIF($D23:$D26,$A$3))</f>
        <v>1</v>
      </c>
      <c r="BA26" s="73" t="n">
        <f aca="false">IF($E26="","",COUNTIF($E23:$E26,AX$21)+COUNTIF($E23:$E26,$A$3))</f>
        <v>0</v>
      </c>
      <c r="BB26" s="92" t="n">
        <f aca="false">IF($F26="","",COUNTIF($F23:$F26,AX$21)+COUNTIF($F23:$F26,$A$3))</f>
        <v>1</v>
      </c>
      <c r="BD26" s="91" t="n">
        <f aca="false">IF($B26="","",COUNTIF($B23:$B26,BD$21)+COUNTIF($B23:$B26,$A$3))</f>
        <v>0</v>
      </c>
      <c r="BE26" s="73" t="n">
        <f aca="false">IF($C26="","",COUNTIF($C23:$C26,BD$21)+COUNTIF($C23:$C26,$A$3))</f>
        <v>1</v>
      </c>
      <c r="BF26" s="73" t="n">
        <f aca="false">IF($D26="","",COUNTIF($D23:$D26,BD$21)+COUNTIF($D23:$D26,$A$3))</f>
        <v>0</v>
      </c>
      <c r="BG26" s="73" t="n">
        <f aca="false">IF($E26="","",COUNTIF($E23:$E26,BD$21)+COUNTIF($E23:$E26,$A$3))</f>
        <v>1</v>
      </c>
      <c r="BH26" s="92" t="n">
        <f aca="false">IF($F26="","",COUNTIF($F23:$F26,BD$21)+COUNTIF($F23:$F26,$A$3))</f>
        <v>0</v>
      </c>
      <c r="BJ26" s="91" t="n">
        <f aca="false">IF($B26="","",COUNTIF($B23:$B26,BJ$21)+COUNTIF($B23:$B26,$A$3))</f>
        <v>1</v>
      </c>
      <c r="BK26" s="73" t="n">
        <f aca="false">IF($C26="","",COUNTIF($C23:$C26,BJ$21)+COUNTIF($C23:$C26,$A$3))</f>
        <v>0</v>
      </c>
      <c r="BL26" s="73" t="n">
        <f aca="false">IF($D26="","",COUNTIF($D23:$D26,BJ$21)+COUNTIF($D23:$D26,$A$3))</f>
        <v>1</v>
      </c>
      <c r="BM26" s="73" t="n">
        <f aca="false">IF($E26="","",COUNTIF($E23:$E26,BJ$21)+COUNTIF($E23:$E26,$A$3))</f>
        <v>1</v>
      </c>
      <c r="BN26" s="92" t="n">
        <f aca="false">IF($F26="","",COUNTIF($F23:$F26,BJ$21)+COUNTIF($F23:$F26,$A$3))</f>
        <v>1</v>
      </c>
      <c r="BP26" s="91" t="n">
        <f aca="false">IF($B26="","",COUNTIF($B23:$B26,BP$21)+COUNTIF($B23:$B26,$A$3))</f>
        <v>1</v>
      </c>
      <c r="BQ26" s="73" t="n">
        <f aca="false">IF($C26="","",COUNTIF($C23:$C26,BP$21)+COUNTIF($C23:$C26,$A$3))</f>
        <v>1</v>
      </c>
      <c r="BR26" s="73" t="n">
        <f aca="false">IF($D26="","",COUNTIF($D23:$D26,BP$21)+COUNTIF($D23:$D26,$A$3))</f>
        <v>0</v>
      </c>
      <c r="BS26" s="73" t="n">
        <f aca="false">IF($E26="","",COUNTIF($E23:$E26,BP$21)+COUNTIF($E23:$E26,$A$3))</f>
        <v>0</v>
      </c>
      <c r="BT26" s="92" t="n">
        <f aca="false">IF($F26="","",COUNTIF($F23:$F26,BP$21)+COUNTIF($F23:$F26,$A$3))</f>
        <v>0</v>
      </c>
    </row>
    <row r="27" customFormat="false" ht="15" hidden="false" customHeight="false" outlineLevel="0" collapsed="false">
      <c r="A27" s="13" t="n">
        <v>5</v>
      </c>
      <c r="B27" s="116" t="str">
        <f aca="false">IF('Game Info'!Q10="","",'Game Info'!Q10)</f>
        <v>Q</v>
      </c>
      <c r="C27" s="116" t="str">
        <f aca="false">IF('Game Info'!R10="","",'Game Info'!R10)</f>
        <v>K</v>
      </c>
      <c r="D27" s="116" t="str">
        <f aca="false">IF('Game Info'!S10="","",'Game Info'!S10)</f>
        <v>SYM5</v>
      </c>
      <c r="E27" s="116" t="str">
        <f aca="false">IF('Game Info'!T10="","",'Game Info'!T10)</f>
        <v>SYM2</v>
      </c>
      <c r="F27" s="117" t="str">
        <f aca="false">IF('Game Info'!U10="","",'Game Info'!U10)</f>
        <v>J</v>
      </c>
      <c r="H27" s="91" t="n">
        <f aca="false">IF($B27="","",COUNTIF($B24:$B27,H$21)+COUNTIF($B24:$B27,$A$3))</f>
        <v>0</v>
      </c>
      <c r="I27" s="73" t="n">
        <f aca="false">IF($C27="","",COUNTIF($C24:$C27,H$21)+COUNTIF($C24:$C27,$A$3))</f>
        <v>0</v>
      </c>
      <c r="J27" s="73" t="n">
        <f aca="false">IF($D27="","",COUNTIF($D24:$D27,H$21)+COUNTIF($D24:$D27,$A$3))</f>
        <v>0</v>
      </c>
      <c r="K27" s="73" t="n">
        <f aca="false">IF($E27="","",COUNTIF($E24:$E27,H$21)+COUNTIF($E24:$E27,$A$3))</f>
        <v>0</v>
      </c>
      <c r="L27" s="92" t="n">
        <f aca="false">IF($F27="","",COUNTIF($F24:$F27,H$21)+COUNTIF($F24:$F27,$A$3))</f>
        <v>0</v>
      </c>
      <c r="N27" s="91" t="n">
        <f aca="false">IF($B27="","",COUNTIF($B24:$B27,N$21)+COUNTIF($B24:$B27,$A$3))</f>
        <v>1</v>
      </c>
      <c r="O27" s="73" t="n">
        <f aca="false">IF($C27="","",COUNTIF($C24:$C27,N$21)+COUNTIF($C24:$C27,$A$3))</f>
        <v>1</v>
      </c>
      <c r="P27" s="73" t="n">
        <f aca="false">IF($D27="","",COUNTIF($D24:$D27,N$21)+COUNTIF($D24:$D27,$A$3))</f>
        <v>0</v>
      </c>
      <c r="Q27" s="73" t="n">
        <f aca="false">IF($E27="","",COUNTIF($E24:$E27,N$21)+COUNTIF($E24:$E27,$A$3))</f>
        <v>2</v>
      </c>
      <c r="R27" s="92" t="n">
        <f aca="false">IF($F27="","",COUNTIF($F24:$F27,N$21)+COUNTIF($F24:$F27,$A$3))</f>
        <v>0</v>
      </c>
      <c r="T27" s="91" t="n">
        <f aca="false">IF($B27="","",COUNTIF($B24:$B27,T$21)+COUNTIF($B24:$B27,$A$3))</f>
        <v>1</v>
      </c>
      <c r="U27" s="73" t="n">
        <f aca="false">IF($C27="","",COUNTIF($C24:$C27,T$21)+COUNTIF($C24:$C27,$A$3))</f>
        <v>0</v>
      </c>
      <c r="V27" s="73" t="n">
        <f aca="false">IF($D27="","",COUNTIF($D24:$D27,T$21)+COUNTIF($D24:$D27,$A$3))</f>
        <v>0</v>
      </c>
      <c r="W27" s="73" t="n">
        <f aca="false">IF($E27="","",COUNTIF($E24:$E27,T$21)+COUNTIF($E24:$E27,$A$3))</f>
        <v>1</v>
      </c>
      <c r="X27" s="92" t="n">
        <f aca="false">IF($F27="","",COUNTIF($F24:$F27,T$21)+COUNTIF($F24:$F27,$A$3))</f>
        <v>0</v>
      </c>
      <c r="Z27" s="91" t="n">
        <f aca="false">IF($B27="","",COUNTIF($B24:$B27,Z$21)+COUNTIF($B24:$B27,$A$3))</f>
        <v>0</v>
      </c>
      <c r="AA27" s="73" t="n">
        <f aca="false">IF($C27="","",COUNTIF($C24:$C27,Z$21)+COUNTIF($C24:$C27,$A$3))</f>
        <v>0</v>
      </c>
      <c r="AB27" s="73" t="n">
        <f aca="false">IF($D27="","",COUNTIF($D24:$D27,Z$21)+COUNTIF($D24:$D27,$A$3))</f>
        <v>0</v>
      </c>
      <c r="AC27" s="73" t="n">
        <f aca="false">IF($E27="","",COUNTIF($E24:$E27,Z$21)+COUNTIF($E24:$E27,$A$3))</f>
        <v>0</v>
      </c>
      <c r="AD27" s="92" t="n">
        <f aca="false">IF($F27="","",COUNTIF($F24:$F27,Z$21)+COUNTIF($F24:$F27,$A$3))</f>
        <v>0</v>
      </c>
      <c r="AF27" s="91" t="n">
        <f aca="false">IF($B27="","",COUNTIF($B24:$B27,AF$21)+COUNTIF($B24:$B27,$A$3))</f>
        <v>0</v>
      </c>
      <c r="AG27" s="73" t="n">
        <f aca="false">IF($C27="","",COUNTIF($C24:$C27,AF$21)+COUNTIF($C24:$C27,$A$3))</f>
        <v>0</v>
      </c>
      <c r="AH27" s="73" t="n">
        <f aca="false">IF($D27="","",COUNTIF($D24:$D27,AF$21)+COUNTIF($D24:$D27,$A$3))</f>
        <v>1</v>
      </c>
      <c r="AI27" s="73" t="n">
        <f aca="false">IF($E27="","",COUNTIF($E24:$E27,AF$21)+COUNTIF($E24:$E27,$A$3))</f>
        <v>0</v>
      </c>
      <c r="AJ27" s="92" t="n">
        <f aca="false">IF($F27="","",COUNTIF($F24:$F27,AF$21)+COUNTIF($F24:$F27,$A$3))</f>
        <v>1</v>
      </c>
      <c r="AL27" s="91" t="n">
        <f aca="false">IF($B27="","",COUNTIF($B24:$B27,AL$21)+COUNTIF($B24:$B27,$A$3))</f>
        <v>0</v>
      </c>
      <c r="AM27" s="73" t="n">
        <f aca="false">IF($C27="","",COUNTIF($C24:$C27,AL$21)+COUNTIF($C24:$C27,$A$3))</f>
        <v>0</v>
      </c>
      <c r="AN27" s="73" t="n">
        <f aca="false">IF($D27="","",COUNTIF($D24:$D27,AL$21)+COUNTIF($D24:$D27,$A$3))</f>
        <v>0</v>
      </c>
      <c r="AO27" s="73" t="n">
        <f aca="false">IF($E27="","",COUNTIF($E24:$E27,AL$21)+COUNTIF($E24:$E27,$A$3))</f>
        <v>0</v>
      </c>
      <c r="AP27" s="92" t="n">
        <f aca="false">IF($F27="","",COUNTIF($F24:$F27,AL$21)+COUNTIF($F24:$F27,$A$3))</f>
        <v>0</v>
      </c>
      <c r="AR27" s="91" t="n">
        <f aca="false">IF($B27="","",COUNTIF($B24:$B27,AR$21)+COUNTIF($B24:$B27,$A$3))</f>
        <v>0</v>
      </c>
      <c r="AS27" s="73" t="n">
        <f aca="false">IF($C27="","",COUNTIF($C24:$C27,AR$21)+COUNTIF($C24:$C27,$A$3))</f>
        <v>1</v>
      </c>
      <c r="AT27" s="73" t="n">
        <f aca="false">IF($D27="","",COUNTIF($D24:$D27,AR$21)+COUNTIF($D24:$D27,$A$3))</f>
        <v>1</v>
      </c>
      <c r="AU27" s="73" t="n">
        <f aca="false">IF($E27="","",COUNTIF($E24:$E27,AR$21)+COUNTIF($E24:$E27,$A$3))</f>
        <v>0</v>
      </c>
      <c r="AV27" s="92" t="n">
        <f aca="false">IF($F27="","",COUNTIF($F24:$F27,AR$21)+COUNTIF($F24:$F27,$A$3))</f>
        <v>1</v>
      </c>
      <c r="AX27" s="91" t="n">
        <f aca="false">IF($B27="","",COUNTIF($B24:$B27,AX$21)+COUNTIF($B24:$B27,$A$3))</f>
        <v>1</v>
      </c>
      <c r="AY27" s="73" t="n">
        <f aca="false">IF($C27="","",COUNTIF($C24:$C27,AX$21)+COUNTIF($C24:$C27,$A$3))</f>
        <v>0</v>
      </c>
      <c r="AZ27" s="73" t="n">
        <f aca="false">IF($D27="","",COUNTIF($D24:$D27,AX$21)+COUNTIF($D24:$D27,$A$3))</f>
        <v>1</v>
      </c>
      <c r="BA27" s="73" t="n">
        <f aca="false">IF($E27="","",COUNTIF($E24:$E27,AX$21)+COUNTIF($E24:$E27,$A$3))</f>
        <v>0</v>
      </c>
      <c r="BB27" s="92" t="n">
        <f aca="false">IF($F27="","",COUNTIF($F24:$F27,AX$21)+COUNTIF($F24:$F27,$A$3))</f>
        <v>1</v>
      </c>
      <c r="BD27" s="91" t="n">
        <f aca="false">IF($B27="","",COUNTIF($B24:$B27,BD$21)+COUNTIF($B24:$B27,$A$3))</f>
        <v>0</v>
      </c>
      <c r="BE27" s="73" t="n">
        <f aca="false">IF($C27="","",COUNTIF($C24:$C27,BD$21)+COUNTIF($C24:$C27,$A$3))</f>
        <v>1</v>
      </c>
      <c r="BF27" s="73" t="n">
        <f aca="false">IF($D27="","",COUNTIF($D24:$D27,BD$21)+COUNTIF($D24:$D27,$A$3))</f>
        <v>0</v>
      </c>
      <c r="BG27" s="73" t="n">
        <f aca="false">IF($E27="","",COUNTIF($E24:$E27,BD$21)+COUNTIF($E24:$E27,$A$3))</f>
        <v>1</v>
      </c>
      <c r="BH27" s="92" t="n">
        <f aca="false">IF($F27="","",COUNTIF($F24:$F27,BD$21)+COUNTIF($F24:$F27,$A$3))</f>
        <v>1</v>
      </c>
      <c r="BJ27" s="91" t="n">
        <f aca="false">IF($B27="","",COUNTIF($B24:$B27,BJ$21)+COUNTIF($B24:$B27,$A$3))</f>
        <v>0</v>
      </c>
      <c r="BK27" s="73" t="n">
        <f aca="false">IF($C27="","",COUNTIF($C24:$C27,BJ$21)+COUNTIF($C24:$C27,$A$3))</f>
        <v>0</v>
      </c>
      <c r="BL27" s="73" t="n">
        <f aca="false">IF($D27="","",COUNTIF($D24:$D27,BJ$21)+COUNTIF($D24:$D27,$A$3))</f>
        <v>1</v>
      </c>
      <c r="BM27" s="73" t="n">
        <f aca="false">IF($E27="","",COUNTIF($E24:$E27,BJ$21)+COUNTIF($E24:$E27,$A$3))</f>
        <v>0</v>
      </c>
      <c r="BN27" s="92" t="n">
        <f aca="false">IF($F27="","",COUNTIF($F24:$F27,BJ$21)+COUNTIF($F24:$F27,$A$3))</f>
        <v>0</v>
      </c>
      <c r="BP27" s="91" t="n">
        <f aca="false">IF($B27="","",COUNTIF($B24:$B27,BP$21)+COUNTIF($B24:$B27,$A$3))</f>
        <v>1</v>
      </c>
      <c r="BQ27" s="73" t="n">
        <f aca="false">IF($C27="","",COUNTIF($C24:$C27,BP$21)+COUNTIF($C24:$C27,$A$3))</f>
        <v>1</v>
      </c>
      <c r="BR27" s="73" t="n">
        <f aca="false">IF($D27="","",COUNTIF($D24:$D27,BP$21)+COUNTIF($D24:$D27,$A$3))</f>
        <v>0</v>
      </c>
      <c r="BS27" s="73" t="n">
        <f aca="false">IF($E27="","",COUNTIF($E24:$E27,BP$21)+COUNTIF($E24:$E27,$A$3))</f>
        <v>0</v>
      </c>
      <c r="BT27" s="92" t="n">
        <f aca="false">IF($F27="","",COUNTIF($F24:$F27,BP$21)+COUNTIF($F24:$F27,$A$3))</f>
        <v>0</v>
      </c>
    </row>
    <row r="28" customFormat="false" ht="15" hidden="false" customHeight="false" outlineLevel="0" collapsed="false">
      <c r="A28" s="13" t="n">
        <v>6</v>
      </c>
      <c r="B28" s="116" t="n">
        <f aca="false">IF('Game Info'!Q11="","",'Game Info'!Q11)</f>
        <v>10</v>
      </c>
      <c r="C28" s="116" t="str">
        <f aca="false">IF('Game Info'!R11="","",'Game Info'!R11)</f>
        <v>SYM1</v>
      </c>
      <c r="D28" s="116" t="str">
        <f aca="false">IF('Game Info'!S11="","",'Game Info'!S11)</f>
        <v>J</v>
      </c>
      <c r="E28" s="116" t="str">
        <f aca="false">IF('Game Info'!T11="","",'Game Info'!T11)</f>
        <v>SYM2</v>
      </c>
      <c r="F28" s="117" t="str">
        <f aca="false">IF('Game Info'!U11="","",'Game Info'!U11)</f>
        <v>SYM3</v>
      </c>
      <c r="H28" s="91" t="n">
        <f aca="false">IF($B28="","",COUNTIF($B25:$B28,H$21)+COUNTIF($B25:$B28,$A$3))</f>
        <v>0</v>
      </c>
      <c r="I28" s="73" t="n">
        <f aca="false">IF($C28="","",COUNTIF($C25:$C28,H$21)+COUNTIF($C25:$C28,$A$3))</f>
        <v>1</v>
      </c>
      <c r="J28" s="73" t="n">
        <f aca="false">IF($D28="","",COUNTIF($D25:$D28,H$21)+COUNTIF($D25:$D28,$A$3))</f>
        <v>0</v>
      </c>
      <c r="K28" s="73" t="n">
        <f aca="false">IF($E28="","",COUNTIF($E25:$E28,H$21)+COUNTIF($E25:$E28,$A$3))</f>
        <v>0</v>
      </c>
      <c r="L28" s="92" t="n">
        <f aca="false">IF($F28="","",COUNTIF($F25:$F28,H$21)+COUNTIF($F25:$F28,$A$3))</f>
        <v>0</v>
      </c>
      <c r="N28" s="91" t="n">
        <f aca="false">IF($B28="","",COUNTIF($B25:$B28,N$21)+COUNTIF($B25:$B28,$A$3))</f>
        <v>1</v>
      </c>
      <c r="O28" s="73" t="n">
        <f aca="false">IF($C28="","",COUNTIF($C25:$C28,N$21)+COUNTIF($C25:$C28,$A$3))</f>
        <v>1</v>
      </c>
      <c r="P28" s="73" t="n">
        <f aca="false">IF($D28="","",COUNTIF($D25:$D28,N$21)+COUNTIF($D25:$D28,$A$3))</f>
        <v>0</v>
      </c>
      <c r="Q28" s="73" t="n">
        <f aca="false">IF($E28="","",COUNTIF($E25:$E28,N$21)+COUNTIF($E25:$E28,$A$3))</f>
        <v>3</v>
      </c>
      <c r="R28" s="92" t="n">
        <f aca="false">IF($F28="","",COUNTIF($F25:$F28,N$21)+COUNTIF($F25:$F28,$A$3))</f>
        <v>0</v>
      </c>
      <c r="T28" s="91" t="n">
        <f aca="false">IF($B28="","",COUNTIF($B25:$B28,T$21)+COUNTIF($B25:$B28,$A$3))</f>
        <v>0</v>
      </c>
      <c r="U28" s="73" t="n">
        <f aca="false">IF($C28="","",COUNTIF($C25:$C28,T$21)+COUNTIF($C25:$C28,$A$3))</f>
        <v>0</v>
      </c>
      <c r="V28" s="73" t="n">
        <f aca="false">IF($D28="","",COUNTIF($D25:$D28,T$21)+COUNTIF($D25:$D28,$A$3))</f>
        <v>0</v>
      </c>
      <c r="W28" s="73" t="n">
        <f aca="false">IF($E28="","",COUNTIF($E25:$E28,T$21)+COUNTIF($E25:$E28,$A$3))</f>
        <v>0</v>
      </c>
      <c r="X28" s="92" t="n">
        <f aca="false">IF($F28="","",COUNTIF($F25:$F28,T$21)+COUNTIF($F25:$F28,$A$3))</f>
        <v>1</v>
      </c>
      <c r="Z28" s="91" t="n">
        <f aca="false">IF($B28="","",COUNTIF($B25:$B28,Z$21)+COUNTIF($B25:$B28,$A$3))</f>
        <v>0</v>
      </c>
      <c r="AA28" s="73" t="n">
        <f aca="false">IF($C28="","",COUNTIF($C25:$C28,Z$21)+COUNTIF($C25:$C28,$A$3))</f>
        <v>0</v>
      </c>
      <c r="AB28" s="73" t="n">
        <f aca="false">IF($D28="","",COUNTIF($D25:$D28,Z$21)+COUNTIF($D25:$D28,$A$3))</f>
        <v>0</v>
      </c>
      <c r="AC28" s="73" t="n">
        <f aca="false">IF($E28="","",COUNTIF($E25:$E28,Z$21)+COUNTIF($E25:$E28,$A$3))</f>
        <v>0</v>
      </c>
      <c r="AD28" s="92" t="n">
        <f aca="false">IF($F28="","",COUNTIF($F25:$F28,Z$21)+COUNTIF($F25:$F28,$A$3))</f>
        <v>0</v>
      </c>
      <c r="AF28" s="91" t="n">
        <f aca="false">IF($B28="","",COUNTIF($B25:$B28,AF$21)+COUNTIF($B25:$B28,$A$3))</f>
        <v>0</v>
      </c>
      <c r="AG28" s="73" t="n">
        <f aca="false">IF($C28="","",COUNTIF($C25:$C28,AF$21)+COUNTIF($C25:$C28,$A$3))</f>
        <v>0</v>
      </c>
      <c r="AH28" s="73" t="n">
        <f aca="false">IF($D28="","",COUNTIF($D25:$D28,AF$21)+COUNTIF($D25:$D28,$A$3))</f>
        <v>1</v>
      </c>
      <c r="AI28" s="73" t="n">
        <f aca="false">IF($E28="","",COUNTIF($E25:$E28,AF$21)+COUNTIF($E25:$E28,$A$3))</f>
        <v>0</v>
      </c>
      <c r="AJ28" s="92" t="n">
        <f aca="false">IF($F28="","",COUNTIF($F25:$F28,AF$21)+COUNTIF($F25:$F28,$A$3))</f>
        <v>0</v>
      </c>
      <c r="AL28" s="91" t="n">
        <f aca="false">IF($B28="","",COUNTIF($B25:$B28,AL$21)+COUNTIF($B25:$B28,$A$3))</f>
        <v>0</v>
      </c>
      <c r="AM28" s="73" t="n">
        <f aca="false">IF($C28="","",COUNTIF($C25:$C28,AL$21)+COUNTIF($C25:$C28,$A$3))</f>
        <v>0</v>
      </c>
      <c r="AN28" s="73" t="n">
        <f aca="false">IF($D28="","",COUNTIF($D25:$D28,AL$21)+COUNTIF($D25:$D28,$A$3))</f>
        <v>0</v>
      </c>
      <c r="AO28" s="73" t="n">
        <f aca="false">IF($E28="","",COUNTIF($E25:$E28,AL$21)+COUNTIF($E25:$E28,$A$3))</f>
        <v>0</v>
      </c>
      <c r="AP28" s="92" t="n">
        <f aca="false">IF($F28="","",COUNTIF($F25:$F28,AL$21)+COUNTIF($F25:$F28,$A$3))</f>
        <v>0</v>
      </c>
      <c r="AR28" s="91" t="n">
        <f aca="false">IF($B28="","",COUNTIF($B25:$B28,AR$21)+COUNTIF($B25:$B28,$A$3))</f>
        <v>0</v>
      </c>
      <c r="AS28" s="73" t="n">
        <f aca="false">IF($C28="","",COUNTIF($C25:$C28,AR$21)+COUNTIF($C25:$C28,$A$3))</f>
        <v>1</v>
      </c>
      <c r="AT28" s="73" t="n">
        <f aca="false">IF($D28="","",COUNTIF($D25:$D28,AR$21)+COUNTIF($D25:$D28,$A$3))</f>
        <v>0</v>
      </c>
      <c r="AU28" s="73" t="n">
        <f aca="false">IF($E28="","",COUNTIF($E25:$E28,AR$21)+COUNTIF($E25:$E28,$A$3))</f>
        <v>0</v>
      </c>
      <c r="AV28" s="92" t="n">
        <f aca="false">IF($F28="","",COUNTIF($F25:$F28,AR$21)+COUNTIF($F25:$F28,$A$3))</f>
        <v>1</v>
      </c>
      <c r="AX28" s="91" t="n">
        <f aca="false">IF($B28="","",COUNTIF($B25:$B28,AX$21)+COUNTIF($B25:$B28,$A$3))</f>
        <v>1</v>
      </c>
      <c r="AY28" s="73" t="n">
        <f aca="false">IF($C28="","",COUNTIF($C25:$C28,AX$21)+COUNTIF($C25:$C28,$A$3))</f>
        <v>0</v>
      </c>
      <c r="AZ28" s="73" t="n">
        <f aca="false">IF($D28="","",COUNTIF($D25:$D28,AX$21)+COUNTIF($D25:$D28,$A$3))</f>
        <v>1</v>
      </c>
      <c r="BA28" s="73" t="n">
        <f aca="false">IF($E28="","",COUNTIF($E25:$E28,AX$21)+COUNTIF($E25:$E28,$A$3))</f>
        <v>0</v>
      </c>
      <c r="BB28" s="92" t="n">
        <f aca="false">IF($F28="","",COUNTIF($F25:$F28,AX$21)+COUNTIF($F25:$F28,$A$3))</f>
        <v>1</v>
      </c>
      <c r="BD28" s="91" t="n">
        <f aca="false">IF($B28="","",COUNTIF($B25:$B28,BD$21)+COUNTIF($B25:$B28,$A$3))</f>
        <v>0</v>
      </c>
      <c r="BE28" s="73" t="n">
        <f aca="false">IF($C28="","",COUNTIF($C25:$C28,BD$21)+COUNTIF($C25:$C28,$A$3))</f>
        <v>1</v>
      </c>
      <c r="BF28" s="73" t="n">
        <f aca="false">IF($D28="","",COUNTIF($D25:$D28,BD$21)+COUNTIF($D25:$D28,$A$3))</f>
        <v>1</v>
      </c>
      <c r="BG28" s="73" t="n">
        <f aca="false">IF($E28="","",COUNTIF($E25:$E28,BD$21)+COUNTIF($E25:$E28,$A$3))</f>
        <v>1</v>
      </c>
      <c r="BH28" s="92" t="n">
        <f aca="false">IF($F28="","",COUNTIF($F25:$F28,BD$21)+COUNTIF($F25:$F28,$A$3))</f>
        <v>1</v>
      </c>
      <c r="BJ28" s="91" t="n">
        <f aca="false">IF($B28="","",COUNTIF($B25:$B28,BJ$21)+COUNTIF($B25:$B28,$A$3))</f>
        <v>1</v>
      </c>
      <c r="BK28" s="73" t="n">
        <f aca="false">IF($C28="","",COUNTIF($C25:$C28,BJ$21)+COUNTIF($C25:$C28,$A$3))</f>
        <v>0</v>
      </c>
      <c r="BL28" s="73" t="n">
        <f aca="false">IF($D28="","",COUNTIF($D25:$D28,BJ$21)+COUNTIF($D25:$D28,$A$3))</f>
        <v>1</v>
      </c>
      <c r="BM28" s="73" t="n">
        <f aca="false">IF($E28="","",COUNTIF($E25:$E28,BJ$21)+COUNTIF($E25:$E28,$A$3))</f>
        <v>0</v>
      </c>
      <c r="BN28" s="92" t="n">
        <f aca="false">IF($F28="","",COUNTIF($F25:$F28,BJ$21)+COUNTIF($F25:$F28,$A$3))</f>
        <v>0</v>
      </c>
      <c r="BP28" s="91" t="n">
        <f aca="false">IF($B28="","",COUNTIF($B25:$B28,BP$21)+COUNTIF($B25:$B28,$A$3))</f>
        <v>1</v>
      </c>
      <c r="BQ28" s="73" t="n">
        <f aca="false">IF($C28="","",COUNTIF($C25:$C28,BP$21)+COUNTIF($C25:$C28,$A$3))</f>
        <v>0</v>
      </c>
      <c r="BR28" s="73" t="n">
        <f aca="false">IF($D28="","",COUNTIF($D25:$D28,BP$21)+COUNTIF($D25:$D28,$A$3))</f>
        <v>0</v>
      </c>
      <c r="BS28" s="73" t="n">
        <f aca="false">IF($E28="","",COUNTIF($E25:$E28,BP$21)+COUNTIF($E25:$E28,$A$3))</f>
        <v>0</v>
      </c>
      <c r="BT28" s="92" t="n">
        <f aca="false">IF($F28="","",COUNTIF($F25:$F28,BP$21)+COUNTIF($F25:$F28,$A$3))</f>
        <v>0</v>
      </c>
    </row>
    <row r="29" customFormat="false" ht="15" hidden="false" customHeight="false" outlineLevel="0" collapsed="false">
      <c r="A29" s="13" t="n">
        <v>7</v>
      </c>
      <c r="B29" s="116" t="str">
        <f aca="false">IF('Game Info'!Q12="","",'Game Info'!Q12)</f>
        <v>SYM1</v>
      </c>
      <c r="C29" s="116" t="str">
        <f aca="false">IF('Game Info'!R12="","",'Game Info'!R12)</f>
        <v>A</v>
      </c>
      <c r="D29" s="116" t="str">
        <f aca="false">IF('Game Info'!S12="","",'Game Info'!S12)</f>
        <v>WILD</v>
      </c>
      <c r="E29" s="116" t="n">
        <f aca="false">IF('Game Info'!T12="","",'Game Info'!T12)</f>
        <v>9</v>
      </c>
      <c r="F29" s="117" t="n">
        <f aca="false">IF('Game Info'!U12="","",'Game Info'!U12)</f>
        <v>9</v>
      </c>
      <c r="H29" s="91" t="n">
        <f aca="false">IF($B29="","",COUNTIF($B26:$B29,H$21)+COUNTIF($B26:$B29,$A$3))</f>
        <v>1</v>
      </c>
      <c r="I29" s="73" t="n">
        <f aca="false">IF($C29="","",COUNTIF($C26:$C29,H$21)+COUNTIF($C26:$C29,$A$3))</f>
        <v>1</v>
      </c>
      <c r="J29" s="73" t="n">
        <f aca="false">IF($D29="","",COUNTIF($D26:$D29,H$21)+COUNTIF($D26:$D29,$A$3))</f>
        <v>1</v>
      </c>
      <c r="K29" s="73" t="n">
        <f aca="false">IF($E29="","",COUNTIF($E26:$E29,H$21)+COUNTIF($E26:$E29,$A$3))</f>
        <v>0</v>
      </c>
      <c r="L29" s="92" t="n">
        <f aca="false">IF($F29="","",COUNTIF($F26:$F29,H$21)+COUNTIF($F26:$F29,$A$3))</f>
        <v>0</v>
      </c>
      <c r="N29" s="91" t="n">
        <f aca="false">IF($B29="","",COUNTIF($B26:$B29,N$21)+COUNTIF($B26:$B29,$A$3))</f>
        <v>1</v>
      </c>
      <c r="O29" s="73" t="n">
        <f aca="false">IF($C29="","",COUNTIF($C26:$C29,N$21)+COUNTIF($C26:$C29,$A$3))</f>
        <v>0</v>
      </c>
      <c r="P29" s="73" t="n">
        <f aca="false">IF($D29="","",COUNTIF($D26:$D29,N$21)+COUNTIF($D26:$D29,$A$3))</f>
        <v>1</v>
      </c>
      <c r="Q29" s="73" t="n">
        <f aca="false">IF($E29="","",COUNTIF($E26:$E29,N$21)+COUNTIF($E26:$E29,$A$3))</f>
        <v>3</v>
      </c>
      <c r="R29" s="92" t="n">
        <f aca="false">IF($F29="","",COUNTIF($F26:$F29,N$21)+COUNTIF($F26:$F29,$A$3))</f>
        <v>0</v>
      </c>
      <c r="T29" s="91" t="n">
        <f aca="false">IF($B29="","",COUNTIF($B26:$B29,T$21)+COUNTIF($B26:$B29,$A$3))</f>
        <v>0</v>
      </c>
      <c r="U29" s="73" t="n">
        <f aca="false">IF($C29="","",COUNTIF($C26:$C29,T$21)+COUNTIF($C26:$C29,$A$3))</f>
        <v>0</v>
      </c>
      <c r="V29" s="73" t="n">
        <f aca="false">IF($D29="","",COUNTIF($D26:$D29,T$21)+COUNTIF($D26:$D29,$A$3))</f>
        <v>1</v>
      </c>
      <c r="W29" s="73" t="n">
        <f aca="false">IF($E29="","",COUNTIF($E26:$E29,T$21)+COUNTIF($E26:$E29,$A$3))</f>
        <v>0</v>
      </c>
      <c r="X29" s="92" t="n">
        <f aca="false">IF($F29="","",COUNTIF($F26:$F29,T$21)+COUNTIF($F26:$F29,$A$3))</f>
        <v>1</v>
      </c>
      <c r="Z29" s="91" t="n">
        <f aca="false">IF($B29="","",COUNTIF($B26:$B29,Z$21)+COUNTIF($B26:$B29,$A$3))</f>
        <v>0</v>
      </c>
      <c r="AA29" s="73" t="n">
        <f aca="false">IF($C29="","",COUNTIF($C26:$C29,Z$21)+COUNTIF($C26:$C29,$A$3))</f>
        <v>0</v>
      </c>
      <c r="AB29" s="73" t="n">
        <f aca="false">IF($D29="","",COUNTIF($D26:$D29,Z$21)+COUNTIF($D26:$D29,$A$3))</f>
        <v>1</v>
      </c>
      <c r="AC29" s="73" t="n">
        <f aca="false">IF($E29="","",COUNTIF($E26:$E29,Z$21)+COUNTIF($E26:$E29,$A$3))</f>
        <v>0</v>
      </c>
      <c r="AD29" s="92" t="n">
        <f aca="false">IF($F29="","",COUNTIF($F26:$F29,Z$21)+COUNTIF($F26:$F29,$A$3))</f>
        <v>0</v>
      </c>
      <c r="AF29" s="91" t="n">
        <f aca="false">IF($B29="","",COUNTIF($B26:$B29,AF$21)+COUNTIF($B26:$B29,$A$3))</f>
        <v>0</v>
      </c>
      <c r="AG29" s="73" t="n">
        <f aca="false">IF($C29="","",COUNTIF($C26:$C29,AF$21)+COUNTIF($C26:$C29,$A$3))</f>
        <v>0</v>
      </c>
      <c r="AH29" s="73" t="n">
        <f aca="false">IF($D29="","",COUNTIF($D26:$D29,AF$21)+COUNTIF($D26:$D29,$A$3))</f>
        <v>2</v>
      </c>
      <c r="AI29" s="73" t="n">
        <f aca="false">IF($E29="","",COUNTIF($E26:$E29,AF$21)+COUNTIF($E26:$E29,$A$3))</f>
        <v>0</v>
      </c>
      <c r="AJ29" s="92" t="n">
        <f aca="false">IF($F29="","",COUNTIF($F26:$F29,AF$21)+COUNTIF($F26:$F29,$A$3))</f>
        <v>0</v>
      </c>
      <c r="AL29" s="91" t="n">
        <f aca="false">IF($B29="","",COUNTIF($B26:$B29,AL$21)+COUNTIF($B26:$B29,$A$3))</f>
        <v>0</v>
      </c>
      <c r="AM29" s="73" t="n">
        <f aca="false">IF($C29="","",COUNTIF($C26:$C29,AL$21)+COUNTIF($C26:$C29,$A$3))</f>
        <v>1</v>
      </c>
      <c r="AN29" s="73" t="n">
        <f aca="false">IF($D29="","",COUNTIF($D26:$D29,AL$21)+COUNTIF($D26:$D29,$A$3))</f>
        <v>1</v>
      </c>
      <c r="AO29" s="73" t="n">
        <f aca="false">IF($E29="","",COUNTIF($E26:$E29,AL$21)+COUNTIF($E26:$E29,$A$3))</f>
        <v>0</v>
      </c>
      <c r="AP29" s="92" t="n">
        <f aca="false">IF($F29="","",COUNTIF($F26:$F29,AL$21)+COUNTIF($F26:$F29,$A$3))</f>
        <v>0</v>
      </c>
      <c r="AR29" s="91" t="n">
        <f aca="false">IF($B29="","",COUNTIF($B26:$B29,AR$21)+COUNTIF($B26:$B29,$A$3))</f>
        <v>0</v>
      </c>
      <c r="AS29" s="73" t="n">
        <f aca="false">IF($C29="","",COUNTIF($C26:$C29,AR$21)+COUNTIF($C26:$C29,$A$3))</f>
        <v>1</v>
      </c>
      <c r="AT29" s="73" t="n">
        <f aca="false">IF($D29="","",COUNTIF($D26:$D29,AR$21)+COUNTIF($D26:$D29,$A$3))</f>
        <v>1</v>
      </c>
      <c r="AU29" s="73" t="n">
        <f aca="false">IF($E29="","",COUNTIF($E26:$E29,AR$21)+COUNTIF($E26:$E29,$A$3))</f>
        <v>0</v>
      </c>
      <c r="AV29" s="92" t="n">
        <f aca="false">IF($F29="","",COUNTIF($F26:$F29,AR$21)+COUNTIF($F26:$F29,$A$3))</f>
        <v>1</v>
      </c>
      <c r="AX29" s="91" t="n">
        <f aca="false">IF($B29="","",COUNTIF($B26:$B29,AX$21)+COUNTIF($B26:$B29,$A$3))</f>
        <v>1</v>
      </c>
      <c r="AY29" s="73" t="n">
        <f aca="false">IF($C29="","",COUNTIF($C26:$C29,AX$21)+COUNTIF($C26:$C29,$A$3))</f>
        <v>0</v>
      </c>
      <c r="AZ29" s="73" t="n">
        <f aca="false">IF($D29="","",COUNTIF($D26:$D29,AX$21)+COUNTIF($D26:$D29,$A$3))</f>
        <v>2</v>
      </c>
      <c r="BA29" s="73" t="n">
        <f aca="false">IF($E29="","",COUNTIF($E26:$E29,AX$21)+COUNTIF($E26:$E29,$A$3))</f>
        <v>0</v>
      </c>
      <c r="BB29" s="92" t="n">
        <f aca="false">IF($F29="","",COUNTIF($F26:$F29,AX$21)+COUNTIF($F26:$F29,$A$3))</f>
        <v>0</v>
      </c>
      <c r="BD29" s="91" t="n">
        <f aca="false">IF($B29="","",COUNTIF($B26:$B29,BD$21)+COUNTIF($B26:$B29,$A$3))</f>
        <v>0</v>
      </c>
      <c r="BE29" s="73" t="n">
        <f aca="false">IF($C29="","",COUNTIF($C26:$C29,BD$21)+COUNTIF($C26:$C29,$A$3))</f>
        <v>1</v>
      </c>
      <c r="BF29" s="73" t="n">
        <f aca="false">IF($D29="","",COUNTIF($D26:$D29,BD$21)+COUNTIF($D26:$D29,$A$3))</f>
        <v>2</v>
      </c>
      <c r="BG29" s="73" t="n">
        <f aca="false">IF($E29="","",COUNTIF($E26:$E29,BD$21)+COUNTIF($E26:$E29,$A$3))</f>
        <v>0</v>
      </c>
      <c r="BH29" s="92" t="n">
        <f aca="false">IF($F29="","",COUNTIF($F26:$F29,BD$21)+COUNTIF($F26:$F29,$A$3))</f>
        <v>1</v>
      </c>
      <c r="BJ29" s="91" t="n">
        <f aca="false">IF($B29="","",COUNTIF($B26:$B29,BJ$21)+COUNTIF($B26:$B29,$A$3))</f>
        <v>1</v>
      </c>
      <c r="BK29" s="73" t="n">
        <f aca="false">IF($C29="","",COUNTIF($C26:$C29,BJ$21)+COUNTIF($C26:$C29,$A$3))</f>
        <v>0</v>
      </c>
      <c r="BL29" s="73" t="n">
        <f aca="false">IF($D29="","",COUNTIF($D26:$D29,BJ$21)+COUNTIF($D26:$D29,$A$3))</f>
        <v>1</v>
      </c>
      <c r="BM29" s="73" t="n">
        <f aca="false">IF($E29="","",COUNTIF($E26:$E29,BJ$21)+COUNTIF($E26:$E29,$A$3))</f>
        <v>0</v>
      </c>
      <c r="BN29" s="92" t="n">
        <f aca="false">IF($F29="","",COUNTIF($F26:$F29,BJ$21)+COUNTIF($F26:$F29,$A$3))</f>
        <v>0</v>
      </c>
      <c r="BP29" s="91" t="n">
        <f aca="false">IF($B29="","",COUNTIF($B26:$B29,BP$21)+COUNTIF($B26:$B29,$A$3))</f>
        <v>0</v>
      </c>
      <c r="BQ29" s="73" t="n">
        <f aca="false">IF($C29="","",COUNTIF($C26:$C29,BP$21)+COUNTIF($C26:$C29,$A$3))</f>
        <v>0</v>
      </c>
      <c r="BR29" s="73" t="n">
        <f aca="false">IF($D29="","",COUNTIF($D26:$D29,BP$21)+COUNTIF($D26:$D29,$A$3))</f>
        <v>1</v>
      </c>
      <c r="BS29" s="73" t="n">
        <f aca="false">IF($E29="","",COUNTIF($E26:$E29,BP$21)+COUNTIF($E26:$E29,$A$3))</f>
        <v>1</v>
      </c>
      <c r="BT29" s="92" t="n">
        <f aca="false">IF($F29="","",COUNTIF($F26:$F29,BP$21)+COUNTIF($F26:$F29,$A$3))</f>
        <v>1</v>
      </c>
    </row>
    <row r="30" customFormat="false" ht="15" hidden="false" customHeight="false" outlineLevel="0" collapsed="false">
      <c r="A30" s="13" t="n">
        <v>8</v>
      </c>
      <c r="B30" s="116" t="str">
        <f aca="false">IF('Game Info'!Q13="","",'Game Info'!Q13)</f>
        <v>SYM5</v>
      </c>
      <c r="C30" s="116" t="str">
        <f aca="false">IF('Game Info'!R13="","",'Game Info'!R13)</f>
        <v>SYM3</v>
      </c>
      <c r="D30" s="116" t="str">
        <f aca="false">IF('Game Info'!S13="","",'Game Info'!S13)</f>
        <v>Q</v>
      </c>
      <c r="E30" s="116" t="str">
        <f aca="false">IF('Game Info'!T13="","",'Game Info'!T13)</f>
        <v>Q</v>
      </c>
      <c r="F30" s="117" t="str">
        <f aca="false">IF('Game Info'!U13="","",'Game Info'!U13)</f>
        <v>SYM1</v>
      </c>
      <c r="H30" s="91" t="n">
        <f aca="false">IF($B30="","",COUNTIF($B27:$B30,H$21)+COUNTIF($B27:$B30,$A$3))</f>
        <v>1</v>
      </c>
      <c r="I30" s="73" t="n">
        <f aca="false">IF($C30="","",COUNTIF($C27:$C30,H$21)+COUNTIF($C27:$C30,$A$3))</f>
        <v>1</v>
      </c>
      <c r="J30" s="73" t="n">
        <f aca="false">IF($D30="","",COUNTIF($D27:$D30,H$21)+COUNTIF($D27:$D30,$A$3))</f>
        <v>1</v>
      </c>
      <c r="K30" s="73" t="n">
        <f aca="false">IF($E30="","",COUNTIF($E27:$E30,H$21)+COUNTIF($E27:$E30,$A$3))</f>
        <v>0</v>
      </c>
      <c r="L30" s="92" t="n">
        <f aca="false">IF($F30="","",COUNTIF($F27:$F30,H$21)+COUNTIF($F27:$F30,$A$3))</f>
        <v>1</v>
      </c>
      <c r="N30" s="91" t="n">
        <f aca="false">IF($B30="","",COUNTIF($B27:$B30,N$21)+COUNTIF($B27:$B30,$A$3))</f>
        <v>0</v>
      </c>
      <c r="O30" s="73" t="n">
        <f aca="false">IF($C30="","",COUNTIF($C27:$C30,N$21)+COUNTIF($C27:$C30,$A$3))</f>
        <v>0</v>
      </c>
      <c r="P30" s="73" t="n">
        <f aca="false">IF($D30="","",COUNTIF($D27:$D30,N$21)+COUNTIF($D27:$D30,$A$3))</f>
        <v>1</v>
      </c>
      <c r="Q30" s="73" t="n">
        <f aca="false">IF($E30="","",COUNTIF($E27:$E30,N$21)+COUNTIF($E27:$E30,$A$3))</f>
        <v>2</v>
      </c>
      <c r="R30" s="92" t="n">
        <f aca="false">IF($F30="","",COUNTIF($F27:$F30,N$21)+COUNTIF($F27:$F30,$A$3))</f>
        <v>0</v>
      </c>
      <c r="T30" s="91" t="n">
        <f aca="false">IF($B30="","",COUNTIF($B27:$B30,T$21)+COUNTIF($B27:$B30,$A$3))</f>
        <v>0</v>
      </c>
      <c r="U30" s="73" t="n">
        <f aca="false">IF($C30="","",COUNTIF($C27:$C30,T$21)+COUNTIF($C27:$C30,$A$3))</f>
        <v>1</v>
      </c>
      <c r="V30" s="73" t="n">
        <f aca="false">IF($D30="","",COUNTIF($D27:$D30,T$21)+COUNTIF($D27:$D30,$A$3))</f>
        <v>1</v>
      </c>
      <c r="W30" s="73" t="n">
        <f aca="false">IF($E30="","",COUNTIF($E27:$E30,T$21)+COUNTIF($E27:$E30,$A$3))</f>
        <v>0</v>
      </c>
      <c r="X30" s="92" t="n">
        <f aca="false">IF($F30="","",COUNTIF($F27:$F30,T$21)+COUNTIF($F27:$F30,$A$3))</f>
        <v>1</v>
      </c>
      <c r="Z30" s="91" t="n">
        <f aca="false">IF($B30="","",COUNTIF($B27:$B30,Z$21)+COUNTIF($B27:$B30,$A$3))</f>
        <v>0</v>
      </c>
      <c r="AA30" s="73" t="n">
        <f aca="false">IF($C30="","",COUNTIF($C27:$C30,Z$21)+COUNTIF($C27:$C30,$A$3))</f>
        <v>0</v>
      </c>
      <c r="AB30" s="73" t="n">
        <f aca="false">IF($D30="","",COUNTIF($D27:$D30,Z$21)+COUNTIF($D27:$D30,$A$3))</f>
        <v>1</v>
      </c>
      <c r="AC30" s="73" t="n">
        <f aca="false">IF($E30="","",COUNTIF($E27:$E30,Z$21)+COUNTIF($E27:$E30,$A$3))</f>
        <v>0</v>
      </c>
      <c r="AD30" s="92" t="n">
        <f aca="false">IF($F30="","",COUNTIF($F27:$F30,Z$21)+COUNTIF($F27:$F30,$A$3))</f>
        <v>0</v>
      </c>
      <c r="AF30" s="91" t="n">
        <f aca="false">IF($B30="","",COUNTIF($B27:$B30,AF$21)+COUNTIF($B27:$B30,$A$3))</f>
        <v>1</v>
      </c>
      <c r="AG30" s="73" t="n">
        <f aca="false">IF($C30="","",COUNTIF($C27:$C30,AF$21)+COUNTIF($C27:$C30,$A$3))</f>
        <v>0</v>
      </c>
      <c r="AH30" s="73" t="n">
        <f aca="false">IF($D30="","",COUNTIF($D27:$D30,AF$21)+COUNTIF($D27:$D30,$A$3))</f>
        <v>2</v>
      </c>
      <c r="AI30" s="73" t="n">
        <f aca="false">IF($E30="","",COUNTIF($E27:$E30,AF$21)+COUNTIF($E27:$E30,$A$3))</f>
        <v>0</v>
      </c>
      <c r="AJ30" s="92" t="n">
        <f aca="false">IF($F30="","",COUNTIF($F27:$F30,AF$21)+COUNTIF($F27:$F30,$A$3))</f>
        <v>0</v>
      </c>
      <c r="AL30" s="91" t="n">
        <f aca="false">IF($B30="","",COUNTIF($B27:$B30,AL$21)+COUNTIF($B27:$B30,$A$3))</f>
        <v>0</v>
      </c>
      <c r="AM30" s="73" t="n">
        <f aca="false">IF($C30="","",COUNTIF($C27:$C30,AL$21)+COUNTIF($C27:$C30,$A$3))</f>
        <v>1</v>
      </c>
      <c r="AN30" s="73" t="n">
        <f aca="false">IF($D30="","",COUNTIF($D27:$D30,AL$21)+COUNTIF($D27:$D30,$A$3))</f>
        <v>1</v>
      </c>
      <c r="AO30" s="73" t="n">
        <f aca="false">IF($E30="","",COUNTIF($E27:$E30,AL$21)+COUNTIF($E27:$E30,$A$3))</f>
        <v>0</v>
      </c>
      <c r="AP30" s="92" t="n">
        <f aca="false">IF($F30="","",COUNTIF($F27:$F30,AL$21)+COUNTIF($F27:$F30,$A$3))</f>
        <v>0</v>
      </c>
      <c r="AR30" s="91" t="n">
        <f aca="false">IF($B30="","",COUNTIF($B27:$B30,AR$21)+COUNTIF($B27:$B30,$A$3))</f>
        <v>0</v>
      </c>
      <c r="AS30" s="73" t="n">
        <f aca="false">IF($C30="","",COUNTIF($C27:$C30,AR$21)+COUNTIF($C27:$C30,$A$3))</f>
        <v>1</v>
      </c>
      <c r="AT30" s="73" t="n">
        <f aca="false">IF($D30="","",COUNTIF($D27:$D30,AR$21)+COUNTIF($D27:$D30,$A$3))</f>
        <v>1</v>
      </c>
      <c r="AU30" s="73" t="n">
        <f aca="false">IF($E30="","",COUNTIF($E27:$E30,AR$21)+COUNTIF($E27:$E30,$A$3))</f>
        <v>0</v>
      </c>
      <c r="AV30" s="92" t="n">
        <f aca="false">IF($F30="","",COUNTIF($F27:$F30,AR$21)+COUNTIF($F27:$F30,$A$3))</f>
        <v>0</v>
      </c>
      <c r="AX30" s="91" t="n">
        <f aca="false">IF($B30="","",COUNTIF($B27:$B30,AX$21)+COUNTIF($B27:$B30,$A$3))</f>
        <v>1</v>
      </c>
      <c r="AY30" s="73" t="n">
        <f aca="false">IF($C30="","",COUNTIF($C27:$C30,AX$21)+COUNTIF($C27:$C30,$A$3))</f>
        <v>0</v>
      </c>
      <c r="AZ30" s="73" t="n">
        <f aca="false">IF($D30="","",COUNTIF($D27:$D30,AX$21)+COUNTIF($D27:$D30,$A$3))</f>
        <v>2</v>
      </c>
      <c r="BA30" s="73" t="n">
        <f aca="false">IF($E30="","",COUNTIF($E27:$E30,AX$21)+COUNTIF($E27:$E30,$A$3))</f>
        <v>1</v>
      </c>
      <c r="BB30" s="92" t="n">
        <f aca="false">IF($F30="","",COUNTIF($F27:$F30,AX$21)+COUNTIF($F27:$F30,$A$3))</f>
        <v>0</v>
      </c>
      <c r="BD30" s="91" t="n">
        <f aca="false">IF($B30="","",COUNTIF($B27:$B30,BD$21)+COUNTIF($B27:$B30,$A$3))</f>
        <v>0</v>
      </c>
      <c r="BE30" s="73" t="n">
        <f aca="false">IF($C30="","",COUNTIF($C27:$C30,BD$21)+COUNTIF($C27:$C30,$A$3))</f>
        <v>0</v>
      </c>
      <c r="BF30" s="73" t="n">
        <f aca="false">IF($D30="","",COUNTIF($D27:$D30,BD$21)+COUNTIF($D27:$D30,$A$3))</f>
        <v>2</v>
      </c>
      <c r="BG30" s="73" t="n">
        <f aca="false">IF($E30="","",COUNTIF($E27:$E30,BD$21)+COUNTIF($E27:$E30,$A$3))</f>
        <v>0</v>
      </c>
      <c r="BH30" s="92" t="n">
        <f aca="false">IF($F30="","",COUNTIF($F27:$F30,BD$21)+COUNTIF($F27:$F30,$A$3))</f>
        <v>1</v>
      </c>
      <c r="BJ30" s="91" t="n">
        <f aca="false">IF($B30="","",COUNTIF($B27:$B30,BJ$21)+COUNTIF($B27:$B30,$A$3))</f>
        <v>1</v>
      </c>
      <c r="BK30" s="73" t="n">
        <f aca="false">IF($C30="","",COUNTIF($C27:$C30,BJ$21)+COUNTIF($C27:$C30,$A$3))</f>
        <v>0</v>
      </c>
      <c r="BL30" s="73" t="n">
        <f aca="false">IF($D30="","",COUNTIF($D27:$D30,BJ$21)+COUNTIF($D27:$D30,$A$3))</f>
        <v>1</v>
      </c>
      <c r="BM30" s="73" t="n">
        <f aca="false">IF($E30="","",COUNTIF($E27:$E30,BJ$21)+COUNTIF($E27:$E30,$A$3))</f>
        <v>0</v>
      </c>
      <c r="BN30" s="92" t="n">
        <f aca="false">IF($F30="","",COUNTIF($F27:$F30,BJ$21)+COUNTIF($F27:$F30,$A$3))</f>
        <v>0</v>
      </c>
      <c r="BP30" s="91" t="n">
        <f aca="false">IF($B30="","",COUNTIF($B27:$B30,BP$21)+COUNTIF($B27:$B30,$A$3))</f>
        <v>0</v>
      </c>
      <c r="BQ30" s="73" t="n">
        <f aca="false">IF($C30="","",COUNTIF($C27:$C30,BP$21)+COUNTIF($C27:$C30,$A$3))</f>
        <v>0</v>
      </c>
      <c r="BR30" s="73" t="n">
        <f aca="false">IF($D30="","",COUNTIF($D27:$D30,BP$21)+COUNTIF($D27:$D30,$A$3))</f>
        <v>1</v>
      </c>
      <c r="BS30" s="73" t="n">
        <f aca="false">IF($E30="","",COUNTIF($E27:$E30,BP$21)+COUNTIF($E27:$E30,$A$3))</f>
        <v>1</v>
      </c>
      <c r="BT30" s="92" t="n">
        <f aca="false">IF($F30="","",COUNTIF($F27:$F30,BP$21)+COUNTIF($F27:$F30,$A$3))</f>
        <v>1</v>
      </c>
    </row>
    <row r="31" customFormat="false" ht="15" hidden="false" customHeight="false" outlineLevel="0" collapsed="false">
      <c r="A31" s="13" t="n">
        <v>9</v>
      </c>
      <c r="B31" s="116" t="str">
        <f aca="false">IF('Game Info'!Q14="","",'Game Info'!Q14)</f>
        <v>FG</v>
      </c>
      <c r="C31" s="116" t="n">
        <f aca="false">IF('Game Info'!R14="","",'Game Info'!R14)</f>
        <v>10</v>
      </c>
      <c r="D31" s="116" t="str">
        <f aca="false">IF('Game Info'!S14="","",'Game Info'!S14)</f>
        <v>SYM5</v>
      </c>
      <c r="E31" s="116" t="str">
        <f aca="false">IF('Game Info'!T14="","",'Game Info'!T14)</f>
        <v>SYM5</v>
      </c>
      <c r="F31" s="117" t="str">
        <f aca="false">IF('Game Info'!U14="","",'Game Info'!U14)</f>
        <v>Q</v>
      </c>
      <c r="H31" s="91" t="n">
        <f aca="false">IF($B31="","",COUNTIF($B28:$B31,H$21)+COUNTIF($B28:$B31,$A$3))</f>
        <v>1</v>
      </c>
      <c r="I31" s="73" t="n">
        <f aca="false">IF($C31="","",COUNTIF($C28:$C31,H$21)+COUNTIF($C28:$C31,$A$3))</f>
        <v>1</v>
      </c>
      <c r="J31" s="73" t="n">
        <f aca="false">IF($D31="","",COUNTIF($D28:$D31,H$21)+COUNTIF($D28:$D31,$A$3))</f>
        <v>1</v>
      </c>
      <c r="K31" s="73" t="n">
        <f aca="false">IF($E31="","",COUNTIF($E28:$E31,H$21)+COUNTIF($E28:$E31,$A$3))</f>
        <v>0</v>
      </c>
      <c r="L31" s="92" t="n">
        <f aca="false">IF($F31="","",COUNTIF($F28:$F31,H$21)+COUNTIF($F28:$F31,$A$3))</f>
        <v>1</v>
      </c>
      <c r="N31" s="91" t="n">
        <f aca="false">IF($B31="","",COUNTIF($B28:$B31,N$21)+COUNTIF($B28:$B31,$A$3))</f>
        <v>0</v>
      </c>
      <c r="O31" s="73" t="n">
        <f aca="false">IF($C31="","",COUNTIF($C28:$C31,N$21)+COUNTIF($C28:$C31,$A$3))</f>
        <v>0</v>
      </c>
      <c r="P31" s="73" t="n">
        <f aca="false">IF($D31="","",COUNTIF($D28:$D31,N$21)+COUNTIF($D28:$D31,$A$3))</f>
        <v>1</v>
      </c>
      <c r="Q31" s="73" t="n">
        <f aca="false">IF($E31="","",COUNTIF($E28:$E31,N$21)+COUNTIF($E28:$E31,$A$3))</f>
        <v>1</v>
      </c>
      <c r="R31" s="92" t="n">
        <f aca="false">IF($F31="","",COUNTIF($F28:$F31,N$21)+COUNTIF($F28:$F31,$A$3))</f>
        <v>0</v>
      </c>
      <c r="T31" s="91" t="n">
        <f aca="false">IF($B31="","",COUNTIF($B28:$B31,T$21)+COUNTIF($B28:$B31,$A$3))</f>
        <v>0</v>
      </c>
      <c r="U31" s="73" t="n">
        <f aca="false">IF($C31="","",COUNTIF($C28:$C31,T$21)+COUNTIF($C28:$C31,$A$3))</f>
        <v>1</v>
      </c>
      <c r="V31" s="73" t="n">
        <f aca="false">IF($D31="","",COUNTIF($D28:$D31,T$21)+COUNTIF($D28:$D31,$A$3))</f>
        <v>1</v>
      </c>
      <c r="W31" s="73" t="n">
        <f aca="false">IF($E31="","",COUNTIF($E28:$E31,T$21)+COUNTIF($E28:$E31,$A$3))</f>
        <v>0</v>
      </c>
      <c r="X31" s="92" t="n">
        <f aca="false">IF($F31="","",COUNTIF($F28:$F31,T$21)+COUNTIF($F28:$F31,$A$3))</f>
        <v>1</v>
      </c>
      <c r="Z31" s="91" t="n">
        <f aca="false">IF($B31="","",COUNTIF($B28:$B31,Z$21)+COUNTIF($B28:$B31,$A$3))</f>
        <v>0</v>
      </c>
      <c r="AA31" s="73" t="n">
        <f aca="false">IF($C31="","",COUNTIF($C28:$C31,Z$21)+COUNTIF($C28:$C31,$A$3))</f>
        <v>0</v>
      </c>
      <c r="AB31" s="73" t="n">
        <f aca="false">IF($D31="","",COUNTIF($D28:$D31,Z$21)+COUNTIF($D28:$D31,$A$3))</f>
        <v>1</v>
      </c>
      <c r="AC31" s="73" t="n">
        <f aca="false">IF($E31="","",COUNTIF($E28:$E31,Z$21)+COUNTIF($E28:$E31,$A$3))</f>
        <v>0</v>
      </c>
      <c r="AD31" s="92" t="n">
        <f aca="false">IF($F31="","",COUNTIF($F28:$F31,Z$21)+COUNTIF($F28:$F31,$A$3))</f>
        <v>0</v>
      </c>
      <c r="AF31" s="91" t="n">
        <f aca="false">IF($B31="","",COUNTIF($B28:$B31,AF$21)+COUNTIF($B28:$B31,$A$3))</f>
        <v>1</v>
      </c>
      <c r="AG31" s="73" t="n">
        <f aca="false">IF($C31="","",COUNTIF($C28:$C31,AF$21)+COUNTIF($C28:$C31,$A$3))</f>
        <v>0</v>
      </c>
      <c r="AH31" s="73" t="n">
        <f aca="false">IF($D31="","",COUNTIF($D28:$D31,AF$21)+COUNTIF($D28:$D31,$A$3))</f>
        <v>2</v>
      </c>
      <c r="AI31" s="73" t="n">
        <f aca="false">IF($E31="","",COUNTIF($E28:$E31,AF$21)+COUNTIF($E28:$E31,$A$3))</f>
        <v>1</v>
      </c>
      <c r="AJ31" s="92" t="n">
        <f aca="false">IF($F31="","",COUNTIF($F28:$F31,AF$21)+COUNTIF($F28:$F31,$A$3))</f>
        <v>0</v>
      </c>
      <c r="AL31" s="91" t="n">
        <f aca="false">IF($B31="","",COUNTIF($B28:$B31,AL$21)+COUNTIF($B28:$B31,$A$3))</f>
        <v>0</v>
      </c>
      <c r="AM31" s="73" t="n">
        <f aca="false">IF($C31="","",COUNTIF($C28:$C31,AL$21)+COUNTIF($C28:$C31,$A$3))</f>
        <v>1</v>
      </c>
      <c r="AN31" s="73" t="n">
        <f aca="false">IF($D31="","",COUNTIF($D28:$D31,AL$21)+COUNTIF($D28:$D31,$A$3))</f>
        <v>1</v>
      </c>
      <c r="AO31" s="73" t="n">
        <f aca="false">IF($E31="","",COUNTIF($E28:$E31,AL$21)+COUNTIF($E28:$E31,$A$3))</f>
        <v>0</v>
      </c>
      <c r="AP31" s="92" t="n">
        <f aca="false">IF($F31="","",COUNTIF($F28:$F31,AL$21)+COUNTIF($F28:$F31,$A$3))</f>
        <v>0</v>
      </c>
      <c r="AR31" s="91" t="n">
        <f aca="false">IF($B31="","",COUNTIF($B28:$B31,AR$21)+COUNTIF($B28:$B31,$A$3))</f>
        <v>0</v>
      </c>
      <c r="AS31" s="73" t="n">
        <f aca="false">IF($C31="","",COUNTIF($C28:$C31,AR$21)+COUNTIF($C28:$C31,$A$3))</f>
        <v>0</v>
      </c>
      <c r="AT31" s="73" t="n">
        <f aca="false">IF($D31="","",COUNTIF($D28:$D31,AR$21)+COUNTIF($D28:$D31,$A$3))</f>
        <v>1</v>
      </c>
      <c r="AU31" s="73" t="n">
        <f aca="false">IF($E31="","",COUNTIF($E28:$E31,AR$21)+COUNTIF($E28:$E31,$A$3))</f>
        <v>0</v>
      </c>
      <c r="AV31" s="92" t="n">
        <f aca="false">IF($F31="","",COUNTIF($F28:$F31,AR$21)+COUNTIF($F28:$F31,$A$3))</f>
        <v>0</v>
      </c>
      <c r="AX31" s="91" t="n">
        <f aca="false">IF($B31="","",COUNTIF($B28:$B31,AX$21)+COUNTIF($B28:$B31,$A$3))</f>
        <v>0</v>
      </c>
      <c r="AY31" s="73" t="n">
        <f aca="false">IF($C31="","",COUNTIF($C28:$C31,AX$21)+COUNTIF($C28:$C31,$A$3))</f>
        <v>0</v>
      </c>
      <c r="AZ31" s="73" t="n">
        <f aca="false">IF($D31="","",COUNTIF($D28:$D31,AX$21)+COUNTIF($D28:$D31,$A$3))</f>
        <v>2</v>
      </c>
      <c r="BA31" s="73" t="n">
        <f aca="false">IF($E31="","",COUNTIF($E28:$E31,AX$21)+COUNTIF($E28:$E31,$A$3))</f>
        <v>1</v>
      </c>
      <c r="BB31" s="92" t="n">
        <f aca="false">IF($F31="","",COUNTIF($F28:$F31,AX$21)+COUNTIF($F28:$F31,$A$3))</f>
        <v>1</v>
      </c>
      <c r="BD31" s="91" t="n">
        <f aca="false">IF($B31="","",COUNTIF($B28:$B31,BD$21)+COUNTIF($B28:$B31,$A$3))</f>
        <v>0</v>
      </c>
      <c r="BE31" s="73" t="n">
        <f aca="false">IF($C31="","",COUNTIF($C28:$C31,BD$21)+COUNTIF($C28:$C31,$A$3))</f>
        <v>0</v>
      </c>
      <c r="BF31" s="73" t="n">
        <f aca="false">IF($D31="","",COUNTIF($D28:$D31,BD$21)+COUNTIF($D28:$D31,$A$3))</f>
        <v>2</v>
      </c>
      <c r="BG31" s="73" t="n">
        <f aca="false">IF($E31="","",COUNTIF($E28:$E31,BD$21)+COUNTIF($E28:$E31,$A$3))</f>
        <v>0</v>
      </c>
      <c r="BH31" s="92" t="n">
        <f aca="false">IF($F31="","",COUNTIF($F28:$F31,BD$21)+COUNTIF($F28:$F31,$A$3))</f>
        <v>0</v>
      </c>
      <c r="BJ31" s="91" t="n">
        <f aca="false">IF($B31="","",COUNTIF($B28:$B31,BJ$21)+COUNTIF($B28:$B31,$A$3))</f>
        <v>1</v>
      </c>
      <c r="BK31" s="73" t="n">
        <f aca="false">IF($C31="","",COUNTIF($C28:$C31,BJ$21)+COUNTIF($C28:$C31,$A$3))</f>
        <v>1</v>
      </c>
      <c r="BL31" s="73" t="n">
        <f aca="false">IF($D31="","",COUNTIF($D28:$D31,BJ$21)+COUNTIF($D28:$D31,$A$3))</f>
        <v>1</v>
      </c>
      <c r="BM31" s="73" t="n">
        <f aca="false">IF($E31="","",COUNTIF($E28:$E31,BJ$21)+COUNTIF($E28:$E31,$A$3))</f>
        <v>0</v>
      </c>
      <c r="BN31" s="92" t="n">
        <f aca="false">IF($F31="","",COUNTIF($F28:$F31,BJ$21)+COUNTIF($F28:$F31,$A$3))</f>
        <v>0</v>
      </c>
      <c r="BP31" s="91" t="n">
        <f aca="false">IF($B31="","",COUNTIF($B28:$B31,BP$21)+COUNTIF($B28:$B31,$A$3))</f>
        <v>0</v>
      </c>
      <c r="BQ31" s="73" t="n">
        <f aca="false">IF($C31="","",COUNTIF($C28:$C31,BP$21)+COUNTIF($C28:$C31,$A$3))</f>
        <v>0</v>
      </c>
      <c r="BR31" s="73" t="n">
        <f aca="false">IF($D31="","",COUNTIF($D28:$D31,BP$21)+COUNTIF($D28:$D31,$A$3))</f>
        <v>1</v>
      </c>
      <c r="BS31" s="73" t="n">
        <f aca="false">IF($E31="","",COUNTIF($E28:$E31,BP$21)+COUNTIF($E28:$E31,$A$3))</f>
        <v>1</v>
      </c>
      <c r="BT31" s="92" t="n">
        <f aca="false">IF($F31="","",COUNTIF($F28:$F31,BP$21)+COUNTIF($F28:$F31,$A$3))</f>
        <v>1</v>
      </c>
    </row>
    <row r="32" customFormat="false" ht="15" hidden="false" customHeight="false" outlineLevel="0" collapsed="false">
      <c r="A32" s="13" t="n">
        <v>10</v>
      </c>
      <c r="B32" s="116" t="str">
        <f aca="false">IF('Game Info'!Q15="","",'Game Info'!Q15)</f>
        <v>A</v>
      </c>
      <c r="C32" s="116" t="str">
        <f aca="false">IF('Game Info'!R15="","",'Game Info'!R15)</f>
        <v>SYM4</v>
      </c>
      <c r="D32" s="116" t="str">
        <f aca="false">IF('Game Info'!S15="","",'Game Info'!S15)</f>
        <v>K</v>
      </c>
      <c r="E32" s="116" t="n">
        <f aca="false">IF('Game Info'!T15="","",'Game Info'!T15)</f>
        <v>9</v>
      </c>
      <c r="F32" s="117" t="n">
        <f aca="false">IF('Game Info'!U15="","",'Game Info'!U15)</f>
        <v>9</v>
      </c>
      <c r="H32" s="91" t="n">
        <f aca="false">IF($B32="","",COUNTIF($B29:$B32,H$21)+COUNTIF($B29:$B32,$A$3))</f>
        <v>1</v>
      </c>
      <c r="I32" s="73" t="n">
        <f aca="false">IF($C32="","",COUNTIF($C29:$C32,H$21)+COUNTIF($C29:$C32,$A$3))</f>
        <v>0</v>
      </c>
      <c r="J32" s="73" t="n">
        <f aca="false">IF($D32="","",COUNTIF($D29:$D32,H$21)+COUNTIF($D29:$D32,$A$3))</f>
        <v>1</v>
      </c>
      <c r="K32" s="73" t="n">
        <f aca="false">IF($E32="","",COUNTIF($E29:$E32,H$21)+COUNTIF($E29:$E32,$A$3))</f>
        <v>0</v>
      </c>
      <c r="L32" s="92" t="n">
        <f aca="false">IF($F32="","",COUNTIF($F29:$F32,H$21)+COUNTIF($F29:$F32,$A$3))</f>
        <v>1</v>
      </c>
      <c r="N32" s="91" t="n">
        <f aca="false">IF($B32="","",COUNTIF($B29:$B32,N$21)+COUNTIF($B29:$B32,$A$3))</f>
        <v>0</v>
      </c>
      <c r="O32" s="73" t="n">
        <f aca="false">IF($C32="","",COUNTIF($C29:$C32,N$21)+COUNTIF($C29:$C32,$A$3))</f>
        <v>0</v>
      </c>
      <c r="P32" s="73" t="n">
        <f aca="false">IF($D32="","",COUNTIF($D29:$D32,N$21)+COUNTIF($D29:$D32,$A$3))</f>
        <v>1</v>
      </c>
      <c r="Q32" s="73" t="n">
        <f aca="false">IF($E32="","",COUNTIF($E29:$E32,N$21)+COUNTIF($E29:$E32,$A$3))</f>
        <v>0</v>
      </c>
      <c r="R32" s="92" t="n">
        <f aca="false">IF($F32="","",COUNTIF($F29:$F32,N$21)+COUNTIF($F29:$F32,$A$3))</f>
        <v>0</v>
      </c>
      <c r="T32" s="91" t="n">
        <f aca="false">IF($B32="","",COUNTIF($B29:$B32,T$21)+COUNTIF($B29:$B32,$A$3))</f>
        <v>0</v>
      </c>
      <c r="U32" s="73" t="n">
        <f aca="false">IF($C32="","",COUNTIF($C29:$C32,T$21)+COUNTIF($C29:$C32,$A$3))</f>
        <v>1</v>
      </c>
      <c r="V32" s="73" t="n">
        <f aca="false">IF($D32="","",COUNTIF($D29:$D32,T$21)+COUNTIF($D29:$D32,$A$3))</f>
        <v>1</v>
      </c>
      <c r="W32" s="73" t="n">
        <f aca="false">IF($E32="","",COUNTIF($E29:$E32,T$21)+COUNTIF($E29:$E32,$A$3))</f>
        <v>0</v>
      </c>
      <c r="X32" s="92" t="n">
        <f aca="false">IF($F32="","",COUNTIF($F29:$F32,T$21)+COUNTIF($F29:$F32,$A$3))</f>
        <v>0</v>
      </c>
      <c r="Z32" s="91" t="n">
        <f aca="false">IF($B32="","",COUNTIF($B29:$B32,Z$21)+COUNTIF($B29:$B32,$A$3))</f>
        <v>0</v>
      </c>
      <c r="AA32" s="73" t="n">
        <f aca="false">IF($C32="","",COUNTIF($C29:$C32,Z$21)+COUNTIF($C29:$C32,$A$3))</f>
        <v>1</v>
      </c>
      <c r="AB32" s="73" t="n">
        <f aca="false">IF($D32="","",COUNTIF($D29:$D32,Z$21)+COUNTIF($D29:$D32,$A$3))</f>
        <v>1</v>
      </c>
      <c r="AC32" s="73" t="n">
        <f aca="false">IF($E32="","",COUNTIF($E29:$E32,Z$21)+COUNTIF($E29:$E32,$A$3))</f>
        <v>0</v>
      </c>
      <c r="AD32" s="92" t="n">
        <f aca="false">IF($F32="","",COUNTIF($F29:$F32,Z$21)+COUNTIF($F29:$F32,$A$3))</f>
        <v>0</v>
      </c>
      <c r="AF32" s="91" t="n">
        <f aca="false">IF($B32="","",COUNTIF($B29:$B32,AF$21)+COUNTIF($B29:$B32,$A$3))</f>
        <v>1</v>
      </c>
      <c r="AG32" s="73" t="n">
        <f aca="false">IF($C32="","",COUNTIF($C29:$C32,AF$21)+COUNTIF($C29:$C32,$A$3))</f>
        <v>0</v>
      </c>
      <c r="AH32" s="73" t="n">
        <f aca="false">IF($D32="","",COUNTIF($D29:$D32,AF$21)+COUNTIF($D29:$D32,$A$3))</f>
        <v>2</v>
      </c>
      <c r="AI32" s="73" t="n">
        <f aca="false">IF($E32="","",COUNTIF($E29:$E32,AF$21)+COUNTIF($E29:$E32,$A$3))</f>
        <v>1</v>
      </c>
      <c r="AJ32" s="92" t="n">
        <f aca="false">IF($F32="","",COUNTIF($F29:$F32,AF$21)+COUNTIF($F29:$F32,$A$3))</f>
        <v>0</v>
      </c>
      <c r="AL32" s="91" t="n">
        <f aca="false">IF($B32="","",COUNTIF($B29:$B32,AL$21)+COUNTIF($B29:$B32,$A$3))</f>
        <v>1</v>
      </c>
      <c r="AM32" s="73" t="n">
        <f aca="false">IF($C32="","",COUNTIF($C29:$C32,AL$21)+COUNTIF($C29:$C32,$A$3))</f>
        <v>1</v>
      </c>
      <c r="AN32" s="73" t="n">
        <f aca="false">IF($D32="","",COUNTIF($D29:$D32,AL$21)+COUNTIF($D29:$D32,$A$3))</f>
        <v>1</v>
      </c>
      <c r="AO32" s="73" t="n">
        <f aca="false">IF($E32="","",COUNTIF($E29:$E32,AL$21)+COUNTIF($E29:$E32,$A$3))</f>
        <v>0</v>
      </c>
      <c r="AP32" s="92" t="n">
        <f aca="false">IF($F32="","",COUNTIF($F29:$F32,AL$21)+COUNTIF($F29:$F32,$A$3))</f>
        <v>0</v>
      </c>
      <c r="AR32" s="91" t="n">
        <f aca="false">IF($B32="","",COUNTIF($B29:$B32,AR$21)+COUNTIF($B29:$B32,$A$3))</f>
        <v>0</v>
      </c>
      <c r="AS32" s="73" t="n">
        <f aca="false">IF($C32="","",COUNTIF($C29:$C32,AR$21)+COUNTIF($C29:$C32,$A$3))</f>
        <v>0</v>
      </c>
      <c r="AT32" s="73" t="n">
        <f aca="false">IF($D32="","",COUNTIF($D29:$D32,AR$21)+COUNTIF($D29:$D32,$A$3))</f>
        <v>2</v>
      </c>
      <c r="AU32" s="73" t="n">
        <f aca="false">IF($E32="","",COUNTIF($E29:$E32,AR$21)+COUNTIF($E29:$E32,$A$3))</f>
        <v>0</v>
      </c>
      <c r="AV32" s="92" t="n">
        <f aca="false">IF($F32="","",COUNTIF($F29:$F32,AR$21)+COUNTIF($F29:$F32,$A$3))</f>
        <v>0</v>
      </c>
      <c r="AX32" s="91" t="n">
        <f aca="false">IF($B32="","",COUNTIF($B29:$B32,AX$21)+COUNTIF($B29:$B32,$A$3))</f>
        <v>0</v>
      </c>
      <c r="AY32" s="73" t="n">
        <f aca="false">IF($C32="","",COUNTIF($C29:$C32,AX$21)+COUNTIF($C29:$C32,$A$3))</f>
        <v>0</v>
      </c>
      <c r="AZ32" s="73" t="n">
        <f aca="false">IF($D32="","",COUNTIF($D29:$D32,AX$21)+COUNTIF($D29:$D32,$A$3))</f>
        <v>2</v>
      </c>
      <c r="BA32" s="73" t="n">
        <f aca="false">IF($E32="","",COUNTIF($E29:$E32,AX$21)+COUNTIF($E29:$E32,$A$3))</f>
        <v>1</v>
      </c>
      <c r="BB32" s="92" t="n">
        <f aca="false">IF($F32="","",COUNTIF($F29:$F32,AX$21)+COUNTIF($F29:$F32,$A$3))</f>
        <v>1</v>
      </c>
      <c r="BD32" s="91" t="n">
        <f aca="false">IF($B32="","",COUNTIF($B29:$B32,BD$21)+COUNTIF($B29:$B32,$A$3))</f>
        <v>0</v>
      </c>
      <c r="BE32" s="73" t="n">
        <f aca="false">IF($C32="","",COUNTIF($C29:$C32,BD$21)+COUNTIF($C29:$C32,$A$3))</f>
        <v>0</v>
      </c>
      <c r="BF32" s="73" t="n">
        <f aca="false">IF($D32="","",COUNTIF($D29:$D32,BD$21)+COUNTIF($D29:$D32,$A$3))</f>
        <v>1</v>
      </c>
      <c r="BG32" s="73" t="n">
        <f aca="false">IF($E32="","",COUNTIF($E29:$E32,BD$21)+COUNTIF($E29:$E32,$A$3))</f>
        <v>0</v>
      </c>
      <c r="BH32" s="92" t="n">
        <f aca="false">IF($F32="","",COUNTIF($F29:$F32,BD$21)+COUNTIF($F29:$F32,$A$3))</f>
        <v>0</v>
      </c>
      <c r="BJ32" s="91" t="n">
        <f aca="false">IF($B32="","",COUNTIF($B29:$B32,BJ$21)+COUNTIF($B29:$B32,$A$3))</f>
        <v>0</v>
      </c>
      <c r="BK32" s="73" t="n">
        <f aca="false">IF($C32="","",COUNTIF($C29:$C32,BJ$21)+COUNTIF($C29:$C32,$A$3))</f>
        <v>1</v>
      </c>
      <c r="BL32" s="73" t="n">
        <f aca="false">IF($D32="","",COUNTIF($D29:$D32,BJ$21)+COUNTIF($D29:$D32,$A$3))</f>
        <v>1</v>
      </c>
      <c r="BM32" s="73" t="n">
        <f aca="false">IF($E32="","",COUNTIF($E29:$E32,BJ$21)+COUNTIF($E29:$E32,$A$3))</f>
        <v>0</v>
      </c>
      <c r="BN32" s="92" t="n">
        <f aca="false">IF($F32="","",COUNTIF($F29:$F32,BJ$21)+COUNTIF($F29:$F32,$A$3))</f>
        <v>0</v>
      </c>
      <c r="BP32" s="91" t="n">
        <f aca="false">IF($B32="","",COUNTIF($B29:$B32,BP$21)+COUNTIF($B29:$B32,$A$3))</f>
        <v>0</v>
      </c>
      <c r="BQ32" s="73" t="n">
        <f aca="false">IF($C32="","",COUNTIF($C29:$C32,BP$21)+COUNTIF($C29:$C32,$A$3))</f>
        <v>0</v>
      </c>
      <c r="BR32" s="73" t="n">
        <f aca="false">IF($D32="","",COUNTIF($D29:$D32,BP$21)+COUNTIF($D29:$D32,$A$3))</f>
        <v>1</v>
      </c>
      <c r="BS32" s="73" t="n">
        <f aca="false">IF($E32="","",COUNTIF($E29:$E32,BP$21)+COUNTIF($E29:$E32,$A$3))</f>
        <v>2</v>
      </c>
      <c r="BT32" s="92" t="n">
        <f aca="false">IF($F32="","",COUNTIF($F29:$F32,BP$21)+COUNTIF($F29:$F32,$A$3))</f>
        <v>2</v>
      </c>
    </row>
    <row r="33" customFormat="false" ht="15" hidden="false" customHeight="false" outlineLevel="0" collapsed="false">
      <c r="A33" s="13" t="n">
        <v>11</v>
      </c>
      <c r="B33" s="116" t="str">
        <f aca="false">IF('Game Info'!Q16="","",'Game Info'!Q16)</f>
        <v>K</v>
      </c>
      <c r="C33" s="116" t="str">
        <f aca="false">IF('Game Info'!R16="","",'Game Info'!R16)</f>
        <v>K</v>
      </c>
      <c r="D33" s="116" t="str">
        <f aca="false">IF('Game Info'!S16="","",'Game Info'!S16)</f>
        <v>FG</v>
      </c>
      <c r="E33" s="116" t="str">
        <f aca="false">IF('Game Info'!T16="","",'Game Info'!T16)</f>
        <v>WILD</v>
      </c>
      <c r="F33" s="117" t="str">
        <f aca="false">IF('Game Info'!U16="","",'Game Info'!U16)</f>
        <v>SYM2</v>
      </c>
      <c r="H33" s="91" t="n">
        <f aca="false">IF($B33="","",COUNTIF($B30:$B33,H$21)+COUNTIF($B30:$B33,$A$3))</f>
        <v>0</v>
      </c>
      <c r="I33" s="73" t="n">
        <f aca="false">IF($C33="","",COUNTIF($C30:$C33,H$21)+COUNTIF($C30:$C33,$A$3))</f>
        <v>0</v>
      </c>
      <c r="J33" s="73" t="n">
        <f aca="false">IF($D33="","",COUNTIF($D30:$D33,H$21)+COUNTIF($D30:$D33,$A$3))</f>
        <v>0</v>
      </c>
      <c r="K33" s="73" t="n">
        <f aca="false">IF($E33="","",COUNTIF($E30:$E33,H$21)+COUNTIF($E30:$E33,$A$3))</f>
        <v>1</v>
      </c>
      <c r="L33" s="92" t="n">
        <f aca="false">IF($F33="","",COUNTIF($F30:$F33,H$21)+COUNTIF($F30:$F33,$A$3))</f>
        <v>1</v>
      </c>
      <c r="N33" s="91" t="n">
        <f aca="false">IF($B33="","",COUNTIF($B30:$B33,N$21)+COUNTIF($B30:$B33,$A$3))</f>
        <v>0</v>
      </c>
      <c r="O33" s="73" t="n">
        <f aca="false">IF($C33="","",COUNTIF($C30:$C33,N$21)+COUNTIF($C30:$C33,$A$3))</f>
        <v>0</v>
      </c>
      <c r="P33" s="73" t="n">
        <f aca="false">IF($D33="","",COUNTIF($D30:$D33,N$21)+COUNTIF($D30:$D33,$A$3))</f>
        <v>0</v>
      </c>
      <c r="Q33" s="73" t="n">
        <f aca="false">IF($E33="","",COUNTIF($E30:$E33,N$21)+COUNTIF($E30:$E33,$A$3))</f>
        <v>1</v>
      </c>
      <c r="R33" s="92" t="n">
        <f aca="false">IF($F33="","",COUNTIF($F30:$F33,N$21)+COUNTIF($F30:$F33,$A$3))</f>
        <v>1</v>
      </c>
      <c r="T33" s="91" t="n">
        <f aca="false">IF($B33="","",COUNTIF($B30:$B33,T$21)+COUNTIF($B30:$B33,$A$3))</f>
        <v>0</v>
      </c>
      <c r="U33" s="73" t="n">
        <f aca="false">IF($C33="","",COUNTIF($C30:$C33,T$21)+COUNTIF($C30:$C33,$A$3))</f>
        <v>1</v>
      </c>
      <c r="V33" s="73" t="n">
        <f aca="false">IF($D33="","",COUNTIF($D30:$D33,T$21)+COUNTIF($D30:$D33,$A$3))</f>
        <v>0</v>
      </c>
      <c r="W33" s="73" t="n">
        <f aca="false">IF($E33="","",COUNTIF($E30:$E33,T$21)+COUNTIF($E30:$E33,$A$3))</f>
        <v>1</v>
      </c>
      <c r="X33" s="92" t="n">
        <f aca="false">IF($F33="","",COUNTIF($F30:$F33,T$21)+COUNTIF($F30:$F33,$A$3))</f>
        <v>0</v>
      </c>
      <c r="Z33" s="91" t="n">
        <f aca="false">IF($B33="","",COUNTIF($B30:$B33,Z$21)+COUNTIF($B30:$B33,$A$3))</f>
        <v>0</v>
      </c>
      <c r="AA33" s="73" t="n">
        <f aca="false">IF($C33="","",COUNTIF($C30:$C33,Z$21)+COUNTIF($C30:$C33,$A$3))</f>
        <v>1</v>
      </c>
      <c r="AB33" s="73" t="n">
        <f aca="false">IF($D33="","",COUNTIF($D30:$D33,Z$21)+COUNTIF($D30:$D33,$A$3))</f>
        <v>0</v>
      </c>
      <c r="AC33" s="73" t="n">
        <f aca="false">IF($E33="","",COUNTIF($E30:$E33,Z$21)+COUNTIF($E30:$E33,$A$3))</f>
        <v>1</v>
      </c>
      <c r="AD33" s="92" t="n">
        <f aca="false">IF($F33="","",COUNTIF($F30:$F33,Z$21)+COUNTIF($F30:$F33,$A$3))</f>
        <v>0</v>
      </c>
      <c r="AF33" s="91" t="n">
        <f aca="false">IF($B33="","",COUNTIF($B30:$B33,AF$21)+COUNTIF($B30:$B33,$A$3))</f>
        <v>1</v>
      </c>
      <c r="AG33" s="73" t="n">
        <f aca="false">IF($C33="","",COUNTIF($C30:$C33,AF$21)+COUNTIF($C30:$C33,$A$3))</f>
        <v>0</v>
      </c>
      <c r="AH33" s="73" t="n">
        <f aca="false">IF($D33="","",COUNTIF($D30:$D33,AF$21)+COUNTIF($D30:$D33,$A$3))</f>
        <v>1</v>
      </c>
      <c r="AI33" s="73" t="n">
        <f aca="false">IF($E33="","",COUNTIF($E30:$E33,AF$21)+COUNTIF($E30:$E33,$A$3))</f>
        <v>2</v>
      </c>
      <c r="AJ33" s="92" t="n">
        <f aca="false">IF($F33="","",COUNTIF($F30:$F33,AF$21)+COUNTIF($F30:$F33,$A$3))</f>
        <v>0</v>
      </c>
      <c r="AL33" s="91" t="n">
        <f aca="false">IF($B33="","",COUNTIF($B30:$B33,AL$21)+COUNTIF($B30:$B33,$A$3))</f>
        <v>1</v>
      </c>
      <c r="AM33" s="73" t="n">
        <f aca="false">IF($C33="","",COUNTIF($C30:$C33,AL$21)+COUNTIF($C30:$C33,$A$3))</f>
        <v>0</v>
      </c>
      <c r="AN33" s="73" t="n">
        <f aca="false">IF($D33="","",COUNTIF($D30:$D33,AL$21)+COUNTIF($D30:$D33,$A$3))</f>
        <v>0</v>
      </c>
      <c r="AO33" s="73" t="n">
        <f aca="false">IF($E33="","",COUNTIF($E30:$E33,AL$21)+COUNTIF($E30:$E33,$A$3))</f>
        <v>1</v>
      </c>
      <c r="AP33" s="92" t="n">
        <f aca="false">IF($F33="","",COUNTIF($F30:$F33,AL$21)+COUNTIF($F30:$F33,$A$3))</f>
        <v>0</v>
      </c>
      <c r="AR33" s="91" t="n">
        <f aca="false">IF($B33="","",COUNTIF($B30:$B33,AR$21)+COUNTIF($B30:$B33,$A$3))</f>
        <v>1</v>
      </c>
      <c r="AS33" s="73" t="n">
        <f aca="false">IF($C33="","",COUNTIF($C30:$C33,AR$21)+COUNTIF($C30:$C33,$A$3))</f>
        <v>1</v>
      </c>
      <c r="AT33" s="73" t="n">
        <f aca="false">IF($D33="","",COUNTIF($D30:$D33,AR$21)+COUNTIF($D30:$D33,$A$3))</f>
        <v>1</v>
      </c>
      <c r="AU33" s="73" t="n">
        <f aca="false">IF($E33="","",COUNTIF($E30:$E33,AR$21)+COUNTIF($E30:$E33,$A$3))</f>
        <v>1</v>
      </c>
      <c r="AV33" s="92" t="n">
        <f aca="false">IF($F33="","",COUNTIF($F30:$F33,AR$21)+COUNTIF($F30:$F33,$A$3))</f>
        <v>0</v>
      </c>
      <c r="AX33" s="91" t="n">
        <f aca="false">IF($B33="","",COUNTIF($B30:$B33,AX$21)+COUNTIF($B30:$B33,$A$3))</f>
        <v>0</v>
      </c>
      <c r="AY33" s="73" t="n">
        <f aca="false">IF($C33="","",COUNTIF($C30:$C33,AX$21)+COUNTIF($C30:$C33,$A$3))</f>
        <v>0</v>
      </c>
      <c r="AZ33" s="73" t="n">
        <f aca="false">IF($D33="","",COUNTIF($D30:$D33,AX$21)+COUNTIF($D30:$D33,$A$3))</f>
        <v>1</v>
      </c>
      <c r="BA33" s="73" t="n">
        <f aca="false">IF($E33="","",COUNTIF($E30:$E33,AX$21)+COUNTIF($E30:$E33,$A$3))</f>
        <v>2</v>
      </c>
      <c r="BB33" s="92" t="n">
        <f aca="false">IF($F33="","",COUNTIF($F30:$F33,AX$21)+COUNTIF($F30:$F33,$A$3))</f>
        <v>1</v>
      </c>
      <c r="BD33" s="91" t="n">
        <f aca="false">IF($B33="","",COUNTIF($B30:$B33,BD$21)+COUNTIF($B30:$B33,$A$3))</f>
        <v>0</v>
      </c>
      <c r="BE33" s="73" t="n">
        <f aca="false">IF($C33="","",COUNTIF($C30:$C33,BD$21)+COUNTIF($C30:$C33,$A$3))</f>
        <v>0</v>
      </c>
      <c r="BF33" s="73" t="n">
        <f aca="false">IF($D33="","",COUNTIF($D30:$D33,BD$21)+COUNTIF($D30:$D33,$A$3))</f>
        <v>0</v>
      </c>
      <c r="BG33" s="73" t="n">
        <f aca="false">IF($E33="","",COUNTIF($E30:$E33,BD$21)+COUNTIF($E30:$E33,$A$3))</f>
        <v>1</v>
      </c>
      <c r="BH33" s="92" t="n">
        <f aca="false">IF($F33="","",COUNTIF($F30:$F33,BD$21)+COUNTIF($F30:$F33,$A$3))</f>
        <v>0</v>
      </c>
      <c r="BJ33" s="91" t="n">
        <f aca="false">IF($B33="","",COUNTIF($B30:$B33,BJ$21)+COUNTIF($B30:$B33,$A$3))</f>
        <v>0</v>
      </c>
      <c r="BK33" s="73" t="n">
        <f aca="false">IF($C33="","",COUNTIF($C30:$C33,BJ$21)+COUNTIF($C30:$C33,$A$3))</f>
        <v>1</v>
      </c>
      <c r="BL33" s="73" t="n">
        <f aca="false">IF($D33="","",COUNTIF($D30:$D33,BJ$21)+COUNTIF($D30:$D33,$A$3))</f>
        <v>0</v>
      </c>
      <c r="BM33" s="73" t="n">
        <f aca="false">IF($E33="","",COUNTIF($E30:$E33,BJ$21)+COUNTIF($E30:$E33,$A$3))</f>
        <v>1</v>
      </c>
      <c r="BN33" s="92" t="n">
        <f aca="false">IF($F33="","",COUNTIF($F30:$F33,BJ$21)+COUNTIF($F30:$F33,$A$3))</f>
        <v>0</v>
      </c>
      <c r="BP33" s="91" t="n">
        <f aca="false">IF($B33="","",COUNTIF($B30:$B33,BP$21)+COUNTIF($B30:$B33,$A$3))</f>
        <v>0</v>
      </c>
      <c r="BQ33" s="73" t="n">
        <f aca="false">IF($C33="","",COUNTIF($C30:$C33,BP$21)+COUNTIF($C30:$C33,$A$3))</f>
        <v>0</v>
      </c>
      <c r="BR33" s="73" t="n">
        <f aca="false">IF($D33="","",COUNTIF($D30:$D33,BP$21)+COUNTIF($D30:$D33,$A$3))</f>
        <v>0</v>
      </c>
      <c r="BS33" s="73" t="n">
        <f aca="false">IF($E33="","",COUNTIF($E30:$E33,BP$21)+COUNTIF($E30:$E33,$A$3))</f>
        <v>2</v>
      </c>
      <c r="BT33" s="92" t="n">
        <f aca="false">IF($F33="","",COUNTIF($F30:$F33,BP$21)+COUNTIF($F30:$F33,$A$3))</f>
        <v>1</v>
      </c>
    </row>
    <row r="34" customFormat="false" ht="15" hidden="false" customHeight="false" outlineLevel="0" collapsed="false">
      <c r="A34" s="13" t="n">
        <v>12</v>
      </c>
      <c r="B34" s="116" t="str">
        <f aca="false">IF('Game Info'!Q17="","",'Game Info'!Q17)</f>
        <v>SYM4</v>
      </c>
      <c r="C34" s="116" t="str">
        <f aca="false">IF('Game Info'!R17="","",'Game Info'!R17)</f>
        <v>SYM3</v>
      </c>
      <c r="D34" s="116" t="n">
        <f aca="false">IF('Game Info'!S17="","",'Game Info'!S17)</f>
        <v>10</v>
      </c>
      <c r="E34" s="116" t="str">
        <f aca="false">IF('Game Info'!T17="","",'Game Info'!T17)</f>
        <v>A</v>
      </c>
      <c r="F34" s="117" t="str">
        <f aca="false">IF('Game Info'!U17="","",'Game Info'!U17)</f>
        <v>J</v>
      </c>
      <c r="H34" s="91" t="n">
        <f aca="false">IF($B34="","",COUNTIF($B31:$B34,H$21)+COUNTIF($B31:$B34,$A$3))</f>
        <v>0</v>
      </c>
      <c r="I34" s="73" t="n">
        <f aca="false">IF($C34="","",COUNTIF($C31:$C34,H$21)+COUNTIF($C31:$C34,$A$3))</f>
        <v>0</v>
      </c>
      <c r="J34" s="73" t="n">
        <f aca="false">IF($D34="","",COUNTIF($D31:$D34,H$21)+COUNTIF($D31:$D34,$A$3))</f>
        <v>0</v>
      </c>
      <c r="K34" s="73" t="n">
        <f aca="false">IF($E34="","",COUNTIF($E31:$E34,H$21)+COUNTIF($E31:$E34,$A$3))</f>
        <v>1</v>
      </c>
      <c r="L34" s="92" t="n">
        <f aca="false">IF($F34="","",COUNTIF($F31:$F34,H$21)+COUNTIF($F31:$F34,$A$3))</f>
        <v>0</v>
      </c>
      <c r="N34" s="91" t="n">
        <f aca="false">IF($B34="","",COUNTIF($B31:$B34,N$21)+COUNTIF($B31:$B34,$A$3))</f>
        <v>0</v>
      </c>
      <c r="O34" s="73" t="n">
        <f aca="false">IF($C34="","",COUNTIF($C31:$C34,N$21)+COUNTIF($C31:$C34,$A$3))</f>
        <v>0</v>
      </c>
      <c r="P34" s="73" t="n">
        <f aca="false">IF($D34="","",COUNTIF($D31:$D34,N$21)+COUNTIF($D31:$D34,$A$3))</f>
        <v>0</v>
      </c>
      <c r="Q34" s="73" t="n">
        <f aca="false">IF($E34="","",COUNTIF($E31:$E34,N$21)+COUNTIF($E31:$E34,$A$3))</f>
        <v>1</v>
      </c>
      <c r="R34" s="92" t="n">
        <f aca="false">IF($F34="","",COUNTIF($F31:$F34,N$21)+COUNTIF($F31:$F34,$A$3))</f>
        <v>1</v>
      </c>
      <c r="T34" s="91" t="n">
        <f aca="false">IF($B34="","",COUNTIF($B31:$B34,T$21)+COUNTIF($B31:$B34,$A$3))</f>
        <v>0</v>
      </c>
      <c r="U34" s="73" t="n">
        <f aca="false">IF($C34="","",COUNTIF($C31:$C34,T$21)+COUNTIF($C31:$C34,$A$3))</f>
        <v>1</v>
      </c>
      <c r="V34" s="73" t="n">
        <f aca="false">IF($D34="","",COUNTIF($D31:$D34,T$21)+COUNTIF($D31:$D34,$A$3))</f>
        <v>0</v>
      </c>
      <c r="W34" s="73" t="n">
        <f aca="false">IF($E34="","",COUNTIF($E31:$E34,T$21)+COUNTIF($E31:$E34,$A$3))</f>
        <v>1</v>
      </c>
      <c r="X34" s="92" t="n">
        <f aca="false">IF($F34="","",COUNTIF($F31:$F34,T$21)+COUNTIF($F31:$F34,$A$3))</f>
        <v>0</v>
      </c>
      <c r="Z34" s="91" t="n">
        <f aca="false">IF($B34="","",COUNTIF($B31:$B34,Z$21)+COUNTIF($B31:$B34,$A$3))</f>
        <v>1</v>
      </c>
      <c r="AA34" s="73" t="n">
        <f aca="false">IF($C34="","",COUNTIF($C31:$C34,Z$21)+COUNTIF($C31:$C34,$A$3))</f>
        <v>1</v>
      </c>
      <c r="AB34" s="73" t="n">
        <f aca="false">IF($D34="","",COUNTIF($D31:$D34,Z$21)+COUNTIF($D31:$D34,$A$3))</f>
        <v>0</v>
      </c>
      <c r="AC34" s="73" t="n">
        <f aca="false">IF($E34="","",COUNTIF($E31:$E34,Z$21)+COUNTIF($E31:$E34,$A$3))</f>
        <v>1</v>
      </c>
      <c r="AD34" s="92" t="n">
        <f aca="false">IF($F34="","",COUNTIF($F31:$F34,Z$21)+COUNTIF($F31:$F34,$A$3))</f>
        <v>0</v>
      </c>
      <c r="AF34" s="91" t="n">
        <f aca="false">IF($B34="","",COUNTIF($B31:$B34,AF$21)+COUNTIF($B31:$B34,$A$3))</f>
        <v>0</v>
      </c>
      <c r="AG34" s="73" t="n">
        <f aca="false">IF($C34="","",COUNTIF($C31:$C34,AF$21)+COUNTIF($C31:$C34,$A$3))</f>
        <v>0</v>
      </c>
      <c r="AH34" s="73" t="n">
        <f aca="false">IF($D34="","",COUNTIF($D31:$D34,AF$21)+COUNTIF($D31:$D34,$A$3))</f>
        <v>1</v>
      </c>
      <c r="AI34" s="73" t="n">
        <f aca="false">IF($E34="","",COUNTIF($E31:$E34,AF$21)+COUNTIF($E31:$E34,$A$3))</f>
        <v>2</v>
      </c>
      <c r="AJ34" s="92" t="n">
        <f aca="false">IF($F34="","",COUNTIF($F31:$F34,AF$21)+COUNTIF($F31:$F34,$A$3))</f>
        <v>0</v>
      </c>
      <c r="AL34" s="91" t="n">
        <f aca="false">IF($B34="","",COUNTIF($B31:$B34,AL$21)+COUNTIF($B31:$B34,$A$3))</f>
        <v>1</v>
      </c>
      <c r="AM34" s="73" t="n">
        <f aca="false">IF($C34="","",COUNTIF($C31:$C34,AL$21)+COUNTIF($C31:$C34,$A$3))</f>
        <v>0</v>
      </c>
      <c r="AN34" s="73" t="n">
        <f aca="false">IF($D34="","",COUNTIF($D31:$D34,AL$21)+COUNTIF($D31:$D34,$A$3))</f>
        <v>0</v>
      </c>
      <c r="AO34" s="73" t="n">
        <f aca="false">IF($E34="","",COUNTIF($E31:$E34,AL$21)+COUNTIF($E31:$E34,$A$3))</f>
        <v>2</v>
      </c>
      <c r="AP34" s="92" t="n">
        <f aca="false">IF($F34="","",COUNTIF($F31:$F34,AL$21)+COUNTIF($F31:$F34,$A$3))</f>
        <v>0</v>
      </c>
      <c r="AR34" s="91" t="n">
        <f aca="false">IF($B34="","",COUNTIF($B31:$B34,AR$21)+COUNTIF($B31:$B34,$A$3))</f>
        <v>1</v>
      </c>
      <c r="AS34" s="73" t="n">
        <f aca="false">IF($C34="","",COUNTIF($C31:$C34,AR$21)+COUNTIF($C31:$C34,$A$3))</f>
        <v>1</v>
      </c>
      <c r="AT34" s="73" t="n">
        <f aca="false">IF($D34="","",COUNTIF($D31:$D34,AR$21)+COUNTIF($D31:$D34,$A$3))</f>
        <v>1</v>
      </c>
      <c r="AU34" s="73" t="n">
        <f aca="false">IF($E34="","",COUNTIF($E31:$E34,AR$21)+COUNTIF($E31:$E34,$A$3))</f>
        <v>1</v>
      </c>
      <c r="AV34" s="92" t="n">
        <f aca="false">IF($F34="","",COUNTIF($F31:$F34,AR$21)+COUNTIF($F31:$F34,$A$3))</f>
        <v>0</v>
      </c>
      <c r="AX34" s="91" t="n">
        <f aca="false">IF($B34="","",COUNTIF($B31:$B34,AX$21)+COUNTIF($B31:$B34,$A$3))</f>
        <v>0</v>
      </c>
      <c r="AY34" s="73" t="n">
        <f aca="false">IF($C34="","",COUNTIF($C31:$C34,AX$21)+COUNTIF($C31:$C34,$A$3))</f>
        <v>0</v>
      </c>
      <c r="AZ34" s="73" t="n">
        <f aca="false">IF($D34="","",COUNTIF($D31:$D34,AX$21)+COUNTIF($D31:$D34,$A$3))</f>
        <v>0</v>
      </c>
      <c r="BA34" s="73" t="n">
        <f aca="false">IF($E34="","",COUNTIF($E31:$E34,AX$21)+COUNTIF($E31:$E34,$A$3))</f>
        <v>1</v>
      </c>
      <c r="BB34" s="92" t="n">
        <f aca="false">IF($F34="","",COUNTIF($F31:$F34,AX$21)+COUNTIF($F31:$F34,$A$3))</f>
        <v>1</v>
      </c>
      <c r="BD34" s="91" t="n">
        <f aca="false">IF($B34="","",COUNTIF($B31:$B34,BD$21)+COUNTIF($B31:$B34,$A$3))</f>
        <v>0</v>
      </c>
      <c r="BE34" s="73" t="n">
        <f aca="false">IF($C34="","",COUNTIF($C31:$C34,BD$21)+COUNTIF($C31:$C34,$A$3))</f>
        <v>0</v>
      </c>
      <c r="BF34" s="73" t="n">
        <f aca="false">IF($D34="","",COUNTIF($D31:$D34,BD$21)+COUNTIF($D31:$D34,$A$3))</f>
        <v>0</v>
      </c>
      <c r="BG34" s="73" t="n">
        <f aca="false">IF($E34="","",COUNTIF($E31:$E34,BD$21)+COUNTIF($E31:$E34,$A$3))</f>
        <v>1</v>
      </c>
      <c r="BH34" s="92" t="n">
        <f aca="false">IF($F34="","",COUNTIF($F31:$F34,BD$21)+COUNTIF($F31:$F34,$A$3))</f>
        <v>1</v>
      </c>
      <c r="BJ34" s="91" t="n">
        <f aca="false">IF($B34="","",COUNTIF($B31:$B34,BJ$21)+COUNTIF($B31:$B34,$A$3))</f>
        <v>0</v>
      </c>
      <c r="BK34" s="73" t="n">
        <f aca="false">IF($C34="","",COUNTIF($C31:$C34,BJ$21)+COUNTIF($C31:$C34,$A$3))</f>
        <v>1</v>
      </c>
      <c r="BL34" s="73" t="n">
        <f aca="false">IF($D34="","",COUNTIF($D31:$D34,BJ$21)+COUNTIF($D31:$D34,$A$3))</f>
        <v>1</v>
      </c>
      <c r="BM34" s="73" t="n">
        <f aca="false">IF($E34="","",COUNTIF($E31:$E34,BJ$21)+COUNTIF($E31:$E34,$A$3))</f>
        <v>1</v>
      </c>
      <c r="BN34" s="92" t="n">
        <f aca="false">IF($F34="","",COUNTIF($F31:$F34,BJ$21)+COUNTIF($F31:$F34,$A$3))</f>
        <v>0</v>
      </c>
      <c r="BP34" s="91" t="n">
        <f aca="false">IF($B34="","",COUNTIF($B31:$B34,BP$21)+COUNTIF($B31:$B34,$A$3))</f>
        <v>0</v>
      </c>
      <c r="BQ34" s="73" t="n">
        <f aca="false">IF($C34="","",COUNTIF($C31:$C34,BP$21)+COUNTIF($C31:$C34,$A$3))</f>
        <v>0</v>
      </c>
      <c r="BR34" s="73" t="n">
        <f aca="false">IF($D34="","",COUNTIF($D31:$D34,BP$21)+COUNTIF($D31:$D34,$A$3))</f>
        <v>0</v>
      </c>
      <c r="BS34" s="73" t="n">
        <f aca="false">IF($E34="","",COUNTIF($E31:$E34,BP$21)+COUNTIF($E31:$E34,$A$3))</f>
        <v>2</v>
      </c>
      <c r="BT34" s="92" t="n">
        <f aca="false">IF($F34="","",COUNTIF($F31:$F34,BP$21)+COUNTIF($F31:$F34,$A$3))</f>
        <v>1</v>
      </c>
    </row>
    <row r="35" customFormat="false" ht="15" hidden="false" customHeight="false" outlineLevel="0" collapsed="false">
      <c r="A35" s="13" t="n">
        <v>13</v>
      </c>
      <c r="B35" s="116" t="n">
        <f aca="false">IF('Game Info'!Q18="","",'Game Info'!Q18)</f>
        <v>9</v>
      </c>
      <c r="C35" s="116" t="str">
        <f aca="false">IF('Game Info'!R18="","",'Game Info'!R18)</f>
        <v>A</v>
      </c>
      <c r="D35" s="116" t="str">
        <f aca="false">IF('Game Info'!S18="","",'Game Info'!S18)</f>
        <v>Q</v>
      </c>
      <c r="E35" s="116" t="str">
        <f aca="false">IF('Game Info'!T18="","",'Game Info'!T18)</f>
        <v>SYM2</v>
      </c>
      <c r="F35" s="117" t="str">
        <f aca="false">IF('Game Info'!U18="","",'Game Info'!U18)</f>
        <v>SYM3</v>
      </c>
      <c r="H35" s="91" t="n">
        <f aca="false">IF($B35="","",COUNTIF($B32:$B35,H$21)+COUNTIF($B32:$B35,$A$3))</f>
        <v>0</v>
      </c>
      <c r="I35" s="73" t="n">
        <f aca="false">IF($C35="","",COUNTIF($C32:$C35,H$21)+COUNTIF($C32:$C35,$A$3))</f>
        <v>0</v>
      </c>
      <c r="J35" s="73" t="n">
        <f aca="false">IF($D35="","",COUNTIF($D32:$D35,H$21)+COUNTIF($D32:$D35,$A$3))</f>
        <v>0</v>
      </c>
      <c r="K35" s="73" t="n">
        <f aca="false">IF($E35="","",COUNTIF($E32:$E35,H$21)+COUNTIF($E32:$E35,$A$3))</f>
        <v>1</v>
      </c>
      <c r="L35" s="92" t="n">
        <f aca="false">IF($F35="","",COUNTIF($F32:$F35,H$21)+COUNTIF($F32:$F35,$A$3))</f>
        <v>0</v>
      </c>
      <c r="N35" s="91" t="n">
        <f aca="false">IF($B35="","",COUNTIF($B32:$B35,N$21)+COUNTIF($B32:$B35,$A$3))</f>
        <v>0</v>
      </c>
      <c r="O35" s="73" t="n">
        <f aca="false">IF($C35="","",COUNTIF($C32:$C35,N$21)+COUNTIF($C32:$C35,$A$3))</f>
        <v>0</v>
      </c>
      <c r="P35" s="73" t="n">
        <f aca="false">IF($D35="","",COUNTIF($D32:$D35,N$21)+COUNTIF($D32:$D35,$A$3))</f>
        <v>0</v>
      </c>
      <c r="Q35" s="73" t="n">
        <f aca="false">IF($E35="","",COUNTIF($E32:$E35,N$21)+COUNTIF($E32:$E35,$A$3))</f>
        <v>2</v>
      </c>
      <c r="R35" s="92" t="n">
        <f aca="false">IF($F35="","",COUNTIF($F32:$F35,N$21)+COUNTIF($F32:$F35,$A$3))</f>
        <v>1</v>
      </c>
      <c r="T35" s="91" t="n">
        <f aca="false">IF($B35="","",COUNTIF($B32:$B35,T$21)+COUNTIF($B32:$B35,$A$3))</f>
        <v>0</v>
      </c>
      <c r="U35" s="73" t="n">
        <f aca="false">IF($C35="","",COUNTIF($C32:$C35,T$21)+COUNTIF($C32:$C35,$A$3))</f>
        <v>1</v>
      </c>
      <c r="V35" s="73" t="n">
        <f aca="false">IF($D35="","",COUNTIF($D32:$D35,T$21)+COUNTIF($D32:$D35,$A$3))</f>
        <v>0</v>
      </c>
      <c r="W35" s="73" t="n">
        <f aca="false">IF($E35="","",COUNTIF($E32:$E35,T$21)+COUNTIF($E32:$E35,$A$3))</f>
        <v>1</v>
      </c>
      <c r="X35" s="92" t="n">
        <f aca="false">IF($F35="","",COUNTIF($F32:$F35,T$21)+COUNTIF($F32:$F35,$A$3))</f>
        <v>1</v>
      </c>
      <c r="Z35" s="91" t="n">
        <f aca="false">IF($B35="","",COUNTIF($B32:$B35,Z$21)+COUNTIF($B32:$B35,$A$3))</f>
        <v>1</v>
      </c>
      <c r="AA35" s="73" t="n">
        <f aca="false">IF($C35="","",COUNTIF($C32:$C35,Z$21)+COUNTIF($C32:$C35,$A$3))</f>
        <v>1</v>
      </c>
      <c r="AB35" s="73" t="n">
        <f aca="false">IF($D35="","",COUNTIF($D32:$D35,Z$21)+COUNTIF($D32:$D35,$A$3))</f>
        <v>0</v>
      </c>
      <c r="AC35" s="73" t="n">
        <f aca="false">IF($E35="","",COUNTIF($E32:$E35,Z$21)+COUNTIF($E32:$E35,$A$3))</f>
        <v>1</v>
      </c>
      <c r="AD35" s="92" t="n">
        <f aca="false">IF($F35="","",COUNTIF($F32:$F35,Z$21)+COUNTIF($F32:$F35,$A$3))</f>
        <v>0</v>
      </c>
      <c r="AF35" s="91" t="n">
        <f aca="false">IF($B35="","",COUNTIF($B32:$B35,AF$21)+COUNTIF($B32:$B35,$A$3))</f>
        <v>0</v>
      </c>
      <c r="AG35" s="73" t="n">
        <f aca="false">IF($C35="","",COUNTIF($C32:$C35,AF$21)+COUNTIF($C32:$C35,$A$3))</f>
        <v>0</v>
      </c>
      <c r="AH35" s="73" t="n">
        <f aca="false">IF($D35="","",COUNTIF($D32:$D35,AF$21)+COUNTIF($D32:$D35,$A$3))</f>
        <v>0</v>
      </c>
      <c r="AI35" s="73" t="n">
        <f aca="false">IF($E35="","",COUNTIF($E32:$E35,AF$21)+COUNTIF($E32:$E35,$A$3))</f>
        <v>1</v>
      </c>
      <c r="AJ35" s="92" t="n">
        <f aca="false">IF($F35="","",COUNTIF($F32:$F35,AF$21)+COUNTIF($F32:$F35,$A$3))</f>
        <v>0</v>
      </c>
      <c r="AL35" s="91" t="n">
        <f aca="false">IF($B35="","",COUNTIF($B32:$B35,AL$21)+COUNTIF($B32:$B35,$A$3))</f>
        <v>1</v>
      </c>
      <c r="AM35" s="73" t="n">
        <f aca="false">IF($C35="","",COUNTIF($C32:$C35,AL$21)+COUNTIF($C32:$C35,$A$3))</f>
        <v>1</v>
      </c>
      <c r="AN35" s="73" t="n">
        <f aca="false">IF($D35="","",COUNTIF($D32:$D35,AL$21)+COUNTIF($D32:$D35,$A$3))</f>
        <v>0</v>
      </c>
      <c r="AO35" s="73" t="n">
        <f aca="false">IF($E35="","",COUNTIF($E32:$E35,AL$21)+COUNTIF($E32:$E35,$A$3))</f>
        <v>2</v>
      </c>
      <c r="AP35" s="92" t="n">
        <f aca="false">IF($F35="","",COUNTIF($F32:$F35,AL$21)+COUNTIF($F32:$F35,$A$3))</f>
        <v>0</v>
      </c>
      <c r="AR35" s="91" t="n">
        <f aca="false">IF($B35="","",COUNTIF($B32:$B35,AR$21)+COUNTIF($B32:$B35,$A$3))</f>
        <v>1</v>
      </c>
      <c r="AS35" s="73" t="n">
        <f aca="false">IF($C35="","",COUNTIF($C32:$C35,AR$21)+COUNTIF($C32:$C35,$A$3))</f>
        <v>1</v>
      </c>
      <c r="AT35" s="73" t="n">
        <f aca="false">IF($D35="","",COUNTIF($D32:$D35,AR$21)+COUNTIF($D32:$D35,$A$3))</f>
        <v>1</v>
      </c>
      <c r="AU35" s="73" t="n">
        <f aca="false">IF($E35="","",COUNTIF($E32:$E35,AR$21)+COUNTIF($E32:$E35,$A$3))</f>
        <v>1</v>
      </c>
      <c r="AV35" s="92" t="n">
        <f aca="false">IF($F35="","",COUNTIF($F32:$F35,AR$21)+COUNTIF($F32:$F35,$A$3))</f>
        <v>0</v>
      </c>
      <c r="AX35" s="91" t="n">
        <f aca="false">IF($B35="","",COUNTIF($B32:$B35,AX$21)+COUNTIF($B32:$B35,$A$3))</f>
        <v>0</v>
      </c>
      <c r="AY35" s="73" t="n">
        <f aca="false">IF($C35="","",COUNTIF($C32:$C35,AX$21)+COUNTIF($C32:$C35,$A$3))</f>
        <v>0</v>
      </c>
      <c r="AZ35" s="73" t="n">
        <f aca="false">IF($D35="","",COUNTIF($D32:$D35,AX$21)+COUNTIF($D32:$D35,$A$3))</f>
        <v>1</v>
      </c>
      <c r="BA35" s="73" t="n">
        <f aca="false">IF($E35="","",COUNTIF($E32:$E35,AX$21)+COUNTIF($E32:$E35,$A$3))</f>
        <v>1</v>
      </c>
      <c r="BB35" s="92" t="n">
        <f aca="false">IF($F35="","",COUNTIF($F32:$F35,AX$21)+COUNTIF($F32:$F35,$A$3))</f>
        <v>0</v>
      </c>
      <c r="BD35" s="91" t="n">
        <f aca="false">IF($B35="","",COUNTIF($B32:$B35,BD$21)+COUNTIF($B32:$B35,$A$3))</f>
        <v>0</v>
      </c>
      <c r="BE35" s="73" t="n">
        <f aca="false">IF($C35="","",COUNTIF($C32:$C35,BD$21)+COUNTIF($C32:$C35,$A$3))</f>
        <v>0</v>
      </c>
      <c r="BF35" s="73" t="n">
        <f aca="false">IF($D35="","",COUNTIF($D32:$D35,BD$21)+COUNTIF($D32:$D35,$A$3))</f>
        <v>0</v>
      </c>
      <c r="BG35" s="73" t="n">
        <f aca="false">IF($E35="","",COUNTIF($E32:$E35,BD$21)+COUNTIF($E32:$E35,$A$3))</f>
        <v>1</v>
      </c>
      <c r="BH35" s="92" t="n">
        <f aca="false">IF($F35="","",COUNTIF($F32:$F35,BD$21)+COUNTIF($F32:$F35,$A$3))</f>
        <v>1</v>
      </c>
      <c r="BJ35" s="91" t="n">
        <f aca="false">IF($B35="","",COUNTIF($B32:$B35,BJ$21)+COUNTIF($B32:$B35,$A$3))</f>
        <v>0</v>
      </c>
      <c r="BK35" s="73" t="n">
        <f aca="false">IF($C35="","",COUNTIF($C32:$C35,BJ$21)+COUNTIF($C32:$C35,$A$3))</f>
        <v>0</v>
      </c>
      <c r="BL35" s="73" t="n">
        <f aca="false">IF($D35="","",COUNTIF($D32:$D35,BJ$21)+COUNTIF($D32:$D35,$A$3))</f>
        <v>1</v>
      </c>
      <c r="BM35" s="73" t="n">
        <f aca="false">IF($E35="","",COUNTIF($E32:$E35,BJ$21)+COUNTIF($E32:$E35,$A$3))</f>
        <v>1</v>
      </c>
      <c r="BN35" s="92" t="n">
        <f aca="false">IF($F35="","",COUNTIF($F32:$F35,BJ$21)+COUNTIF($F32:$F35,$A$3))</f>
        <v>0</v>
      </c>
      <c r="BP35" s="91" t="n">
        <f aca="false">IF($B35="","",COUNTIF($B32:$B35,BP$21)+COUNTIF($B32:$B35,$A$3))</f>
        <v>1</v>
      </c>
      <c r="BQ35" s="73" t="n">
        <f aca="false">IF($C35="","",COUNTIF($C32:$C35,BP$21)+COUNTIF($C32:$C35,$A$3))</f>
        <v>0</v>
      </c>
      <c r="BR35" s="73" t="n">
        <f aca="false">IF($D35="","",COUNTIF($D32:$D35,BP$21)+COUNTIF($D32:$D35,$A$3))</f>
        <v>0</v>
      </c>
      <c r="BS35" s="73" t="n">
        <f aca="false">IF($E35="","",COUNTIF($E32:$E35,BP$21)+COUNTIF($E32:$E35,$A$3))</f>
        <v>2</v>
      </c>
      <c r="BT35" s="92" t="n">
        <f aca="false">IF($F35="","",COUNTIF($F32:$F35,BP$21)+COUNTIF($F32:$F35,$A$3))</f>
        <v>1</v>
      </c>
    </row>
    <row r="36" customFormat="false" ht="15" hidden="false" customHeight="false" outlineLevel="0" collapsed="false">
      <c r="A36" s="13" t="n">
        <v>14</v>
      </c>
      <c r="B36" s="116" t="str">
        <f aca="false">IF('Game Info'!Q19="","",'Game Info'!Q19)</f>
        <v>J</v>
      </c>
      <c r="C36" s="116" t="str">
        <f aca="false">IF('Game Info'!R19="","",'Game Info'!R19)</f>
        <v>WILD</v>
      </c>
      <c r="D36" s="116" t="str">
        <f aca="false">IF('Game Info'!S19="","",'Game Info'!S19)</f>
        <v>SYM3</v>
      </c>
      <c r="E36" s="116" t="str">
        <f aca="false">IF('Game Info'!T19="","",'Game Info'!T19)</f>
        <v>K</v>
      </c>
      <c r="F36" s="117" t="str">
        <f aca="false">IF('Game Info'!U19="","",'Game Info'!U19)</f>
        <v>Q</v>
      </c>
      <c r="H36" s="91" t="n">
        <f aca="false">IF($B36="","",COUNTIF($B33:$B36,H$21)+COUNTIF($B33:$B36,$A$3))</f>
        <v>0</v>
      </c>
      <c r="I36" s="73" t="n">
        <f aca="false">IF($C36="","",COUNTIF($C33:$C36,H$21)+COUNTIF($C33:$C36,$A$3))</f>
        <v>1</v>
      </c>
      <c r="J36" s="73" t="n">
        <f aca="false">IF($D36="","",COUNTIF($D33:$D36,H$21)+COUNTIF($D33:$D36,$A$3))</f>
        <v>0</v>
      </c>
      <c r="K36" s="73" t="n">
        <f aca="false">IF($E36="","",COUNTIF($E33:$E36,H$21)+COUNTIF($E33:$E36,$A$3))</f>
        <v>1</v>
      </c>
      <c r="L36" s="92" t="n">
        <f aca="false">IF($F36="","",COUNTIF($F33:$F36,H$21)+COUNTIF($F33:$F36,$A$3))</f>
        <v>0</v>
      </c>
      <c r="N36" s="91" t="n">
        <f aca="false">IF($B36="","",COUNTIF($B33:$B36,N$21)+COUNTIF($B33:$B36,$A$3))</f>
        <v>0</v>
      </c>
      <c r="O36" s="73" t="n">
        <f aca="false">IF($C36="","",COUNTIF($C33:$C36,N$21)+COUNTIF($C33:$C36,$A$3))</f>
        <v>1</v>
      </c>
      <c r="P36" s="73" t="n">
        <f aca="false">IF($D36="","",COUNTIF($D33:$D36,N$21)+COUNTIF($D33:$D36,$A$3))</f>
        <v>0</v>
      </c>
      <c r="Q36" s="73" t="n">
        <f aca="false">IF($E36="","",COUNTIF($E33:$E36,N$21)+COUNTIF($E33:$E36,$A$3))</f>
        <v>2</v>
      </c>
      <c r="R36" s="92" t="n">
        <f aca="false">IF($F36="","",COUNTIF($F33:$F36,N$21)+COUNTIF($F33:$F36,$A$3))</f>
        <v>1</v>
      </c>
      <c r="T36" s="91" t="n">
        <f aca="false">IF($B36="","",COUNTIF($B33:$B36,T$21)+COUNTIF($B33:$B36,$A$3))</f>
        <v>0</v>
      </c>
      <c r="U36" s="73" t="n">
        <f aca="false">IF($C36="","",COUNTIF($C33:$C36,T$21)+COUNTIF($C33:$C36,$A$3))</f>
        <v>2</v>
      </c>
      <c r="V36" s="73" t="n">
        <f aca="false">IF($D36="","",COUNTIF($D33:$D36,T$21)+COUNTIF($D33:$D36,$A$3))</f>
        <v>1</v>
      </c>
      <c r="W36" s="73" t="n">
        <f aca="false">IF($E36="","",COUNTIF($E33:$E36,T$21)+COUNTIF($E33:$E36,$A$3))</f>
        <v>1</v>
      </c>
      <c r="X36" s="92" t="n">
        <f aca="false">IF($F36="","",COUNTIF($F33:$F36,T$21)+COUNTIF($F33:$F36,$A$3))</f>
        <v>1</v>
      </c>
      <c r="Z36" s="91" t="n">
        <f aca="false">IF($B36="","",COUNTIF($B33:$B36,Z$21)+COUNTIF($B33:$B36,$A$3))</f>
        <v>1</v>
      </c>
      <c r="AA36" s="73" t="n">
        <f aca="false">IF($C36="","",COUNTIF($C33:$C36,Z$21)+COUNTIF($C33:$C36,$A$3))</f>
        <v>1</v>
      </c>
      <c r="AB36" s="73" t="n">
        <f aca="false">IF($D36="","",COUNTIF($D33:$D36,Z$21)+COUNTIF($D33:$D36,$A$3))</f>
        <v>0</v>
      </c>
      <c r="AC36" s="73" t="n">
        <f aca="false">IF($E36="","",COUNTIF($E33:$E36,Z$21)+COUNTIF($E33:$E36,$A$3))</f>
        <v>1</v>
      </c>
      <c r="AD36" s="92" t="n">
        <f aca="false">IF($F36="","",COUNTIF($F33:$F36,Z$21)+COUNTIF($F33:$F36,$A$3))</f>
        <v>0</v>
      </c>
      <c r="AF36" s="91" t="n">
        <f aca="false">IF($B36="","",COUNTIF($B33:$B36,AF$21)+COUNTIF($B33:$B36,$A$3))</f>
        <v>0</v>
      </c>
      <c r="AG36" s="73" t="n">
        <f aca="false">IF($C36="","",COUNTIF($C33:$C36,AF$21)+COUNTIF($C33:$C36,$A$3))</f>
        <v>1</v>
      </c>
      <c r="AH36" s="73" t="n">
        <f aca="false">IF($D36="","",COUNTIF($D33:$D36,AF$21)+COUNTIF($D33:$D36,$A$3))</f>
        <v>0</v>
      </c>
      <c r="AI36" s="73" t="n">
        <f aca="false">IF($E36="","",COUNTIF($E33:$E36,AF$21)+COUNTIF($E33:$E36,$A$3))</f>
        <v>1</v>
      </c>
      <c r="AJ36" s="92" t="n">
        <f aca="false">IF($F36="","",COUNTIF($F33:$F36,AF$21)+COUNTIF($F33:$F36,$A$3))</f>
        <v>0</v>
      </c>
      <c r="AL36" s="91" t="n">
        <f aca="false">IF($B36="","",COUNTIF($B33:$B36,AL$21)+COUNTIF($B33:$B36,$A$3))</f>
        <v>0</v>
      </c>
      <c r="AM36" s="73" t="n">
        <f aca="false">IF($C36="","",COUNTIF($C33:$C36,AL$21)+COUNTIF($C33:$C36,$A$3))</f>
        <v>2</v>
      </c>
      <c r="AN36" s="73" t="n">
        <f aca="false">IF($D36="","",COUNTIF($D33:$D36,AL$21)+COUNTIF($D33:$D36,$A$3))</f>
        <v>0</v>
      </c>
      <c r="AO36" s="73" t="n">
        <f aca="false">IF($E36="","",COUNTIF($E33:$E36,AL$21)+COUNTIF($E33:$E36,$A$3))</f>
        <v>2</v>
      </c>
      <c r="AP36" s="92" t="n">
        <f aca="false">IF($F36="","",COUNTIF($F33:$F36,AL$21)+COUNTIF($F33:$F36,$A$3))</f>
        <v>0</v>
      </c>
      <c r="AR36" s="91" t="n">
        <f aca="false">IF($B36="","",COUNTIF($B33:$B36,AR$21)+COUNTIF($B33:$B36,$A$3))</f>
        <v>1</v>
      </c>
      <c r="AS36" s="73" t="n">
        <f aca="false">IF($C36="","",COUNTIF($C33:$C36,AR$21)+COUNTIF($C33:$C36,$A$3))</f>
        <v>2</v>
      </c>
      <c r="AT36" s="73" t="n">
        <f aca="false">IF($D36="","",COUNTIF($D33:$D36,AR$21)+COUNTIF($D33:$D36,$A$3))</f>
        <v>0</v>
      </c>
      <c r="AU36" s="73" t="n">
        <f aca="false">IF($E36="","",COUNTIF($E33:$E36,AR$21)+COUNTIF($E33:$E36,$A$3))</f>
        <v>2</v>
      </c>
      <c r="AV36" s="92" t="n">
        <f aca="false">IF($F36="","",COUNTIF($F33:$F36,AR$21)+COUNTIF($F33:$F36,$A$3))</f>
        <v>0</v>
      </c>
      <c r="AX36" s="91" t="n">
        <f aca="false">IF($B36="","",COUNTIF($B33:$B36,AX$21)+COUNTIF($B33:$B36,$A$3))</f>
        <v>0</v>
      </c>
      <c r="AY36" s="73" t="n">
        <f aca="false">IF($C36="","",COUNTIF($C33:$C36,AX$21)+COUNTIF($C33:$C36,$A$3))</f>
        <v>1</v>
      </c>
      <c r="AZ36" s="73" t="n">
        <f aca="false">IF($D36="","",COUNTIF($D33:$D36,AX$21)+COUNTIF($D33:$D36,$A$3))</f>
        <v>1</v>
      </c>
      <c r="BA36" s="73" t="n">
        <f aca="false">IF($E36="","",COUNTIF($E33:$E36,AX$21)+COUNTIF($E33:$E36,$A$3))</f>
        <v>1</v>
      </c>
      <c r="BB36" s="92" t="n">
        <f aca="false">IF($F36="","",COUNTIF($F33:$F36,AX$21)+COUNTIF($F33:$F36,$A$3))</f>
        <v>1</v>
      </c>
      <c r="BD36" s="91" t="n">
        <f aca="false">IF($B36="","",COUNTIF($B33:$B36,BD$21)+COUNTIF($B33:$B36,$A$3))</f>
        <v>1</v>
      </c>
      <c r="BE36" s="73" t="n">
        <f aca="false">IF($C36="","",COUNTIF($C33:$C36,BD$21)+COUNTIF($C33:$C36,$A$3))</f>
        <v>1</v>
      </c>
      <c r="BF36" s="73" t="n">
        <f aca="false">IF($D36="","",COUNTIF($D33:$D36,BD$21)+COUNTIF($D33:$D36,$A$3))</f>
        <v>0</v>
      </c>
      <c r="BG36" s="73" t="n">
        <f aca="false">IF($E36="","",COUNTIF($E33:$E36,BD$21)+COUNTIF($E33:$E36,$A$3))</f>
        <v>1</v>
      </c>
      <c r="BH36" s="92" t="n">
        <f aca="false">IF($F36="","",COUNTIF($F33:$F36,BD$21)+COUNTIF($F33:$F36,$A$3))</f>
        <v>1</v>
      </c>
      <c r="BJ36" s="91" t="n">
        <f aca="false">IF($B36="","",COUNTIF($B33:$B36,BJ$21)+COUNTIF($B33:$B36,$A$3))</f>
        <v>0</v>
      </c>
      <c r="BK36" s="73" t="n">
        <f aca="false">IF($C36="","",COUNTIF($C33:$C36,BJ$21)+COUNTIF($C33:$C36,$A$3))</f>
        <v>1</v>
      </c>
      <c r="BL36" s="73" t="n">
        <f aca="false">IF($D36="","",COUNTIF($D33:$D36,BJ$21)+COUNTIF($D33:$D36,$A$3))</f>
        <v>1</v>
      </c>
      <c r="BM36" s="73" t="n">
        <f aca="false">IF($E36="","",COUNTIF($E33:$E36,BJ$21)+COUNTIF($E33:$E36,$A$3))</f>
        <v>1</v>
      </c>
      <c r="BN36" s="92" t="n">
        <f aca="false">IF($F36="","",COUNTIF($F33:$F36,BJ$21)+COUNTIF($F33:$F36,$A$3))</f>
        <v>0</v>
      </c>
      <c r="BP36" s="91" t="n">
        <f aca="false">IF($B36="","",COUNTIF($B33:$B36,BP$21)+COUNTIF($B33:$B36,$A$3))</f>
        <v>1</v>
      </c>
      <c r="BQ36" s="73" t="n">
        <f aca="false">IF($C36="","",COUNTIF($C33:$C36,BP$21)+COUNTIF($C33:$C36,$A$3))</f>
        <v>1</v>
      </c>
      <c r="BR36" s="73" t="n">
        <f aca="false">IF($D36="","",COUNTIF($D33:$D36,BP$21)+COUNTIF($D33:$D36,$A$3))</f>
        <v>0</v>
      </c>
      <c r="BS36" s="73" t="n">
        <f aca="false">IF($E36="","",COUNTIF($E33:$E36,BP$21)+COUNTIF($E33:$E36,$A$3))</f>
        <v>1</v>
      </c>
      <c r="BT36" s="92" t="n">
        <f aca="false">IF($F36="","",COUNTIF($F33:$F36,BP$21)+COUNTIF($F33:$F36,$A$3))</f>
        <v>0</v>
      </c>
    </row>
    <row r="37" customFormat="false" ht="15" hidden="false" customHeight="false" outlineLevel="0" collapsed="false">
      <c r="A37" s="13" t="n">
        <v>15</v>
      </c>
      <c r="B37" s="116" t="str">
        <f aca="false">IF('Game Info'!Q20="","",'Game Info'!Q20)</f>
        <v>A</v>
      </c>
      <c r="C37" s="116" t="str">
        <f aca="false">IF('Game Info'!R20="","",'Game Info'!R20)</f>
        <v>K</v>
      </c>
      <c r="D37" s="116" t="str">
        <f aca="false">IF('Game Info'!S20="","",'Game Info'!S20)</f>
        <v>A</v>
      </c>
      <c r="E37" s="116" t="str">
        <f aca="false">IF('Game Info'!T20="","",'Game Info'!T20)</f>
        <v>SYM4</v>
      </c>
      <c r="F37" s="117" t="str">
        <f aca="false">IF('Game Info'!U20="","",'Game Info'!U20)</f>
        <v>SYM1</v>
      </c>
      <c r="H37" s="91" t="n">
        <f aca="false">IF($B37="","",COUNTIF($B34:$B37,H$21)+COUNTIF($B34:$B37,$A$3))</f>
        <v>0</v>
      </c>
      <c r="I37" s="73" t="n">
        <f aca="false">IF($C37="","",COUNTIF($C34:$C37,H$21)+COUNTIF($C34:$C37,$A$3))</f>
        <v>1</v>
      </c>
      <c r="J37" s="73" t="n">
        <f aca="false">IF($D37="","",COUNTIF($D34:$D37,H$21)+COUNTIF($D34:$D37,$A$3))</f>
        <v>0</v>
      </c>
      <c r="K37" s="73" t="n">
        <f aca="false">IF($E37="","",COUNTIF($E34:$E37,H$21)+COUNTIF($E34:$E37,$A$3))</f>
        <v>0</v>
      </c>
      <c r="L37" s="92" t="n">
        <f aca="false">IF($F37="","",COUNTIF($F34:$F37,H$21)+COUNTIF($F34:$F37,$A$3))</f>
        <v>1</v>
      </c>
      <c r="N37" s="91" t="n">
        <f aca="false">IF($B37="","",COUNTIF($B34:$B37,N$21)+COUNTIF($B34:$B37,$A$3))</f>
        <v>0</v>
      </c>
      <c r="O37" s="73" t="n">
        <f aca="false">IF($C37="","",COUNTIF($C34:$C37,N$21)+COUNTIF($C34:$C37,$A$3))</f>
        <v>1</v>
      </c>
      <c r="P37" s="73" t="n">
        <f aca="false">IF($D37="","",COUNTIF($D34:$D37,N$21)+COUNTIF($D34:$D37,$A$3))</f>
        <v>0</v>
      </c>
      <c r="Q37" s="73" t="n">
        <f aca="false">IF($E37="","",COUNTIF($E34:$E37,N$21)+COUNTIF($E34:$E37,$A$3))</f>
        <v>1</v>
      </c>
      <c r="R37" s="92" t="n">
        <f aca="false">IF($F37="","",COUNTIF($F34:$F37,N$21)+COUNTIF($F34:$F37,$A$3))</f>
        <v>0</v>
      </c>
      <c r="T37" s="91" t="n">
        <f aca="false">IF($B37="","",COUNTIF($B34:$B37,T$21)+COUNTIF($B34:$B37,$A$3))</f>
        <v>0</v>
      </c>
      <c r="U37" s="73" t="n">
        <f aca="false">IF($C37="","",COUNTIF($C34:$C37,T$21)+COUNTIF($C34:$C37,$A$3))</f>
        <v>2</v>
      </c>
      <c r="V37" s="73" t="n">
        <f aca="false">IF($D37="","",COUNTIF($D34:$D37,T$21)+COUNTIF($D34:$D37,$A$3))</f>
        <v>1</v>
      </c>
      <c r="W37" s="73" t="n">
        <f aca="false">IF($E37="","",COUNTIF($E34:$E37,T$21)+COUNTIF($E34:$E37,$A$3))</f>
        <v>0</v>
      </c>
      <c r="X37" s="92" t="n">
        <f aca="false">IF($F37="","",COUNTIF($F34:$F37,T$21)+COUNTIF($F34:$F37,$A$3))</f>
        <v>1</v>
      </c>
      <c r="Z37" s="91" t="n">
        <f aca="false">IF($B37="","",COUNTIF($B34:$B37,Z$21)+COUNTIF($B34:$B37,$A$3))</f>
        <v>1</v>
      </c>
      <c r="AA37" s="73" t="n">
        <f aca="false">IF($C37="","",COUNTIF($C34:$C37,Z$21)+COUNTIF($C34:$C37,$A$3))</f>
        <v>1</v>
      </c>
      <c r="AB37" s="73" t="n">
        <f aca="false">IF($D37="","",COUNTIF($D34:$D37,Z$21)+COUNTIF($D34:$D37,$A$3))</f>
        <v>0</v>
      </c>
      <c r="AC37" s="73" t="n">
        <f aca="false">IF($E37="","",COUNTIF($E34:$E37,Z$21)+COUNTIF($E34:$E37,$A$3))</f>
        <v>1</v>
      </c>
      <c r="AD37" s="92" t="n">
        <f aca="false">IF($F37="","",COUNTIF($F34:$F37,Z$21)+COUNTIF($F34:$F37,$A$3))</f>
        <v>0</v>
      </c>
      <c r="AF37" s="91" t="n">
        <f aca="false">IF($B37="","",COUNTIF($B34:$B37,AF$21)+COUNTIF($B34:$B37,$A$3))</f>
        <v>0</v>
      </c>
      <c r="AG37" s="73" t="n">
        <f aca="false">IF($C37="","",COUNTIF($C34:$C37,AF$21)+COUNTIF($C34:$C37,$A$3))</f>
        <v>1</v>
      </c>
      <c r="AH37" s="73" t="n">
        <f aca="false">IF($D37="","",COUNTIF($D34:$D37,AF$21)+COUNTIF($D34:$D37,$A$3))</f>
        <v>0</v>
      </c>
      <c r="AI37" s="73" t="n">
        <f aca="false">IF($E37="","",COUNTIF($E34:$E37,AF$21)+COUNTIF($E34:$E37,$A$3))</f>
        <v>0</v>
      </c>
      <c r="AJ37" s="92" t="n">
        <f aca="false">IF($F37="","",COUNTIF($F34:$F37,AF$21)+COUNTIF($F34:$F37,$A$3))</f>
        <v>0</v>
      </c>
      <c r="AL37" s="91" t="n">
        <f aca="false">IF($B37="","",COUNTIF($B34:$B37,AL$21)+COUNTIF($B34:$B37,$A$3))</f>
        <v>1</v>
      </c>
      <c r="AM37" s="73" t="n">
        <f aca="false">IF($C37="","",COUNTIF($C34:$C37,AL$21)+COUNTIF($C34:$C37,$A$3))</f>
        <v>2</v>
      </c>
      <c r="AN37" s="73" t="n">
        <f aca="false">IF($D37="","",COUNTIF($D34:$D37,AL$21)+COUNTIF($D34:$D37,$A$3))</f>
        <v>1</v>
      </c>
      <c r="AO37" s="73" t="n">
        <f aca="false">IF($E37="","",COUNTIF($E34:$E37,AL$21)+COUNTIF($E34:$E37,$A$3))</f>
        <v>1</v>
      </c>
      <c r="AP37" s="92" t="n">
        <f aca="false">IF($F37="","",COUNTIF($F34:$F37,AL$21)+COUNTIF($F34:$F37,$A$3))</f>
        <v>0</v>
      </c>
      <c r="AR37" s="91" t="n">
        <f aca="false">IF($B37="","",COUNTIF($B34:$B37,AR$21)+COUNTIF($B34:$B37,$A$3))</f>
        <v>0</v>
      </c>
      <c r="AS37" s="73" t="n">
        <f aca="false">IF($C37="","",COUNTIF($C34:$C37,AR$21)+COUNTIF($C34:$C37,$A$3))</f>
        <v>2</v>
      </c>
      <c r="AT37" s="73" t="n">
        <f aca="false">IF($D37="","",COUNTIF($D34:$D37,AR$21)+COUNTIF($D34:$D37,$A$3))</f>
        <v>0</v>
      </c>
      <c r="AU37" s="73" t="n">
        <f aca="false">IF($E37="","",COUNTIF($E34:$E37,AR$21)+COUNTIF($E34:$E37,$A$3))</f>
        <v>1</v>
      </c>
      <c r="AV37" s="92" t="n">
        <f aca="false">IF($F37="","",COUNTIF($F34:$F37,AR$21)+COUNTIF($F34:$F37,$A$3))</f>
        <v>0</v>
      </c>
      <c r="AX37" s="91" t="n">
        <f aca="false">IF($B37="","",COUNTIF($B34:$B37,AX$21)+COUNTIF($B34:$B37,$A$3))</f>
        <v>0</v>
      </c>
      <c r="AY37" s="73" t="n">
        <f aca="false">IF($C37="","",COUNTIF($C34:$C37,AX$21)+COUNTIF($C34:$C37,$A$3))</f>
        <v>1</v>
      </c>
      <c r="AZ37" s="73" t="n">
        <f aca="false">IF($D37="","",COUNTIF($D34:$D37,AX$21)+COUNTIF($D34:$D37,$A$3))</f>
        <v>1</v>
      </c>
      <c r="BA37" s="73" t="n">
        <f aca="false">IF($E37="","",COUNTIF($E34:$E37,AX$21)+COUNTIF($E34:$E37,$A$3))</f>
        <v>0</v>
      </c>
      <c r="BB37" s="92" t="n">
        <f aca="false">IF($F37="","",COUNTIF($F34:$F37,AX$21)+COUNTIF($F34:$F37,$A$3))</f>
        <v>1</v>
      </c>
      <c r="BD37" s="91" t="n">
        <f aca="false">IF($B37="","",COUNTIF($B34:$B37,BD$21)+COUNTIF($B34:$B37,$A$3))</f>
        <v>1</v>
      </c>
      <c r="BE37" s="73" t="n">
        <f aca="false">IF($C37="","",COUNTIF($C34:$C37,BD$21)+COUNTIF($C34:$C37,$A$3))</f>
        <v>1</v>
      </c>
      <c r="BF37" s="73" t="n">
        <f aca="false">IF($D37="","",COUNTIF($D34:$D37,BD$21)+COUNTIF($D34:$D37,$A$3))</f>
        <v>0</v>
      </c>
      <c r="BG37" s="73" t="n">
        <f aca="false">IF($E37="","",COUNTIF($E34:$E37,BD$21)+COUNTIF($E34:$E37,$A$3))</f>
        <v>0</v>
      </c>
      <c r="BH37" s="92" t="n">
        <f aca="false">IF($F37="","",COUNTIF($F34:$F37,BD$21)+COUNTIF($F34:$F37,$A$3))</f>
        <v>1</v>
      </c>
      <c r="BJ37" s="91" t="n">
        <f aca="false">IF($B37="","",COUNTIF($B34:$B37,BJ$21)+COUNTIF($B34:$B37,$A$3))</f>
        <v>0</v>
      </c>
      <c r="BK37" s="73" t="n">
        <f aca="false">IF($C37="","",COUNTIF($C34:$C37,BJ$21)+COUNTIF($C34:$C37,$A$3))</f>
        <v>1</v>
      </c>
      <c r="BL37" s="73" t="n">
        <f aca="false">IF($D37="","",COUNTIF($D34:$D37,BJ$21)+COUNTIF($D34:$D37,$A$3))</f>
        <v>1</v>
      </c>
      <c r="BM37" s="73" t="n">
        <f aca="false">IF($E37="","",COUNTIF($E34:$E37,BJ$21)+COUNTIF($E34:$E37,$A$3))</f>
        <v>0</v>
      </c>
      <c r="BN37" s="92" t="n">
        <f aca="false">IF($F37="","",COUNTIF($F34:$F37,BJ$21)+COUNTIF($F34:$F37,$A$3))</f>
        <v>0</v>
      </c>
      <c r="BP37" s="91" t="n">
        <f aca="false">IF($B37="","",COUNTIF($B34:$B37,BP$21)+COUNTIF($B34:$B37,$A$3))</f>
        <v>1</v>
      </c>
      <c r="BQ37" s="73" t="n">
        <f aca="false">IF($C37="","",COUNTIF($C34:$C37,BP$21)+COUNTIF($C34:$C37,$A$3))</f>
        <v>1</v>
      </c>
      <c r="BR37" s="73" t="n">
        <f aca="false">IF($D37="","",COUNTIF($D34:$D37,BP$21)+COUNTIF($D34:$D37,$A$3))</f>
        <v>0</v>
      </c>
      <c r="BS37" s="73" t="n">
        <f aca="false">IF($E37="","",COUNTIF($E34:$E37,BP$21)+COUNTIF($E34:$E37,$A$3))</f>
        <v>0</v>
      </c>
      <c r="BT37" s="92" t="n">
        <f aca="false">IF($F37="","",COUNTIF($F34:$F37,BP$21)+COUNTIF($F34:$F37,$A$3))</f>
        <v>0</v>
      </c>
    </row>
    <row r="38" customFormat="false" ht="15" hidden="false" customHeight="false" outlineLevel="0" collapsed="false">
      <c r="A38" s="13" t="n">
        <v>16</v>
      </c>
      <c r="B38" s="116" t="str">
        <f aca="false">IF('Game Info'!Q21="","",'Game Info'!Q21)</f>
        <v>SYM5</v>
      </c>
      <c r="C38" s="116" t="str">
        <f aca="false">IF('Game Info'!R21="","",'Game Info'!R21)</f>
        <v>SYM1</v>
      </c>
      <c r="D38" s="116" t="str">
        <f aca="false">IF('Game Info'!S21="","",'Game Info'!S21)</f>
        <v>SYM4</v>
      </c>
      <c r="E38" s="116" t="str">
        <f aca="false">IF('Game Info'!T21="","",'Game Info'!T21)</f>
        <v>J</v>
      </c>
      <c r="F38" s="117" t="str">
        <f aca="false">IF('Game Info'!U21="","",'Game Info'!U21)</f>
        <v>K</v>
      </c>
      <c r="H38" s="91" t="n">
        <f aca="false">IF($B38="","",COUNTIF($B35:$B38,H$21)+COUNTIF($B35:$B38,$A$3))</f>
        <v>0</v>
      </c>
      <c r="I38" s="73" t="n">
        <f aca="false">IF($C38="","",COUNTIF($C35:$C38,H$21)+COUNTIF($C35:$C38,$A$3))</f>
        <v>2</v>
      </c>
      <c r="J38" s="73" t="n">
        <f aca="false">IF($D38="","",COUNTIF($D35:$D38,H$21)+COUNTIF($D35:$D38,$A$3))</f>
        <v>0</v>
      </c>
      <c r="K38" s="73" t="n">
        <f aca="false">IF($E38="","",COUNTIF($E35:$E38,H$21)+COUNTIF($E35:$E38,$A$3))</f>
        <v>0</v>
      </c>
      <c r="L38" s="92" t="n">
        <f aca="false">IF($F38="","",COUNTIF($F35:$F38,H$21)+COUNTIF($F35:$F38,$A$3))</f>
        <v>1</v>
      </c>
      <c r="N38" s="91" t="n">
        <f aca="false">IF($B38="","",COUNTIF($B35:$B38,N$21)+COUNTIF($B35:$B38,$A$3))</f>
        <v>0</v>
      </c>
      <c r="O38" s="73" t="n">
        <f aca="false">IF($C38="","",COUNTIF($C35:$C38,N$21)+COUNTIF($C35:$C38,$A$3))</f>
        <v>1</v>
      </c>
      <c r="P38" s="73" t="n">
        <f aca="false">IF($D38="","",COUNTIF($D35:$D38,N$21)+COUNTIF($D35:$D38,$A$3))</f>
        <v>0</v>
      </c>
      <c r="Q38" s="73" t="n">
        <f aca="false">IF($E38="","",COUNTIF($E35:$E38,N$21)+COUNTIF($E35:$E38,$A$3))</f>
        <v>1</v>
      </c>
      <c r="R38" s="92" t="n">
        <f aca="false">IF($F38="","",COUNTIF($F35:$F38,N$21)+COUNTIF($F35:$F38,$A$3))</f>
        <v>0</v>
      </c>
      <c r="T38" s="91" t="n">
        <f aca="false">IF($B38="","",COUNTIF($B35:$B38,T$21)+COUNTIF($B35:$B38,$A$3))</f>
        <v>0</v>
      </c>
      <c r="U38" s="73" t="n">
        <f aca="false">IF($C38="","",COUNTIF($C35:$C38,T$21)+COUNTIF($C35:$C38,$A$3))</f>
        <v>1</v>
      </c>
      <c r="V38" s="73" t="n">
        <f aca="false">IF($D38="","",COUNTIF($D35:$D38,T$21)+COUNTIF($D35:$D38,$A$3))</f>
        <v>1</v>
      </c>
      <c r="W38" s="73" t="n">
        <f aca="false">IF($E38="","",COUNTIF($E35:$E38,T$21)+COUNTIF($E35:$E38,$A$3))</f>
        <v>0</v>
      </c>
      <c r="X38" s="92" t="n">
        <f aca="false">IF($F38="","",COUNTIF($F35:$F38,T$21)+COUNTIF($F35:$F38,$A$3))</f>
        <v>1</v>
      </c>
      <c r="Z38" s="91" t="n">
        <f aca="false">IF($B38="","",COUNTIF($B35:$B38,Z$21)+COUNTIF($B35:$B38,$A$3))</f>
        <v>0</v>
      </c>
      <c r="AA38" s="73" t="n">
        <f aca="false">IF($C38="","",COUNTIF($C35:$C38,Z$21)+COUNTIF($C35:$C38,$A$3))</f>
        <v>1</v>
      </c>
      <c r="AB38" s="73" t="n">
        <f aca="false">IF($D38="","",COUNTIF($D35:$D38,Z$21)+COUNTIF($D35:$D38,$A$3))</f>
        <v>1</v>
      </c>
      <c r="AC38" s="73" t="n">
        <f aca="false">IF($E38="","",COUNTIF($E35:$E38,Z$21)+COUNTIF($E35:$E38,$A$3))</f>
        <v>1</v>
      </c>
      <c r="AD38" s="92" t="n">
        <f aca="false">IF($F38="","",COUNTIF($F35:$F38,Z$21)+COUNTIF($F35:$F38,$A$3))</f>
        <v>0</v>
      </c>
      <c r="AF38" s="91" t="n">
        <f aca="false">IF($B38="","",COUNTIF($B35:$B38,AF$21)+COUNTIF($B35:$B38,$A$3))</f>
        <v>1</v>
      </c>
      <c r="AG38" s="73" t="n">
        <f aca="false">IF($C38="","",COUNTIF($C35:$C38,AF$21)+COUNTIF($C35:$C38,$A$3))</f>
        <v>1</v>
      </c>
      <c r="AH38" s="73" t="n">
        <f aca="false">IF($D38="","",COUNTIF($D35:$D38,AF$21)+COUNTIF($D35:$D38,$A$3))</f>
        <v>0</v>
      </c>
      <c r="AI38" s="73" t="n">
        <f aca="false">IF($E38="","",COUNTIF($E35:$E38,AF$21)+COUNTIF($E35:$E38,$A$3))</f>
        <v>0</v>
      </c>
      <c r="AJ38" s="92" t="n">
        <f aca="false">IF($F38="","",COUNTIF($F35:$F38,AF$21)+COUNTIF($F35:$F38,$A$3))</f>
        <v>0</v>
      </c>
      <c r="AL38" s="91" t="n">
        <f aca="false">IF($B38="","",COUNTIF($B35:$B38,AL$21)+COUNTIF($B35:$B38,$A$3))</f>
        <v>1</v>
      </c>
      <c r="AM38" s="73" t="n">
        <f aca="false">IF($C38="","",COUNTIF($C35:$C38,AL$21)+COUNTIF($C35:$C38,$A$3))</f>
        <v>2</v>
      </c>
      <c r="AN38" s="73" t="n">
        <f aca="false">IF($D38="","",COUNTIF($D35:$D38,AL$21)+COUNTIF($D35:$D38,$A$3))</f>
        <v>1</v>
      </c>
      <c r="AO38" s="73" t="n">
        <f aca="false">IF($E38="","",COUNTIF($E35:$E38,AL$21)+COUNTIF($E35:$E38,$A$3))</f>
        <v>0</v>
      </c>
      <c r="AP38" s="92" t="n">
        <f aca="false">IF($F38="","",COUNTIF($F35:$F38,AL$21)+COUNTIF($F35:$F38,$A$3))</f>
        <v>0</v>
      </c>
      <c r="AR38" s="91" t="n">
        <f aca="false">IF($B38="","",COUNTIF($B35:$B38,AR$21)+COUNTIF($B35:$B38,$A$3))</f>
        <v>0</v>
      </c>
      <c r="AS38" s="73" t="n">
        <f aca="false">IF($C38="","",COUNTIF($C35:$C38,AR$21)+COUNTIF($C35:$C38,$A$3))</f>
        <v>2</v>
      </c>
      <c r="AT38" s="73" t="n">
        <f aca="false">IF($D38="","",COUNTIF($D35:$D38,AR$21)+COUNTIF($D35:$D38,$A$3))</f>
        <v>0</v>
      </c>
      <c r="AU38" s="73" t="n">
        <f aca="false">IF($E38="","",COUNTIF($E35:$E38,AR$21)+COUNTIF($E35:$E38,$A$3))</f>
        <v>1</v>
      </c>
      <c r="AV38" s="92" t="n">
        <f aca="false">IF($F38="","",COUNTIF($F35:$F38,AR$21)+COUNTIF($F35:$F38,$A$3))</f>
        <v>1</v>
      </c>
      <c r="AX38" s="91" t="n">
        <f aca="false">IF($B38="","",COUNTIF($B35:$B38,AX$21)+COUNTIF($B35:$B38,$A$3))</f>
        <v>0</v>
      </c>
      <c r="AY38" s="73" t="n">
        <f aca="false">IF($C38="","",COUNTIF($C35:$C38,AX$21)+COUNTIF($C35:$C38,$A$3))</f>
        <v>1</v>
      </c>
      <c r="AZ38" s="73" t="n">
        <f aca="false">IF($D38="","",COUNTIF($D35:$D38,AX$21)+COUNTIF($D35:$D38,$A$3))</f>
        <v>1</v>
      </c>
      <c r="BA38" s="73" t="n">
        <f aca="false">IF($E38="","",COUNTIF($E35:$E38,AX$21)+COUNTIF($E35:$E38,$A$3))</f>
        <v>0</v>
      </c>
      <c r="BB38" s="92" t="n">
        <f aca="false">IF($F38="","",COUNTIF($F35:$F38,AX$21)+COUNTIF($F35:$F38,$A$3))</f>
        <v>1</v>
      </c>
      <c r="BD38" s="91" t="n">
        <f aca="false">IF($B38="","",COUNTIF($B35:$B38,BD$21)+COUNTIF($B35:$B38,$A$3))</f>
        <v>1</v>
      </c>
      <c r="BE38" s="73" t="n">
        <f aca="false">IF($C38="","",COUNTIF($C35:$C38,BD$21)+COUNTIF($C35:$C38,$A$3))</f>
        <v>1</v>
      </c>
      <c r="BF38" s="73" t="n">
        <f aca="false">IF($D38="","",COUNTIF($D35:$D38,BD$21)+COUNTIF($D35:$D38,$A$3))</f>
        <v>0</v>
      </c>
      <c r="BG38" s="73" t="n">
        <f aca="false">IF($E38="","",COUNTIF($E35:$E38,BD$21)+COUNTIF($E35:$E38,$A$3))</f>
        <v>1</v>
      </c>
      <c r="BH38" s="92" t="n">
        <f aca="false">IF($F38="","",COUNTIF($F35:$F38,BD$21)+COUNTIF($F35:$F38,$A$3))</f>
        <v>0</v>
      </c>
      <c r="BJ38" s="91" t="n">
        <f aca="false">IF($B38="","",COUNTIF($B35:$B38,BJ$21)+COUNTIF($B35:$B38,$A$3))</f>
        <v>0</v>
      </c>
      <c r="BK38" s="73" t="n">
        <f aca="false">IF($C38="","",COUNTIF($C35:$C38,BJ$21)+COUNTIF($C35:$C38,$A$3))</f>
        <v>1</v>
      </c>
      <c r="BL38" s="73" t="n">
        <f aca="false">IF($D38="","",COUNTIF($D35:$D38,BJ$21)+COUNTIF($D35:$D38,$A$3))</f>
        <v>0</v>
      </c>
      <c r="BM38" s="73" t="n">
        <f aca="false">IF($E38="","",COUNTIF($E35:$E38,BJ$21)+COUNTIF($E35:$E38,$A$3))</f>
        <v>0</v>
      </c>
      <c r="BN38" s="92" t="n">
        <f aca="false">IF($F38="","",COUNTIF($F35:$F38,BJ$21)+COUNTIF($F35:$F38,$A$3))</f>
        <v>0</v>
      </c>
      <c r="BP38" s="91" t="n">
        <f aca="false">IF($B38="","",COUNTIF($B35:$B38,BP$21)+COUNTIF($B35:$B38,$A$3))</f>
        <v>1</v>
      </c>
      <c r="BQ38" s="73" t="n">
        <f aca="false">IF($C38="","",COUNTIF($C35:$C38,BP$21)+COUNTIF($C35:$C38,$A$3))</f>
        <v>1</v>
      </c>
      <c r="BR38" s="73" t="n">
        <f aca="false">IF($D38="","",COUNTIF($D35:$D38,BP$21)+COUNTIF($D35:$D38,$A$3))</f>
        <v>0</v>
      </c>
      <c r="BS38" s="73" t="n">
        <f aca="false">IF($E38="","",COUNTIF($E35:$E38,BP$21)+COUNTIF($E35:$E38,$A$3))</f>
        <v>0</v>
      </c>
      <c r="BT38" s="92" t="n">
        <f aca="false">IF($F38="","",COUNTIF($F35:$F38,BP$21)+COUNTIF($F35:$F38,$A$3))</f>
        <v>0</v>
      </c>
    </row>
    <row r="39" customFormat="false" ht="15" hidden="false" customHeight="false" outlineLevel="0" collapsed="false">
      <c r="A39" s="13" t="n">
        <v>17</v>
      </c>
      <c r="B39" s="116" t="str">
        <f aca="false">IF('Game Info'!Q22="","",'Game Info'!Q22)</f>
        <v>SYM5</v>
      </c>
      <c r="C39" s="116" t="str">
        <f aca="false">IF('Game Info'!R22="","",'Game Info'!R22)</f>
        <v>Q</v>
      </c>
      <c r="D39" s="116" t="str">
        <f aca="false">IF('Game Info'!S22="","",'Game Info'!S22)</f>
        <v>SYM4</v>
      </c>
      <c r="E39" s="116" t="str">
        <f aca="false">IF('Game Info'!T22="","",'Game Info'!T22)</f>
        <v>SYM1</v>
      </c>
      <c r="F39" s="117" t="str">
        <f aca="false">IF('Game Info'!U22="","",'Game Info'!U22)</f>
        <v>Q</v>
      </c>
      <c r="H39" s="91" t="n">
        <f aca="false">IF($B39="","",COUNTIF($B36:$B39,H$21)+COUNTIF($B36:$B39,$A$3))</f>
        <v>0</v>
      </c>
      <c r="I39" s="73" t="n">
        <f aca="false">IF($C39="","",COUNTIF($C36:$C39,H$21)+COUNTIF($C36:$C39,$A$3))</f>
        <v>2</v>
      </c>
      <c r="J39" s="73" t="n">
        <f aca="false">IF($D39="","",COUNTIF($D36:$D39,H$21)+COUNTIF($D36:$D39,$A$3))</f>
        <v>0</v>
      </c>
      <c r="K39" s="73" t="n">
        <f aca="false">IF($E39="","",COUNTIF($E36:$E39,H$21)+COUNTIF($E36:$E39,$A$3))</f>
        <v>1</v>
      </c>
      <c r="L39" s="92" t="n">
        <f aca="false">IF($F39="","",COUNTIF($F36:$F39,H$21)+COUNTIF($F36:$F39,$A$3))</f>
        <v>1</v>
      </c>
      <c r="N39" s="91" t="n">
        <f aca="false">IF($B39="","",COUNTIF($B36:$B39,N$21)+COUNTIF($B36:$B39,$A$3))</f>
        <v>0</v>
      </c>
      <c r="O39" s="73" t="n">
        <f aca="false">IF($C39="","",COUNTIF($C36:$C39,N$21)+COUNTIF($C36:$C39,$A$3))</f>
        <v>1</v>
      </c>
      <c r="P39" s="73" t="n">
        <f aca="false">IF($D39="","",COUNTIF($D36:$D39,N$21)+COUNTIF($D36:$D39,$A$3))</f>
        <v>0</v>
      </c>
      <c r="Q39" s="73" t="n">
        <f aca="false">IF($E39="","",COUNTIF($E36:$E39,N$21)+COUNTIF($E36:$E39,$A$3))</f>
        <v>0</v>
      </c>
      <c r="R39" s="92" t="n">
        <f aca="false">IF($F39="","",COUNTIF($F36:$F39,N$21)+COUNTIF($F36:$F39,$A$3))</f>
        <v>0</v>
      </c>
      <c r="T39" s="91" t="n">
        <f aca="false">IF($B39="","",COUNTIF($B36:$B39,T$21)+COUNTIF($B36:$B39,$A$3))</f>
        <v>0</v>
      </c>
      <c r="U39" s="73" t="n">
        <f aca="false">IF($C39="","",COUNTIF($C36:$C39,T$21)+COUNTIF($C36:$C39,$A$3))</f>
        <v>1</v>
      </c>
      <c r="V39" s="73" t="n">
        <f aca="false">IF($D39="","",COUNTIF($D36:$D39,T$21)+COUNTIF($D36:$D39,$A$3))</f>
        <v>1</v>
      </c>
      <c r="W39" s="73" t="n">
        <f aca="false">IF($E39="","",COUNTIF($E36:$E39,T$21)+COUNTIF($E36:$E39,$A$3))</f>
        <v>0</v>
      </c>
      <c r="X39" s="92" t="n">
        <f aca="false">IF($F39="","",COUNTIF($F36:$F39,T$21)+COUNTIF($F36:$F39,$A$3))</f>
        <v>0</v>
      </c>
      <c r="Z39" s="91" t="n">
        <f aca="false">IF($B39="","",COUNTIF($B36:$B39,Z$21)+COUNTIF($B36:$B39,$A$3))</f>
        <v>0</v>
      </c>
      <c r="AA39" s="73" t="n">
        <f aca="false">IF($C39="","",COUNTIF($C36:$C39,Z$21)+COUNTIF($C36:$C39,$A$3))</f>
        <v>1</v>
      </c>
      <c r="AB39" s="73" t="n">
        <f aca="false">IF($D39="","",COUNTIF($D36:$D39,Z$21)+COUNTIF($D36:$D39,$A$3))</f>
        <v>2</v>
      </c>
      <c r="AC39" s="73" t="n">
        <f aca="false">IF($E39="","",COUNTIF($E36:$E39,Z$21)+COUNTIF($E36:$E39,$A$3))</f>
        <v>1</v>
      </c>
      <c r="AD39" s="92" t="n">
        <f aca="false">IF($F39="","",COUNTIF($F36:$F39,Z$21)+COUNTIF($F36:$F39,$A$3))</f>
        <v>0</v>
      </c>
      <c r="AF39" s="91" t="n">
        <f aca="false">IF($B39="","",COUNTIF($B36:$B39,AF$21)+COUNTIF($B36:$B39,$A$3))</f>
        <v>2</v>
      </c>
      <c r="AG39" s="73" t="n">
        <f aca="false">IF($C39="","",COUNTIF($C36:$C39,AF$21)+COUNTIF($C36:$C39,$A$3))</f>
        <v>1</v>
      </c>
      <c r="AH39" s="73" t="n">
        <f aca="false">IF($D39="","",COUNTIF($D36:$D39,AF$21)+COUNTIF($D36:$D39,$A$3))</f>
        <v>0</v>
      </c>
      <c r="AI39" s="73" t="n">
        <f aca="false">IF($E39="","",COUNTIF($E36:$E39,AF$21)+COUNTIF($E36:$E39,$A$3))</f>
        <v>0</v>
      </c>
      <c r="AJ39" s="92" t="n">
        <f aca="false">IF($F39="","",COUNTIF($F36:$F39,AF$21)+COUNTIF($F36:$F39,$A$3))</f>
        <v>0</v>
      </c>
      <c r="AL39" s="91" t="n">
        <f aca="false">IF($B39="","",COUNTIF($B36:$B39,AL$21)+COUNTIF($B36:$B39,$A$3))</f>
        <v>1</v>
      </c>
      <c r="AM39" s="73" t="n">
        <f aca="false">IF($C39="","",COUNTIF($C36:$C39,AL$21)+COUNTIF($C36:$C39,$A$3))</f>
        <v>1</v>
      </c>
      <c r="AN39" s="73" t="n">
        <f aca="false">IF($D39="","",COUNTIF($D36:$D39,AL$21)+COUNTIF($D36:$D39,$A$3))</f>
        <v>1</v>
      </c>
      <c r="AO39" s="73" t="n">
        <f aca="false">IF($E39="","",COUNTIF($E36:$E39,AL$21)+COUNTIF($E36:$E39,$A$3))</f>
        <v>0</v>
      </c>
      <c r="AP39" s="92" t="n">
        <f aca="false">IF($F39="","",COUNTIF($F36:$F39,AL$21)+COUNTIF($F36:$F39,$A$3))</f>
        <v>0</v>
      </c>
      <c r="AR39" s="91" t="n">
        <f aca="false">IF($B39="","",COUNTIF($B36:$B39,AR$21)+COUNTIF($B36:$B39,$A$3))</f>
        <v>0</v>
      </c>
      <c r="AS39" s="73" t="n">
        <f aca="false">IF($C39="","",COUNTIF($C36:$C39,AR$21)+COUNTIF($C36:$C39,$A$3))</f>
        <v>2</v>
      </c>
      <c r="AT39" s="73" t="n">
        <f aca="false">IF($D39="","",COUNTIF($D36:$D39,AR$21)+COUNTIF($D36:$D39,$A$3))</f>
        <v>0</v>
      </c>
      <c r="AU39" s="73" t="n">
        <f aca="false">IF($E39="","",COUNTIF($E36:$E39,AR$21)+COUNTIF($E36:$E39,$A$3))</f>
        <v>1</v>
      </c>
      <c r="AV39" s="92" t="n">
        <f aca="false">IF($F39="","",COUNTIF($F36:$F39,AR$21)+COUNTIF($F36:$F39,$A$3))</f>
        <v>1</v>
      </c>
      <c r="AX39" s="91" t="n">
        <f aca="false">IF($B39="","",COUNTIF($B36:$B39,AX$21)+COUNTIF($B36:$B39,$A$3))</f>
        <v>0</v>
      </c>
      <c r="AY39" s="73" t="n">
        <f aca="false">IF($C39="","",COUNTIF($C36:$C39,AX$21)+COUNTIF($C36:$C39,$A$3))</f>
        <v>2</v>
      </c>
      <c r="AZ39" s="73" t="n">
        <f aca="false">IF($D39="","",COUNTIF($D36:$D39,AX$21)+COUNTIF($D36:$D39,$A$3))</f>
        <v>0</v>
      </c>
      <c r="BA39" s="73" t="n">
        <f aca="false">IF($E39="","",COUNTIF($E36:$E39,AX$21)+COUNTIF($E36:$E39,$A$3))</f>
        <v>0</v>
      </c>
      <c r="BB39" s="92" t="n">
        <f aca="false">IF($F39="","",COUNTIF($F36:$F39,AX$21)+COUNTIF($F36:$F39,$A$3))</f>
        <v>2</v>
      </c>
      <c r="BD39" s="91" t="n">
        <f aca="false">IF($B39="","",COUNTIF($B36:$B39,BD$21)+COUNTIF($B36:$B39,$A$3))</f>
        <v>1</v>
      </c>
      <c r="BE39" s="73" t="n">
        <f aca="false">IF($C39="","",COUNTIF($C36:$C39,BD$21)+COUNTIF($C36:$C39,$A$3))</f>
        <v>1</v>
      </c>
      <c r="BF39" s="73" t="n">
        <f aca="false">IF($D39="","",COUNTIF($D36:$D39,BD$21)+COUNTIF($D36:$D39,$A$3))</f>
        <v>0</v>
      </c>
      <c r="BG39" s="73" t="n">
        <f aca="false">IF($E39="","",COUNTIF($E36:$E39,BD$21)+COUNTIF($E36:$E39,$A$3))</f>
        <v>1</v>
      </c>
      <c r="BH39" s="92" t="n">
        <f aca="false">IF($F39="","",COUNTIF($F36:$F39,BD$21)+COUNTIF($F36:$F39,$A$3))</f>
        <v>0</v>
      </c>
      <c r="BJ39" s="91" t="n">
        <f aca="false">IF($B39="","",COUNTIF($B36:$B39,BJ$21)+COUNTIF($B36:$B39,$A$3))</f>
        <v>0</v>
      </c>
      <c r="BK39" s="73" t="n">
        <f aca="false">IF($C39="","",COUNTIF($C36:$C39,BJ$21)+COUNTIF($C36:$C39,$A$3))</f>
        <v>1</v>
      </c>
      <c r="BL39" s="73" t="n">
        <f aca="false">IF($D39="","",COUNTIF($D36:$D39,BJ$21)+COUNTIF($D36:$D39,$A$3))</f>
        <v>0</v>
      </c>
      <c r="BM39" s="73" t="n">
        <f aca="false">IF($E39="","",COUNTIF($E36:$E39,BJ$21)+COUNTIF($E36:$E39,$A$3))</f>
        <v>0</v>
      </c>
      <c r="BN39" s="92" t="n">
        <f aca="false">IF($F39="","",COUNTIF($F36:$F39,BJ$21)+COUNTIF($F36:$F39,$A$3))</f>
        <v>0</v>
      </c>
      <c r="BP39" s="91" t="n">
        <f aca="false">IF($B39="","",COUNTIF($B36:$B39,BP$21)+COUNTIF($B36:$B39,$A$3))</f>
        <v>0</v>
      </c>
      <c r="BQ39" s="73" t="n">
        <f aca="false">IF($C39="","",COUNTIF($C36:$C39,BP$21)+COUNTIF($C36:$C39,$A$3))</f>
        <v>1</v>
      </c>
      <c r="BR39" s="73" t="n">
        <f aca="false">IF($D39="","",COUNTIF($D36:$D39,BP$21)+COUNTIF($D36:$D39,$A$3))</f>
        <v>0</v>
      </c>
      <c r="BS39" s="73" t="n">
        <f aca="false">IF($E39="","",COUNTIF($E36:$E39,BP$21)+COUNTIF($E36:$E39,$A$3))</f>
        <v>0</v>
      </c>
      <c r="BT39" s="92" t="n">
        <f aca="false">IF($F39="","",COUNTIF($F36:$F39,BP$21)+COUNTIF($F36:$F39,$A$3))</f>
        <v>0</v>
      </c>
    </row>
    <row r="40" customFormat="false" ht="15" hidden="false" customHeight="false" outlineLevel="0" collapsed="false">
      <c r="A40" s="13" t="n">
        <v>18</v>
      </c>
      <c r="B40" s="116" t="str">
        <f aca="false">IF('Game Info'!Q23="","",'Game Info'!Q23)</f>
        <v>SYM5</v>
      </c>
      <c r="C40" s="116" t="n">
        <f aca="false">IF('Game Info'!R23="","",'Game Info'!R23)</f>
        <v>10</v>
      </c>
      <c r="D40" s="116" t="str">
        <f aca="false">IF('Game Info'!S23="","",'Game Info'!S23)</f>
        <v>SYM4</v>
      </c>
      <c r="E40" s="116" t="str">
        <f aca="false">IF('Game Info'!T23="","",'Game Info'!T23)</f>
        <v>SYM1</v>
      </c>
      <c r="F40" s="117" t="str">
        <f aca="false">IF('Game Info'!U23="","",'Game Info'!U23)</f>
        <v>SYM4</v>
      </c>
      <c r="H40" s="91" t="n">
        <f aca="false">IF($B40="","",COUNTIF($B37:$B40,H$21)+COUNTIF($B37:$B40,$A$3))</f>
        <v>0</v>
      </c>
      <c r="I40" s="73" t="n">
        <f aca="false">IF($C40="","",COUNTIF($C37:$C40,H$21)+COUNTIF($C37:$C40,$A$3))</f>
        <v>1</v>
      </c>
      <c r="J40" s="73" t="n">
        <f aca="false">IF($D40="","",COUNTIF($D37:$D40,H$21)+COUNTIF($D37:$D40,$A$3))</f>
        <v>0</v>
      </c>
      <c r="K40" s="73" t="n">
        <f aca="false">IF($E40="","",COUNTIF($E37:$E40,H$21)+COUNTIF($E37:$E40,$A$3))</f>
        <v>2</v>
      </c>
      <c r="L40" s="92" t="n">
        <f aca="false">IF($F40="","",COUNTIF($F37:$F40,H$21)+COUNTIF($F37:$F40,$A$3))</f>
        <v>1</v>
      </c>
      <c r="N40" s="91" t="n">
        <f aca="false">IF($B40="","",COUNTIF($B37:$B40,N$21)+COUNTIF($B37:$B40,$A$3))</f>
        <v>0</v>
      </c>
      <c r="O40" s="73" t="n">
        <f aca="false">IF($C40="","",COUNTIF($C37:$C40,N$21)+COUNTIF($C37:$C40,$A$3))</f>
        <v>0</v>
      </c>
      <c r="P40" s="73" t="n">
        <f aca="false">IF($D40="","",COUNTIF($D37:$D40,N$21)+COUNTIF($D37:$D40,$A$3))</f>
        <v>0</v>
      </c>
      <c r="Q40" s="73" t="n">
        <f aca="false">IF($E40="","",COUNTIF($E37:$E40,N$21)+COUNTIF($E37:$E40,$A$3))</f>
        <v>0</v>
      </c>
      <c r="R40" s="92" t="n">
        <f aca="false">IF($F40="","",COUNTIF($F37:$F40,N$21)+COUNTIF($F37:$F40,$A$3))</f>
        <v>0</v>
      </c>
      <c r="T40" s="91" t="n">
        <f aca="false">IF($B40="","",COUNTIF($B37:$B40,T$21)+COUNTIF($B37:$B40,$A$3))</f>
        <v>0</v>
      </c>
      <c r="U40" s="73" t="n">
        <f aca="false">IF($C40="","",COUNTIF($C37:$C40,T$21)+COUNTIF($C37:$C40,$A$3))</f>
        <v>0</v>
      </c>
      <c r="V40" s="73" t="n">
        <f aca="false">IF($D40="","",COUNTIF($D37:$D40,T$21)+COUNTIF($D37:$D40,$A$3))</f>
        <v>0</v>
      </c>
      <c r="W40" s="73" t="n">
        <f aca="false">IF($E40="","",COUNTIF($E37:$E40,T$21)+COUNTIF($E37:$E40,$A$3))</f>
        <v>0</v>
      </c>
      <c r="X40" s="92" t="n">
        <f aca="false">IF($F40="","",COUNTIF($F37:$F40,T$21)+COUNTIF($F37:$F40,$A$3))</f>
        <v>0</v>
      </c>
      <c r="Z40" s="91" t="n">
        <f aca="false">IF($B40="","",COUNTIF($B37:$B40,Z$21)+COUNTIF($B37:$B40,$A$3))</f>
        <v>0</v>
      </c>
      <c r="AA40" s="73" t="n">
        <f aca="false">IF($C40="","",COUNTIF($C37:$C40,Z$21)+COUNTIF($C37:$C40,$A$3))</f>
        <v>0</v>
      </c>
      <c r="AB40" s="73" t="n">
        <f aca="false">IF($D40="","",COUNTIF($D37:$D40,Z$21)+COUNTIF($D37:$D40,$A$3))</f>
        <v>3</v>
      </c>
      <c r="AC40" s="73" t="n">
        <f aca="false">IF($E40="","",COUNTIF($E37:$E40,Z$21)+COUNTIF($E37:$E40,$A$3))</f>
        <v>1</v>
      </c>
      <c r="AD40" s="92" t="n">
        <f aca="false">IF($F40="","",COUNTIF($F37:$F40,Z$21)+COUNTIF($F37:$F40,$A$3))</f>
        <v>1</v>
      </c>
      <c r="AF40" s="91" t="n">
        <f aca="false">IF($B40="","",COUNTIF($B37:$B40,AF$21)+COUNTIF($B37:$B40,$A$3))</f>
        <v>3</v>
      </c>
      <c r="AG40" s="73" t="n">
        <f aca="false">IF($C40="","",COUNTIF($C37:$C40,AF$21)+COUNTIF($C37:$C40,$A$3))</f>
        <v>0</v>
      </c>
      <c r="AH40" s="73" t="n">
        <f aca="false">IF($D40="","",COUNTIF($D37:$D40,AF$21)+COUNTIF($D37:$D40,$A$3))</f>
        <v>0</v>
      </c>
      <c r="AI40" s="73" t="n">
        <f aca="false">IF($E40="","",COUNTIF($E37:$E40,AF$21)+COUNTIF($E37:$E40,$A$3))</f>
        <v>0</v>
      </c>
      <c r="AJ40" s="92" t="n">
        <f aca="false">IF($F40="","",COUNTIF($F37:$F40,AF$21)+COUNTIF($F37:$F40,$A$3))</f>
        <v>0</v>
      </c>
      <c r="AL40" s="91" t="n">
        <f aca="false">IF($B40="","",COUNTIF($B37:$B40,AL$21)+COUNTIF($B37:$B40,$A$3))</f>
        <v>1</v>
      </c>
      <c r="AM40" s="73" t="n">
        <f aca="false">IF($C40="","",COUNTIF($C37:$C40,AL$21)+COUNTIF($C37:$C40,$A$3))</f>
        <v>0</v>
      </c>
      <c r="AN40" s="73" t="n">
        <f aca="false">IF($D40="","",COUNTIF($D37:$D40,AL$21)+COUNTIF($D37:$D40,$A$3))</f>
        <v>1</v>
      </c>
      <c r="AO40" s="73" t="n">
        <f aca="false">IF($E40="","",COUNTIF($E37:$E40,AL$21)+COUNTIF($E37:$E40,$A$3))</f>
        <v>0</v>
      </c>
      <c r="AP40" s="92" t="n">
        <f aca="false">IF($F40="","",COUNTIF($F37:$F40,AL$21)+COUNTIF($F37:$F40,$A$3))</f>
        <v>0</v>
      </c>
      <c r="AR40" s="91" t="n">
        <f aca="false">IF($B40="","",COUNTIF($B37:$B40,AR$21)+COUNTIF($B37:$B40,$A$3))</f>
        <v>0</v>
      </c>
      <c r="AS40" s="73" t="n">
        <f aca="false">IF($C40="","",COUNTIF($C37:$C40,AR$21)+COUNTIF($C37:$C40,$A$3))</f>
        <v>1</v>
      </c>
      <c r="AT40" s="73" t="n">
        <f aca="false">IF($D40="","",COUNTIF($D37:$D40,AR$21)+COUNTIF($D37:$D40,$A$3))</f>
        <v>0</v>
      </c>
      <c r="AU40" s="73" t="n">
        <f aca="false">IF($E40="","",COUNTIF($E37:$E40,AR$21)+COUNTIF($E37:$E40,$A$3))</f>
        <v>0</v>
      </c>
      <c r="AV40" s="92" t="n">
        <f aca="false">IF($F40="","",COUNTIF($F37:$F40,AR$21)+COUNTIF($F37:$F40,$A$3))</f>
        <v>1</v>
      </c>
      <c r="AX40" s="91" t="n">
        <f aca="false">IF($B40="","",COUNTIF($B37:$B40,AX$21)+COUNTIF($B37:$B40,$A$3))</f>
        <v>0</v>
      </c>
      <c r="AY40" s="73" t="n">
        <f aca="false">IF($C40="","",COUNTIF($C37:$C40,AX$21)+COUNTIF($C37:$C40,$A$3))</f>
        <v>1</v>
      </c>
      <c r="AZ40" s="73" t="n">
        <f aca="false">IF($D40="","",COUNTIF($D37:$D40,AX$21)+COUNTIF($D37:$D40,$A$3))</f>
        <v>0</v>
      </c>
      <c r="BA40" s="73" t="n">
        <f aca="false">IF($E40="","",COUNTIF($E37:$E40,AX$21)+COUNTIF($E37:$E40,$A$3))</f>
        <v>0</v>
      </c>
      <c r="BB40" s="92" t="n">
        <f aca="false">IF($F40="","",COUNTIF($F37:$F40,AX$21)+COUNTIF($F37:$F40,$A$3))</f>
        <v>1</v>
      </c>
      <c r="BD40" s="91" t="n">
        <f aca="false">IF($B40="","",COUNTIF($B37:$B40,BD$21)+COUNTIF($B37:$B40,$A$3))</f>
        <v>0</v>
      </c>
      <c r="BE40" s="73" t="n">
        <f aca="false">IF($C40="","",COUNTIF($C37:$C40,BD$21)+COUNTIF($C37:$C40,$A$3))</f>
        <v>0</v>
      </c>
      <c r="BF40" s="73" t="n">
        <f aca="false">IF($D40="","",COUNTIF($D37:$D40,BD$21)+COUNTIF($D37:$D40,$A$3))</f>
        <v>0</v>
      </c>
      <c r="BG40" s="73" t="n">
        <f aca="false">IF($E40="","",COUNTIF($E37:$E40,BD$21)+COUNTIF($E37:$E40,$A$3))</f>
        <v>1</v>
      </c>
      <c r="BH40" s="92" t="n">
        <f aca="false">IF($F40="","",COUNTIF($F37:$F40,BD$21)+COUNTIF($F37:$F40,$A$3))</f>
        <v>0</v>
      </c>
      <c r="BJ40" s="91" t="n">
        <f aca="false">IF($B40="","",COUNTIF($B37:$B40,BJ$21)+COUNTIF($B37:$B40,$A$3))</f>
        <v>0</v>
      </c>
      <c r="BK40" s="73" t="n">
        <f aca="false">IF($C40="","",COUNTIF($C37:$C40,BJ$21)+COUNTIF($C37:$C40,$A$3))</f>
        <v>1</v>
      </c>
      <c r="BL40" s="73" t="n">
        <f aca="false">IF($D40="","",COUNTIF($D37:$D40,BJ$21)+COUNTIF($D37:$D40,$A$3))</f>
        <v>0</v>
      </c>
      <c r="BM40" s="73" t="n">
        <f aca="false">IF($E40="","",COUNTIF($E37:$E40,BJ$21)+COUNTIF($E37:$E40,$A$3))</f>
        <v>0</v>
      </c>
      <c r="BN40" s="92" t="n">
        <f aca="false">IF($F40="","",COUNTIF($F37:$F40,BJ$21)+COUNTIF($F37:$F40,$A$3))</f>
        <v>0</v>
      </c>
      <c r="BP40" s="91" t="n">
        <f aca="false">IF($B40="","",COUNTIF($B37:$B40,BP$21)+COUNTIF($B37:$B40,$A$3))</f>
        <v>0</v>
      </c>
      <c r="BQ40" s="73" t="n">
        <f aca="false">IF($C40="","",COUNTIF($C37:$C40,BP$21)+COUNTIF($C37:$C40,$A$3))</f>
        <v>0</v>
      </c>
      <c r="BR40" s="73" t="n">
        <f aca="false">IF($D40="","",COUNTIF($D37:$D40,BP$21)+COUNTIF($D37:$D40,$A$3))</f>
        <v>0</v>
      </c>
      <c r="BS40" s="73" t="n">
        <f aca="false">IF($E40="","",COUNTIF($E37:$E40,BP$21)+COUNTIF($E37:$E40,$A$3))</f>
        <v>0</v>
      </c>
      <c r="BT40" s="92" t="n">
        <f aca="false">IF($F40="","",COUNTIF($F37:$F40,BP$21)+COUNTIF($F37:$F40,$A$3))</f>
        <v>0</v>
      </c>
    </row>
    <row r="41" customFormat="false" ht="15" hidden="false" customHeight="false" outlineLevel="0" collapsed="false">
      <c r="A41" s="13" t="n">
        <v>19</v>
      </c>
      <c r="B41" s="116" t="str">
        <f aca="false">IF('Game Info'!Q24="","",'Game Info'!Q24)</f>
        <v>Q</v>
      </c>
      <c r="C41" s="116" t="str">
        <f aca="false">IF('Game Info'!R24="","",'Game Info'!R24)</f>
        <v>K</v>
      </c>
      <c r="D41" s="116" t="str">
        <f aca="false">IF('Game Info'!S24="","",'Game Info'!S24)</f>
        <v>J</v>
      </c>
      <c r="E41" s="116" t="str">
        <f aca="false">IF('Game Info'!T24="","",'Game Info'!T24)</f>
        <v>SYM1</v>
      </c>
      <c r="F41" s="117" t="str">
        <f aca="false">IF('Game Info'!U24="","",'Game Info'!U24)</f>
        <v>K</v>
      </c>
      <c r="H41" s="91" t="n">
        <f aca="false">IF($B41="","",COUNTIF($B38:$B41,H$21)+COUNTIF($B38:$B41,$A$3))</f>
        <v>0</v>
      </c>
      <c r="I41" s="73" t="n">
        <f aca="false">IF($C41="","",COUNTIF($C38:$C41,H$21)+COUNTIF($C38:$C41,$A$3))</f>
        <v>1</v>
      </c>
      <c r="J41" s="73" t="n">
        <f aca="false">IF($D41="","",COUNTIF($D38:$D41,H$21)+COUNTIF($D38:$D41,$A$3))</f>
        <v>0</v>
      </c>
      <c r="K41" s="73" t="n">
        <f aca="false">IF($E41="","",COUNTIF($E38:$E41,H$21)+COUNTIF($E38:$E41,$A$3))</f>
        <v>3</v>
      </c>
      <c r="L41" s="92" t="n">
        <f aca="false">IF($F41="","",COUNTIF($F38:$F41,H$21)+COUNTIF($F38:$F41,$A$3))</f>
        <v>0</v>
      </c>
      <c r="N41" s="91" t="n">
        <f aca="false">IF($B41="","",COUNTIF($B38:$B41,N$21)+COUNTIF($B38:$B41,$A$3))</f>
        <v>0</v>
      </c>
      <c r="O41" s="73" t="n">
        <f aca="false">IF($C41="","",COUNTIF($C38:$C41,N$21)+COUNTIF($C38:$C41,$A$3))</f>
        <v>0</v>
      </c>
      <c r="P41" s="73" t="n">
        <f aca="false">IF($D41="","",COUNTIF($D38:$D41,N$21)+COUNTIF($D38:$D41,$A$3))</f>
        <v>0</v>
      </c>
      <c r="Q41" s="73" t="n">
        <f aca="false">IF($E41="","",COUNTIF($E38:$E41,N$21)+COUNTIF($E38:$E41,$A$3))</f>
        <v>0</v>
      </c>
      <c r="R41" s="92" t="n">
        <f aca="false">IF($F41="","",COUNTIF($F38:$F41,N$21)+COUNTIF($F38:$F41,$A$3))</f>
        <v>0</v>
      </c>
      <c r="T41" s="91" t="n">
        <f aca="false">IF($B41="","",COUNTIF($B38:$B41,T$21)+COUNTIF($B38:$B41,$A$3))</f>
        <v>0</v>
      </c>
      <c r="U41" s="73" t="n">
        <f aca="false">IF($C41="","",COUNTIF($C38:$C41,T$21)+COUNTIF($C38:$C41,$A$3))</f>
        <v>0</v>
      </c>
      <c r="V41" s="73" t="n">
        <f aca="false">IF($D41="","",COUNTIF($D38:$D41,T$21)+COUNTIF($D38:$D41,$A$3))</f>
        <v>0</v>
      </c>
      <c r="W41" s="73" t="n">
        <f aca="false">IF($E41="","",COUNTIF($E38:$E41,T$21)+COUNTIF($E38:$E41,$A$3))</f>
        <v>0</v>
      </c>
      <c r="X41" s="92" t="n">
        <f aca="false">IF($F41="","",COUNTIF($F38:$F41,T$21)+COUNTIF($F38:$F41,$A$3))</f>
        <v>0</v>
      </c>
      <c r="Z41" s="91" t="n">
        <f aca="false">IF($B41="","",COUNTIF($B38:$B41,Z$21)+COUNTIF($B38:$B41,$A$3))</f>
        <v>0</v>
      </c>
      <c r="AA41" s="73" t="n">
        <f aca="false">IF($C41="","",COUNTIF($C38:$C41,Z$21)+COUNTIF($C38:$C41,$A$3))</f>
        <v>0</v>
      </c>
      <c r="AB41" s="73" t="n">
        <f aca="false">IF($D41="","",COUNTIF($D38:$D41,Z$21)+COUNTIF($D38:$D41,$A$3))</f>
        <v>3</v>
      </c>
      <c r="AC41" s="73" t="n">
        <f aca="false">IF($E41="","",COUNTIF($E38:$E41,Z$21)+COUNTIF($E38:$E41,$A$3))</f>
        <v>0</v>
      </c>
      <c r="AD41" s="92" t="n">
        <f aca="false">IF($F41="","",COUNTIF($F38:$F41,Z$21)+COUNTIF($F38:$F41,$A$3))</f>
        <v>1</v>
      </c>
      <c r="AF41" s="91" t="n">
        <f aca="false">IF($B41="","",COUNTIF($B38:$B41,AF$21)+COUNTIF($B38:$B41,$A$3))</f>
        <v>3</v>
      </c>
      <c r="AG41" s="73" t="n">
        <f aca="false">IF($C41="","",COUNTIF($C38:$C41,AF$21)+COUNTIF($C38:$C41,$A$3))</f>
        <v>0</v>
      </c>
      <c r="AH41" s="73" t="n">
        <f aca="false">IF($D41="","",COUNTIF($D38:$D41,AF$21)+COUNTIF($D38:$D41,$A$3))</f>
        <v>0</v>
      </c>
      <c r="AI41" s="73" t="n">
        <f aca="false">IF($E41="","",COUNTIF($E38:$E41,AF$21)+COUNTIF($E38:$E41,$A$3))</f>
        <v>0</v>
      </c>
      <c r="AJ41" s="92" t="n">
        <f aca="false">IF($F41="","",COUNTIF($F38:$F41,AF$21)+COUNTIF($F38:$F41,$A$3))</f>
        <v>0</v>
      </c>
      <c r="AL41" s="91" t="n">
        <f aca="false">IF($B41="","",COUNTIF($B38:$B41,AL$21)+COUNTIF($B38:$B41,$A$3))</f>
        <v>0</v>
      </c>
      <c r="AM41" s="73" t="n">
        <f aca="false">IF($C41="","",COUNTIF($C38:$C41,AL$21)+COUNTIF($C38:$C41,$A$3))</f>
        <v>0</v>
      </c>
      <c r="AN41" s="73" t="n">
        <f aca="false">IF($D41="","",COUNTIF($D38:$D41,AL$21)+COUNTIF($D38:$D41,$A$3))</f>
        <v>0</v>
      </c>
      <c r="AO41" s="73" t="n">
        <f aca="false">IF($E41="","",COUNTIF($E38:$E41,AL$21)+COUNTIF($E38:$E41,$A$3))</f>
        <v>0</v>
      </c>
      <c r="AP41" s="92" t="n">
        <f aca="false">IF($F41="","",COUNTIF($F38:$F41,AL$21)+COUNTIF($F38:$F41,$A$3))</f>
        <v>0</v>
      </c>
      <c r="AR41" s="91" t="n">
        <f aca="false">IF($B41="","",COUNTIF($B38:$B41,AR$21)+COUNTIF($B38:$B41,$A$3))</f>
        <v>0</v>
      </c>
      <c r="AS41" s="73" t="n">
        <f aca="false">IF($C41="","",COUNTIF($C38:$C41,AR$21)+COUNTIF($C38:$C41,$A$3))</f>
        <v>1</v>
      </c>
      <c r="AT41" s="73" t="n">
        <f aca="false">IF($D41="","",COUNTIF($D38:$D41,AR$21)+COUNTIF($D38:$D41,$A$3))</f>
        <v>0</v>
      </c>
      <c r="AU41" s="73" t="n">
        <f aca="false">IF($E41="","",COUNTIF($E38:$E41,AR$21)+COUNTIF($E38:$E41,$A$3))</f>
        <v>0</v>
      </c>
      <c r="AV41" s="92" t="n">
        <f aca="false">IF($F41="","",COUNTIF($F38:$F41,AR$21)+COUNTIF($F38:$F41,$A$3))</f>
        <v>2</v>
      </c>
      <c r="AX41" s="91" t="n">
        <f aca="false">IF($B41="","",COUNTIF($B38:$B41,AX$21)+COUNTIF($B38:$B41,$A$3))</f>
        <v>1</v>
      </c>
      <c r="AY41" s="73" t="n">
        <f aca="false">IF($C41="","",COUNTIF($C38:$C41,AX$21)+COUNTIF($C38:$C41,$A$3))</f>
        <v>1</v>
      </c>
      <c r="AZ41" s="73" t="n">
        <f aca="false">IF($D41="","",COUNTIF($D38:$D41,AX$21)+COUNTIF($D38:$D41,$A$3))</f>
        <v>0</v>
      </c>
      <c r="BA41" s="73" t="n">
        <f aca="false">IF($E41="","",COUNTIF($E38:$E41,AX$21)+COUNTIF($E38:$E41,$A$3))</f>
        <v>0</v>
      </c>
      <c r="BB41" s="92" t="n">
        <f aca="false">IF($F41="","",COUNTIF($F38:$F41,AX$21)+COUNTIF($F38:$F41,$A$3))</f>
        <v>1</v>
      </c>
      <c r="BD41" s="91" t="n">
        <f aca="false">IF($B41="","",COUNTIF($B38:$B41,BD$21)+COUNTIF($B38:$B41,$A$3))</f>
        <v>0</v>
      </c>
      <c r="BE41" s="73" t="n">
        <f aca="false">IF($C41="","",COUNTIF($C38:$C41,BD$21)+COUNTIF($C38:$C41,$A$3))</f>
        <v>0</v>
      </c>
      <c r="BF41" s="73" t="n">
        <f aca="false">IF($D41="","",COUNTIF($D38:$D41,BD$21)+COUNTIF($D38:$D41,$A$3))</f>
        <v>1</v>
      </c>
      <c r="BG41" s="73" t="n">
        <f aca="false">IF($E41="","",COUNTIF($E38:$E41,BD$21)+COUNTIF($E38:$E41,$A$3))</f>
        <v>1</v>
      </c>
      <c r="BH41" s="92" t="n">
        <f aca="false">IF($F41="","",COUNTIF($F38:$F41,BD$21)+COUNTIF($F38:$F41,$A$3))</f>
        <v>0</v>
      </c>
      <c r="BJ41" s="91" t="n">
        <f aca="false">IF($B41="","",COUNTIF($B38:$B41,BJ$21)+COUNTIF($B38:$B41,$A$3))</f>
        <v>0</v>
      </c>
      <c r="BK41" s="73" t="n">
        <f aca="false">IF($C41="","",COUNTIF($C38:$C41,BJ$21)+COUNTIF($C38:$C41,$A$3))</f>
        <v>1</v>
      </c>
      <c r="BL41" s="73" t="n">
        <f aca="false">IF($D41="","",COUNTIF($D38:$D41,BJ$21)+COUNTIF($D38:$D41,$A$3))</f>
        <v>0</v>
      </c>
      <c r="BM41" s="73" t="n">
        <f aca="false">IF($E41="","",COUNTIF($E38:$E41,BJ$21)+COUNTIF($E38:$E41,$A$3))</f>
        <v>0</v>
      </c>
      <c r="BN41" s="92" t="n">
        <f aca="false">IF($F41="","",COUNTIF($F38:$F41,BJ$21)+COUNTIF($F38:$F41,$A$3))</f>
        <v>0</v>
      </c>
      <c r="BP41" s="91" t="n">
        <f aca="false">IF($B41="","",COUNTIF($B38:$B41,BP$21)+COUNTIF($B38:$B41,$A$3))</f>
        <v>0</v>
      </c>
      <c r="BQ41" s="73" t="n">
        <f aca="false">IF($C41="","",COUNTIF($C38:$C41,BP$21)+COUNTIF($C38:$C41,$A$3))</f>
        <v>0</v>
      </c>
      <c r="BR41" s="73" t="n">
        <f aca="false">IF($D41="","",COUNTIF($D38:$D41,BP$21)+COUNTIF($D38:$D41,$A$3))</f>
        <v>0</v>
      </c>
      <c r="BS41" s="73" t="n">
        <f aca="false">IF($E41="","",COUNTIF($E38:$E41,BP$21)+COUNTIF($E38:$E41,$A$3))</f>
        <v>0</v>
      </c>
      <c r="BT41" s="92" t="n">
        <f aca="false">IF($F41="","",COUNTIF($F38:$F41,BP$21)+COUNTIF($F38:$F41,$A$3))</f>
        <v>0</v>
      </c>
    </row>
    <row r="42" customFormat="false" ht="15" hidden="false" customHeight="false" outlineLevel="0" collapsed="false">
      <c r="A42" s="13" t="n">
        <v>20</v>
      </c>
      <c r="B42" s="116" t="n">
        <f aca="false">IF('Game Info'!Q25="","",'Game Info'!Q25)</f>
        <v>10</v>
      </c>
      <c r="C42" s="116" t="str">
        <f aca="false">IF('Game Info'!R25="","",'Game Info'!R25)</f>
        <v>SYM4</v>
      </c>
      <c r="D42" s="116" t="str">
        <f aca="false">IF('Game Info'!S25="","",'Game Info'!S25)</f>
        <v>FG</v>
      </c>
      <c r="E42" s="116" t="str">
        <f aca="false">IF('Game Info'!T25="","",'Game Info'!T25)</f>
        <v>J</v>
      </c>
      <c r="F42" s="117" t="str">
        <f aca="false">IF('Game Info'!U25="","",'Game Info'!U25)</f>
        <v>SYM1</v>
      </c>
      <c r="H42" s="91" t="n">
        <f aca="false">IF($B42="","",COUNTIF($B39:$B42,H$21)+COUNTIF($B39:$B42,$A$3))</f>
        <v>0</v>
      </c>
      <c r="I42" s="73" t="n">
        <f aca="false">IF($C42="","",COUNTIF($C39:$C42,H$21)+COUNTIF($C39:$C42,$A$3))</f>
        <v>0</v>
      </c>
      <c r="J42" s="73" t="n">
        <f aca="false">IF($D42="","",COUNTIF($D39:$D42,H$21)+COUNTIF($D39:$D42,$A$3))</f>
        <v>0</v>
      </c>
      <c r="K42" s="73" t="n">
        <f aca="false">IF($E42="","",COUNTIF($E39:$E42,H$21)+COUNTIF($E39:$E42,$A$3))</f>
        <v>3</v>
      </c>
      <c r="L42" s="92" t="n">
        <f aca="false">IF($F42="","",COUNTIF($F39:$F42,H$21)+COUNTIF($F39:$F42,$A$3))</f>
        <v>1</v>
      </c>
      <c r="N42" s="91" t="n">
        <f aca="false">IF($B42="","",COUNTIF($B39:$B42,N$21)+COUNTIF($B39:$B42,$A$3))</f>
        <v>0</v>
      </c>
      <c r="O42" s="73" t="n">
        <f aca="false">IF($C42="","",COUNTIF($C39:$C42,N$21)+COUNTIF($C39:$C42,$A$3))</f>
        <v>0</v>
      </c>
      <c r="P42" s="73" t="n">
        <f aca="false">IF($D42="","",COUNTIF($D39:$D42,N$21)+COUNTIF($D39:$D42,$A$3))</f>
        <v>0</v>
      </c>
      <c r="Q42" s="73" t="n">
        <f aca="false">IF($E42="","",COUNTIF($E39:$E42,N$21)+COUNTIF($E39:$E42,$A$3))</f>
        <v>0</v>
      </c>
      <c r="R42" s="92" t="n">
        <f aca="false">IF($F42="","",COUNTIF($F39:$F42,N$21)+COUNTIF($F39:$F42,$A$3))</f>
        <v>0</v>
      </c>
      <c r="T42" s="91" t="n">
        <f aca="false">IF($B42="","",COUNTIF($B39:$B42,T$21)+COUNTIF($B39:$B42,$A$3))</f>
        <v>0</v>
      </c>
      <c r="U42" s="73" t="n">
        <f aca="false">IF($C42="","",COUNTIF($C39:$C42,T$21)+COUNTIF($C39:$C42,$A$3))</f>
        <v>0</v>
      </c>
      <c r="V42" s="73" t="n">
        <f aca="false">IF($D42="","",COUNTIF($D39:$D42,T$21)+COUNTIF($D39:$D42,$A$3))</f>
        <v>0</v>
      </c>
      <c r="W42" s="73" t="n">
        <f aca="false">IF($E42="","",COUNTIF($E39:$E42,T$21)+COUNTIF($E39:$E42,$A$3))</f>
        <v>0</v>
      </c>
      <c r="X42" s="92" t="n">
        <f aca="false">IF($F42="","",COUNTIF($F39:$F42,T$21)+COUNTIF($F39:$F42,$A$3))</f>
        <v>0</v>
      </c>
      <c r="Z42" s="91" t="n">
        <f aca="false">IF($B42="","",COUNTIF($B39:$B42,Z$21)+COUNTIF($B39:$B42,$A$3))</f>
        <v>0</v>
      </c>
      <c r="AA42" s="73" t="n">
        <f aca="false">IF($C42="","",COUNTIF($C39:$C42,Z$21)+COUNTIF($C39:$C42,$A$3))</f>
        <v>1</v>
      </c>
      <c r="AB42" s="73" t="n">
        <f aca="false">IF($D42="","",COUNTIF($D39:$D42,Z$21)+COUNTIF($D39:$D42,$A$3))</f>
        <v>2</v>
      </c>
      <c r="AC42" s="73" t="n">
        <f aca="false">IF($E42="","",COUNTIF($E39:$E42,Z$21)+COUNTIF($E39:$E42,$A$3))</f>
        <v>0</v>
      </c>
      <c r="AD42" s="92" t="n">
        <f aca="false">IF($F42="","",COUNTIF($F39:$F42,Z$21)+COUNTIF($F39:$F42,$A$3))</f>
        <v>1</v>
      </c>
      <c r="AF42" s="91" t="n">
        <f aca="false">IF($B42="","",COUNTIF($B39:$B42,AF$21)+COUNTIF($B39:$B42,$A$3))</f>
        <v>2</v>
      </c>
      <c r="AG42" s="73" t="n">
        <f aca="false">IF($C42="","",COUNTIF($C39:$C42,AF$21)+COUNTIF($C39:$C42,$A$3))</f>
        <v>0</v>
      </c>
      <c r="AH42" s="73" t="n">
        <f aca="false">IF($D42="","",COUNTIF($D39:$D42,AF$21)+COUNTIF($D39:$D42,$A$3))</f>
        <v>0</v>
      </c>
      <c r="AI42" s="73" t="n">
        <f aca="false">IF($E42="","",COUNTIF($E39:$E42,AF$21)+COUNTIF($E39:$E42,$A$3))</f>
        <v>0</v>
      </c>
      <c r="AJ42" s="92" t="n">
        <f aca="false">IF($F42="","",COUNTIF($F39:$F42,AF$21)+COUNTIF($F39:$F42,$A$3))</f>
        <v>0</v>
      </c>
      <c r="AL42" s="91" t="n">
        <f aca="false">IF($B42="","",COUNTIF($B39:$B42,AL$21)+COUNTIF($B39:$B42,$A$3))</f>
        <v>0</v>
      </c>
      <c r="AM42" s="73" t="n">
        <f aca="false">IF($C42="","",COUNTIF($C39:$C42,AL$21)+COUNTIF($C39:$C42,$A$3))</f>
        <v>0</v>
      </c>
      <c r="AN42" s="73" t="n">
        <f aca="false">IF($D42="","",COUNTIF($D39:$D42,AL$21)+COUNTIF($D39:$D42,$A$3))</f>
        <v>0</v>
      </c>
      <c r="AO42" s="73" t="n">
        <f aca="false">IF($E42="","",COUNTIF($E39:$E42,AL$21)+COUNTIF($E39:$E42,$A$3))</f>
        <v>0</v>
      </c>
      <c r="AP42" s="92" t="n">
        <f aca="false">IF($F42="","",COUNTIF($F39:$F42,AL$21)+COUNTIF($F39:$F42,$A$3))</f>
        <v>0</v>
      </c>
      <c r="AR42" s="91" t="n">
        <f aca="false">IF($B42="","",COUNTIF($B39:$B42,AR$21)+COUNTIF($B39:$B42,$A$3))</f>
        <v>0</v>
      </c>
      <c r="AS42" s="73" t="n">
        <f aca="false">IF($C42="","",COUNTIF($C39:$C42,AR$21)+COUNTIF($C39:$C42,$A$3))</f>
        <v>1</v>
      </c>
      <c r="AT42" s="73" t="n">
        <f aca="false">IF($D42="","",COUNTIF($D39:$D42,AR$21)+COUNTIF($D39:$D42,$A$3))</f>
        <v>0</v>
      </c>
      <c r="AU42" s="73" t="n">
        <f aca="false">IF($E42="","",COUNTIF($E39:$E42,AR$21)+COUNTIF($E39:$E42,$A$3))</f>
        <v>0</v>
      </c>
      <c r="AV42" s="92" t="n">
        <f aca="false">IF($F42="","",COUNTIF($F39:$F42,AR$21)+COUNTIF($F39:$F42,$A$3))</f>
        <v>1</v>
      </c>
      <c r="AX42" s="91" t="n">
        <f aca="false">IF($B42="","",COUNTIF($B39:$B42,AX$21)+COUNTIF($B39:$B42,$A$3))</f>
        <v>1</v>
      </c>
      <c r="AY42" s="73" t="n">
        <f aca="false">IF($C42="","",COUNTIF($C39:$C42,AX$21)+COUNTIF($C39:$C42,$A$3))</f>
        <v>1</v>
      </c>
      <c r="AZ42" s="73" t="n">
        <f aca="false">IF($D42="","",COUNTIF($D39:$D42,AX$21)+COUNTIF($D39:$D42,$A$3))</f>
        <v>0</v>
      </c>
      <c r="BA42" s="73" t="n">
        <f aca="false">IF($E42="","",COUNTIF($E39:$E42,AX$21)+COUNTIF($E39:$E42,$A$3))</f>
        <v>0</v>
      </c>
      <c r="BB42" s="92" t="n">
        <f aca="false">IF($F42="","",COUNTIF($F39:$F42,AX$21)+COUNTIF($F39:$F42,$A$3))</f>
        <v>1</v>
      </c>
      <c r="BD42" s="91" t="n">
        <f aca="false">IF($B42="","",COUNTIF($B39:$B42,BD$21)+COUNTIF($B39:$B42,$A$3))</f>
        <v>0</v>
      </c>
      <c r="BE42" s="73" t="n">
        <f aca="false">IF($C42="","",COUNTIF($C39:$C42,BD$21)+COUNTIF($C39:$C42,$A$3))</f>
        <v>0</v>
      </c>
      <c r="BF42" s="73" t="n">
        <f aca="false">IF($D42="","",COUNTIF($D39:$D42,BD$21)+COUNTIF($D39:$D42,$A$3))</f>
        <v>1</v>
      </c>
      <c r="BG42" s="73" t="n">
        <f aca="false">IF($E42="","",COUNTIF($E39:$E42,BD$21)+COUNTIF($E39:$E42,$A$3))</f>
        <v>1</v>
      </c>
      <c r="BH42" s="92" t="n">
        <f aca="false">IF($F42="","",COUNTIF($F39:$F42,BD$21)+COUNTIF($F39:$F42,$A$3))</f>
        <v>0</v>
      </c>
      <c r="BJ42" s="91" t="n">
        <f aca="false">IF($B42="","",COUNTIF($B39:$B42,BJ$21)+COUNTIF($B39:$B42,$A$3))</f>
        <v>1</v>
      </c>
      <c r="BK42" s="73" t="n">
        <f aca="false">IF($C42="","",COUNTIF($C39:$C42,BJ$21)+COUNTIF($C39:$C42,$A$3))</f>
        <v>1</v>
      </c>
      <c r="BL42" s="73" t="n">
        <f aca="false">IF($D42="","",COUNTIF($D39:$D42,BJ$21)+COUNTIF($D39:$D42,$A$3))</f>
        <v>0</v>
      </c>
      <c r="BM42" s="73" t="n">
        <f aca="false">IF($E42="","",COUNTIF($E39:$E42,BJ$21)+COUNTIF($E39:$E42,$A$3))</f>
        <v>0</v>
      </c>
      <c r="BN42" s="92" t="n">
        <f aca="false">IF($F42="","",COUNTIF($F39:$F42,BJ$21)+COUNTIF($F39:$F42,$A$3))</f>
        <v>0</v>
      </c>
      <c r="BP42" s="91" t="n">
        <f aca="false">IF($B42="","",COUNTIF($B39:$B42,BP$21)+COUNTIF($B39:$B42,$A$3))</f>
        <v>0</v>
      </c>
      <c r="BQ42" s="73" t="n">
        <f aca="false">IF($C42="","",COUNTIF($C39:$C42,BP$21)+COUNTIF($C39:$C42,$A$3))</f>
        <v>0</v>
      </c>
      <c r="BR42" s="73" t="n">
        <f aca="false">IF($D42="","",COUNTIF($D39:$D42,BP$21)+COUNTIF($D39:$D42,$A$3))</f>
        <v>0</v>
      </c>
      <c r="BS42" s="73" t="n">
        <f aca="false">IF($E42="","",COUNTIF($E39:$E42,BP$21)+COUNTIF($E39:$E42,$A$3))</f>
        <v>0</v>
      </c>
      <c r="BT42" s="92" t="n">
        <f aca="false">IF($F42="","",COUNTIF($F39:$F42,BP$21)+COUNTIF($F39:$F42,$A$3))</f>
        <v>0</v>
      </c>
    </row>
    <row r="43" customFormat="false" ht="15" hidden="false" customHeight="false" outlineLevel="0" collapsed="false">
      <c r="A43" s="13" t="n">
        <v>21</v>
      </c>
      <c r="B43" s="116" t="str">
        <f aca="false">IF('Game Info'!Q26="","",'Game Info'!Q26)</f>
        <v>SYM5</v>
      </c>
      <c r="C43" s="116" t="str">
        <f aca="false">IF('Game Info'!R26="","",'Game Info'!R26)</f>
        <v>Q</v>
      </c>
      <c r="D43" s="116" t="n">
        <f aca="false">IF('Game Info'!S26="","",'Game Info'!S26)</f>
        <v>10</v>
      </c>
      <c r="E43" s="116" t="str">
        <f aca="false">IF('Game Info'!T26="","",'Game Info'!T26)</f>
        <v>SYM2</v>
      </c>
      <c r="F43" s="117" t="n">
        <f aca="false">IF('Game Info'!U26="","",'Game Info'!U26)</f>
        <v>10</v>
      </c>
      <c r="H43" s="91" t="n">
        <f aca="false">IF($B43="","",COUNTIF($B40:$B43,H$21)+COUNTIF($B40:$B43,$A$3))</f>
        <v>0</v>
      </c>
      <c r="I43" s="73" t="n">
        <f aca="false">IF($C43="","",COUNTIF($C40:$C43,H$21)+COUNTIF($C40:$C43,$A$3))</f>
        <v>0</v>
      </c>
      <c r="J43" s="73" t="n">
        <f aca="false">IF($D43="","",COUNTIF($D40:$D43,H$21)+COUNTIF($D40:$D43,$A$3))</f>
        <v>0</v>
      </c>
      <c r="K43" s="73" t="n">
        <f aca="false">IF($E43="","",COUNTIF($E40:$E43,H$21)+COUNTIF($E40:$E43,$A$3))</f>
        <v>2</v>
      </c>
      <c r="L43" s="92" t="n">
        <f aca="false">IF($F43="","",COUNTIF($F40:$F43,H$21)+COUNTIF($F40:$F43,$A$3))</f>
        <v>1</v>
      </c>
      <c r="N43" s="91" t="n">
        <f aca="false">IF($B43="","",COUNTIF($B40:$B43,N$21)+COUNTIF($B40:$B43,$A$3))</f>
        <v>0</v>
      </c>
      <c r="O43" s="73" t="n">
        <f aca="false">IF($C43="","",COUNTIF($C40:$C43,N$21)+COUNTIF($C40:$C43,$A$3))</f>
        <v>0</v>
      </c>
      <c r="P43" s="73" t="n">
        <f aca="false">IF($D43="","",COUNTIF($D40:$D43,N$21)+COUNTIF($D40:$D43,$A$3))</f>
        <v>0</v>
      </c>
      <c r="Q43" s="73" t="n">
        <f aca="false">IF($E43="","",COUNTIF($E40:$E43,N$21)+COUNTIF($E40:$E43,$A$3))</f>
        <v>1</v>
      </c>
      <c r="R43" s="92" t="n">
        <f aca="false">IF($F43="","",COUNTIF($F40:$F43,N$21)+COUNTIF($F40:$F43,$A$3))</f>
        <v>0</v>
      </c>
      <c r="T43" s="91" t="n">
        <f aca="false">IF($B43="","",COUNTIF($B40:$B43,T$21)+COUNTIF($B40:$B43,$A$3))</f>
        <v>0</v>
      </c>
      <c r="U43" s="73" t="n">
        <f aca="false">IF($C43="","",COUNTIF($C40:$C43,T$21)+COUNTIF($C40:$C43,$A$3))</f>
        <v>0</v>
      </c>
      <c r="V43" s="73" t="n">
        <f aca="false">IF($D43="","",COUNTIF($D40:$D43,T$21)+COUNTIF($D40:$D43,$A$3))</f>
        <v>0</v>
      </c>
      <c r="W43" s="73" t="n">
        <f aca="false">IF($E43="","",COUNTIF($E40:$E43,T$21)+COUNTIF($E40:$E43,$A$3))</f>
        <v>0</v>
      </c>
      <c r="X43" s="92" t="n">
        <f aca="false">IF($F43="","",COUNTIF($F40:$F43,T$21)+COUNTIF($F40:$F43,$A$3))</f>
        <v>0</v>
      </c>
      <c r="Z43" s="91" t="n">
        <f aca="false">IF($B43="","",COUNTIF($B40:$B43,Z$21)+COUNTIF($B40:$B43,$A$3))</f>
        <v>0</v>
      </c>
      <c r="AA43" s="73" t="n">
        <f aca="false">IF($C43="","",COUNTIF($C40:$C43,Z$21)+COUNTIF($C40:$C43,$A$3))</f>
        <v>1</v>
      </c>
      <c r="AB43" s="73" t="n">
        <f aca="false">IF($D43="","",COUNTIF($D40:$D43,Z$21)+COUNTIF($D40:$D43,$A$3))</f>
        <v>1</v>
      </c>
      <c r="AC43" s="73" t="n">
        <f aca="false">IF($E43="","",COUNTIF($E40:$E43,Z$21)+COUNTIF($E40:$E43,$A$3))</f>
        <v>0</v>
      </c>
      <c r="AD43" s="92" t="n">
        <f aca="false">IF($F43="","",COUNTIF($F40:$F43,Z$21)+COUNTIF($F40:$F43,$A$3))</f>
        <v>1</v>
      </c>
      <c r="AF43" s="91" t="n">
        <f aca="false">IF($B43="","",COUNTIF($B40:$B43,AF$21)+COUNTIF($B40:$B43,$A$3))</f>
        <v>2</v>
      </c>
      <c r="AG43" s="73" t="n">
        <f aca="false">IF($C43="","",COUNTIF($C40:$C43,AF$21)+COUNTIF($C40:$C43,$A$3))</f>
        <v>0</v>
      </c>
      <c r="AH43" s="73" t="n">
        <f aca="false">IF($D43="","",COUNTIF($D40:$D43,AF$21)+COUNTIF($D40:$D43,$A$3))</f>
        <v>0</v>
      </c>
      <c r="AI43" s="73" t="n">
        <f aca="false">IF($E43="","",COUNTIF($E40:$E43,AF$21)+COUNTIF($E40:$E43,$A$3))</f>
        <v>0</v>
      </c>
      <c r="AJ43" s="92" t="n">
        <f aca="false">IF($F43="","",COUNTIF($F40:$F43,AF$21)+COUNTIF($F40:$F43,$A$3))</f>
        <v>0</v>
      </c>
      <c r="AL43" s="91" t="n">
        <f aca="false">IF($B43="","",COUNTIF($B40:$B43,AL$21)+COUNTIF($B40:$B43,$A$3))</f>
        <v>0</v>
      </c>
      <c r="AM43" s="73" t="n">
        <f aca="false">IF($C43="","",COUNTIF($C40:$C43,AL$21)+COUNTIF($C40:$C43,$A$3))</f>
        <v>0</v>
      </c>
      <c r="AN43" s="73" t="n">
        <f aca="false">IF($D43="","",COUNTIF($D40:$D43,AL$21)+COUNTIF($D40:$D43,$A$3))</f>
        <v>0</v>
      </c>
      <c r="AO43" s="73" t="n">
        <f aca="false">IF($E43="","",COUNTIF($E40:$E43,AL$21)+COUNTIF($E40:$E43,$A$3))</f>
        <v>0</v>
      </c>
      <c r="AP43" s="92" t="n">
        <f aca="false">IF($F43="","",COUNTIF($F40:$F43,AL$21)+COUNTIF($F40:$F43,$A$3))</f>
        <v>0</v>
      </c>
      <c r="AR43" s="91" t="n">
        <f aca="false">IF($B43="","",COUNTIF($B40:$B43,AR$21)+COUNTIF($B40:$B43,$A$3))</f>
        <v>0</v>
      </c>
      <c r="AS43" s="73" t="n">
        <f aca="false">IF($C43="","",COUNTIF($C40:$C43,AR$21)+COUNTIF($C40:$C43,$A$3))</f>
        <v>1</v>
      </c>
      <c r="AT43" s="73" t="n">
        <f aca="false">IF($D43="","",COUNTIF($D40:$D43,AR$21)+COUNTIF($D40:$D43,$A$3))</f>
        <v>0</v>
      </c>
      <c r="AU43" s="73" t="n">
        <f aca="false">IF($E43="","",COUNTIF($E40:$E43,AR$21)+COUNTIF($E40:$E43,$A$3))</f>
        <v>0</v>
      </c>
      <c r="AV43" s="92" t="n">
        <f aca="false">IF($F43="","",COUNTIF($F40:$F43,AR$21)+COUNTIF($F40:$F43,$A$3))</f>
        <v>1</v>
      </c>
      <c r="AX43" s="91" t="n">
        <f aca="false">IF($B43="","",COUNTIF($B40:$B43,AX$21)+COUNTIF($B40:$B43,$A$3))</f>
        <v>1</v>
      </c>
      <c r="AY43" s="73" t="n">
        <f aca="false">IF($C43="","",COUNTIF($C40:$C43,AX$21)+COUNTIF($C40:$C43,$A$3))</f>
        <v>1</v>
      </c>
      <c r="AZ43" s="73" t="n">
        <f aca="false">IF($D43="","",COUNTIF($D40:$D43,AX$21)+COUNTIF($D40:$D43,$A$3))</f>
        <v>0</v>
      </c>
      <c r="BA43" s="73" t="n">
        <f aca="false">IF($E43="","",COUNTIF($E40:$E43,AX$21)+COUNTIF($E40:$E43,$A$3))</f>
        <v>0</v>
      </c>
      <c r="BB43" s="92" t="n">
        <f aca="false">IF($F43="","",COUNTIF($F40:$F43,AX$21)+COUNTIF($F40:$F43,$A$3))</f>
        <v>0</v>
      </c>
      <c r="BD43" s="91" t="n">
        <f aca="false">IF($B43="","",COUNTIF($B40:$B43,BD$21)+COUNTIF($B40:$B43,$A$3))</f>
        <v>0</v>
      </c>
      <c r="BE43" s="73" t="n">
        <f aca="false">IF($C43="","",COUNTIF($C40:$C43,BD$21)+COUNTIF($C40:$C43,$A$3))</f>
        <v>0</v>
      </c>
      <c r="BF43" s="73" t="n">
        <f aca="false">IF($D43="","",COUNTIF($D40:$D43,BD$21)+COUNTIF($D40:$D43,$A$3))</f>
        <v>1</v>
      </c>
      <c r="BG43" s="73" t="n">
        <f aca="false">IF($E43="","",COUNTIF($E40:$E43,BD$21)+COUNTIF($E40:$E43,$A$3))</f>
        <v>1</v>
      </c>
      <c r="BH43" s="92" t="n">
        <f aca="false">IF($F43="","",COUNTIF($F40:$F43,BD$21)+COUNTIF($F40:$F43,$A$3))</f>
        <v>0</v>
      </c>
      <c r="BJ43" s="91" t="n">
        <f aca="false">IF($B43="","",COUNTIF($B40:$B43,BJ$21)+COUNTIF($B40:$B43,$A$3))</f>
        <v>1</v>
      </c>
      <c r="BK43" s="73" t="n">
        <f aca="false">IF($C43="","",COUNTIF($C40:$C43,BJ$21)+COUNTIF($C40:$C43,$A$3))</f>
        <v>1</v>
      </c>
      <c r="BL43" s="73" t="n">
        <f aca="false">IF($D43="","",COUNTIF($D40:$D43,BJ$21)+COUNTIF($D40:$D43,$A$3))</f>
        <v>1</v>
      </c>
      <c r="BM43" s="73" t="n">
        <f aca="false">IF($E43="","",COUNTIF($E40:$E43,BJ$21)+COUNTIF($E40:$E43,$A$3))</f>
        <v>0</v>
      </c>
      <c r="BN43" s="92" t="n">
        <f aca="false">IF($F43="","",COUNTIF($F40:$F43,BJ$21)+COUNTIF($F40:$F43,$A$3))</f>
        <v>1</v>
      </c>
      <c r="BP43" s="91" t="n">
        <f aca="false">IF($B43="","",COUNTIF($B40:$B43,BP$21)+COUNTIF($B40:$B43,$A$3))</f>
        <v>0</v>
      </c>
      <c r="BQ43" s="73" t="n">
        <f aca="false">IF($C43="","",COUNTIF($C40:$C43,BP$21)+COUNTIF($C40:$C43,$A$3))</f>
        <v>0</v>
      </c>
      <c r="BR43" s="73" t="n">
        <f aca="false">IF($D43="","",COUNTIF($D40:$D43,BP$21)+COUNTIF($D40:$D43,$A$3))</f>
        <v>0</v>
      </c>
      <c r="BS43" s="73" t="n">
        <f aca="false">IF($E43="","",COUNTIF($E40:$E43,BP$21)+COUNTIF($E40:$E43,$A$3))</f>
        <v>0</v>
      </c>
      <c r="BT43" s="92" t="n">
        <f aca="false">IF($F43="","",COUNTIF($F40:$F43,BP$21)+COUNTIF($F40:$F43,$A$3))</f>
        <v>0</v>
      </c>
    </row>
    <row r="44" customFormat="false" ht="15" hidden="false" customHeight="false" outlineLevel="0" collapsed="false">
      <c r="A44" s="13" t="n">
        <v>22</v>
      </c>
      <c r="B44" s="116" t="str">
        <f aca="false">IF('Game Info'!Q27="","",'Game Info'!Q27)</f>
        <v>Q</v>
      </c>
      <c r="C44" s="116" t="str">
        <f aca="false">IF('Game Info'!R27="","",'Game Info'!R27)</f>
        <v>WILD</v>
      </c>
      <c r="D44" s="116" t="str">
        <f aca="false">IF('Game Info'!S27="","",'Game Info'!S27)</f>
        <v>SYM1</v>
      </c>
      <c r="E44" s="116" t="str">
        <f aca="false">IF('Game Info'!T27="","",'Game Info'!T27)</f>
        <v>K</v>
      </c>
      <c r="F44" s="117" t="str">
        <f aca="false">IF('Game Info'!U27="","",'Game Info'!U27)</f>
        <v>SYM3</v>
      </c>
      <c r="H44" s="91" t="n">
        <f aca="false">IF($B44="","",COUNTIF($B41:$B44,H$21)+COUNTIF($B41:$B44,$A$3))</f>
        <v>0</v>
      </c>
      <c r="I44" s="73" t="n">
        <f aca="false">IF($C44="","",COUNTIF($C41:$C44,H$21)+COUNTIF($C41:$C44,$A$3))</f>
        <v>1</v>
      </c>
      <c r="J44" s="73" t="n">
        <f aca="false">IF($D44="","",COUNTIF($D41:$D44,H$21)+COUNTIF($D41:$D44,$A$3))</f>
        <v>1</v>
      </c>
      <c r="K44" s="73" t="n">
        <f aca="false">IF($E44="","",COUNTIF($E41:$E44,H$21)+COUNTIF($E41:$E44,$A$3))</f>
        <v>1</v>
      </c>
      <c r="L44" s="92" t="n">
        <f aca="false">IF($F44="","",COUNTIF($F41:$F44,H$21)+COUNTIF($F41:$F44,$A$3))</f>
        <v>1</v>
      </c>
      <c r="N44" s="91" t="n">
        <f aca="false">IF($B44="","",COUNTIF($B41:$B44,N$21)+COUNTIF($B41:$B44,$A$3))</f>
        <v>0</v>
      </c>
      <c r="O44" s="73" t="n">
        <f aca="false">IF($C44="","",COUNTIF($C41:$C44,N$21)+COUNTIF($C41:$C44,$A$3))</f>
        <v>1</v>
      </c>
      <c r="P44" s="73" t="n">
        <f aca="false">IF($D44="","",COUNTIF($D41:$D44,N$21)+COUNTIF($D41:$D44,$A$3))</f>
        <v>0</v>
      </c>
      <c r="Q44" s="73" t="n">
        <f aca="false">IF($E44="","",COUNTIF($E41:$E44,N$21)+COUNTIF($E41:$E44,$A$3))</f>
        <v>1</v>
      </c>
      <c r="R44" s="92" t="n">
        <f aca="false">IF($F44="","",COUNTIF($F41:$F44,N$21)+COUNTIF($F41:$F44,$A$3))</f>
        <v>0</v>
      </c>
      <c r="T44" s="91" t="n">
        <f aca="false">IF($B44="","",COUNTIF($B41:$B44,T$21)+COUNTIF($B41:$B44,$A$3))</f>
        <v>0</v>
      </c>
      <c r="U44" s="73" t="n">
        <f aca="false">IF($C44="","",COUNTIF($C41:$C44,T$21)+COUNTIF($C41:$C44,$A$3))</f>
        <v>1</v>
      </c>
      <c r="V44" s="73" t="n">
        <f aca="false">IF($D44="","",COUNTIF($D41:$D44,T$21)+COUNTIF($D41:$D44,$A$3))</f>
        <v>0</v>
      </c>
      <c r="W44" s="73" t="n">
        <f aca="false">IF($E44="","",COUNTIF($E41:$E44,T$21)+COUNTIF($E41:$E44,$A$3))</f>
        <v>0</v>
      </c>
      <c r="X44" s="92" t="n">
        <f aca="false">IF($F44="","",COUNTIF($F41:$F44,T$21)+COUNTIF($F41:$F44,$A$3))</f>
        <v>1</v>
      </c>
      <c r="Z44" s="91" t="n">
        <f aca="false">IF($B44="","",COUNTIF($B41:$B44,Z$21)+COUNTIF($B41:$B44,$A$3))</f>
        <v>0</v>
      </c>
      <c r="AA44" s="73" t="n">
        <f aca="false">IF($C44="","",COUNTIF($C41:$C44,Z$21)+COUNTIF($C41:$C44,$A$3))</f>
        <v>2</v>
      </c>
      <c r="AB44" s="73" t="n">
        <f aca="false">IF($D44="","",COUNTIF($D41:$D44,Z$21)+COUNTIF($D41:$D44,$A$3))</f>
        <v>0</v>
      </c>
      <c r="AC44" s="73" t="n">
        <f aca="false">IF($E44="","",COUNTIF($E41:$E44,Z$21)+COUNTIF($E41:$E44,$A$3))</f>
        <v>0</v>
      </c>
      <c r="AD44" s="92" t="n">
        <f aca="false">IF($F44="","",COUNTIF($F41:$F44,Z$21)+COUNTIF($F41:$F44,$A$3))</f>
        <v>0</v>
      </c>
      <c r="AF44" s="91" t="n">
        <f aca="false">IF($B44="","",COUNTIF($B41:$B44,AF$21)+COUNTIF($B41:$B44,$A$3))</f>
        <v>1</v>
      </c>
      <c r="AG44" s="73" t="n">
        <f aca="false">IF($C44="","",COUNTIF($C41:$C44,AF$21)+COUNTIF($C41:$C44,$A$3))</f>
        <v>1</v>
      </c>
      <c r="AH44" s="73" t="n">
        <f aca="false">IF($D44="","",COUNTIF($D41:$D44,AF$21)+COUNTIF($D41:$D44,$A$3))</f>
        <v>0</v>
      </c>
      <c r="AI44" s="73" t="n">
        <f aca="false">IF($E44="","",COUNTIF($E41:$E44,AF$21)+COUNTIF($E41:$E44,$A$3))</f>
        <v>0</v>
      </c>
      <c r="AJ44" s="92" t="n">
        <f aca="false">IF($F44="","",COUNTIF($F41:$F44,AF$21)+COUNTIF($F41:$F44,$A$3))</f>
        <v>0</v>
      </c>
      <c r="AL44" s="91" t="n">
        <f aca="false">IF($B44="","",COUNTIF($B41:$B44,AL$21)+COUNTIF($B41:$B44,$A$3))</f>
        <v>0</v>
      </c>
      <c r="AM44" s="73" t="n">
        <f aca="false">IF($C44="","",COUNTIF($C41:$C44,AL$21)+COUNTIF($C41:$C44,$A$3))</f>
        <v>1</v>
      </c>
      <c r="AN44" s="73" t="n">
        <f aca="false">IF($D44="","",COUNTIF($D41:$D44,AL$21)+COUNTIF($D41:$D44,$A$3))</f>
        <v>0</v>
      </c>
      <c r="AO44" s="73" t="n">
        <f aca="false">IF($E44="","",COUNTIF($E41:$E44,AL$21)+COUNTIF($E41:$E44,$A$3))</f>
        <v>0</v>
      </c>
      <c r="AP44" s="92" t="n">
        <f aca="false">IF($F44="","",COUNTIF($F41:$F44,AL$21)+COUNTIF($F41:$F44,$A$3))</f>
        <v>0</v>
      </c>
      <c r="AR44" s="91" t="n">
        <f aca="false">IF($B44="","",COUNTIF($B41:$B44,AR$21)+COUNTIF($B41:$B44,$A$3))</f>
        <v>0</v>
      </c>
      <c r="AS44" s="73" t="n">
        <f aca="false">IF($C44="","",COUNTIF($C41:$C44,AR$21)+COUNTIF($C41:$C44,$A$3))</f>
        <v>2</v>
      </c>
      <c r="AT44" s="73" t="n">
        <f aca="false">IF($D44="","",COUNTIF($D41:$D44,AR$21)+COUNTIF($D41:$D44,$A$3))</f>
        <v>0</v>
      </c>
      <c r="AU44" s="73" t="n">
        <f aca="false">IF($E44="","",COUNTIF($E41:$E44,AR$21)+COUNTIF($E41:$E44,$A$3))</f>
        <v>1</v>
      </c>
      <c r="AV44" s="92" t="n">
        <f aca="false">IF($F44="","",COUNTIF($F41:$F44,AR$21)+COUNTIF($F41:$F44,$A$3))</f>
        <v>1</v>
      </c>
      <c r="AX44" s="91" t="n">
        <f aca="false">IF($B44="","",COUNTIF($B41:$B44,AX$21)+COUNTIF($B41:$B44,$A$3))</f>
        <v>2</v>
      </c>
      <c r="AY44" s="73" t="n">
        <f aca="false">IF($C44="","",COUNTIF($C41:$C44,AX$21)+COUNTIF($C41:$C44,$A$3))</f>
        <v>2</v>
      </c>
      <c r="AZ44" s="73" t="n">
        <f aca="false">IF($D44="","",COUNTIF($D41:$D44,AX$21)+COUNTIF($D41:$D44,$A$3))</f>
        <v>0</v>
      </c>
      <c r="BA44" s="73" t="n">
        <f aca="false">IF($E44="","",COUNTIF($E41:$E44,AX$21)+COUNTIF($E41:$E44,$A$3))</f>
        <v>0</v>
      </c>
      <c r="BB44" s="92" t="n">
        <f aca="false">IF($F44="","",COUNTIF($F41:$F44,AX$21)+COUNTIF($F41:$F44,$A$3))</f>
        <v>0</v>
      </c>
      <c r="BD44" s="91" t="n">
        <f aca="false">IF($B44="","",COUNTIF($B41:$B44,BD$21)+COUNTIF($B41:$B44,$A$3))</f>
        <v>0</v>
      </c>
      <c r="BE44" s="73" t="n">
        <f aca="false">IF($C44="","",COUNTIF($C41:$C44,BD$21)+COUNTIF($C41:$C44,$A$3))</f>
        <v>1</v>
      </c>
      <c r="BF44" s="73" t="n">
        <f aca="false">IF($D44="","",COUNTIF($D41:$D44,BD$21)+COUNTIF($D41:$D44,$A$3))</f>
        <v>1</v>
      </c>
      <c r="BG44" s="73" t="n">
        <f aca="false">IF($E44="","",COUNTIF($E41:$E44,BD$21)+COUNTIF($E41:$E44,$A$3))</f>
        <v>1</v>
      </c>
      <c r="BH44" s="92" t="n">
        <f aca="false">IF($F44="","",COUNTIF($F41:$F44,BD$21)+COUNTIF($F41:$F44,$A$3))</f>
        <v>0</v>
      </c>
      <c r="BJ44" s="91" t="n">
        <f aca="false">IF($B44="","",COUNTIF($B41:$B44,BJ$21)+COUNTIF($B41:$B44,$A$3))</f>
        <v>1</v>
      </c>
      <c r="BK44" s="73" t="n">
        <f aca="false">IF($C44="","",COUNTIF($C41:$C44,BJ$21)+COUNTIF($C41:$C44,$A$3))</f>
        <v>1</v>
      </c>
      <c r="BL44" s="73" t="n">
        <f aca="false">IF($D44="","",COUNTIF($D41:$D44,BJ$21)+COUNTIF($D41:$D44,$A$3))</f>
        <v>1</v>
      </c>
      <c r="BM44" s="73" t="n">
        <f aca="false">IF($E44="","",COUNTIF($E41:$E44,BJ$21)+COUNTIF($E41:$E44,$A$3))</f>
        <v>0</v>
      </c>
      <c r="BN44" s="92" t="n">
        <f aca="false">IF($F44="","",COUNTIF($F41:$F44,BJ$21)+COUNTIF($F41:$F44,$A$3))</f>
        <v>1</v>
      </c>
      <c r="BP44" s="91" t="n">
        <f aca="false">IF($B44="","",COUNTIF($B41:$B44,BP$21)+COUNTIF($B41:$B44,$A$3))</f>
        <v>0</v>
      </c>
      <c r="BQ44" s="73" t="n">
        <f aca="false">IF($C44="","",COUNTIF($C41:$C44,BP$21)+COUNTIF($C41:$C44,$A$3))</f>
        <v>1</v>
      </c>
      <c r="BR44" s="73" t="n">
        <f aca="false">IF($D44="","",COUNTIF($D41:$D44,BP$21)+COUNTIF($D41:$D44,$A$3))</f>
        <v>0</v>
      </c>
      <c r="BS44" s="73" t="n">
        <f aca="false">IF($E44="","",COUNTIF($E41:$E44,BP$21)+COUNTIF($E41:$E44,$A$3))</f>
        <v>0</v>
      </c>
      <c r="BT44" s="92" t="n">
        <f aca="false">IF($F44="","",COUNTIF($F41:$F44,BP$21)+COUNTIF($F41:$F44,$A$3))</f>
        <v>0</v>
      </c>
    </row>
    <row r="45" customFormat="false" ht="15" hidden="false" customHeight="false" outlineLevel="0" collapsed="false">
      <c r="A45" s="13" t="n">
        <v>23</v>
      </c>
      <c r="B45" s="116" t="str">
        <f aca="false">IF('Game Info'!Q28="","",'Game Info'!Q28)</f>
        <v>SYM2</v>
      </c>
      <c r="C45" s="116" t="str">
        <f aca="false">IF('Game Info'!R28="","",'Game Info'!R28)</f>
        <v>A</v>
      </c>
      <c r="D45" s="116" t="str">
        <f aca="false">IF('Game Info'!S28="","",'Game Info'!S28)</f>
        <v>J</v>
      </c>
      <c r="E45" s="116" t="str">
        <f aca="false">IF('Game Info'!T28="","",'Game Info'!T28)</f>
        <v>SYM5</v>
      </c>
      <c r="F45" s="117" t="str">
        <f aca="false">IF('Game Info'!U28="","",'Game Info'!U28)</f>
        <v>Q</v>
      </c>
      <c r="H45" s="91" t="n">
        <f aca="false">IF($B45="","",COUNTIF($B42:$B45,H$21)+COUNTIF($B42:$B45,$A$3))</f>
        <v>0</v>
      </c>
      <c r="I45" s="73" t="n">
        <f aca="false">IF($C45="","",COUNTIF($C42:$C45,H$21)+COUNTIF($C42:$C45,$A$3))</f>
        <v>1</v>
      </c>
      <c r="J45" s="73" t="n">
        <f aca="false">IF($D45="","",COUNTIF($D42:$D45,H$21)+COUNTIF($D42:$D45,$A$3))</f>
        <v>1</v>
      </c>
      <c r="K45" s="73" t="n">
        <f aca="false">IF($E45="","",COUNTIF($E42:$E45,H$21)+COUNTIF($E42:$E45,$A$3))</f>
        <v>0</v>
      </c>
      <c r="L45" s="92" t="n">
        <f aca="false">IF($F45="","",COUNTIF($F42:$F45,H$21)+COUNTIF($F42:$F45,$A$3))</f>
        <v>1</v>
      </c>
      <c r="N45" s="91" t="n">
        <f aca="false">IF($B45="","",COUNTIF($B42:$B45,N$21)+COUNTIF($B42:$B45,$A$3))</f>
        <v>1</v>
      </c>
      <c r="O45" s="73" t="n">
        <f aca="false">IF($C45="","",COUNTIF($C42:$C45,N$21)+COUNTIF($C42:$C45,$A$3))</f>
        <v>1</v>
      </c>
      <c r="P45" s="73" t="n">
        <f aca="false">IF($D45="","",COUNTIF($D42:$D45,N$21)+COUNTIF($D42:$D45,$A$3))</f>
        <v>0</v>
      </c>
      <c r="Q45" s="73" t="n">
        <f aca="false">IF($E45="","",COUNTIF($E42:$E45,N$21)+COUNTIF($E42:$E45,$A$3))</f>
        <v>1</v>
      </c>
      <c r="R45" s="92" t="n">
        <f aca="false">IF($F45="","",COUNTIF($F42:$F45,N$21)+COUNTIF($F42:$F45,$A$3))</f>
        <v>0</v>
      </c>
      <c r="T45" s="91" t="n">
        <f aca="false">IF($B45="","",COUNTIF($B42:$B45,T$21)+COUNTIF($B42:$B45,$A$3))</f>
        <v>0</v>
      </c>
      <c r="U45" s="73" t="n">
        <f aca="false">IF($C45="","",COUNTIF($C42:$C45,T$21)+COUNTIF($C42:$C45,$A$3))</f>
        <v>1</v>
      </c>
      <c r="V45" s="73" t="n">
        <f aca="false">IF($D45="","",COUNTIF($D42:$D45,T$21)+COUNTIF($D42:$D45,$A$3))</f>
        <v>0</v>
      </c>
      <c r="W45" s="73" t="n">
        <f aca="false">IF($E45="","",COUNTIF($E42:$E45,T$21)+COUNTIF($E42:$E45,$A$3))</f>
        <v>0</v>
      </c>
      <c r="X45" s="92" t="n">
        <f aca="false">IF($F45="","",COUNTIF($F42:$F45,T$21)+COUNTIF($F42:$F45,$A$3))</f>
        <v>1</v>
      </c>
      <c r="Z45" s="91" t="n">
        <f aca="false">IF($B45="","",COUNTIF($B42:$B45,Z$21)+COUNTIF($B42:$B45,$A$3))</f>
        <v>0</v>
      </c>
      <c r="AA45" s="73" t="n">
        <f aca="false">IF($C45="","",COUNTIF($C42:$C45,Z$21)+COUNTIF($C42:$C45,$A$3))</f>
        <v>2</v>
      </c>
      <c r="AB45" s="73" t="n">
        <f aca="false">IF($D45="","",COUNTIF($D42:$D45,Z$21)+COUNTIF($D42:$D45,$A$3))</f>
        <v>0</v>
      </c>
      <c r="AC45" s="73" t="n">
        <f aca="false">IF($E45="","",COUNTIF($E42:$E45,Z$21)+COUNTIF($E42:$E45,$A$3))</f>
        <v>0</v>
      </c>
      <c r="AD45" s="92" t="n">
        <f aca="false">IF($F45="","",COUNTIF($F42:$F45,Z$21)+COUNTIF($F42:$F45,$A$3))</f>
        <v>0</v>
      </c>
      <c r="AF45" s="91" t="n">
        <f aca="false">IF($B45="","",COUNTIF($B42:$B45,AF$21)+COUNTIF($B42:$B45,$A$3))</f>
        <v>1</v>
      </c>
      <c r="AG45" s="73" t="n">
        <f aca="false">IF($C45="","",COUNTIF($C42:$C45,AF$21)+COUNTIF($C42:$C45,$A$3))</f>
        <v>1</v>
      </c>
      <c r="AH45" s="73" t="n">
        <f aca="false">IF($D45="","",COUNTIF($D42:$D45,AF$21)+COUNTIF($D42:$D45,$A$3))</f>
        <v>0</v>
      </c>
      <c r="AI45" s="73" t="n">
        <f aca="false">IF($E45="","",COUNTIF($E42:$E45,AF$21)+COUNTIF($E42:$E45,$A$3))</f>
        <v>1</v>
      </c>
      <c r="AJ45" s="92" t="n">
        <f aca="false">IF($F45="","",COUNTIF($F42:$F45,AF$21)+COUNTIF($F42:$F45,$A$3))</f>
        <v>0</v>
      </c>
      <c r="AL45" s="91" t="n">
        <f aca="false">IF($B45="","",COUNTIF($B42:$B45,AL$21)+COUNTIF($B42:$B45,$A$3))</f>
        <v>0</v>
      </c>
      <c r="AM45" s="73" t="n">
        <f aca="false">IF($C45="","",COUNTIF($C42:$C45,AL$21)+COUNTIF($C42:$C45,$A$3))</f>
        <v>2</v>
      </c>
      <c r="AN45" s="73" t="n">
        <f aca="false">IF($D45="","",COUNTIF($D42:$D45,AL$21)+COUNTIF($D42:$D45,$A$3))</f>
        <v>0</v>
      </c>
      <c r="AO45" s="73" t="n">
        <f aca="false">IF($E45="","",COUNTIF($E42:$E45,AL$21)+COUNTIF($E42:$E45,$A$3))</f>
        <v>0</v>
      </c>
      <c r="AP45" s="92" t="n">
        <f aca="false">IF($F45="","",COUNTIF($F42:$F45,AL$21)+COUNTIF($F42:$F45,$A$3))</f>
        <v>0</v>
      </c>
      <c r="AR45" s="91" t="n">
        <f aca="false">IF($B45="","",COUNTIF($B42:$B45,AR$21)+COUNTIF($B42:$B45,$A$3))</f>
        <v>0</v>
      </c>
      <c r="AS45" s="73" t="n">
        <f aca="false">IF($C45="","",COUNTIF($C42:$C45,AR$21)+COUNTIF($C42:$C45,$A$3))</f>
        <v>1</v>
      </c>
      <c r="AT45" s="73" t="n">
        <f aca="false">IF($D45="","",COUNTIF($D42:$D45,AR$21)+COUNTIF($D42:$D45,$A$3))</f>
        <v>0</v>
      </c>
      <c r="AU45" s="73" t="n">
        <f aca="false">IF($E45="","",COUNTIF($E42:$E45,AR$21)+COUNTIF($E42:$E45,$A$3))</f>
        <v>1</v>
      </c>
      <c r="AV45" s="92" t="n">
        <f aca="false">IF($F45="","",COUNTIF($F42:$F45,AR$21)+COUNTIF($F42:$F45,$A$3))</f>
        <v>0</v>
      </c>
      <c r="AX45" s="91" t="n">
        <f aca="false">IF($B45="","",COUNTIF($B42:$B45,AX$21)+COUNTIF($B42:$B45,$A$3))</f>
        <v>1</v>
      </c>
      <c r="AY45" s="73" t="n">
        <f aca="false">IF($C45="","",COUNTIF($C42:$C45,AX$21)+COUNTIF($C42:$C45,$A$3))</f>
        <v>2</v>
      </c>
      <c r="AZ45" s="73" t="n">
        <f aca="false">IF($D45="","",COUNTIF($D42:$D45,AX$21)+COUNTIF($D42:$D45,$A$3))</f>
        <v>0</v>
      </c>
      <c r="BA45" s="73" t="n">
        <f aca="false">IF($E45="","",COUNTIF($E42:$E45,AX$21)+COUNTIF($E42:$E45,$A$3))</f>
        <v>0</v>
      </c>
      <c r="BB45" s="92" t="n">
        <f aca="false">IF($F45="","",COUNTIF($F42:$F45,AX$21)+COUNTIF($F42:$F45,$A$3))</f>
        <v>1</v>
      </c>
      <c r="BD45" s="91" t="n">
        <f aca="false">IF($B45="","",COUNTIF($B42:$B45,BD$21)+COUNTIF($B42:$B45,$A$3))</f>
        <v>0</v>
      </c>
      <c r="BE45" s="73" t="n">
        <f aca="false">IF($C45="","",COUNTIF($C42:$C45,BD$21)+COUNTIF($C42:$C45,$A$3))</f>
        <v>1</v>
      </c>
      <c r="BF45" s="73" t="n">
        <f aca="false">IF($D45="","",COUNTIF($D42:$D45,BD$21)+COUNTIF($D42:$D45,$A$3))</f>
        <v>1</v>
      </c>
      <c r="BG45" s="73" t="n">
        <f aca="false">IF($E45="","",COUNTIF($E42:$E45,BD$21)+COUNTIF($E42:$E45,$A$3))</f>
        <v>1</v>
      </c>
      <c r="BH45" s="92" t="n">
        <f aca="false">IF($F45="","",COUNTIF($F42:$F45,BD$21)+COUNTIF($F42:$F45,$A$3))</f>
        <v>0</v>
      </c>
      <c r="BJ45" s="91" t="n">
        <f aca="false">IF($B45="","",COUNTIF($B42:$B45,BJ$21)+COUNTIF($B42:$B45,$A$3))</f>
        <v>1</v>
      </c>
      <c r="BK45" s="73" t="n">
        <f aca="false">IF($C45="","",COUNTIF($C42:$C45,BJ$21)+COUNTIF($C42:$C45,$A$3))</f>
        <v>1</v>
      </c>
      <c r="BL45" s="73" t="n">
        <f aca="false">IF($D45="","",COUNTIF($D42:$D45,BJ$21)+COUNTIF($D42:$D45,$A$3))</f>
        <v>1</v>
      </c>
      <c r="BM45" s="73" t="n">
        <f aca="false">IF($E45="","",COUNTIF($E42:$E45,BJ$21)+COUNTIF($E42:$E45,$A$3))</f>
        <v>0</v>
      </c>
      <c r="BN45" s="92" t="n">
        <f aca="false">IF($F45="","",COUNTIF($F42:$F45,BJ$21)+COUNTIF($F42:$F45,$A$3))</f>
        <v>1</v>
      </c>
      <c r="BP45" s="91" t="n">
        <f aca="false">IF($B45="","",COUNTIF($B42:$B45,BP$21)+COUNTIF($B42:$B45,$A$3))</f>
        <v>0</v>
      </c>
      <c r="BQ45" s="73" t="n">
        <f aca="false">IF($C45="","",COUNTIF($C42:$C45,BP$21)+COUNTIF($C42:$C45,$A$3))</f>
        <v>1</v>
      </c>
      <c r="BR45" s="73" t="n">
        <f aca="false">IF($D45="","",COUNTIF($D42:$D45,BP$21)+COUNTIF($D42:$D45,$A$3))</f>
        <v>0</v>
      </c>
      <c r="BS45" s="73" t="n">
        <f aca="false">IF($E45="","",COUNTIF($E42:$E45,BP$21)+COUNTIF($E42:$E45,$A$3))</f>
        <v>0</v>
      </c>
      <c r="BT45" s="92" t="n">
        <f aca="false">IF($F45="","",COUNTIF($F42:$F45,BP$21)+COUNTIF($F42:$F45,$A$3))</f>
        <v>0</v>
      </c>
    </row>
    <row r="46" customFormat="false" ht="15" hidden="false" customHeight="false" outlineLevel="0" collapsed="false">
      <c r="A46" s="13" t="n">
        <v>24</v>
      </c>
      <c r="B46" s="116" t="str">
        <f aca="false">IF('Game Info'!Q29="","",'Game Info'!Q29)</f>
        <v>SYM3</v>
      </c>
      <c r="C46" s="116" t="str">
        <f aca="false">IF('Game Info'!R29="","",'Game Info'!R29)</f>
        <v>Q</v>
      </c>
      <c r="D46" s="116" t="n">
        <f aca="false">IF('Game Info'!S29="","",'Game Info'!S29)</f>
        <v>10</v>
      </c>
      <c r="E46" s="116" t="n">
        <f aca="false">IF('Game Info'!T29="","",'Game Info'!T29)</f>
        <v>9</v>
      </c>
      <c r="F46" s="117" t="str">
        <f aca="false">IF('Game Info'!U29="","",'Game Info'!U29)</f>
        <v>A</v>
      </c>
      <c r="H46" s="91" t="n">
        <f aca="false">IF($B46="","",COUNTIF($B43:$B46,H$21)+COUNTIF($B43:$B46,$A$3))</f>
        <v>0</v>
      </c>
      <c r="I46" s="73" t="n">
        <f aca="false">IF($C46="","",COUNTIF($C43:$C46,H$21)+COUNTIF($C43:$C46,$A$3))</f>
        <v>1</v>
      </c>
      <c r="J46" s="73" t="n">
        <f aca="false">IF($D46="","",COUNTIF($D43:$D46,H$21)+COUNTIF($D43:$D46,$A$3))</f>
        <v>1</v>
      </c>
      <c r="K46" s="73" t="n">
        <f aca="false">IF($E46="","",COUNTIF($E43:$E46,H$21)+COUNTIF($E43:$E46,$A$3))</f>
        <v>0</v>
      </c>
      <c r="L46" s="92" t="n">
        <f aca="false">IF($F46="","",COUNTIF($F43:$F46,H$21)+COUNTIF($F43:$F46,$A$3))</f>
        <v>0</v>
      </c>
      <c r="N46" s="91" t="n">
        <f aca="false">IF($B46="","",COUNTIF($B43:$B46,N$21)+COUNTIF($B43:$B46,$A$3))</f>
        <v>1</v>
      </c>
      <c r="O46" s="73" t="n">
        <f aca="false">IF($C46="","",COUNTIF($C43:$C46,N$21)+COUNTIF($C43:$C46,$A$3))</f>
        <v>1</v>
      </c>
      <c r="P46" s="73" t="n">
        <f aca="false">IF($D46="","",COUNTIF($D43:$D46,N$21)+COUNTIF($D43:$D46,$A$3))</f>
        <v>0</v>
      </c>
      <c r="Q46" s="73" t="n">
        <f aca="false">IF($E46="","",COUNTIF($E43:$E46,N$21)+COUNTIF($E43:$E46,$A$3))</f>
        <v>1</v>
      </c>
      <c r="R46" s="92" t="n">
        <f aca="false">IF($F46="","",COUNTIF($F43:$F46,N$21)+COUNTIF($F43:$F46,$A$3))</f>
        <v>0</v>
      </c>
      <c r="T46" s="91" t="n">
        <f aca="false">IF($B46="","",COUNTIF($B43:$B46,T$21)+COUNTIF($B43:$B46,$A$3))</f>
        <v>1</v>
      </c>
      <c r="U46" s="73" t="n">
        <f aca="false">IF($C46="","",COUNTIF($C43:$C46,T$21)+COUNTIF($C43:$C46,$A$3))</f>
        <v>1</v>
      </c>
      <c r="V46" s="73" t="n">
        <f aca="false">IF($D46="","",COUNTIF($D43:$D46,T$21)+COUNTIF($D43:$D46,$A$3))</f>
        <v>0</v>
      </c>
      <c r="W46" s="73" t="n">
        <f aca="false">IF($E46="","",COUNTIF($E43:$E46,T$21)+COUNTIF($E43:$E46,$A$3))</f>
        <v>0</v>
      </c>
      <c r="X46" s="92" t="n">
        <f aca="false">IF($F46="","",COUNTIF($F43:$F46,T$21)+COUNTIF($F43:$F46,$A$3))</f>
        <v>1</v>
      </c>
      <c r="Z46" s="91" t="n">
        <f aca="false">IF($B46="","",COUNTIF($B43:$B46,Z$21)+COUNTIF($B43:$B46,$A$3))</f>
        <v>0</v>
      </c>
      <c r="AA46" s="73" t="n">
        <f aca="false">IF($C46="","",COUNTIF($C43:$C46,Z$21)+COUNTIF($C43:$C46,$A$3))</f>
        <v>1</v>
      </c>
      <c r="AB46" s="73" t="n">
        <f aca="false">IF($D46="","",COUNTIF($D43:$D46,Z$21)+COUNTIF($D43:$D46,$A$3))</f>
        <v>0</v>
      </c>
      <c r="AC46" s="73" t="n">
        <f aca="false">IF($E46="","",COUNTIF($E43:$E46,Z$21)+COUNTIF($E43:$E46,$A$3))</f>
        <v>0</v>
      </c>
      <c r="AD46" s="92" t="n">
        <f aca="false">IF($F46="","",COUNTIF($F43:$F46,Z$21)+COUNTIF($F43:$F46,$A$3))</f>
        <v>0</v>
      </c>
      <c r="AF46" s="91" t="n">
        <f aca="false">IF($B46="","",COUNTIF($B43:$B46,AF$21)+COUNTIF($B43:$B46,$A$3))</f>
        <v>1</v>
      </c>
      <c r="AG46" s="73" t="n">
        <f aca="false">IF($C46="","",COUNTIF($C43:$C46,AF$21)+COUNTIF($C43:$C46,$A$3))</f>
        <v>1</v>
      </c>
      <c r="AH46" s="73" t="n">
        <f aca="false">IF($D46="","",COUNTIF($D43:$D46,AF$21)+COUNTIF($D43:$D46,$A$3))</f>
        <v>0</v>
      </c>
      <c r="AI46" s="73" t="n">
        <f aca="false">IF($E46="","",COUNTIF($E43:$E46,AF$21)+COUNTIF($E43:$E46,$A$3))</f>
        <v>1</v>
      </c>
      <c r="AJ46" s="92" t="n">
        <f aca="false">IF($F46="","",COUNTIF($F43:$F46,AF$21)+COUNTIF($F43:$F46,$A$3))</f>
        <v>0</v>
      </c>
      <c r="AL46" s="91" t="n">
        <f aca="false">IF($B46="","",COUNTIF($B43:$B46,AL$21)+COUNTIF($B43:$B46,$A$3))</f>
        <v>0</v>
      </c>
      <c r="AM46" s="73" t="n">
        <f aca="false">IF($C46="","",COUNTIF($C43:$C46,AL$21)+COUNTIF($C43:$C46,$A$3))</f>
        <v>2</v>
      </c>
      <c r="AN46" s="73" t="n">
        <f aca="false">IF($D46="","",COUNTIF($D43:$D46,AL$21)+COUNTIF($D43:$D46,$A$3))</f>
        <v>0</v>
      </c>
      <c r="AO46" s="73" t="n">
        <f aca="false">IF($E46="","",COUNTIF($E43:$E46,AL$21)+COUNTIF($E43:$E46,$A$3))</f>
        <v>0</v>
      </c>
      <c r="AP46" s="92" t="n">
        <f aca="false">IF($F46="","",COUNTIF($F43:$F46,AL$21)+COUNTIF($F43:$F46,$A$3))</f>
        <v>1</v>
      </c>
      <c r="AR46" s="91" t="n">
        <f aca="false">IF($B46="","",COUNTIF($B43:$B46,AR$21)+COUNTIF($B43:$B46,$A$3))</f>
        <v>0</v>
      </c>
      <c r="AS46" s="73" t="n">
        <f aca="false">IF($C46="","",COUNTIF($C43:$C46,AR$21)+COUNTIF($C43:$C46,$A$3))</f>
        <v>1</v>
      </c>
      <c r="AT46" s="73" t="n">
        <f aca="false">IF($D46="","",COUNTIF($D43:$D46,AR$21)+COUNTIF($D43:$D46,$A$3))</f>
        <v>0</v>
      </c>
      <c r="AU46" s="73" t="n">
        <f aca="false">IF($E46="","",COUNTIF($E43:$E46,AR$21)+COUNTIF($E43:$E46,$A$3))</f>
        <v>1</v>
      </c>
      <c r="AV46" s="92" t="n">
        <f aca="false">IF($F46="","",COUNTIF($F43:$F46,AR$21)+COUNTIF($F43:$F46,$A$3))</f>
        <v>0</v>
      </c>
      <c r="AX46" s="91" t="n">
        <f aca="false">IF($B46="","",COUNTIF($B43:$B46,AX$21)+COUNTIF($B43:$B46,$A$3))</f>
        <v>1</v>
      </c>
      <c r="AY46" s="73" t="n">
        <f aca="false">IF($C46="","",COUNTIF($C43:$C46,AX$21)+COUNTIF($C43:$C46,$A$3))</f>
        <v>3</v>
      </c>
      <c r="AZ46" s="73" t="n">
        <f aca="false">IF($D46="","",COUNTIF($D43:$D46,AX$21)+COUNTIF($D43:$D46,$A$3))</f>
        <v>0</v>
      </c>
      <c r="BA46" s="73" t="n">
        <f aca="false">IF($E46="","",COUNTIF($E43:$E46,AX$21)+COUNTIF($E43:$E46,$A$3))</f>
        <v>0</v>
      </c>
      <c r="BB46" s="92" t="n">
        <f aca="false">IF($F46="","",COUNTIF($F43:$F46,AX$21)+COUNTIF($F43:$F46,$A$3))</f>
        <v>1</v>
      </c>
      <c r="BD46" s="91" t="n">
        <f aca="false">IF($B46="","",COUNTIF($B43:$B46,BD$21)+COUNTIF($B43:$B46,$A$3))</f>
        <v>0</v>
      </c>
      <c r="BE46" s="73" t="n">
        <f aca="false">IF($C46="","",COUNTIF($C43:$C46,BD$21)+COUNTIF($C43:$C46,$A$3))</f>
        <v>1</v>
      </c>
      <c r="BF46" s="73" t="n">
        <f aca="false">IF($D46="","",COUNTIF($D43:$D46,BD$21)+COUNTIF($D43:$D46,$A$3))</f>
        <v>1</v>
      </c>
      <c r="BG46" s="73" t="n">
        <f aca="false">IF($E46="","",COUNTIF($E43:$E46,BD$21)+COUNTIF($E43:$E46,$A$3))</f>
        <v>0</v>
      </c>
      <c r="BH46" s="92" t="n">
        <f aca="false">IF($F46="","",COUNTIF($F43:$F46,BD$21)+COUNTIF($F43:$F46,$A$3))</f>
        <v>0</v>
      </c>
      <c r="BJ46" s="91" t="n">
        <f aca="false">IF($B46="","",COUNTIF($B43:$B46,BJ$21)+COUNTIF($B43:$B46,$A$3))</f>
        <v>0</v>
      </c>
      <c r="BK46" s="73" t="n">
        <f aca="false">IF($C46="","",COUNTIF($C43:$C46,BJ$21)+COUNTIF($C43:$C46,$A$3))</f>
        <v>1</v>
      </c>
      <c r="BL46" s="73" t="n">
        <f aca="false">IF($D46="","",COUNTIF($D43:$D46,BJ$21)+COUNTIF($D43:$D46,$A$3))</f>
        <v>2</v>
      </c>
      <c r="BM46" s="73" t="n">
        <f aca="false">IF($E46="","",COUNTIF($E43:$E46,BJ$21)+COUNTIF($E43:$E46,$A$3))</f>
        <v>0</v>
      </c>
      <c r="BN46" s="92" t="n">
        <f aca="false">IF($F46="","",COUNTIF($F43:$F46,BJ$21)+COUNTIF($F43:$F46,$A$3))</f>
        <v>1</v>
      </c>
      <c r="BP46" s="91" t="n">
        <f aca="false">IF($B46="","",COUNTIF($B43:$B46,BP$21)+COUNTIF($B43:$B46,$A$3))</f>
        <v>0</v>
      </c>
      <c r="BQ46" s="73" t="n">
        <f aca="false">IF($C46="","",COUNTIF($C43:$C46,BP$21)+COUNTIF($C43:$C46,$A$3))</f>
        <v>1</v>
      </c>
      <c r="BR46" s="73" t="n">
        <f aca="false">IF($D46="","",COUNTIF($D43:$D46,BP$21)+COUNTIF($D43:$D46,$A$3))</f>
        <v>0</v>
      </c>
      <c r="BS46" s="73" t="n">
        <f aca="false">IF($E46="","",COUNTIF($E43:$E46,BP$21)+COUNTIF($E43:$E46,$A$3))</f>
        <v>1</v>
      </c>
      <c r="BT46" s="92" t="n">
        <f aca="false">IF($F46="","",COUNTIF($F43:$F46,BP$21)+COUNTIF($F43:$F46,$A$3))</f>
        <v>0</v>
      </c>
    </row>
    <row r="47" customFormat="false" ht="15" hidden="false" customHeight="false" outlineLevel="0" collapsed="false">
      <c r="A47" s="13" t="n">
        <v>25</v>
      </c>
      <c r="B47" s="116" t="str">
        <f aca="false">IF('Game Info'!Q30="","",'Game Info'!Q30)</f>
        <v>J</v>
      </c>
      <c r="C47" s="116" t="str">
        <f aca="false">IF('Game Info'!R30="","",'Game Info'!R30)</f>
        <v>SYM4</v>
      </c>
      <c r="D47" s="116" t="str">
        <f aca="false">IF('Game Info'!S30="","",'Game Info'!S30)</f>
        <v>Q</v>
      </c>
      <c r="E47" s="116" t="str">
        <f aca="false">IF('Game Info'!T30="","",'Game Info'!T30)</f>
        <v>SYM4</v>
      </c>
      <c r="F47" s="117" t="str">
        <f aca="false">IF('Game Info'!U30="","",'Game Info'!U30)</f>
        <v>SYM1</v>
      </c>
      <c r="H47" s="91" t="n">
        <f aca="false">IF($B47="","",COUNTIF($B44:$B47,H$21)+COUNTIF($B44:$B47,$A$3))</f>
        <v>0</v>
      </c>
      <c r="I47" s="73" t="n">
        <f aca="false">IF($C47="","",COUNTIF($C44:$C47,H$21)+COUNTIF($C44:$C47,$A$3))</f>
        <v>1</v>
      </c>
      <c r="J47" s="73" t="n">
        <f aca="false">IF($D47="","",COUNTIF($D44:$D47,H$21)+COUNTIF($D44:$D47,$A$3))</f>
        <v>1</v>
      </c>
      <c r="K47" s="73" t="n">
        <f aca="false">IF($E47="","",COUNTIF($E44:$E47,H$21)+COUNTIF($E44:$E47,$A$3))</f>
        <v>0</v>
      </c>
      <c r="L47" s="92" t="n">
        <f aca="false">IF($F47="","",COUNTIF($F44:$F47,H$21)+COUNTIF($F44:$F47,$A$3))</f>
        <v>1</v>
      </c>
      <c r="N47" s="91" t="n">
        <f aca="false">IF($B47="","",COUNTIF($B44:$B47,N$21)+COUNTIF($B44:$B47,$A$3))</f>
        <v>1</v>
      </c>
      <c r="O47" s="73" t="n">
        <f aca="false">IF($C47="","",COUNTIF($C44:$C47,N$21)+COUNTIF($C44:$C47,$A$3))</f>
        <v>1</v>
      </c>
      <c r="P47" s="73" t="n">
        <f aca="false">IF($D47="","",COUNTIF($D44:$D47,N$21)+COUNTIF($D44:$D47,$A$3))</f>
        <v>0</v>
      </c>
      <c r="Q47" s="73" t="n">
        <f aca="false">IF($E47="","",COUNTIF($E44:$E47,N$21)+COUNTIF($E44:$E47,$A$3))</f>
        <v>0</v>
      </c>
      <c r="R47" s="92" t="n">
        <f aca="false">IF($F47="","",COUNTIF($F44:$F47,N$21)+COUNTIF($F44:$F47,$A$3))</f>
        <v>0</v>
      </c>
      <c r="T47" s="91" t="n">
        <f aca="false">IF($B47="","",COUNTIF($B44:$B47,T$21)+COUNTIF($B44:$B47,$A$3))</f>
        <v>1</v>
      </c>
      <c r="U47" s="73" t="n">
        <f aca="false">IF($C47="","",COUNTIF($C44:$C47,T$21)+COUNTIF($C44:$C47,$A$3))</f>
        <v>1</v>
      </c>
      <c r="V47" s="73" t="n">
        <f aca="false">IF($D47="","",COUNTIF($D44:$D47,T$21)+COUNTIF($D44:$D47,$A$3))</f>
        <v>0</v>
      </c>
      <c r="W47" s="73" t="n">
        <f aca="false">IF($E47="","",COUNTIF($E44:$E47,T$21)+COUNTIF($E44:$E47,$A$3))</f>
        <v>0</v>
      </c>
      <c r="X47" s="92" t="n">
        <f aca="false">IF($F47="","",COUNTIF($F44:$F47,T$21)+COUNTIF($F44:$F47,$A$3))</f>
        <v>1</v>
      </c>
      <c r="Z47" s="91" t="n">
        <f aca="false">IF($B47="","",COUNTIF($B44:$B47,Z$21)+COUNTIF($B44:$B47,$A$3))</f>
        <v>0</v>
      </c>
      <c r="AA47" s="73" t="n">
        <f aca="false">IF($C47="","",COUNTIF($C44:$C47,Z$21)+COUNTIF($C44:$C47,$A$3))</f>
        <v>2</v>
      </c>
      <c r="AB47" s="73" t="n">
        <f aca="false">IF($D47="","",COUNTIF($D44:$D47,Z$21)+COUNTIF($D44:$D47,$A$3))</f>
        <v>0</v>
      </c>
      <c r="AC47" s="73" t="n">
        <f aca="false">IF($E47="","",COUNTIF($E44:$E47,Z$21)+COUNTIF($E44:$E47,$A$3))</f>
        <v>1</v>
      </c>
      <c r="AD47" s="92" t="n">
        <f aca="false">IF($F47="","",COUNTIF($F44:$F47,Z$21)+COUNTIF($F44:$F47,$A$3))</f>
        <v>0</v>
      </c>
      <c r="AF47" s="91" t="n">
        <f aca="false">IF($B47="","",COUNTIF($B44:$B47,AF$21)+COUNTIF($B44:$B47,$A$3))</f>
        <v>0</v>
      </c>
      <c r="AG47" s="73" t="n">
        <f aca="false">IF($C47="","",COUNTIF($C44:$C47,AF$21)+COUNTIF($C44:$C47,$A$3))</f>
        <v>1</v>
      </c>
      <c r="AH47" s="73" t="n">
        <f aca="false">IF($D47="","",COUNTIF($D44:$D47,AF$21)+COUNTIF($D44:$D47,$A$3))</f>
        <v>0</v>
      </c>
      <c r="AI47" s="73" t="n">
        <f aca="false">IF($E47="","",COUNTIF($E44:$E47,AF$21)+COUNTIF($E44:$E47,$A$3))</f>
        <v>1</v>
      </c>
      <c r="AJ47" s="92" t="n">
        <f aca="false">IF($F47="","",COUNTIF($F44:$F47,AF$21)+COUNTIF($F44:$F47,$A$3))</f>
        <v>0</v>
      </c>
      <c r="AL47" s="91" t="n">
        <f aca="false">IF($B47="","",COUNTIF($B44:$B47,AL$21)+COUNTIF($B44:$B47,$A$3))</f>
        <v>0</v>
      </c>
      <c r="AM47" s="73" t="n">
        <f aca="false">IF($C47="","",COUNTIF($C44:$C47,AL$21)+COUNTIF($C44:$C47,$A$3))</f>
        <v>2</v>
      </c>
      <c r="AN47" s="73" t="n">
        <f aca="false">IF($D47="","",COUNTIF($D44:$D47,AL$21)+COUNTIF($D44:$D47,$A$3))</f>
        <v>0</v>
      </c>
      <c r="AO47" s="73" t="n">
        <f aca="false">IF($E47="","",COUNTIF($E44:$E47,AL$21)+COUNTIF($E44:$E47,$A$3))</f>
        <v>0</v>
      </c>
      <c r="AP47" s="92" t="n">
        <f aca="false">IF($F47="","",COUNTIF($F44:$F47,AL$21)+COUNTIF($F44:$F47,$A$3))</f>
        <v>1</v>
      </c>
      <c r="AR47" s="91" t="n">
        <f aca="false">IF($B47="","",COUNTIF($B44:$B47,AR$21)+COUNTIF($B44:$B47,$A$3))</f>
        <v>0</v>
      </c>
      <c r="AS47" s="73" t="n">
        <f aca="false">IF($C47="","",COUNTIF($C44:$C47,AR$21)+COUNTIF($C44:$C47,$A$3))</f>
        <v>1</v>
      </c>
      <c r="AT47" s="73" t="n">
        <f aca="false">IF($D47="","",COUNTIF($D44:$D47,AR$21)+COUNTIF($D44:$D47,$A$3))</f>
        <v>0</v>
      </c>
      <c r="AU47" s="73" t="n">
        <f aca="false">IF($E47="","",COUNTIF($E44:$E47,AR$21)+COUNTIF($E44:$E47,$A$3))</f>
        <v>1</v>
      </c>
      <c r="AV47" s="92" t="n">
        <f aca="false">IF($F47="","",COUNTIF($F44:$F47,AR$21)+COUNTIF($F44:$F47,$A$3))</f>
        <v>0</v>
      </c>
      <c r="AX47" s="91" t="n">
        <f aca="false">IF($B47="","",COUNTIF($B44:$B47,AX$21)+COUNTIF($B44:$B47,$A$3))</f>
        <v>1</v>
      </c>
      <c r="AY47" s="73" t="n">
        <f aca="false">IF($C47="","",COUNTIF($C44:$C47,AX$21)+COUNTIF($C44:$C47,$A$3))</f>
        <v>2</v>
      </c>
      <c r="AZ47" s="73" t="n">
        <f aca="false">IF($D47="","",COUNTIF($D44:$D47,AX$21)+COUNTIF($D44:$D47,$A$3))</f>
        <v>1</v>
      </c>
      <c r="BA47" s="73" t="n">
        <f aca="false">IF($E47="","",COUNTIF($E44:$E47,AX$21)+COUNTIF($E44:$E47,$A$3))</f>
        <v>0</v>
      </c>
      <c r="BB47" s="92" t="n">
        <f aca="false">IF($F47="","",COUNTIF($F44:$F47,AX$21)+COUNTIF($F44:$F47,$A$3))</f>
        <v>1</v>
      </c>
      <c r="BD47" s="91" t="n">
        <f aca="false">IF($B47="","",COUNTIF($B44:$B47,BD$21)+COUNTIF($B44:$B47,$A$3))</f>
        <v>1</v>
      </c>
      <c r="BE47" s="73" t="n">
        <f aca="false">IF($C47="","",COUNTIF($C44:$C47,BD$21)+COUNTIF($C44:$C47,$A$3))</f>
        <v>1</v>
      </c>
      <c r="BF47" s="73" t="n">
        <f aca="false">IF($D47="","",COUNTIF($D44:$D47,BD$21)+COUNTIF($D44:$D47,$A$3))</f>
        <v>1</v>
      </c>
      <c r="BG47" s="73" t="n">
        <f aca="false">IF($E47="","",COUNTIF($E44:$E47,BD$21)+COUNTIF($E44:$E47,$A$3))</f>
        <v>0</v>
      </c>
      <c r="BH47" s="92" t="n">
        <f aca="false">IF($F47="","",COUNTIF($F44:$F47,BD$21)+COUNTIF($F44:$F47,$A$3))</f>
        <v>0</v>
      </c>
      <c r="BJ47" s="91" t="n">
        <f aca="false">IF($B47="","",COUNTIF($B44:$B47,BJ$21)+COUNTIF($B44:$B47,$A$3))</f>
        <v>0</v>
      </c>
      <c r="BK47" s="73" t="n">
        <f aca="false">IF($C47="","",COUNTIF($C44:$C47,BJ$21)+COUNTIF($C44:$C47,$A$3))</f>
        <v>1</v>
      </c>
      <c r="BL47" s="73" t="n">
        <f aca="false">IF($D47="","",COUNTIF($D44:$D47,BJ$21)+COUNTIF($D44:$D47,$A$3))</f>
        <v>1</v>
      </c>
      <c r="BM47" s="73" t="n">
        <f aca="false">IF($E47="","",COUNTIF($E44:$E47,BJ$21)+COUNTIF($E44:$E47,$A$3))</f>
        <v>0</v>
      </c>
      <c r="BN47" s="92" t="n">
        <f aca="false">IF($F47="","",COUNTIF($F44:$F47,BJ$21)+COUNTIF($F44:$F47,$A$3))</f>
        <v>0</v>
      </c>
      <c r="BP47" s="91" t="n">
        <f aca="false">IF($B47="","",COUNTIF($B44:$B47,BP$21)+COUNTIF($B44:$B47,$A$3))</f>
        <v>0</v>
      </c>
      <c r="BQ47" s="73" t="n">
        <f aca="false">IF($C47="","",COUNTIF($C44:$C47,BP$21)+COUNTIF($C44:$C47,$A$3))</f>
        <v>1</v>
      </c>
      <c r="BR47" s="73" t="n">
        <f aca="false">IF($D47="","",COUNTIF($D44:$D47,BP$21)+COUNTIF($D44:$D47,$A$3))</f>
        <v>0</v>
      </c>
      <c r="BS47" s="73" t="n">
        <f aca="false">IF($E47="","",COUNTIF($E44:$E47,BP$21)+COUNTIF($E44:$E47,$A$3))</f>
        <v>1</v>
      </c>
      <c r="BT47" s="92" t="n">
        <f aca="false">IF($F47="","",COUNTIF($F44:$F47,BP$21)+COUNTIF($F44:$F47,$A$3))</f>
        <v>0</v>
      </c>
    </row>
    <row r="48" customFormat="false" ht="15" hidden="false" customHeight="false" outlineLevel="0" collapsed="false">
      <c r="A48" s="13" t="n">
        <v>26</v>
      </c>
      <c r="B48" s="116" t="n">
        <f aca="false">IF('Game Info'!Q31="","",'Game Info'!Q31)</f>
        <v>10</v>
      </c>
      <c r="C48" s="116" t="str">
        <f aca="false">IF('Game Info'!R31="","",'Game Info'!R31)</f>
        <v>J</v>
      </c>
      <c r="D48" s="116" t="str">
        <f aca="false">IF('Game Info'!S31="","",'Game Info'!S31)</f>
        <v>SYM1</v>
      </c>
      <c r="E48" s="116" t="str">
        <f aca="false">IF('Game Info'!T31="","",'Game Info'!T31)</f>
        <v>SYM2</v>
      </c>
      <c r="F48" s="117" t="str">
        <f aca="false">IF('Game Info'!U31="","",'Game Info'!U31)</f>
        <v>SYM1</v>
      </c>
      <c r="H48" s="91" t="n">
        <f aca="false">IF($B48="","",COUNTIF($B45:$B48,H$21)+COUNTIF($B45:$B48,$A$3))</f>
        <v>0</v>
      </c>
      <c r="I48" s="73" t="n">
        <f aca="false">IF($C48="","",COUNTIF($C45:$C48,H$21)+COUNTIF($C45:$C48,$A$3))</f>
        <v>0</v>
      </c>
      <c r="J48" s="73" t="n">
        <f aca="false">IF($D48="","",COUNTIF($D45:$D48,H$21)+COUNTIF($D45:$D48,$A$3))</f>
        <v>1</v>
      </c>
      <c r="K48" s="73" t="n">
        <f aca="false">IF($E48="","",COUNTIF($E45:$E48,H$21)+COUNTIF($E45:$E48,$A$3))</f>
        <v>0</v>
      </c>
      <c r="L48" s="92" t="n">
        <f aca="false">IF($F48="","",COUNTIF($F45:$F48,H$21)+COUNTIF($F45:$F48,$A$3))</f>
        <v>2</v>
      </c>
      <c r="N48" s="91" t="n">
        <f aca="false">IF($B48="","",COUNTIF($B45:$B48,N$21)+COUNTIF($B45:$B48,$A$3))</f>
        <v>1</v>
      </c>
      <c r="O48" s="73" t="n">
        <f aca="false">IF($C48="","",COUNTIF($C45:$C48,N$21)+COUNTIF($C45:$C48,$A$3))</f>
        <v>0</v>
      </c>
      <c r="P48" s="73" t="n">
        <f aca="false">IF($D48="","",COUNTIF($D45:$D48,N$21)+COUNTIF($D45:$D48,$A$3))</f>
        <v>0</v>
      </c>
      <c r="Q48" s="73" t="n">
        <f aca="false">IF($E48="","",COUNTIF($E45:$E48,N$21)+COUNTIF($E45:$E48,$A$3))</f>
        <v>1</v>
      </c>
      <c r="R48" s="92" t="n">
        <f aca="false">IF($F48="","",COUNTIF($F45:$F48,N$21)+COUNTIF($F45:$F48,$A$3))</f>
        <v>0</v>
      </c>
      <c r="T48" s="91" t="n">
        <f aca="false">IF($B48="","",COUNTIF($B45:$B48,T$21)+COUNTIF($B45:$B48,$A$3))</f>
        <v>1</v>
      </c>
      <c r="U48" s="73" t="n">
        <f aca="false">IF($C48="","",COUNTIF($C45:$C48,T$21)+COUNTIF($C45:$C48,$A$3))</f>
        <v>0</v>
      </c>
      <c r="V48" s="73" t="n">
        <f aca="false">IF($D48="","",COUNTIF($D45:$D48,T$21)+COUNTIF($D45:$D48,$A$3))</f>
        <v>0</v>
      </c>
      <c r="W48" s="73" t="n">
        <f aca="false">IF($E48="","",COUNTIF($E45:$E48,T$21)+COUNTIF($E45:$E48,$A$3))</f>
        <v>0</v>
      </c>
      <c r="X48" s="92" t="n">
        <f aca="false">IF($F48="","",COUNTIF($F45:$F48,T$21)+COUNTIF($F45:$F48,$A$3))</f>
        <v>0</v>
      </c>
      <c r="Z48" s="91" t="n">
        <f aca="false">IF($B48="","",COUNTIF($B45:$B48,Z$21)+COUNTIF($B45:$B48,$A$3))</f>
        <v>0</v>
      </c>
      <c r="AA48" s="73" t="n">
        <f aca="false">IF($C48="","",COUNTIF($C45:$C48,Z$21)+COUNTIF($C45:$C48,$A$3))</f>
        <v>1</v>
      </c>
      <c r="AB48" s="73" t="n">
        <f aca="false">IF($D48="","",COUNTIF($D45:$D48,Z$21)+COUNTIF($D45:$D48,$A$3))</f>
        <v>0</v>
      </c>
      <c r="AC48" s="73" t="n">
        <f aca="false">IF($E48="","",COUNTIF($E45:$E48,Z$21)+COUNTIF($E45:$E48,$A$3))</f>
        <v>1</v>
      </c>
      <c r="AD48" s="92" t="n">
        <f aca="false">IF($F48="","",COUNTIF($F45:$F48,Z$21)+COUNTIF($F45:$F48,$A$3))</f>
        <v>0</v>
      </c>
      <c r="AF48" s="91" t="n">
        <f aca="false">IF($B48="","",COUNTIF($B45:$B48,AF$21)+COUNTIF($B45:$B48,$A$3))</f>
        <v>0</v>
      </c>
      <c r="AG48" s="73" t="n">
        <f aca="false">IF($C48="","",COUNTIF($C45:$C48,AF$21)+COUNTIF($C45:$C48,$A$3))</f>
        <v>0</v>
      </c>
      <c r="AH48" s="73" t="n">
        <f aca="false">IF($D48="","",COUNTIF($D45:$D48,AF$21)+COUNTIF($D45:$D48,$A$3))</f>
        <v>0</v>
      </c>
      <c r="AI48" s="73" t="n">
        <f aca="false">IF($E48="","",COUNTIF($E45:$E48,AF$21)+COUNTIF($E45:$E48,$A$3))</f>
        <v>1</v>
      </c>
      <c r="AJ48" s="92" t="n">
        <f aca="false">IF($F48="","",COUNTIF($F45:$F48,AF$21)+COUNTIF($F45:$F48,$A$3))</f>
        <v>0</v>
      </c>
      <c r="AL48" s="91" t="n">
        <f aca="false">IF($B48="","",COUNTIF($B45:$B48,AL$21)+COUNTIF($B45:$B48,$A$3))</f>
        <v>0</v>
      </c>
      <c r="AM48" s="73" t="n">
        <f aca="false">IF($C48="","",COUNTIF($C45:$C48,AL$21)+COUNTIF($C45:$C48,$A$3))</f>
        <v>1</v>
      </c>
      <c r="AN48" s="73" t="n">
        <f aca="false">IF($D48="","",COUNTIF($D45:$D48,AL$21)+COUNTIF($D45:$D48,$A$3))</f>
        <v>0</v>
      </c>
      <c r="AO48" s="73" t="n">
        <f aca="false">IF($E48="","",COUNTIF($E45:$E48,AL$21)+COUNTIF($E45:$E48,$A$3))</f>
        <v>0</v>
      </c>
      <c r="AP48" s="92" t="n">
        <f aca="false">IF($F48="","",COUNTIF($F45:$F48,AL$21)+COUNTIF($F45:$F48,$A$3))</f>
        <v>1</v>
      </c>
      <c r="AR48" s="91" t="n">
        <f aca="false">IF($B48="","",COUNTIF($B45:$B48,AR$21)+COUNTIF($B45:$B48,$A$3))</f>
        <v>0</v>
      </c>
      <c r="AS48" s="73" t="n">
        <f aca="false">IF($C48="","",COUNTIF($C45:$C48,AR$21)+COUNTIF($C45:$C48,$A$3))</f>
        <v>0</v>
      </c>
      <c r="AT48" s="73" t="n">
        <f aca="false">IF($D48="","",COUNTIF($D45:$D48,AR$21)+COUNTIF($D45:$D48,$A$3))</f>
        <v>0</v>
      </c>
      <c r="AU48" s="73" t="n">
        <f aca="false">IF($E48="","",COUNTIF($E45:$E48,AR$21)+COUNTIF($E45:$E48,$A$3))</f>
        <v>0</v>
      </c>
      <c r="AV48" s="92" t="n">
        <f aca="false">IF($F48="","",COUNTIF($F45:$F48,AR$21)+COUNTIF($F45:$F48,$A$3))</f>
        <v>0</v>
      </c>
      <c r="AX48" s="91" t="n">
        <f aca="false">IF($B48="","",COUNTIF($B45:$B48,AX$21)+COUNTIF($B45:$B48,$A$3))</f>
        <v>0</v>
      </c>
      <c r="AY48" s="73" t="n">
        <f aca="false">IF($C48="","",COUNTIF($C45:$C48,AX$21)+COUNTIF($C45:$C48,$A$3))</f>
        <v>1</v>
      </c>
      <c r="AZ48" s="73" t="n">
        <f aca="false">IF($D48="","",COUNTIF($D45:$D48,AX$21)+COUNTIF($D45:$D48,$A$3))</f>
        <v>1</v>
      </c>
      <c r="BA48" s="73" t="n">
        <f aca="false">IF($E48="","",COUNTIF($E45:$E48,AX$21)+COUNTIF($E45:$E48,$A$3))</f>
        <v>0</v>
      </c>
      <c r="BB48" s="92" t="n">
        <f aca="false">IF($F48="","",COUNTIF($F45:$F48,AX$21)+COUNTIF($F45:$F48,$A$3))</f>
        <v>1</v>
      </c>
      <c r="BD48" s="91" t="n">
        <f aca="false">IF($B48="","",COUNTIF($B45:$B48,BD$21)+COUNTIF($B45:$B48,$A$3))</f>
        <v>1</v>
      </c>
      <c r="BE48" s="73" t="n">
        <f aca="false">IF($C48="","",COUNTIF($C45:$C48,BD$21)+COUNTIF($C45:$C48,$A$3))</f>
        <v>1</v>
      </c>
      <c r="BF48" s="73" t="n">
        <f aca="false">IF($D48="","",COUNTIF($D45:$D48,BD$21)+COUNTIF($D45:$D48,$A$3))</f>
        <v>1</v>
      </c>
      <c r="BG48" s="73" t="n">
        <f aca="false">IF($E48="","",COUNTIF($E45:$E48,BD$21)+COUNTIF($E45:$E48,$A$3))</f>
        <v>0</v>
      </c>
      <c r="BH48" s="92" t="n">
        <f aca="false">IF($F48="","",COUNTIF($F45:$F48,BD$21)+COUNTIF($F45:$F48,$A$3))</f>
        <v>0</v>
      </c>
      <c r="BJ48" s="91" t="n">
        <f aca="false">IF($B48="","",COUNTIF($B45:$B48,BJ$21)+COUNTIF($B45:$B48,$A$3))</f>
        <v>1</v>
      </c>
      <c r="BK48" s="73" t="n">
        <f aca="false">IF($C48="","",COUNTIF($C45:$C48,BJ$21)+COUNTIF($C45:$C48,$A$3))</f>
        <v>0</v>
      </c>
      <c r="BL48" s="73" t="n">
        <f aca="false">IF($D48="","",COUNTIF($D45:$D48,BJ$21)+COUNTIF($D45:$D48,$A$3))</f>
        <v>1</v>
      </c>
      <c r="BM48" s="73" t="n">
        <f aca="false">IF($E48="","",COUNTIF($E45:$E48,BJ$21)+COUNTIF($E45:$E48,$A$3))</f>
        <v>0</v>
      </c>
      <c r="BN48" s="92" t="n">
        <f aca="false">IF($F48="","",COUNTIF($F45:$F48,BJ$21)+COUNTIF($F45:$F48,$A$3))</f>
        <v>0</v>
      </c>
      <c r="BP48" s="91" t="n">
        <f aca="false">IF($B48="","",COUNTIF($B45:$B48,BP$21)+COUNTIF($B45:$B48,$A$3))</f>
        <v>0</v>
      </c>
      <c r="BQ48" s="73" t="n">
        <f aca="false">IF($C48="","",COUNTIF($C45:$C48,BP$21)+COUNTIF($C45:$C48,$A$3))</f>
        <v>0</v>
      </c>
      <c r="BR48" s="73" t="n">
        <f aca="false">IF($D48="","",COUNTIF($D45:$D48,BP$21)+COUNTIF($D45:$D48,$A$3))</f>
        <v>0</v>
      </c>
      <c r="BS48" s="73" t="n">
        <f aca="false">IF($E48="","",COUNTIF($E45:$E48,BP$21)+COUNTIF($E45:$E48,$A$3))</f>
        <v>1</v>
      </c>
      <c r="BT48" s="92" t="n">
        <f aca="false">IF($F48="","",COUNTIF($F45:$F48,BP$21)+COUNTIF($F45:$F48,$A$3))</f>
        <v>0</v>
      </c>
    </row>
    <row r="49" customFormat="false" ht="15" hidden="false" customHeight="false" outlineLevel="0" collapsed="false">
      <c r="A49" s="13" t="n">
        <v>27</v>
      </c>
      <c r="B49" s="116" t="str">
        <f aca="false">IF('Game Info'!Q32="","",'Game Info'!Q32)</f>
        <v>A</v>
      </c>
      <c r="C49" s="116" t="str">
        <f aca="false">IF('Game Info'!R32="","",'Game Info'!R32)</f>
        <v>SYM1</v>
      </c>
      <c r="D49" s="116" t="str">
        <f aca="false">IF('Game Info'!S32="","",'Game Info'!S32)</f>
        <v>K</v>
      </c>
      <c r="E49" s="116" t="str">
        <f aca="false">IF('Game Info'!T32="","",'Game Info'!T32)</f>
        <v>J</v>
      </c>
      <c r="F49" s="117" t="str">
        <f aca="false">IF('Game Info'!U32="","",'Game Info'!U32)</f>
        <v>SYM1</v>
      </c>
      <c r="H49" s="91" t="n">
        <f aca="false">IF($B49="","",COUNTIF($B46:$B49,H$21)+COUNTIF($B46:$B49,$A$3))</f>
        <v>0</v>
      </c>
      <c r="I49" s="73" t="n">
        <f aca="false">IF($C49="","",COUNTIF($C46:$C49,H$21)+COUNTIF($C46:$C49,$A$3))</f>
        <v>1</v>
      </c>
      <c r="J49" s="73" t="n">
        <f aca="false">IF($D49="","",COUNTIF($D46:$D49,H$21)+COUNTIF($D46:$D49,$A$3))</f>
        <v>1</v>
      </c>
      <c r="K49" s="73" t="n">
        <f aca="false">IF($E49="","",COUNTIF($E46:$E49,H$21)+COUNTIF($E46:$E49,$A$3))</f>
        <v>0</v>
      </c>
      <c r="L49" s="92" t="n">
        <f aca="false">IF($F49="","",COUNTIF($F46:$F49,H$21)+COUNTIF($F46:$F49,$A$3))</f>
        <v>3</v>
      </c>
      <c r="N49" s="91" t="n">
        <f aca="false">IF($B49="","",COUNTIF($B46:$B49,N$21)+COUNTIF($B46:$B49,$A$3))</f>
        <v>0</v>
      </c>
      <c r="O49" s="73" t="n">
        <f aca="false">IF($C49="","",COUNTIF($C46:$C49,N$21)+COUNTIF($C46:$C49,$A$3))</f>
        <v>0</v>
      </c>
      <c r="P49" s="73" t="n">
        <f aca="false">IF($D49="","",COUNTIF($D46:$D49,N$21)+COUNTIF($D46:$D49,$A$3))</f>
        <v>0</v>
      </c>
      <c r="Q49" s="73" t="n">
        <f aca="false">IF($E49="","",COUNTIF($E46:$E49,N$21)+COUNTIF($E46:$E49,$A$3))</f>
        <v>1</v>
      </c>
      <c r="R49" s="92" t="n">
        <f aca="false">IF($F49="","",COUNTIF($F46:$F49,N$21)+COUNTIF($F46:$F49,$A$3))</f>
        <v>0</v>
      </c>
      <c r="T49" s="91" t="n">
        <f aca="false">IF($B49="","",COUNTIF($B46:$B49,T$21)+COUNTIF($B46:$B49,$A$3))</f>
        <v>1</v>
      </c>
      <c r="U49" s="73" t="n">
        <f aca="false">IF($C49="","",COUNTIF($C46:$C49,T$21)+COUNTIF($C46:$C49,$A$3))</f>
        <v>0</v>
      </c>
      <c r="V49" s="73" t="n">
        <f aca="false">IF($D49="","",COUNTIF($D46:$D49,T$21)+COUNTIF($D46:$D49,$A$3))</f>
        <v>0</v>
      </c>
      <c r="W49" s="73" t="n">
        <f aca="false">IF($E49="","",COUNTIF($E46:$E49,T$21)+COUNTIF($E46:$E49,$A$3))</f>
        <v>0</v>
      </c>
      <c r="X49" s="92" t="n">
        <f aca="false">IF($F49="","",COUNTIF($F46:$F49,T$21)+COUNTIF($F46:$F49,$A$3))</f>
        <v>0</v>
      </c>
      <c r="Z49" s="91" t="n">
        <f aca="false">IF($B49="","",COUNTIF($B46:$B49,Z$21)+COUNTIF($B46:$B49,$A$3))</f>
        <v>0</v>
      </c>
      <c r="AA49" s="73" t="n">
        <f aca="false">IF($C49="","",COUNTIF($C46:$C49,Z$21)+COUNTIF($C46:$C49,$A$3))</f>
        <v>1</v>
      </c>
      <c r="AB49" s="73" t="n">
        <f aca="false">IF($D49="","",COUNTIF($D46:$D49,Z$21)+COUNTIF($D46:$D49,$A$3))</f>
        <v>0</v>
      </c>
      <c r="AC49" s="73" t="n">
        <f aca="false">IF($E49="","",COUNTIF($E46:$E49,Z$21)+COUNTIF($E46:$E49,$A$3))</f>
        <v>1</v>
      </c>
      <c r="AD49" s="92" t="n">
        <f aca="false">IF($F49="","",COUNTIF($F46:$F49,Z$21)+COUNTIF($F46:$F49,$A$3))</f>
        <v>0</v>
      </c>
      <c r="AF49" s="91" t="n">
        <f aca="false">IF($B49="","",COUNTIF($B46:$B49,AF$21)+COUNTIF($B46:$B49,$A$3))</f>
        <v>0</v>
      </c>
      <c r="AG49" s="73" t="n">
        <f aca="false">IF($C49="","",COUNTIF($C46:$C49,AF$21)+COUNTIF($C46:$C49,$A$3))</f>
        <v>0</v>
      </c>
      <c r="AH49" s="73" t="n">
        <f aca="false">IF($D49="","",COUNTIF($D46:$D49,AF$21)+COUNTIF($D46:$D49,$A$3))</f>
        <v>0</v>
      </c>
      <c r="AI49" s="73" t="n">
        <f aca="false">IF($E49="","",COUNTIF($E46:$E49,AF$21)+COUNTIF($E46:$E49,$A$3))</f>
        <v>0</v>
      </c>
      <c r="AJ49" s="92" t="n">
        <f aca="false">IF($F49="","",COUNTIF($F46:$F49,AF$21)+COUNTIF($F46:$F49,$A$3))</f>
        <v>0</v>
      </c>
      <c r="AL49" s="91" t="n">
        <f aca="false">IF($B49="","",COUNTIF($B46:$B49,AL$21)+COUNTIF($B46:$B49,$A$3))</f>
        <v>1</v>
      </c>
      <c r="AM49" s="73" t="n">
        <f aca="false">IF($C49="","",COUNTIF($C46:$C49,AL$21)+COUNTIF($C46:$C49,$A$3))</f>
        <v>0</v>
      </c>
      <c r="AN49" s="73" t="n">
        <f aca="false">IF($D49="","",COUNTIF($D46:$D49,AL$21)+COUNTIF($D46:$D49,$A$3))</f>
        <v>0</v>
      </c>
      <c r="AO49" s="73" t="n">
        <f aca="false">IF($E49="","",COUNTIF($E46:$E49,AL$21)+COUNTIF($E46:$E49,$A$3))</f>
        <v>0</v>
      </c>
      <c r="AP49" s="92" t="n">
        <f aca="false">IF($F49="","",COUNTIF($F46:$F49,AL$21)+COUNTIF($F46:$F49,$A$3))</f>
        <v>1</v>
      </c>
      <c r="AR49" s="91" t="n">
        <f aca="false">IF($B49="","",COUNTIF($B46:$B49,AR$21)+COUNTIF($B46:$B49,$A$3))</f>
        <v>0</v>
      </c>
      <c r="AS49" s="73" t="n">
        <f aca="false">IF($C49="","",COUNTIF($C46:$C49,AR$21)+COUNTIF($C46:$C49,$A$3))</f>
        <v>0</v>
      </c>
      <c r="AT49" s="73" t="n">
        <f aca="false">IF($D49="","",COUNTIF($D46:$D49,AR$21)+COUNTIF($D46:$D49,$A$3))</f>
        <v>1</v>
      </c>
      <c r="AU49" s="73" t="n">
        <f aca="false">IF($E49="","",COUNTIF($E46:$E49,AR$21)+COUNTIF($E46:$E49,$A$3))</f>
        <v>0</v>
      </c>
      <c r="AV49" s="92" t="n">
        <f aca="false">IF($F49="","",COUNTIF($F46:$F49,AR$21)+COUNTIF($F46:$F49,$A$3))</f>
        <v>0</v>
      </c>
      <c r="AX49" s="91" t="n">
        <f aca="false">IF($B49="","",COUNTIF($B46:$B49,AX$21)+COUNTIF($B46:$B49,$A$3))</f>
        <v>0</v>
      </c>
      <c r="AY49" s="73" t="n">
        <f aca="false">IF($C49="","",COUNTIF($C46:$C49,AX$21)+COUNTIF($C46:$C49,$A$3))</f>
        <v>1</v>
      </c>
      <c r="AZ49" s="73" t="n">
        <f aca="false">IF($D49="","",COUNTIF($D46:$D49,AX$21)+COUNTIF($D46:$D49,$A$3))</f>
        <v>1</v>
      </c>
      <c r="BA49" s="73" t="n">
        <f aca="false">IF($E49="","",COUNTIF($E46:$E49,AX$21)+COUNTIF($E46:$E49,$A$3))</f>
        <v>0</v>
      </c>
      <c r="BB49" s="92" t="n">
        <f aca="false">IF($F49="","",COUNTIF($F46:$F49,AX$21)+COUNTIF($F46:$F49,$A$3))</f>
        <v>0</v>
      </c>
      <c r="BD49" s="91" t="n">
        <f aca="false">IF($B49="","",COUNTIF($B46:$B49,BD$21)+COUNTIF($B46:$B49,$A$3))</f>
        <v>1</v>
      </c>
      <c r="BE49" s="73" t="n">
        <f aca="false">IF($C49="","",COUNTIF($C46:$C49,BD$21)+COUNTIF($C46:$C49,$A$3))</f>
        <v>1</v>
      </c>
      <c r="BF49" s="73" t="n">
        <f aca="false">IF($D49="","",COUNTIF($D46:$D49,BD$21)+COUNTIF($D46:$D49,$A$3))</f>
        <v>0</v>
      </c>
      <c r="BG49" s="73" t="n">
        <f aca="false">IF($E49="","",COUNTIF($E46:$E49,BD$21)+COUNTIF($E46:$E49,$A$3))</f>
        <v>1</v>
      </c>
      <c r="BH49" s="92" t="n">
        <f aca="false">IF($F49="","",COUNTIF($F46:$F49,BD$21)+COUNTIF($F46:$F49,$A$3))</f>
        <v>0</v>
      </c>
      <c r="BJ49" s="91" t="n">
        <f aca="false">IF($B49="","",COUNTIF($B46:$B49,BJ$21)+COUNTIF($B46:$B49,$A$3))</f>
        <v>1</v>
      </c>
      <c r="BK49" s="73" t="n">
        <f aca="false">IF($C49="","",COUNTIF($C46:$C49,BJ$21)+COUNTIF($C46:$C49,$A$3))</f>
        <v>0</v>
      </c>
      <c r="BL49" s="73" t="n">
        <f aca="false">IF($D49="","",COUNTIF($D46:$D49,BJ$21)+COUNTIF($D46:$D49,$A$3))</f>
        <v>1</v>
      </c>
      <c r="BM49" s="73" t="n">
        <f aca="false">IF($E49="","",COUNTIF($E46:$E49,BJ$21)+COUNTIF($E46:$E49,$A$3))</f>
        <v>0</v>
      </c>
      <c r="BN49" s="92" t="n">
        <f aca="false">IF($F49="","",COUNTIF($F46:$F49,BJ$21)+COUNTIF($F46:$F49,$A$3))</f>
        <v>0</v>
      </c>
      <c r="BP49" s="91" t="n">
        <f aca="false">IF($B49="","",COUNTIF($B46:$B49,BP$21)+COUNTIF($B46:$B49,$A$3))</f>
        <v>0</v>
      </c>
      <c r="BQ49" s="73" t="n">
        <f aca="false">IF($C49="","",COUNTIF($C46:$C49,BP$21)+COUNTIF($C46:$C49,$A$3))</f>
        <v>0</v>
      </c>
      <c r="BR49" s="73" t="n">
        <f aca="false">IF($D49="","",COUNTIF($D46:$D49,BP$21)+COUNTIF($D46:$D49,$A$3))</f>
        <v>0</v>
      </c>
      <c r="BS49" s="73" t="n">
        <f aca="false">IF($E49="","",COUNTIF($E46:$E49,BP$21)+COUNTIF($E46:$E49,$A$3))</f>
        <v>1</v>
      </c>
      <c r="BT49" s="92" t="n">
        <f aca="false">IF($F49="","",COUNTIF($F46:$F49,BP$21)+COUNTIF($F46:$F49,$A$3))</f>
        <v>0</v>
      </c>
    </row>
    <row r="50" customFormat="false" ht="15" hidden="false" customHeight="false" outlineLevel="0" collapsed="false">
      <c r="A50" s="13" t="n">
        <v>28</v>
      </c>
      <c r="B50" s="116" t="str">
        <f aca="false">IF('Game Info'!Q33="","",'Game Info'!Q33)</f>
        <v>SYM4</v>
      </c>
      <c r="C50" s="116" t="str">
        <f aca="false">IF('Game Info'!R33="","",'Game Info'!R33)</f>
        <v>K</v>
      </c>
      <c r="D50" s="116" t="str">
        <f aca="false">IF('Game Info'!S33="","",'Game Info'!S33)</f>
        <v>J</v>
      </c>
      <c r="E50" s="116" t="str">
        <f aca="false">IF('Game Info'!T33="","",'Game Info'!T33)</f>
        <v>A</v>
      </c>
      <c r="F50" s="117" t="n">
        <f aca="false">IF('Game Info'!U33="","",'Game Info'!U33)</f>
        <v>10</v>
      </c>
      <c r="H50" s="91" t="n">
        <f aca="false">IF($B50="","",COUNTIF($B47:$B50,H$21)+COUNTIF($B47:$B50,$A$3))</f>
        <v>0</v>
      </c>
      <c r="I50" s="73" t="n">
        <f aca="false">IF($C50="","",COUNTIF($C47:$C50,H$21)+COUNTIF($C47:$C50,$A$3))</f>
        <v>1</v>
      </c>
      <c r="J50" s="73" t="n">
        <f aca="false">IF($D50="","",COUNTIF($D47:$D50,H$21)+COUNTIF($D47:$D50,$A$3))</f>
        <v>1</v>
      </c>
      <c r="K50" s="73" t="n">
        <f aca="false">IF($E50="","",COUNTIF($E47:$E50,H$21)+COUNTIF($E47:$E50,$A$3))</f>
        <v>0</v>
      </c>
      <c r="L50" s="92" t="n">
        <f aca="false">IF($F50="","",COUNTIF($F47:$F50,H$21)+COUNTIF($F47:$F50,$A$3))</f>
        <v>3</v>
      </c>
      <c r="N50" s="91" t="n">
        <f aca="false">IF($B50="","",COUNTIF($B47:$B50,N$21)+COUNTIF($B47:$B50,$A$3))</f>
        <v>0</v>
      </c>
      <c r="O50" s="73" t="n">
        <f aca="false">IF($C50="","",COUNTIF($C47:$C50,N$21)+COUNTIF($C47:$C50,$A$3))</f>
        <v>0</v>
      </c>
      <c r="P50" s="73" t="n">
        <f aca="false">IF($D50="","",COUNTIF($D47:$D50,N$21)+COUNTIF($D47:$D50,$A$3))</f>
        <v>0</v>
      </c>
      <c r="Q50" s="73" t="n">
        <f aca="false">IF($E50="","",COUNTIF($E47:$E50,N$21)+COUNTIF($E47:$E50,$A$3))</f>
        <v>1</v>
      </c>
      <c r="R50" s="92" t="n">
        <f aca="false">IF($F50="","",COUNTIF($F47:$F50,N$21)+COUNTIF($F47:$F50,$A$3))</f>
        <v>0</v>
      </c>
      <c r="T50" s="91" t="n">
        <f aca="false">IF($B50="","",COUNTIF($B47:$B50,T$21)+COUNTIF($B47:$B50,$A$3))</f>
        <v>0</v>
      </c>
      <c r="U50" s="73" t="n">
        <f aca="false">IF($C50="","",COUNTIF($C47:$C50,T$21)+COUNTIF($C47:$C50,$A$3))</f>
        <v>0</v>
      </c>
      <c r="V50" s="73" t="n">
        <f aca="false">IF($D50="","",COUNTIF($D47:$D50,T$21)+COUNTIF($D47:$D50,$A$3))</f>
        <v>0</v>
      </c>
      <c r="W50" s="73" t="n">
        <f aca="false">IF($E50="","",COUNTIF($E47:$E50,T$21)+COUNTIF($E47:$E50,$A$3))</f>
        <v>0</v>
      </c>
      <c r="X50" s="92" t="n">
        <f aca="false">IF($F50="","",COUNTIF($F47:$F50,T$21)+COUNTIF($F47:$F50,$A$3))</f>
        <v>0</v>
      </c>
      <c r="Z50" s="91" t="n">
        <f aca="false">IF($B50="","",COUNTIF($B47:$B50,Z$21)+COUNTIF($B47:$B50,$A$3))</f>
        <v>1</v>
      </c>
      <c r="AA50" s="73" t="n">
        <f aca="false">IF($C50="","",COUNTIF($C47:$C50,Z$21)+COUNTIF($C47:$C50,$A$3))</f>
        <v>1</v>
      </c>
      <c r="AB50" s="73" t="n">
        <f aca="false">IF($D50="","",COUNTIF($D47:$D50,Z$21)+COUNTIF($D47:$D50,$A$3))</f>
        <v>0</v>
      </c>
      <c r="AC50" s="73" t="n">
        <f aca="false">IF($E50="","",COUNTIF($E47:$E50,Z$21)+COUNTIF($E47:$E50,$A$3))</f>
        <v>1</v>
      </c>
      <c r="AD50" s="92" t="n">
        <f aca="false">IF($F50="","",COUNTIF($F47:$F50,Z$21)+COUNTIF($F47:$F50,$A$3))</f>
        <v>0</v>
      </c>
      <c r="AF50" s="91" t="n">
        <f aca="false">IF($B50="","",COUNTIF($B47:$B50,AF$21)+COUNTIF($B47:$B50,$A$3))</f>
        <v>0</v>
      </c>
      <c r="AG50" s="73" t="n">
        <f aca="false">IF($C50="","",COUNTIF($C47:$C50,AF$21)+COUNTIF($C47:$C50,$A$3))</f>
        <v>0</v>
      </c>
      <c r="AH50" s="73" t="n">
        <f aca="false">IF($D50="","",COUNTIF($D47:$D50,AF$21)+COUNTIF($D47:$D50,$A$3))</f>
        <v>0</v>
      </c>
      <c r="AI50" s="73" t="n">
        <f aca="false">IF($E50="","",COUNTIF($E47:$E50,AF$21)+COUNTIF($E47:$E50,$A$3))</f>
        <v>0</v>
      </c>
      <c r="AJ50" s="92" t="n">
        <f aca="false">IF($F50="","",COUNTIF($F47:$F50,AF$21)+COUNTIF($F47:$F50,$A$3))</f>
        <v>0</v>
      </c>
      <c r="AL50" s="91" t="n">
        <f aca="false">IF($B50="","",COUNTIF($B47:$B50,AL$21)+COUNTIF($B47:$B50,$A$3))</f>
        <v>1</v>
      </c>
      <c r="AM50" s="73" t="n">
        <f aca="false">IF($C50="","",COUNTIF($C47:$C50,AL$21)+COUNTIF($C47:$C50,$A$3))</f>
        <v>0</v>
      </c>
      <c r="AN50" s="73" t="n">
        <f aca="false">IF($D50="","",COUNTIF($D47:$D50,AL$21)+COUNTIF($D47:$D50,$A$3))</f>
        <v>0</v>
      </c>
      <c r="AO50" s="73" t="n">
        <f aca="false">IF($E50="","",COUNTIF($E47:$E50,AL$21)+COUNTIF($E47:$E50,$A$3))</f>
        <v>1</v>
      </c>
      <c r="AP50" s="92" t="n">
        <f aca="false">IF($F50="","",COUNTIF($F47:$F50,AL$21)+COUNTIF($F47:$F50,$A$3))</f>
        <v>0</v>
      </c>
      <c r="AR50" s="91" t="n">
        <f aca="false">IF($B50="","",COUNTIF($B47:$B50,AR$21)+COUNTIF($B47:$B50,$A$3))</f>
        <v>0</v>
      </c>
      <c r="AS50" s="73" t="n">
        <f aca="false">IF($C50="","",COUNTIF($C47:$C50,AR$21)+COUNTIF($C47:$C50,$A$3))</f>
        <v>1</v>
      </c>
      <c r="AT50" s="73" t="n">
        <f aca="false">IF($D50="","",COUNTIF($D47:$D50,AR$21)+COUNTIF($D47:$D50,$A$3))</f>
        <v>1</v>
      </c>
      <c r="AU50" s="73" t="n">
        <f aca="false">IF($E50="","",COUNTIF($E47:$E50,AR$21)+COUNTIF($E47:$E50,$A$3))</f>
        <v>0</v>
      </c>
      <c r="AV50" s="92" t="n">
        <f aca="false">IF($F50="","",COUNTIF($F47:$F50,AR$21)+COUNTIF($F47:$F50,$A$3))</f>
        <v>0</v>
      </c>
      <c r="AX50" s="91" t="n">
        <f aca="false">IF($B50="","",COUNTIF($B47:$B50,AX$21)+COUNTIF($B47:$B50,$A$3))</f>
        <v>0</v>
      </c>
      <c r="AY50" s="73" t="n">
        <f aca="false">IF($C50="","",COUNTIF($C47:$C50,AX$21)+COUNTIF($C47:$C50,$A$3))</f>
        <v>0</v>
      </c>
      <c r="AZ50" s="73" t="n">
        <f aca="false">IF($D50="","",COUNTIF($D47:$D50,AX$21)+COUNTIF($D47:$D50,$A$3))</f>
        <v>1</v>
      </c>
      <c r="BA50" s="73" t="n">
        <f aca="false">IF($E50="","",COUNTIF($E47:$E50,AX$21)+COUNTIF($E47:$E50,$A$3))</f>
        <v>0</v>
      </c>
      <c r="BB50" s="92" t="n">
        <f aca="false">IF($F50="","",COUNTIF($F47:$F50,AX$21)+COUNTIF($F47:$F50,$A$3))</f>
        <v>0</v>
      </c>
      <c r="BD50" s="91" t="n">
        <f aca="false">IF($B50="","",COUNTIF($B47:$B50,BD$21)+COUNTIF($B47:$B50,$A$3))</f>
        <v>1</v>
      </c>
      <c r="BE50" s="73" t="n">
        <f aca="false">IF($C50="","",COUNTIF($C47:$C50,BD$21)+COUNTIF($C47:$C50,$A$3))</f>
        <v>1</v>
      </c>
      <c r="BF50" s="73" t="n">
        <f aca="false">IF($D50="","",COUNTIF($D47:$D50,BD$21)+COUNTIF($D47:$D50,$A$3))</f>
        <v>1</v>
      </c>
      <c r="BG50" s="73" t="n">
        <f aca="false">IF($E50="","",COUNTIF($E47:$E50,BD$21)+COUNTIF($E47:$E50,$A$3))</f>
        <v>1</v>
      </c>
      <c r="BH50" s="92" t="n">
        <f aca="false">IF($F50="","",COUNTIF($F47:$F50,BD$21)+COUNTIF($F47:$F50,$A$3))</f>
        <v>0</v>
      </c>
      <c r="BJ50" s="91" t="n">
        <f aca="false">IF($B50="","",COUNTIF($B47:$B50,BJ$21)+COUNTIF($B47:$B50,$A$3))</f>
        <v>1</v>
      </c>
      <c r="BK50" s="73" t="n">
        <f aca="false">IF($C50="","",COUNTIF($C47:$C50,BJ$21)+COUNTIF($C47:$C50,$A$3))</f>
        <v>0</v>
      </c>
      <c r="BL50" s="73" t="n">
        <f aca="false">IF($D50="","",COUNTIF($D47:$D50,BJ$21)+COUNTIF($D47:$D50,$A$3))</f>
        <v>0</v>
      </c>
      <c r="BM50" s="73" t="n">
        <f aca="false">IF($E50="","",COUNTIF($E47:$E50,BJ$21)+COUNTIF($E47:$E50,$A$3))</f>
        <v>0</v>
      </c>
      <c r="BN50" s="92" t="n">
        <f aca="false">IF($F50="","",COUNTIF($F47:$F50,BJ$21)+COUNTIF($F47:$F50,$A$3))</f>
        <v>1</v>
      </c>
      <c r="BP50" s="91" t="n">
        <f aca="false">IF($B50="","",COUNTIF($B47:$B50,BP$21)+COUNTIF($B47:$B50,$A$3))</f>
        <v>0</v>
      </c>
      <c r="BQ50" s="73" t="n">
        <f aca="false">IF($C50="","",COUNTIF($C47:$C50,BP$21)+COUNTIF($C47:$C50,$A$3))</f>
        <v>0</v>
      </c>
      <c r="BR50" s="73" t="n">
        <f aca="false">IF($D50="","",COUNTIF($D47:$D50,BP$21)+COUNTIF($D47:$D50,$A$3))</f>
        <v>0</v>
      </c>
      <c r="BS50" s="73" t="n">
        <f aca="false">IF($E50="","",COUNTIF($E47:$E50,BP$21)+COUNTIF($E47:$E50,$A$3))</f>
        <v>0</v>
      </c>
      <c r="BT50" s="92" t="n">
        <f aca="false">IF($F50="","",COUNTIF($F47:$F50,BP$21)+COUNTIF($F47:$F50,$A$3))</f>
        <v>0</v>
      </c>
    </row>
    <row r="51" customFormat="false" ht="15" hidden="false" customHeight="false" outlineLevel="0" collapsed="false">
      <c r="A51" s="13" t="n">
        <v>29</v>
      </c>
      <c r="B51" s="116" t="str">
        <f aca="false">IF('Game Info'!Q34="","",'Game Info'!Q34)</f>
        <v>SYM4</v>
      </c>
      <c r="C51" s="116" t="str">
        <f aca="false">IF('Game Info'!R34="","",'Game Info'!R34)</f>
        <v>SYM2</v>
      </c>
      <c r="D51" s="116" t="str">
        <f aca="false">IF('Game Info'!S34="","",'Game Info'!S34)</f>
        <v>SYM3</v>
      </c>
      <c r="E51" s="116" t="str">
        <f aca="false">IF('Game Info'!T34="","",'Game Info'!T34)</f>
        <v>SYM4</v>
      </c>
      <c r="F51" s="117" t="str">
        <f aca="false">IF('Game Info'!U34="","",'Game Info'!U34)</f>
        <v>SYM3</v>
      </c>
      <c r="H51" s="91" t="n">
        <f aca="false">IF($B51="","",COUNTIF($B48:$B51,H$21)+COUNTIF($B48:$B51,$A$3))</f>
        <v>0</v>
      </c>
      <c r="I51" s="73" t="n">
        <f aca="false">IF($C51="","",COUNTIF($C48:$C51,H$21)+COUNTIF($C48:$C51,$A$3))</f>
        <v>1</v>
      </c>
      <c r="J51" s="73" t="n">
        <f aca="false">IF($D51="","",COUNTIF($D48:$D51,H$21)+COUNTIF($D48:$D51,$A$3))</f>
        <v>1</v>
      </c>
      <c r="K51" s="73" t="n">
        <f aca="false">IF($E51="","",COUNTIF($E48:$E51,H$21)+COUNTIF($E48:$E51,$A$3))</f>
        <v>0</v>
      </c>
      <c r="L51" s="92" t="n">
        <f aca="false">IF($F51="","",COUNTIF($F48:$F51,H$21)+COUNTIF($F48:$F51,$A$3))</f>
        <v>2</v>
      </c>
      <c r="N51" s="91" t="n">
        <f aca="false">IF($B51="","",COUNTIF($B48:$B51,N$21)+COUNTIF($B48:$B51,$A$3))</f>
        <v>0</v>
      </c>
      <c r="O51" s="73" t="n">
        <f aca="false">IF($C51="","",COUNTIF($C48:$C51,N$21)+COUNTIF($C48:$C51,$A$3))</f>
        <v>1</v>
      </c>
      <c r="P51" s="73" t="n">
        <f aca="false">IF($D51="","",COUNTIF($D48:$D51,N$21)+COUNTIF($D48:$D51,$A$3))</f>
        <v>0</v>
      </c>
      <c r="Q51" s="73" t="n">
        <f aca="false">IF($E51="","",COUNTIF($E48:$E51,N$21)+COUNTIF($E48:$E51,$A$3))</f>
        <v>1</v>
      </c>
      <c r="R51" s="92" t="n">
        <f aca="false">IF($F51="","",COUNTIF($F48:$F51,N$21)+COUNTIF($F48:$F51,$A$3))</f>
        <v>0</v>
      </c>
      <c r="T51" s="91" t="n">
        <f aca="false">IF($B51="","",COUNTIF($B48:$B51,T$21)+COUNTIF($B48:$B51,$A$3))</f>
        <v>0</v>
      </c>
      <c r="U51" s="73" t="n">
        <f aca="false">IF($C51="","",COUNTIF($C48:$C51,T$21)+COUNTIF($C48:$C51,$A$3))</f>
        <v>0</v>
      </c>
      <c r="V51" s="73" t="n">
        <f aca="false">IF($D51="","",COUNTIF($D48:$D51,T$21)+COUNTIF($D48:$D51,$A$3))</f>
        <v>1</v>
      </c>
      <c r="W51" s="73" t="n">
        <f aca="false">IF($E51="","",COUNTIF($E48:$E51,T$21)+COUNTIF($E48:$E51,$A$3))</f>
        <v>0</v>
      </c>
      <c r="X51" s="92" t="n">
        <f aca="false">IF($F51="","",COUNTIF($F48:$F51,T$21)+COUNTIF($F48:$F51,$A$3))</f>
        <v>1</v>
      </c>
      <c r="Z51" s="91" t="n">
        <f aca="false">IF($B51="","",COUNTIF($B48:$B51,Z$21)+COUNTIF($B48:$B51,$A$3))</f>
        <v>2</v>
      </c>
      <c r="AA51" s="73" t="n">
        <f aca="false">IF($C51="","",COUNTIF($C48:$C51,Z$21)+COUNTIF($C48:$C51,$A$3))</f>
        <v>0</v>
      </c>
      <c r="AB51" s="73" t="n">
        <f aca="false">IF($D51="","",COUNTIF($D48:$D51,Z$21)+COUNTIF($D48:$D51,$A$3))</f>
        <v>0</v>
      </c>
      <c r="AC51" s="73" t="n">
        <f aca="false">IF($E51="","",COUNTIF($E48:$E51,Z$21)+COUNTIF($E48:$E51,$A$3))</f>
        <v>1</v>
      </c>
      <c r="AD51" s="92" t="n">
        <f aca="false">IF($F51="","",COUNTIF($F48:$F51,Z$21)+COUNTIF($F48:$F51,$A$3))</f>
        <v>0</v>
      </c>
      <c r="AF51" s="91" t="n">
        <f aca="false">IF($B51="","",COUNTIF($B48:$B51,AF$21)+COUNTIF($B48:$B51,$A$3))</f>
        <v>0</v>
      </c>
      <c r="AG51" s="73" t="n">
        <f aca="false">IF($C51="","",COUNTIF($C48:$C51,AF$21)+COUNTIF($C48:$C51,$A$3))</f>
        <v>0</v>
      </c>
      <c r="AH51" s="73" t="n">
        <f aca="false">IF($D51="","",COUNTIF($D48:$D51,AF$21)+COUNTIF($D48:$D51,$A$3))</f>
        <v>0</v>
      </c>
      <c r="AI51" s="73" t="n">
        <f aca="false">IF($E51="","",COUNTIF($E48:$E51,AF$21)+COUNTIF($E48:$E51,$A$3))</f>
        <v>0</v>
      </c>
      <c r="AJ51" s="92" t="n">
        <f aca="false">IF($F51="","",COUNTIF($F48:$F51,AF$21)+COUNTIF($F48:$F51,$A$3))</f>
        <v>0</v>
      </c>
      <c r="AL51" s="91" t="n">
        <f aca="false">IF($B51="","",COUNTIF($B48:$B51,AL$21)+COUNTIF($B48:$B51,$A$3))</f>
        <v>1</v>
      </c>
      <c r="AM51" s="73" t="n">
        <f aca="false">IF($C51="","",COUNTIF($C48:$C51,AL$21)+COUNTIF($C48:$C51,$A$3))</f>
        <v>0</v>
      </c>
      <c r="AN51" s="73" t="n">
        <f aca="false">IF($D51="","",COUNTIF($D48:$D51,AL$21)+COUNTIF($D48:$D51,$A$3))</f>
        <v>0</v>
      </c>
      <c r="AO51" s="73" t="n">
        <f aca="false">IF($E51="","",COUNTIF($E48:$E51,AL$21)+COUNTIF($E48:$E51,$A$3))</f>
        <v>1</v>
      </c>
      <c r="AP51" s="92" t="n">
        <f aca="false">IF($F51="","",COUNTIF($F48:$F51,AL$21)+COUNTIF($F48:$F51,$A$3))</f>
        <v>0</v>
      </c>
      <c r="AR51" s="91" t="n">
        <f aca="false">IF($B51="","",COUNTIF($B48:$B51,AR$21)+COUNTIF($B48:$B51,$A$3))</f>
        <v>0</v>
      </c>
      <c r="AS51" s="73" t="n">
        <f aca="false">IF($C51="","",COUNTIF($C48:$C51,AR$21)+COUNTIF($C48:$C51,$A$3))</f>
        <v>1</v>
      </c>
      <c r="AT51" s="73" t="n">
        <f aca="false">IF($D51="","",COUNTIF($D48:$D51,AR$21)+COUNTIF($D48:$D51,$A$3))</f>
        <v>1</v>
      </c>
      <c r="AU51" s="73" t="n">
        <f aca="false">IF($E51="","",COUNTIF($E48:$E51,AR$21)+COUNTIF($E48:$E51,$A$3))</f>
        <v>0</v>
      </c>
      <c r="AV51" s="92" t="n">
        <f aca="false">IF($F51="","",COUNTIF($F48:$F51,AR$21)+COUNTIF($F48:$F51,$A$3))</f>
        <v>0</v>
      </c>
      <c r="AX51" s="91" t="n">
        <f aca="false">IF($B51="","",COUNTIF($B48:$B51,AX$21)+COUNTIF($B48:$B51,$A$3))</f>
        <v>0</v>
      </c>
      <c r="AY51" s="73" t="n">
        <f aca="false">IF($C51="","",COUNTIF($C48:$C51,AX$21)+COUNTIF($C48:$C51,$A$3))</f>
        <v>0</v>
      </c>
      <c r="AZ51" s="73" t="n">
        <f aca="false">IF($D51="","",COUNTIF($D48:$D51,AX$21)+COUNTIF($D48:$D51,$A$3))</f>
        <v>0</v>
      </c>
      <c r="BA51" s="73" t="n">
        <f aca="false">IF($E51="","",COUNTIF($E48:$E51,AX$21)+COUNTIF($E48:$E51,$A$3))</f>
        <v>0</v>
      </c>
      <c r="BB51" s="92" t="n">
        <f aca="false">IF($F51="","",COUNTIF($F48:$F51,AX$21)+COUNTIF($F48:$F51,$A$3))</f>
        <v>0</v>
      </c>
      <c r="BD51" s="91" t="n">
        <f aca="false">IF($B51="","",COUNTIF($B48:$B51,BD$21)+COUNTIF($B48:$B51,$A$3))</f>
        <v>0</v>
      </c>
      <c r="BE51" s="73" t="n">
        <f aca="false">IF($C51="","",COUNTIF($C48:$C51,BD$21)+COUNTIF($C48:$C51,$A$3))</f>
        <v>1</v>
      </c>
      <c r="BF51" s="73" t="n">
        <f aca="false">IF($D51="","",COUNTIF($D48:$D51,BD$21)+COUNTIF($D48:$D51,$A$3))</f>
        <v>1</v>
      </c>
      <c r="BG51" s="73" t="n">
        <f aca="false">IF($E51="","",COUNTIF($E48:$E51,BD$21)+COUNTIF($E48:$E51,$A$3))</f>
        <v>1</v>
      </c>
      <c r="BH51" s="92" t="n">
        <f aca="false">IF($F51="","",COUNTIF($F48:$F51,BD$21)+COUNTIF($F48:$F51,$A$3))</f>
        <v>0</v>
      </c>
      <c r="BJ51" s="91" t="n">
        <f aca="false">IF($B51="","",COUNTIF($B48:$B51,BJ$21)+COUNTIF($B48:$B51,$A$3))</f>
        <v>1</v>
      </c>
      <c r="BK51" s="73" t="n">
        <f aca="false">IF($C51="","",COUNTIF($C48:$C51,BJ$21)+COUNTIF($C48:$C51,$A$3))</f>
        <v>0</v>
      </c>
      <c r="BL51" s="73" t="n">
        <f aca="false">IF($D51="","",COUNTIF($D48:$D51,BJ$21)+COUNTIF($D48:$D51,$A$3))</f>
        <v>0</v>
      </c>
      <c r="BM51" s="73" t="n">
        <f aca="false">IF($E51="","",COUNTIF($E48:$E51,BJ$21)+COUNTIF($E48:$E51,$A$3))</f>
        <v>0</v>
      </c>
      <c r="BN51" s="92" t="n">
        <f aca="false">IF($F51="","",COUNTIF($F48:$F51,BJ$21)+COUNTIF($F48:$F51,$A$3))</f>
        <v>1</v>
      </c>
      <c r="BP51" s="91" t="n">
        <f aca="false">IF($B51="","",COUNTIF($B48:$B51,BP$21)+COUNTIF($B48:$B51,$A$3))</f>
        <v>0</v>
      </c>
      <c r="BQ51" s="73" t="n">
        <f aca="false">IF($C51="","",COUNTIF($C48:$C51,BP$21)+COUNTIF($C48:$C51,$A$3))</f>
        <v>0</v>
      </c>
      <c r="BR51" s="73" t="n">
        <f aca="false">IF($D51="","",COUNTIF($D48:$D51,BP$21)+COUNTIF($D48:$D51,$A$3))</f>
        <v>0</v>
      </c>
      <c r="BS51" s="73" t="n">
        <f aca="false">IF($E51="","",COUNTIF($E48:$E51,BP$21)+COUNTIF($E48:$E51,$A$3))</f>
        <v>0</v>
      </c>
      <c r="BT51" s="92" t="n">
        <f aca="false">IF($F51="","",COUNTIF($F48:$F51,BP$21)+COUNTIF($F48:$F51,$A$3))</f>
        <v>0</v>
      </c>
    </row>
    <row r="52" customFormat="false" ht="15" hidden="false" customHeight="false" outlineLevel="0" collapsed="false">
      <c r="A52" s="13" t="n">
        <v>30</v>
      </c>
      <c r="B52" s="116" t="n">
        <f aca="false">IF('Game Info'!Q35="","",'Game Info'!Q35)</f>
        <v>9</v>
      </c>
      <c r="C52" s="116" t="str">
        <f aca="false">IF('Game Info'!R35="","",'Game Info'!R35)</f>
        <v>J</v>
      </c>
      <c r="D52" s="116" t="str">
        <f aca="false">IF('Game Info'!S35="","",'Game Info'!S35)</f>
        <v>SYM5</v>
      </c>
      <c r="E52" s="116" t="str">
        <f aca="false">IF('Game Info'!T35="","",'Game Info'!T35)</f>
        <v>Q</v>
      </c>
      <c r="F52" s="117" t="str">
        <f aca="false">IF('Game Info'!U35="","",'Game Info'!U35)</f>
        <v>Q</v>
      </c>
      <c r="H52" s="91" t="n">
        <f aca="false">IF($B52="","",COUNTIF($B49:$B52,H$21)+COUNTIF($B49:$B52,$A$3))</f>
        <v>0</v>
      </c>
      <c r="I52" s="73" t="n">
        <f aca="false">IF($C52="","",COUNTIF($C49:$C52,H$21)+COUNTIF($C49:$C52,$A$3))</f>
        <v>1</v>
      </c>
      <c r="J52" s="73" t="n">
        <f aca="false">IF($D52="","",COUNTIF($D49:$D52,H$21)+COUNTIF($D49:$D52,$A$3))</f>
        <v>0</v>
      </c>
      <c r="K52" s="73" t="n">
        <f aca="false">IF($E52="","",COUNTIF($E49:$E52,H$21)+COUNTIF($E49:$E52,$A$3))</f>
        <v>0</v>
      </c>
      <c r="L52" s="92" t="n">
        <f aca="false">IF($F52="","",COUNTIF($F49:$F52,H$21)+COUNTIF($F49:$F52,$A$3))</f>
        <v>1</v>
      </c>
      <c r="N52" s="91" t="n">
        <f aca="false">IF($B52="","",COUNTIF($B49:$B52,N$21)+COUNTIF($B49:$B52,$A$3))</f>
        <v>0</v>
      </c>
      <c r="O52" s="73" t="n">
        <f aca="false">IF($C52="","",COUNTIF($C49:$C52,N$21)+COUNTIF($C49:$C52,$A$3))</f>
        <v>1</v>
      </c>
      <c r="P52" s="73" t="n">
        <f aca="false">IF($D52="","",COUNTIF($D49:$D52,N$21)+COUNTIF($D49:$D52,$A$3))</f>
        <v>0</v>
      </c>
      <c r="Q52" s="73" t="n">
        <f aca="false">IF($E52="","",COUNTIF($E49:$E52,N$21)+COUNTIF($E49:$E52,$A$3))</f>
        <v>0</v>
      </c>
      <c r="R52" s="92" t="n">
        <f aca="false">IF($F52="","",COUNTIF($F49:$F52,N$21)+COUNTIF($F49:$F52,$A$3))</f>
        <v>0</v>
      </c>
      <c r="T52" s="91" t="n">
        <f aca="false">IF($B52="","",COUNTIF($B49:$B52,T$21)+COUNTIF($B49:$B52,$A$3))</f>
        <v>0</v>
      </c>
      <c r="U52" s="73" t="n">
        <f aca="false">IF($C52="","",COUNTIF($C49:$C52,T$21)+COUNTIF($C49:$C52,$A$3))</f>
        <v>0</v>
      </c>
      <c r="V52" s="73" t="n">
        <f aca="false">IF($D52="","",COUNTIF($D49:$D52,T$21)+COUNTIF($D49:$D52,$A$3))</f>
        <v>1</v>
      </c>
      <c r="W52" s="73" t="n">
        <f aca="false">IF($E52="","",COUNTIF($E49:$E52,T$21)+COUNTIF($E49:$E52,$A$3))</f>
        <v>0</v>
      </c>
      <c r="X52" s="92" t="n">
        <f aca="false">IF($F52="","",COUNTIF($F49:$F52,T$21)+COUNTIF($F49:$F52,$A$3))</f>
        <v>1</v>
      </c>
      <c r="Z52" s="91" t="n">
        <f aca="false">IF($B52="","",COUNTIF($B49:$B52,Z$21)+COUNTIF($B49:$B52,$A$3))</f>
        <v>2</v>
      </c>
      <c r="AA52" s="73" t="n">
        <f aca="false">IF($C52="","",COUNTIF($C49:$C52,Z$21)+COUNTIF($C49:$C52,$A$3))</f>
        <v>0</v>
      </c>
      <c r="AB52" s="73" t="n">
        <f aca="false">IF($D52="","",COUNTIF($D49:$D52,Z$21)+COUNTIF($D49:$D52,$A$3))</f>
        <v>0</v>
      </c>
      <c r="AC52" s="73" t="n">
        <f aca="false">IF($E52="","",COUNTIF($E49:$E52,Z$21)+COUNTIF($E49:$E52,$A$3))</f>
        <v>1</v>
      </c>
      <c r="AD52" s="92" t="n">
        <f aca="false">IF($F52="","",COUNTIF($F49:$F52,Z$21)+COUNTIF($F49:$F52,$A$3))</f>
        <v>0</v>
      </c>
      <c r="AF52" s="91" t="n">
        <f aca="false">IF($B52="","",COUNTIF($B49:$B52,AF$21)+COUNTIF($B49:$B52,$A$3))</f>
        <v>0</v>
      </c>
      <c r="AG52" s="73" t="n">
        <f aca="false">IF($C52="","",COUNTIF($C49:$C52,AF$21)+COUNTIF($C49:$C52,$A$3))</f>
        <v>0</v>
      </c>
      <c r="AH52" s="73" t="n">
        <f aca="false">IF($D52="","",COUNTIF($D49:$D52,AF$21)+COUNTIF($D49:$D52,$A$3))</f>
        <v>1</v>
      </c>
      <c r="AI52" s="73" t="n">
        <f aca="false">IF($E52="","",COUNTIF($E49:$E52,AF$21)+COUNTIF($E49:$E52,$A$3))</f>
        <v>0</v>
      </c>
      <c r="AJ52" s="92" t="n">
        <f aca="false">IF($F52="","",COUNTIF($F49:$F52,AF$21)+COUNTIF($F49:$F52,$A$3))</f>
        <v>0</v>
      </c>
      <c r="AL52" s="91" t="n">
        <f aca="false">IF($B52="","",COUNTIF($B49:$B52,AL$21)+COUNTIF($B49:$B52,$A$3))</f>
        <v>1</v>
      </c>
      <c r="AM52" s="73" t="n">
        <f aca="false">IF($C52="","",COUNTIF($C49:$C52,AL$21)+COUNTIF($C49:$C52,$A$3))</f>
        <v>0</v>
      </c>
      <c r="AN52" s="73" t="n">
        <f aca="false">IF($D52="","",COUNTIF($D49:$D52,AL$21)+COUNTIF($D49:$D52,$A$3))</f>
        <v>0</v>
      </c>
      <c r="AO52" s="73" t="n">
        <f aca="false">IF($E52="","",COUNTIF($E49:$E52,AL$21)+COUNTIF($E49:$E52,$A$3))</f>
        <v>1</v>
      </c>
      <c r="AP52" s="92" t="n">
        <f aca="false">IF($F52="","",COUNTIF($F49:$F52,AL$21)+COUNTIF($F49:$F52,$A$3))</f>
        <v>0</v>
      </c>
      <c r="AR52" s="91" t="n">
        <f aca="false">IF($B52="","",COUNTIF($B49:$B52,AR$21)+COUNTIF($B49:$B52,$A$3))</f>
        <v>0</v>
      </c>
      <c r="AS52" s="73" t="n">
        <f aca="false">IF($C52="","",COUNTIF($C49:$C52,AR$21)+COUNTIF($C49:$C52,$A$3))</f>
        <v>1</v>
      </c>
      <c r="AT52" s="73" t="n">
        <f aca="false">IF($D52="","",COUNTIF($D49:$D52,AR$21)+COUNTIF($D49:$D52,$A$3))</f>
        <v>1</v>
      </c>
      <c r="AU52" s="73" t="n">
        <f aca="false">IF($E52="","",COUNTIF($E49:$E52,AR$21)+COUNTIF($E49:$E52,$A$3))</f>
        <v>0</v>
      </c>
      <c r="AV52" s="92" t="n">
        <f aca="false">IF($F52="","",COUNTIF($F49:$F52,AR$21)+COUNTIF($F49:$F52,$A$3))</f>
        <v>0</v>
      </c>
      <c r="AX52" s="91" t="n">
        <f aca="false">IF($B52="","",COUNTIF($B49:$B52,AX$21)+COUNTIF($B49:$B52,$A$3))</f>
        <v>0</v>
      </c>
      <c r="AY52" s="73" t="n">
        <f aca="false">IF($C52="","",COUNTIF($C49:$C52,AX$21)+COUNTIF($C49:$C52,$A$3))</f>
        <v>0</v>
      </c>
      <c r="AZ52" s="73" t="n">
        <f aca="false">IF($D52="","",COUNTIF($D49:$D52,AX$21)+COUNTIF($D49:$D52,$A$3))</f>
        <v>0</v>
      </c>
      <c r="BA52" s="73" t="n">
        <f aca="false">IF($E52="","",COUNTIF($E49:$E52,AX$21)+COUNTIF($E49:$E52,$A$3))</f>
        <v>1</v>
      </c>
      <c r="BB52" s="92" t="n">
        <f aca="false">IF($F52="","",COUNTIF($F49:$F52,AX$21)+COUNTIF($F49:$F52,$A$3))</f>
        <v>1</v>
      </c>
      <c r="BD52" s="91" t="n">
        <f aca="false">IF($B52="","",COUNTIF($B49:$B52,BD$21)+COUNTIF($B49:$B52,$A$3))</f>
        <v>0</v>
      </c>
      <c r="BE52" s="73" t="n">
        <f aca="false">IF($C52="","",COUNTIF($C49:$C52,BD$21)+COUNTIF($C49:$C52,$A$3))</f>
        <v>1</v>
      </c>
      <c r="BF52" s="73" t="n">
        <f aca="false">IF($D52="","",COUNTIF($D49:$D52,BD$21)+COUNTIF($D49:$D52,$A$3))</f>
        <v>1</v>
      </c>
      <c r="BG52" s="73" t="n">
        <f aca="false">IF($E52="","",COUNTIF($E49:$E52,BD$21)+COUNTIF($E49:$E52,$A$3))</f>
        <v>1</v>
      </c>
      <c r="BH52" s="92" t="n">
        <f aca="false">IF($F52="","",COUNTIF($F49:$F52,BD$21)+COUNTIF($F49:$F52,$A$3))</f>
        <v>0</v>
      </c>
      <c r="BJ52" s="91" t="n">
        <f aca="false">IF($B52="","",COUNTIF($B49:$B52,BJ$21)+COUNTIF($B49:$B52,$A$3))</f>
        <v>0</v>
      </c>
      <c r="BK52" s="73" t="n">
        <f aca="false">IF($C52="","",COUNTIF($C49:$C52,BJ$21)+COUNTIF($C49:$C52,$A$3))</f>
        <v>0</v>
      </c>
      <c r="BL52" s="73" t="n">
        <f aca="false">IF($D52="","",COUNTIF($D49:$D52,BJ$21)+COUNTIF($D49:$D52,$A$3))</f>
        <v>0</v>
      </c>
      <c r="BM52" s="73" t="n">
        <f aca="false">IF($E52="","",COUNTIF($E49:$E52,BJ$21)+COUNTIF($E49:$E52,$A$3))</f>
        <v>0</v>
      </c>
      <c r="BN52" s="92" t="n">
        <f aca="false">IF($F52="","",COUNTIF($F49:$F52,BJ$21)+COUNTIF($F49:$F52,$A$3))</f>
        <v>1</v>
      </c>
      <c r="BP52" s="91" t="n">
        <f aca="false">IF($B52="","",COUNTIF($B49:$B52,BP$21)+COUNTIF($B49:$B52,$A$3))</f>
        <v>1</v>
      </c>
      <c r="BQ52" s="73" t="n">
        <f aca="false">IF($C52="","",COUNTIF($C49:$C52,BP$21)+COUNTIF($C49:$C52,$A$3))</f>
        <v>0</v>
      </c>
      <c r="BR52" s="73" t="n">
        <f aca="false">IF($D52="","",COUNTIF($D49:$D52,BP$21)+COUNTIF($D49:$D52,$A$3))</f>
        <v>0</v>
      </c>
      <c r="BS52" s="73" t="n">
        <f aca="false">IF($E52="","",COUNTIF($E49:$E52,BP$21)+COUNTIF($E49:$E52,$A$3))</f>
        <v>0</v>
      </c>
      <c r="BT52" s="92" t="n">
        <f aca="false">IF($F52="","",COUNTIF($F49:$F52,BP$21)+COUNTIF($F49:$F52,$A$3))</f>
        <v>0</v>
      </c>
    </row>
    <row r="53" customFormat="false" ht="15" hidden="false" customHeight="false" outlineLevel="0" collapsed="false">
      <c r="A53" s="13" t="n">
        <v>31</v>
      </c>
      <c r="B53" s="116" t="str">
        <f aca="false">IF('Game Info'!Q36="","",'Game Info'!Q36)</f>
        <v>SYM2</v>
      </c>
      <c r="C53" s="116" t="str">
        <f aca="false">IF('Game Info'!R36="","",'Game Info'!R36)</f>
        <v>SYM5</v>
      </c>
      <c r="D53" s="116" t="str">
        <f aca="false">IF('Game Info'!S36="","",'Game Info'!S36)</f>
        <v>Q</v>
      </c>
      <c r="E53" s="116" t="str">
        <f aca="false">IF('Game Info'!T36="","",'Game Info'!T36)</f>
        <v>SYM2</v>
      </c>
      <c r="F53" s="117" t="str">
        <f aca="false">IF('Game Info'!U36="","",'Game Info'!U36)</f>
        <v>K</v>
      </c>
      <c r="H53" s="91" t="n">
        <f aca="false">IF($B53="","",COUNTIF($B50:$B53,H$21)+COUNTIF($B50:$B53,$A$3))</f>
        <v>0</v>
      </c>
      <c r="I53" s="73" t="n">
        <f aca="false">IF($C53="","",COUNTIF($C50:$C53,H$21)+COUNTIF($C50:$C53,$A$3))</f>
        <v>0</v>
      </c>
      <c r="J53" s="73" t="n">
        <f aca="false">IF($D53="","",COUNTIF($D50:$D53,H$21)+COUNTIF($D50:$D53,$A$3))</f>
        <v>0</v>
      </c>
      <c r="K53" s="73" t="n">
        <f aca="false">IF($E53="","",COUNTIF($E50:$E53,H$21)+COUNTIF($E50:$E53,$A$3))</f>
        <v>0</v>
      </c>
      <c r="L53" s="92" t="n">
        <f aca="false">IF($F53="","",COUNTIF($F50:$F53,H$21)+COUNTIF($F50:$F53,$A$3))</f>
        <v>0</v>
      </c>
      <c r="N53" s="91" t="n">
        <f aca="false">IF($B53="","",COUNTIF($B50:$B53,N$21)+COUNTIF($B50:$B53,$A$3))</f>
        <v>1</v>
      </c>
      <c r="O53" s="73" t="n">
        <f aca="false">IF($C53="","",COUNTIF($C50:$C53,N$21)+COUNTIF($C50:$C53,$A$3))</f>
        <v>1</v>
      </c>
      <c r="P53" s="73" t="n">
        <f aca="false">IF($D53="","",COUNTIF($D50:$D53,N$21)+COUNTIF($D50:$D53,$A$3))</f>
        <v>0</v>
      </c>
      <c r="Q53" s="73" t="n">
        <f aca="false">IF($E53="","",COUNTIF($E50:$E53,N$21)+COUNTIF($E50:$E53,$A$3))</f>
        <v>1</v>
      </c>
      <c r="R53" s="92" t="n">
        <f aca="false">IF($F53="","",COUNTIF($F50:$F53,N$21)+COUNTIF($F50:$F53,$A$3))</f>
        <v>0</v>
      </c>
      <c r="T53" s="91" t="n">
        <f aca="false">IF($B53="","",COUNTIF($B50:$B53,T$21)+COUNTIF($B50:$B53,$A$3))</f>
        <v>0</v>
      </c>
      <c r="U53" s="73" t="n">
        <f aca="false">IF($C53="","",COUNTIF($C50:$C53,T$21)+COUNTIF($C50:$C53,$A$3))</f>
        <v>0</v>
      </c>
      <c r="V53" s="73" t="n">
        <f aca="false">IF($D53="","",COUNTIF($D50:$D53,T$21)+COUNTIF($D50:$D53,$A$3))</f>
        <v>1</v>
      </c>
      <c r="W53" s="73" t="n">
        <f aca="false">IF($E53="","",COUNTIF($E50:$E53,T$21)+COUNTIF($E50:$E53,$A$3))</f>
        <v>0</v>
      </c>
      <c r="X53" s="92" t="n">
        <f aca="false">IF($F53="","",COUNTIF($F50:$F53,T$21)+COUNTIF($F50:$F53,$A$3))</f>
        <v>1</v>
      </c>
      <c r="Z53" s="91" t="n">
        <f aca="false">IF($B53="","",COUNTIF($B50:$B53,Z$21)+COUNTIF($B50:$B53,$A$3))</f>
        <v>2</v>
      </c>
      <c r="AA53" s="73" t="n">
        <f aca="false">IF($C53="","",COUNTIF($C50:$C53,Z$21)+COUNTIF($C50:$C53,$A$3))</f>
        <v>0</v>
      </c>
      <c r="AB53" s="73" t="n">
        <f aca="false">IF($D53="","",COUNTIF($D50:$D53,Z$21)+COUNTIF($D50:$D53,$A$3))</f>
        <v>0</v>
      </c>
      <c r="AC53" s="73" t="n">
        <f aca="false">IF($E53="","",COUNTIF($E50:$E53,Z$21)+COUNTIF($E50:$E53,$A$3))</f>
        <v>1</v>
      </c>
      <c r="AD53" s="92" t="n">
        <f aca="false">IF($F53="","",COUNTIF($F50:$F53,Z$21)+COUNTIF($F50:$F53,$A$3))</f>
        <v>0</v>
      </c>
      <c r="AF53" s="91" t="n">
        <f aca="false">IF($B53="","",COUNTIF($B50:$B53,AF$21)+COUNTIF($B50:$B53,$A$3))</f>
        <v>0</v>
      </c>
      <c r="AG53" s="73" t="n">
        <f aca="false">IF($C53="","",COUNTIF($C50:$C53,AF$21)+COUNTIF($C50:$C53,$A$3))</f>
        <v>1</v>
      </c>
      <c r="AH53" s="73" t="n">
        <f aca="false">IF($D53="","",COUNTIF($D50:$D53,AF$21)+COUNTIF($D50:$D53,$A$3))</f>
        <v>1</v>
      </c>
      <c r="AI53" s="73" t="n">
        <f aca="false">IF($E53="","",COUNTIF($E50:$E53,AF$21)+COUNTIF($E50:$E53,$A$3))</f>
        <v>0</v>
      </c>
      <c r="AJ53" s="92" t="n">
        <f aca="false">IF($F53="","",COUNTIF($F50:$F53,AF$21)+COUNTIF($F50:$F53,$A$3))</f>
        <v>0</v>
      </c>
      <c r="AL53" s="91" t="n">
        <f aca="false">IF($B53="","",COUNTIF($B50:$B53,AL$21)+COUNTIF($B50:$B53,$A$3))</f>
        <v>0</v>
      </c>
      <c r="AM53" s="73" t="n">
        <f aca="false">IF($C53="","",COUNTIF($C50:$C53,AL$21)+COUNTIF($C50:$C53,$A$3))</f>
        <v>0</v>
      </c>
      <c r="AN53" s="73" t="n">
        <f aca="false">IF($D53="","",COUNTIF($D50:$D53,AL$21)+COUNTIF($D50:$D53,$A$3))</f>
        <v>0</v>
      </c>
      <c r="AO53" s="73" t="n">
        <f aca="false">IF($E53="","",COUNTIF($E50:$E53,AL$21)+COUNTIF($E50:$E53,$A$3))</f>
        <v>1</v>
      </c>
      <c r="AP53" s="92" t="n">
        <f aca="false">IF($F53="","",COUNTIF($F50:$F53,AL$21)+COUNTIF($F50:$F53,$A$3))</f>
        <v>0</v>
      </c>
      <c r="AR53" s="91" t="n">
        <f aca="false">IF($B53="","",COUNTIF($B50:$B53,AR$21)+COUNTIF($B50:$B53,$A$3))</f>
        <v>0</v>
      </c>
      <c r="AS53" s="73" t="n">
        <f aca="false">IF($C53="","",COUNTIF($C50:$C53,AR$21)+COUNTIF($C50:$C53,$A$3))</f>
        <v>1</v>
      </c>
      <c r="AT53" s="73" t="n">
        <f aca="false">IF($D53="","",COUNTIF($D50:$D53,AR$21)+COUNTIF($D50:$D53,$A$3))</f>
        <v>0</v>
      </c>
      <c r="AU53" s="73" t="n">
        <f aca="false">IF($E53="","",COUNTIF($E50:$E53,AR$21)+COUNTIF($E50:$E53,$A$3))</f>
        <v>0</v>
      </c>
      <c r="AV53" s="92" t="n">
        <f aca="false">IF($F53="","",COUNTIF($F50:$F53,AR$21)+COUNTIF($F50:$F53,$A$3))</f>
        <v>1</v>
      </c>
      <c r="AX53" s="91" t="n">
        <f aca="false">IF($B53="","",COUNTIF($B50:$B53,AX$21)+COUNTIF($B50:$B53,$A$3))</f>
        <v>0</v>
      </c>
      <c r="AY53" s="73" t="n">
        <f aca="false">IF($C53="","",COUNTIF($C50:$C53,AX$21)+COUNTIF($C50:$C53,$A$3))</f>
        <v>0</v>
      </c>
      <c r="AZ53" s="73" t="n">
        <f aca="false">IF($D53="","",COUNTIF($D50:$D53,AX$21)+COUNTIF($D50:$D53,$A$3))</f>
        <v>1</v>
      </c>
      <c r="BA53" s="73" t="n">
        <f aca="false">IF($E53="","",COUNTIF($E50:$E53,AX$21)+COUNTIF($E50:$E53,$A$3))</f>
        <v>1</v>
      </c>
      <c r="BB53" s="92" t="n">
        <f aca="false">IF($F53="","",COUNTIF($F50:$F53,AX$21)+COUNTIF($F50:$F53,$A$3))</f>
        <v>1</v>
      </c>
      <c r="BD53" s="91" t="n">
        <f aca="false">IF($B53="","",COUNTIF($B50:$B53,BD$21)+COUNTIF($B50:$B53,$A$3))</f>
        <v>0</v>
      </c>
      <c r="BE53" s="73" t="n">
        <f aca="false">IF($C53="","",COUNTIF($C50:$C53,BD$21)+COUNTIF($C50:$C53,$A$3))</f>
        <v>1</v>
      </c>
      <c r="BF53" s="73" t="n">
        <f aca="false">IF($D53="","",COUNTIF($D50:$D53,BD$21)+COUNTIF($D50:$D53,$A$3))</f>
        <v>1</v>
      </c>
      <c r="BG53" s="73" t="n">
        <f aca="false">IF($E53="","",COUNTIF($E50:$E53,BD$21)+COUNTIF($E50:$E53,$A$3))</f>
        <v>0</v>
      </c>
      <c r="BH53" s="92" t="n">
        <f aca="false">IF($F53="","",COUNTIF($F50:$F53,BD$21)+COUNTIF($F50:$F53,$A$3))</f>
        <v>0</v>
      </c>
      <c r="BJ53" s="91" t="n">
        <f aca="false">IF($B53="","",COUNTIF($B50:$B53,BJ$21)+COUNTIF($B50:$B53,$A$3))</f>
        <v>0</v>
      </c>
      <c r="BK53" s="73" t="n">
        <f aca="false">IF($C53="","",COUNTIF($C50:$C53,BJ$21)+COUNTIF($C50:$C53,$A$3))</f>
        <v>0</v>
      </c>
      <c r="BL53" s="73" t="n">
        <f aca="false">IF($D53="","",COUNTIF($D50:$D53,BJ$21)+COUNTIF($D50:$D53,$A$3))</f>
        <v>0</v>
      </c>
      <c r="BM53" s="73" t="n">
        <f aca="false">IF($E53="","",COUNTIF($E50:$E53,BJ$21)+COUNTIF($E50:$E53,$A$3))</f>
        <v>0</v>
      </c>
      <c r="BN53" s="92" t="n">
        <f aca="false">IF($F53="","",COUNTIF($F50:$F53,BJ$21)+COUNTIF($F50:$F53,$A$3))</f>
        <v>1</v>
      </c>
      <c r="BP53" s="91" t="n">
        <f aca="false">IF($B53="","",COUNTIF($B50:$B53,BP$21)+COUNTIF($B50:$B53,$A$3))</f>
        <v>1</v>
      </c>
      <c r="BQ53" s="73" t="n">
        <f aca="false">IF($C53="","",COUNTIF($C50:$C53,BP$21)+COUNTIF($C50:$C53,$A$3))</f>
        <v>0</v>
      </c>
      <c r="BR53" s="73" t="n">
        <f aca="false">IF($D53="","",COUNTIF($D50:$D53,BP$21)+COUNTIF($D50:$D53,$A$3))</f>
        <v>0</v>
      </c>
      <c r="BS53" s="73" t="n">
        <f aca="false">IF($E53="","",COUNTIF($E50:$E53,BP$21)+COUNTIF($E50:$E53,$A$3))</f>
        <v>0</v>
      </c>
      <c r="BT53" s="92" t="n">
        <f aca="false">IF($F53="","",COUNTIF($F50:$F53,BP$21)+COUNTIF($F50:$F53,$A$3))</f>
        <v>0</v>
      </c>
    </row>
    <row r="54" customFormat="false" ht="15" hidden="false" customHeight="false" outlineLevel="0" collapsed="false">
      <c r="A54" s="13" t="n">
        <v>32</v>
      </c>
      <c r="B54" s="116" t="str">
        <f aca="false">IF('Game Info'!Q37="","",'Game Info'!Q37)</f>
        <v>A</v>
      </c>
      <c r="C54" s="116" t="str">
        <f aca="false">IF('Game Info'!R37="","",'Game Info'!R37)</f>
        <v>K</v>
      </c>
      <c r="D54" s="116" t="str">
        <f aca="false">IF('Game Info'!S37="","",'Game Info'!S37)</f>
        <v>A</v>
      </c>
      <c r="E54" s="116" t="n">
        <f aca="false">IF('Game Info'!T37="","",'Game Info'!T37)</f>
        <v>10</v>
      </c>
      <c r="F54" s="117" t="str">
        <f aca="false">IF('Game Info'!U37="","",'Game Info'!U37)</f>
        <v>SYM3</v>
      </c>
      <c r="H54" s="91" t="n">
        <f aca="false">IF($B54="","",COUNTIF($B51:$B54,H$21)+COUNTIF($B51:$B54,$A$3))</f>
        <v>0</v>
      </c>
      <c r="I54" s="73" t="n">
        <f aca="false">IF($C54="","",COUNTIF($C51:$C54,H$21)+COUNTIF($C51:$C54,$A$3))</f>
        <v>0</v>
      </c>
      <c r="J54" s="73" t="n">
        <f aca="false">IF($D54="","",COUNTIF($D51:$D54,H$21)+COUNTIF($D51:$D54,$A$3))</f>
        <v>0</v>
      </c>
      <c r="K54" s="73" t="n">
        <f aca="false">IF($E54="","",COUNTIF($E51:$E54,H$21)+COUNTIF($E51:$E54,$A$3))</f>
        <v>0</v>
      </c>
      <c r="L54" s="92" t="n">
        <f aca="false">IF($F54="","",COUNTIF($F51:$F54,H$21)+COUNTIF($F51:$F54,$A$3))</f>
        <v>0</v>
      </c>
      <c r="N54" s="91" t="n">
        <f aca="false">IF($B54="","",COUNTIF($B51:$B54,N$21)+COUNTIF($B51:$B54,$A$3))</f>
        <v>1</v>
      </c>
      <c r="O54" s="73" t="n">
        <f aca="false">IF($C54="","",COUNTIF($C51:$C54,N$21)+COUNTIF($C51:$C54,$A$3))</f>
        <v>1</v>
      </c>
      <c r="P54" s="73" t="n">
        <f aca="false">IF($D54="","",COUNTIF($D51:$D54,N$21)+COUNTIF($D51:$D54,$A$3))</f>
        <v>0</v>
      </c>
      <c r="Q54" s="73" t="n">
        <f aca="false">IF($E54="","",COUNTIF($E51:$E54,N$21)+COUNTIF($E51:$E54,$A$3))</f>
        <v>1</v>
      </c>
      <c r="R54" s="92" t="n">
        <f aca="false">IF($F54="","",COUNTIF($F51:$F54,N$21)+COUNTIF($F51:$F54,$A$3))</f>
        <v>0</v>
      </c>
      <c r="T54" s="91" t="n">
        <f aca="false">IF($B54="","",COUNTIF($B51:$B54,T$21)+COUNTIF($B51:$B54,$A$3))</f>
        <v>0</v>
      </c>
      <c r="U54" s="73" t="n">
        <f aca="false">IF($C54="","",COUNTIF($C51:$C54,T$21)+COUNTIF($C51:$C54,$A$3))</f>
        <v>0</v>
      </c>
      <c r="V54" s="73" t="n">
        <f aca="false">IF($D54="","",COUNTIF($D51:$D54,T$21)+COUNTIF($D51:$D54,$A$3))</f>
        <v>1</v>
      </c>
      <c r="W54" s="73" t="n">
        <f aca="false">IF($E54="","",COUNTIF($E51:$E54,T$21)+COUNTIF($E51:$E54,$A$3))</f>
        <v>0</v>
      </c>
      <c r="X54" s="92" t="n">
        <f aca="false">IF($F54="","",COUNTIF($F51:$F54,T$21)+COUNTIF($F51:$F54,$A$3))</f>
        <v>2</v>
      </c>
      <c r="Z54" s="91" t="n">
        <f aca="false">IF($B54="","",COUNTIF($B51:$B54,Z$21)+COUNTIF($B51:$B54,$A$3))</f>
        <v>1</v>
      </c>
      <c r="AA54" s="73" t="n">
        <f aca="false">IF($C54="","",COUNTIF($C51:$C54,Z$21)+COUNTIF($C51:$C54,$A$3))</f>
        <v>0</v>
      </c>
      <c r="AB54" s="73" t="n">
        <f aca="false">IF($D54="","",COUNTIF($D51:$D54,Z$21)+COUNTIF($D51:$D54,$A$3))</f>
        <v>0</v>
      </c>
      <c r="AC54" s="73" t="n">
        <f aca="false">IF($E54="","",COUNTIF($E51:$E54,Z$21)+COUNTIF($E51:$E54,$A$3))</f>
        <v>1</v>
      </c>
      <c r="AD54" s="92" t="n">
        <f aca="false">IF($F54="","",COUNTIF($F51:$F54,Z$21)+COUNTIF($F51:$F54,$A$3))</f>
        <v>0</v>
      </c>
      <c r="AF54" s="91" t="n">
        <f aca="false">IF($B54="","",COUNTIF($B51:$B54,AF$21)+COUNTIF($B51:$B54,$A$3))</f>
        <v>0</v>
      </c>
      <c r="AG54" s="73" t="n">
        <f aca="false">IF($C54="","",COUNTIF($C51:$C54,AF$21)+COUNTIF($C51:$C54,$A$3))</f>
        <v>1</v>
      </c>
      <c r="AH54" s="73" t="n">
        <f aca="false">IF($D54="","",COUNTIF($D51:$D54,AF$21)+COUNTIF($D51:$D54,$A$3))</f>
        <v>1</v>
      </c>
      <c r="AI54" s="73" t="n">
        <f aca="false">IF($E54="","",COUNTIF($E51:$E54,AF$21)+COUNTIF($E51:$E54,$A$3))</f>
        <v>0</v>
      </c>
      <c r="AJ54" s="92" t="n">
        <f aca="false">IF($F54="","",COUNTIF($F51:$F54,AF$21)+COUNTIF($F51:$F54,$A$3))</f>
        <v>0</v>
      </c>
      <c r="AL54" s="91" t="n">
        <f aca="false">IF($B54="","",COUNTIF($B51:$B54,AL$21)+COUNTIF($B51:$B54,$A$3))</f>
        <v>1</v>
      </c>
      <c r="AM54" s="73" t="n">
        <f aca="false">IF($C54="","",COUNTIF($C51:$C54,AL$21)+COUNTIF($C51:$C54,$A$3))</f>
        <v>0</v>
      </c>
      <c r="AN54" s="73" t="n">
        <f aca="false">IF($D54="","",COUNTIF($D51:$D54,AL$21)+COUNTIF($D51:$D54,$A$3))</f>
        <v>1</v>
      </c>
      <c r="AO54" s="73" t="n">
        <f aca="false">IF($E54="","",COUNTIF($E51:$E54,AL$21)+COUNTIF($E51:$E54,$A$3))</f>
        <v>0</v>
      </c>
      <c r="AP54" s="92" t="n">
        <f aca="false">IF($F54="","",COUNTIF($F51:$F54,AL$21)+COUNTIF($F51:$F54,$A$3))</f>
        <v>0</v>
      </c>
      <c r="AR54" s="91" t="n">
        <f aca="false">IF($B54="","",COUNTIF($B51:$B54,AR$21)+COUNTIF($B51:$B54,$A$3))</f>
        <v>0</v>
      </c>
      <c r="AS54" s="73" t="n">
        <f aca="false">IF($C54="","",COUNTIF($C51:$C54,AR$21)+COUNTIF($C51:$C54,$A$3))</f>
        <v>1</v>
      </c>
      <c r="AT54" s="73" t="n">
        <f aca="false">IF($D54="","",COUNTIF($D51:$D54,AR$21)+COUNTIF($D51:$D54,$A$3))</f>
        <v>0</v>
      </c>
      <c r="AU54" s="73" t="n">
        <f aca="false">IF($E54="","",COUNTIF($E51:$E54,AR$21)+COUNTIF($E51:$E54,$A$3))</f>
        <v>0</v>
      </c>
      <c r="AV54" s="92" t="n">
        <f aca="false">IF($F54="","",COUNTIF($F51:$F54,AR$21)+COUNTIF($F51:$F54,$A$3))</f>
        <v>1</v>
      </c>
      <c r="AX54" s="91" t="n">
        <f aca="false">IF($B54="","",COUNTIF($B51:$B54,AX$21)+COUNTIF($B51:$B54,$A$3))</f>
        <v>0</v>
      </c>
      <c r="AY54" s="73" t="n">
        <f aca="false">IF($C54="","",COUNTIF($C51:$C54,AX$21)+COUNTIF($C51:$C54,$A$3))</f>
        <v>0</v>
      </c>
      <c r="AZ54" s="73" t="n">
        <f aca="false">IF($D54="","",COUNTIF($D51:$D54,AX$21)+COUNTIF($D51:$D54,$A$3))</f>
        <v>1</v>
      </c>
      <c r="BA54" s="73" t="n">
        <f aca="false">IF($E54="","",COUNTIF($E51:$E54,AX$21)+COUNTIF($E51:$E54,$A$3))</f>
        <v>1</v>
      </c>
      <c r="BB54" s="92" t="n">
        <f aca="false">IF($F54="","",COUNTIF($F51:$F54,AX$21)+COUNTIF($F51:$F54,$A$3))</f>
        <v>1</v>
      </c>
      <c r="BD54" s="91" t="n">
        <f aca="false">IF($B54="","",COUNTIF($B51:$B54,BD$21)+COUNTIF($B51:$B54,$A$3))</f>
        <v>0</v>
      </c>
      <c r="BE54" s="73" t="n">
        <f aca="false">IF($C54="","",COUNTIF($C51:$C54,BD$21)+COUNTIF($C51:$C54,$A$3))</f>
        <v>1</v>
      </c>
      <c r="BF54" s="73" t="n">
        <f aca="false">IF($D54="","",COUNTIF($D51:$D54,BD$21)+COUNTIF($D51:$D54,$A$3))</f>
        <v>0</v>
      </c>
      <c r="BG54" s="73" t="n">
        <f aca="false">IF($E54="","",COUNTIF($E51:$E54,BD$21)+COUNTIF($E51:$E54,$A$3))</f>
        <v>0</v>
      </c>
      <c r="BH54" s="92" t="n">
        <f aca="false">IF($F54="","",COUNTIF($F51:$F54,BD$21)+COUNTIF($F51:$F54,$A$3))</f>
        <v>0</v>
      </c>
      <c r="BJ54" s="91" t="n">
        <f aca="false">IF($B54="","",COUNTIF($B51:$B54,BJ$21)+COUNTIF($B51:$B54,$A$3))</f>
        <v>0</v>
      </c>
      <c r="BK54" s="73" t="n">
        <f aca="false">IF($C54="","",COUNTIF($C51:$C54,BJ$21)+COUNTIF($C51:$C54,$A$3))</f>
        <v>0</v>
      </c>
      <c r="BL54" s="73" t="n">
        <f aca="false">IF($D54="","",COUNTIF($D51:$D54,BJ$21)+COUNTIF($D51:$D54,$A$3))</f>
        <v>0</v>
      </c>
      <c r="BM54" s="73" t="n">
        <f aca="false">IF($E54="","",COUNTIF($E51:$E54,BJ$21)+COUNTIF($E51:$E54,$A$3))</f>
        <v>1</v>
      </c>
      <c r="BN54" s="92" t="n">
        <f aca="false">IF($F54="","",COUNTIF($F51:$F54,BJ$21)+COUNTIF($F51:$F54,$A$3))</f>
        <v>0</v>
      </c>
      <c r="BP54" s="91" t="n">
        <f aca="false">IF($B54="","",COUNTIF($B51:$B54,BP$21)+COUNTIF($B51:$B54,$A$3))</f>
        <v>1</v>
      </c>
      <c r="BQ54" s="73" t="n">
        <f aca="false">IF($C54="","",COUNTIF($C51:$C54,BP$21)+COUNTIF($C51:$C54,$A$3))</f>
        <v>0</v>
      </c>
      <c r="BR54" s="73" t="n">
        <f aca="false">IF($D54="","",COUNTIF($D51:$D54,BP$21)+COUNTIF($D51:$D54,$A$3))</f>
        <v>0</v>
      </c>
      <c r="BS54" s="73" t="n">
        <f aca="false">IF($E54="","",COUNTIF($E51:$E54,BP$21)+COUNTIF($E51:$E54,$A$3))</f>
        <v>0</v>
      </c>
      <c r="BT54" s="92" t="n">
        <f aca="false">IF($F54="","",COUNTIF($F51:$F54,BP$21)+COUNTIF($F51:$F54,$A$3))</f>
        <v>0</v>
      </c>
    </row>
    <row r="55" customFormat="false" ht="15" hidden="false" customHeight="false" outlineLevel="0" collapsed="false">
      <c r="A55" s="13" t="n">
        <v>33</v>
      </c>
      <c r="B55" s="116" t="str">
        <f aca="false">IF('Game Info'!Q38="","",'Game Info'!Q38)</f>
        <v>J</v>
      </c>
      <c r="C55" s="116" t="str">
        <f aca="false">IF('Game Info'!R38="","",'Game Info'!R38)</f>
        <v>SYM1</v>
      </c>
      <c r="D55" s="116" t="str">
        <f aca="false">IF('Game Info'!S38="","",'Game Info'!S38)</f>
        <v>SYM2</v>
      </c>
      <c r="E55" s="116" t="str">
        <f aca="false">IF('Game Info'!T38="","",'Game Info'!T38)</f>
        <v>SYM3</v>
      </c>
      <c r="F55" s="117" t="str">
        <f aca="false">IF('Game Info'!U38="","",'Game Info'!U38)</f>
        <v>A</v>
      </c>
      <c r="H55" s="91" t="n">
        <f aca="false">IF($B55="","",COUNTIF($B52:$B55,H$21)+COUNTIF($B52:$B55,$A$3))</f>
        <v>0</v>
      </c>
      <c r="I55" s="73" t="n">
        <f aca="false">IF($C55="","",COUNTIF($C52:$C55,H$21)+COUNTIF($C52:$C55,$A$3))</f>
        <v>1</v>
      </c>
      <c r="J55" s="73" t="n">
        <f aca="false">IF($D55="","",COUNTIF($D52:$D55,H$21)+COUNTIF($D52:$D55,$A$3))</f>
        <v>0</v>
      </c>
      <c r="K55" s="73" t="n">
        <f aca="false">IF($E55="","",COUNTIF($E52:$E55,H$21)+COUNTIF($E52:$E55,$A$3))</f>
        <v>0</v>
      </c>
      <c r="L55" s="92" t="n">
        <f aca="false">IF($F55="","",COUNTIF($F52:$F55,H$21)+COUNTIF($F52:$F55,$A$3))</f>
        <v>0</v>
      </c>
      <c r="N55" s="91" t="n">
        <f aca="false">IF($B55="","",COUNTIF($B52:$B55,N$21)+COUNTIF($B52:$B55,$A$3))</f>
        <v>1</v>
      </c>
      <c r="O55" s="73" t="n">
        <f aca="false">IF($C55="","",COUNTIF($C52:$C55,N$21)+COUNTIF($C52:$C55,$A$3))</f>
        <v>0</v>
      </c>
      <c r="P55" s="73" t="n">
        <f aca="false">IF($D55="","",COUNTIF($D52:$D55,N$21)+COUNTIF($D52:$D55,$A$3))</f>
        <v>1</v>
      </c>
      <c r="Q55" s="73" t="n">
        <f aca="false">IF($E55="","",COUNTIF($E52:$E55,N$21)+COUNTIF($E52:$E55,$A$3))</f>
        <v>1</v>
      </c>
      <c r="R55" s="92" t="n">
        <f aca="false">IF($F55="","",COUNTIF($F52:$F55,N$21)+COUNTIF($F52:$F55,$A$3))</f>
        <v>0</v>
      </c>
      <c r="T55" s="91" t="n">
        <f aca="false">IF($B55="","",COUNTIF($B52:$B55,T$21)+COUNTIF($B52:$B55,$A$3))</f>
        <v>0</v>
      </c>
      <c r="U55" s="73" t="n">
        <f aca="false">IF($C55="","",COUNTIF($C52:$C55,T$21)+COUNTIF($C52:$C55,$A$3))</f>
        <v>0</v>
      </c>
      <c r="V55" s="73" t="n">
        <f aca="false">IF($D55="","",COUNTIF($D52:$D55,T$21)+COUNTIF($D52:$D55,$A$3))</f>
        <v>0</v>
      </c>
      <c r="W55" s="73" t="n">
        <f aca="false">IF($E55="","",COUNTIF($E52:$E55,T$21)+COUNTIF($E52:$E55,$A$3))</f>
        <v>1</v>
      </c>
      <c r="X55" s="92" t="n">
        <f aca="false">IF($F55="","",COUNTIF($F52:$F55,T$21)+COUNTIF($F52:$F55,$A$3))</f>
        <v>1</v>
      </c>
      <c r="Z55" s="91" t="n">
        <f aca="false">IF($B55="","",COUNTIF($B52:$B55,Z$21)+COUNTIF($B52:$B55,$A$3))</f>
        <v>0</v>
      </c>
      <c r="AA55" s="73" t="n">
        <f aca="false">IF($C55="","",COUNTIF($C52:$C55,Z$21)+COUNTIF($C52:$C55,$A$3))</f>
        <v>0</v>
      </c>
      <c r="AB55" s="73" t="n">
        <f aca="false">IF($D55="","",COUNTIF($D52:$D55,Z$21)+COUNTIF($D52:$D55,$A$3))</f>
        <v>0</v>
      </c>
      <c r="AC55" s="73" t="n">
        <f aca="false">IF($E55="","",COUNTIF($E52:$E55,Z$21)+COUNTIF($E52:$E55,$A$3))</f>
        <v>0</v>
      </c>
      <c r="AD55" s="92" t="n">
        <f aca="false">IF($F55="","",COUNTIF($F52:$F55,Z$21)+COUNTIF($F52:$F55,$A$3))</f>
        <v>0</v>
      </c>
      <c r="AF55" s="91" t="n">
        <f aca="false">IF($B55="","",COUNTIF($B52:$B55,AF$21)+COUNTIF($B52:$B55,$A$3))</f>
        <v>0</v>
      </c>
      <c r="AG55" s="73" t="n">
        <f aca="false">IF($C55="","",COUNTIF($C52:$C55,AF$21)+COUNTIF($C52:$C55,$A$3))</f>
        <v>1</v>
      </c>
      <c r="AH55" s="73" t="n">
        <f aca="false">IF($D55="","",COUNTIF($D52:$D55,AF$21)+COUNTIF($D52:$D55,$A$3))</f>
        <v>1</v>
      </c>
      <c r="AI55" s="73" t="n">
        <f aca="false">IF($E55="","",COUNTIF($E52:$E55,AF$21)+COUNTIF($E52:$E55,$A$3))</f>
        <v>0</v>
      </c>
      <c r="AJ55" s="92" t="n">
        <f aca="false">IF($F55="","",COUNTIF($F52:$F55,AF$21)+COUNTIF($F52:$F55,$A$3))</f>
        <v>0</v>
      </c>
      <c r="AL55" s="91" t="n">
        <f aca="false">IF($B55="","",COUNTIF($B52:$B55,AL$21)+COUNTIF($B52:$B55,$A$3))</f>
        <v>1</v>
      </c>
      <c r="AM55" s="73" t="n">
        <f aca="false">IF($C55="","",COUNTIF($C52:$C55,AL$21)+COUNTIF($C52:$C55,$A$3))</f>
        <v>0</v>
      </c>
      <c r="AN55" s="73" t="n">
        <f aca="false">IF($D55="","",COUNTIF($D52:$D55,AL$21)+COUNTIF($D52:$D55,$A$3))</f>
        <v>1</v>
      </c>
      <c r="AO55" s="73" t="n">
        <f aca="false">IF($E55="","",COUNTIF($E52:$E55,AL$21)+COUNTIF($E52:$E55,$A$3))</f>
        <v>0</v>
      </c>
      <c r="AP55" s="92" t="n">
        <f aca="false">IF($F55="","",COUNTIF($F52:$F55,AL$21)+COUNTIF($F52:$F55,$A$3))</f>
        <v>1</v>
      </c>
      <c r="AR55" s="91" t="n">
        <f aca="false">IF($B55="","",COUNTIF($B52:$B55,AR$21)+COUNTIF($B52:$B55,$A$3))</f>
        <v>0</v>
      </c>
      <c r="AS55" s="73" t="n">
        <f aca="false">IF($C55="","",COUNTIF($C52:$C55,AR$21)+COUNTIF($C52:$C55,$A$3))</f>
        <v>1</v>
      </c>
      <c r="AT55" s="73" t="n">
        <f aca="false">IF($D55="","",COUNTIF($D52:$D55,AR$21)+COUNTIF($D52:$D55,$A$3))</f>
        <v>0</v>
      </c>
      <c r="AU55" s="73" t="n">
        <f aca="false">IF($E55="","",COUNTIF($E52:$E55,AR$21)+COUNTIF($E52:$E55,$A$3))</f>
        <v>0</v>
      </c>
      <c r="AV55" s="92" t="n">
        <f aca="false">IF($F55="","",COUNTIF($F52:$F55,AR$21)+COUNTIF($F52:$F55,$A$3))</f>
        <v>1</v>
      </c>
      <c r="AX55" s="91" t="n">
        <f aca="false">IF($B55="","",COUNTIF($B52:$B55,AX$21)+COUNTIF($B52:$B55,$A$3))</f>
        <v>0</v>
      </c>
      <c r="AY55" s="73" t="n">
        <f aca="false">IF($C55="","",COUNTIF($C52:$C55,AX$21)+COUNTIF($C52:$C55,$A$3))</f>
        <v>0</v>
      </c>
      <c r="AZ55" s="73" t="n">
        <f aca="false">IF($D55="","",COUNTIF($D52:$D55,AX$21)+COUNTIF($D52:$D55,$A$3))</f>
        <v>1</v>
      </c>
      <c r="BA55" s="73" t="n">
        <f aca="false">IF($E55="","",COUNTIF($E52:$E55,AX$21)+COUNTIF($E52:$E55,$A$3))</f>
        <v>1</v>
      </c>
      <c r="BB55" s="92" t="n">
        <f aca="false">IF($F55="","",COUNTIF($F52:$F55,AX$21)+COUNTIF($F52:$F55,$A$3))</f>
        <v>1</v>
      </c>
      <c r="BD55" s="91" t="n">
        <f aca="false">IF($B55="","",COUNTIF($B52:$B55,BD$21)+COUNTIF($B52:$B55,$A$3))</f>
        <v>1</v>
      </c>
      <c r="BE55" s="73" t="n">
        <f aca="false">IF($C55="","",COUNTIF($C52:$C55,BD$21)+COUNTIF($C52:$C55,$A$3))</f>
        <v>1</v>
      </c>
      <c r="BF55" s="73" t="n">
        <f aca="false">IF($D55="","",COUNTIF($D52:$D55,BD$21)+COUNTIF($D52:$D55,$A$3))</f>
        <v>0</v>
      </c>
      <c r="BG55" s="73" t="n">
        <f aca="false">IF($E55="","",COUNTIF($E52:$E55,BD$21)+COUNTIF($E52:$E55,$A$3))</f>
        <v>0</v>
      </c>
      <c r="BH55" s="92" t="n">
        <f aca="false">IF($F55="","",COUNTIF($F52:$F55,BD$21)+COUNTIF($F52:$F55,$A$3))</f>
        <v>0</v>
      </c>
      <c r="BJ55" s="91" t="n">
        <f aca="false">IF($B55="","",COUNTIF($B52:$B55,BJ$21)+COUNTIF($B52:$B55,$A$3))</f>
        <v>0</v>
      </c>
      <c r="BK55" s="73" t="n">
        <f aca="false">IF($C55="","",COUNTIF($C52:$C55,BJ$21)+COUNTIF($C52:$C55,$A$3))</f>
        <v>0</v>
      </c>
      <c r="BL55" s="73" t="n">
        <f aca="false">IF($D55="","",COUNTIF($D52:$D55,BJ$21)+COUNTIF($D52:$D55,$A$3))</f>
        <v>0</v>
      </c>
      <c r="BM55" s="73" t="n">
        <f aca="false">IF($E55="","",COUNTIF($E52:$E55,BJ$21)+COUNTIF($E52:$E55,$A$3))</f>
        <v>1</v>
      </c>
      <c r="BN55" s="92" t="n">
        <f aca="false">IF($F55="","",COUNTIF($F52:$F55,BJ$21)+COUNTIF($F52:$F55,$A$3))</f>
        <v>0</v>
      </c>
      <c r="BP55" s="91" t="n">
        <f aca="false">IF($B55="","",COUNTIF($B52:$B55,BP$21)+COUNTIF($B52:$B55,$A$3))</f>
        <v>1</v>
      </c>
      <c r="BQ55" s="73" t="n">
        <f aca="false">IF($C55="","",COUNTIF($C52:$C55,BP$21)+COUNTIF($C52:$C55,$A$3))</f>
        <v>0</v>
      </c>
      <c r="BR55" s="73" t="n">
        <f aca="false">IF($D55="","",COUNTIF($D52:$D55,BP$21)+COUNTIF($D52:$D55,$A$3))</f>
        <v>0</v>
      </c>
      <c r="BS55" s="73" t="n">
        <f aca="false">IF($E55="","",COUNTIF($E52:$E55,BP$21)+COUNTIF($E52:$E55,$A$3))</f>
        <v>0</v>
      </c>
      <c r="BT55" s="92" t="n">
        <f aca="false">IF($F55="","",COUNTIF($F52:$F55,BP$21)+COUNTIF($F52:$F55,$A$3))</f>
        <v>0</v>
      </c>
    </row>
    <row r="56" customFormat="false" ht="15" hidden="false" customHeight="false" outlineLevel="0" collapsed="false">
      <c r="A56" s="13" t="n">
        <v>34</v>
      </c>
      <c r="B56" s="116" t="str">
        <f aca="false">IF('Game Info'!Q39="","",'Game Info'!Q39)</f>
        <v>SYM3</v>
      </c>
      <c r="C56" s="116" t="str">
        <f aca="false">IF('Game Info'!R39="","",'Game Info'!R39)</f>
        <v>J</v>
      </c>
      <c r="D56" s="116" t="str">
        <f aca="false">IF('Game Info'!S39="","",'Game Info'!S39)</f>
        <v>K</v>
      </c>
      <c r="E56" s="116" t="str">
        <f aca="false">IF('Game Info'!T39="","",'Game Info'!T39)</f>
        <v>K</v>
      </c>
      <c r="F56" s="117" t="str">
        <f aca="false">IF('Game Info'!U39="","",'Game Info'!U39)</f>
        <v>SYM4</v>
      </c>
      <c r="H56" s="91" t="n">
        <f aca="false">IF($B56="","",COUNTIF($B53:$B56,H$21)+COUNTIF($B53:$B56,$A$3))</f>
        <v>0</v>
      </c>
      <c r="I56" s="73" t="n">
        <f aca="false">IF($C56="","",COUNTIF($C53:$C56,H$21)+COUNTIF($C53:$C56,$A$3))</f>
        <v>1</v>
      </c>
      <c r="J56" s="73" t="n">
        <f aca="false">IF($D56="","",COUNTIF($D53:$D56,H$21)+COUNTIF($D53:$D56,$A$3))</f>
        <v>0</v>
      </c>
      <c r="K56" s="73" t="n">
        <f aca="false">IF($E56="","",COUNTIF($E53:$E56,H$21)+COUNTIF($E53:$E56,$A$3))</f>
        <v>0</v>
      </c>
      <c r="L56" s="92" t="n">
        <f aca="false">IF($F56="","",COUNTIF($F53:$F56,H$21)+COUNTIF($F53:$F56,$A$3))</f>
        <v>0</v>
      </c>
      <c r="N56" s="91" t="n">
        <f aca="false">IF($B56="","",COUNTIF($B53:$B56,N$21)+COUNTIF($B53:$B56,$A$3))</f>
        <v>1</v>
      </c>
      <c r="O56" s="73" t="n">
        <f aca="false">IF($C56="","",COUNTIF($C53:$C56,N$21)+COUNTIF($C53:$C56,$A$3))</f>
        <v>0</v>
      </c>
      <c r="P56" s="73" t="n">
        <f aca="false">IF($D56="","",COUNTIF($D53:$D56,N$21)+COUNTIF($D53:$D56,$A$3))</f>
        <v>1</v>
      </c>
      <c r="Q56" s="73" t="n">
        <f aca="false">IF($E56="","",COUNTIF($E53:$E56,N$21)+COUNTIF($E53:$E56,$A$3))</f>
        <v>1</v>
      </c>
      <c r="R56" s="92" t="n">
        <f aca="false">IF($F56="","",COUNTIF($F53:$F56,N$21)+COUNTIF($F53:$F56,$A$3))</f>
        <v>0</v>
      </c>
      <c r="T56" s="91" t="n">
        <f aca="false">IF($B56="","",COUNTIF($B53:$B56,T$21)+COUNTIF($B53:$B56,$A$3))</f>
        <v>1</v>
      </c>
      <c r="U56" s="73" t="n">
        <f aca="false">IF($C56="","",COUNTIF($C53:$C56,T$21)+COUNTIF($C53:$C56,$A$3))</f>
        <v>0</v>
      </c>
      <c r="V56" s="73" t="n">
        <f aca="false">IF($D56="","",COUNTIF($D53:$D56,T$21)+COUNTIF($D53:$D56,$A$3))</f>
        <v>0</v>
      </c>
      <c r="W56" s="73" t="n">
        <f aca="false">IF($E56="","",COUNTIF($E53:$E56,T$21)+COUNTIF($E53:$E56,$A$3))</f>
        <v>1</v>
      </c>
      <c r="X56" s="92" t="n">
        <f aca="false">IF($F56="","",COUNTIF($F53:$F56,T$21)+COUNTIF($F53:$F56,$A$3))</f>
        <v>1</v>
      </c>
      <c r="Z56" s="91" t="n">
        <f aca="false">IF($B56="","",COUNTIF($B53:$B56,Z$21)+COUNTIF($B53:$B56,$A$3))</f>
        <v>0</v>
      </c>
      <c r="AA56" s="73" t="n">
        <f aca="false">IF($C56="","",COUNTIF($C53:$C56,Z$21)+COUNTIF($C53:$C56,$A$3))</f>
        <v>0</v>
      </c>
      <c r="AB56" s="73" t="n">
        <f aca="false">IF($D56="","",COUNTIF($D53:$D56,Z$21)+COUNTIF($D53:$D56,$A$3))</f>
        <v>0</v>
      </c>
      <c r="AC56" s="73" t="n">
        <f aca="false">IF($E56="","",COUNTIF($E53:$E56,Z$21)+COUNTIF($E53:$E56,$A$3))</f>
        <v>0</v>
      </c>
      <c r="AD56" s="92" t="n">
        <f aca="false">IF($F56="","",COUNTIF($F53:$F56,Z$21)+COUNTIF($F53:$F56,$A$3))</f>
        <v>1</v>
      </c>
      <c r="AF56" s="91" t="n">
        <f aca="false">IF($B56="","",COUNTIF($B53:$B56,AF$21)+COUNTIF($B53:$B56,$A$3))</f>
        <v>0</v>
      </c>
      <c r="AG56" s="73" t="n">
        <f aca="false">IF($C56="","",COUNTIF($C53:$C56,AF$21)+COUNTIF($C53:$C56,$A$3))</f>
        <v>1</v>
      </c>
      <c r="AH56" s="73" t="n">
        <f aca="false">IF($D56="","",COUNTIF($D53:$D56,AF$21)+COUNTIF($D53:$D56,$A$3))</f>
        <v>0</v>
      </c>
      <c r="AI56" s="73" t="n">
        <f aca="false">IF($E56="","",COUNTIF($E53:$E56,AF$21)+COUNTIF($E53:$E56,$A$3))</f>
        <v>0</v>
      </c>
      <c r="AJ56" s="92" t="n">
        <f aca="false">IF($F56="","",COUNTIF($F53:$F56,AF$21)+COUNTIF($F53:$F56,$A$3))</f>
        <v>0</v>
      </c>
      <c r="AL56" s="91" t="n">
        <f aca="false">IF($B56="","",COUNTIF($B53:$B56,AL$21)+COUNTIF($B53:$B56,$A$3))</f>
        <v>1</v>
      </c>
      <c r="AM56" s="73" t="n">
        <f aca="false">IF($C56="","",COUNTIF($C53:$C56,AL$21)+COUNTIF($C53:$C56,$A$3))</f>
        <v>0</v>
      </c>
      <c r="AN56" s="73" t="n">
        <f aca="false">IF($D56="","",COUNTIF($D53:$D56,AL$21)+COUNTIF($D53:$D56,$A$3))</f>
        <v>1</v>
      </c>
      <c r="AO56" s="73" t="n">
        <f aca="false">IF($E56="","",COUNTIF($E53:$E56,AL$21)+COUNTIF($E53:$E56,$A$3))</f>
        <v>0</v>
      </c>
      <c r="AP56" s="92" t="n">
        <f aca="false">IF($F56="","",COUNTIF($F53:$F56,AL$21)+COUNTIF($F53:$F56,$A$3))</f>
        <v>1</v>
      </c>
      <c r="AR56" s="91" t="n">
        <f aca="false">IF($B56="","",COUNTIF($B53:$B56,AR$21)+COUNTIF($B53:$B56,$A$3))</f>
        <v>0</v>
      </c>
      <c r="AS56" s="73" t="n">
        <f aca="false">IF($C56="","",COUNTIF($C53:$C56,AR$21)+COUNTIF($C53:$C56,$A$3))</f>
        <v>1</v>
      </c>
      <c r="AT56" s="73" t="n">
        <f aca="false">IF($D56="","",COUNTIF($D53:$D56,AR$21)+COUNTIF($D53:$D56,$A$3))</f>
        <v>1</v>
      </c>
      <c r="AU56" s="73" t="n">
        <f aca="false">IF($E56="","",COUNTIF($E53:$E56,AR$21)+COUNTIF($E53:$E56,$A$3))</f>
        <v>1</v>
      </c>
      <c r="AV56" s="92" t="n">
        <f aca="false">IF($F56="","",COUNTIF($F53:$F56,AR$21)+COUNTIF($F53:$F56,$A$3))</f>
        <v>1</v>
      </c>
      <c r="AX56" s="91" t="n">
        <f aca="false">IF($B56="","",COUNTIF($B53:$B56,AX$21)+COUNTIF($B53:$B56,$A$3))</f>
        <v>0</v>
      </c>
      <c r="AY56" s="73" t="n">
        <f aca="false">IF($C56="","",COUNTIF($C53:$C56,AX$21)+COUNTIF($C53:$C56,$A$3))</f>
        <v>0</v>
      </c>
      <c r="AZ56" s="73" t="n">
        <f aca="false">IF($D56="","",COUNTIF($D53:$D56,AX$21)+COUNTIF($D53:$D56,$A$3))</f>
        <v>1</v>
      </c>
      <c r="BA56" s="73" t="n">
        <f aca="false">IF($E56="","",COUNTIF($E53:$E56,AX$21)+COUNTIF($E53:$E56,$A$3))</f>
        <v>0</v>
      </c>
      <c r="BB56" s="92" t="n">
        <f aca="false">IF($F56="","",COUNTIF($F53:$F56,AX$21)+COUNTIF($F53:$F56,$A$3))</f>
        <v>0</v>
      </c>
      <c r="BD56" s="91" t="n">
        <f aca="false">IF($B56="","",COUNTIF($B53:$B56,BD$21)+COUNTIF($B53:$B56,$A$3))</f>
        <v>1</v>
      </c>
      <c r="BE56" s="73" t="n">
        <f aca="false">IF($C56="","",COUNTIF($C53:$C56,BD$21)+COUNTIF($C53:$C56,$A$3))</f>
        <v>1</v>
      </c>
      <c r="BF56" s="73" t="n">
        <f aca="false">IF($D56="","",COUNTIF($D53:$D56,BD$21)+COUNTIF($D53:$D56,$A$3))</f>
        <v>0</v>
      </c>
      <c r="BG56" s="73" t="n">
        <f aca="false">IF($E56="","",COUNTIF($E53:$E56,BD$21)+COUNTIF($E53:$E56,$A$3))</f>
        <v>0</v>
      </c>
      <c r="BH56" s="92" t="n">
        <f aca="false">IF($F56="","",COUNTIF($F53:$F56,BD$21)+COUNTIF($F53:$F56,$A$3))</f>
        <v>0</v>
      </c>
      <c r="BJ56" s="91" t="n">
        <f aca="false">IF($B56="","",COUNTIF($B53:$B56,BJ$21)+COUNTIF($B53:$B56,$A$3))</f>
        <v>0</v>
      </c>
      <c r="BK56" s="73" t="n">
        <f aca="false">IF($C56="","",COUNTIF($C53:$C56,BJ$21)+COUNTIF($C53:$C56,$A$3))</f>
        <v>0</v>
      </c>
      <c r="BL56" s="73" t="n">
        <f aca="false">IF($D56="","",COUNTIF($D53:$D56,BJ$21)+COUNTIF($D53:$D56,$A$3))</f>
        <v>0</v>
      </c>
      <c r="BM56" s="73" t="n">
        <f aca="false">IF($E56="","",COUNTIF($E53:$E56,BJ$21)+COUNTIF($E53:$E56,$A$3))</f>
        <v>1</v>
      </c>
      <c r="BN56" s="92" t="n">
        <f aca="false">IF($F56="","",COUNTIF($F53:$F56,BJ$21)+COUNTIF($F53:$F56,$A$3))</f>
        <v>0</v>
      </c>
      <c r="BP56" s="91" t="n">
        <f aca="false">IF($B56="","",COUNTIF($B53:$B56,BP$21)+COUNTIF($B53:$B56,$A$3))</f>
        <v>0</v>
      </c>
      <c r="BQ56" s="73" t="n">
        <f aca="false">IF($C56="","",COUNTIF($C53:$C56,BP$21)+COUNTIF($C53:$C56,$A$3))</f>
        <v>0</v>
      </c>
      <c r="BR56" s="73" t="n">
        <f aca="false">IF($D56="","",COUNTIF($D53:$D56,BP$21)+COUNTIF($D53:$D56,$A$3))</f>
        <v>0</v>
      </c>
      <c r="BS56" s="73" t="n">
        <f aca="false">IF($E56="","",COUNTIF($E53:$E56,BP$21)+COUNTIF($E53:$E56,$A$3))</f>
        <v>0</v>
      </c>
      <c r="BT56" s="92" t="n">
        <f aca="false">IF($F56="","",COUNTIF($F53:$F56,BP$21)+COUNTIF($F53:$F56,$A$3))</f>
        <v>0</v>
      </c>
    </row>
    <row r="57" customFormat="false" ht="15" hidden="false" customHeight="false" outlineLevel="0" collapsed="false">
      <c r="A57" s="13" t="n">
        <v>35</v>
      </c>
      <c r="B57" s="116" t="str">
        <f aca="false">IF('Game Info'!Q40="","",'Game Info'!Q40)</f>
        <v>J</v>
      </c>
      <c r="C57" s="116" t="str">
        <f aca="false">IF('Game Info'!R40="","",'Game Info'!R40)</f>
        <v>SYM2</v>
      </c>
      <c r="D57" s="116" t="str">
        <f aca="false">IF('Game Info'!S40="","",'Game Info'!S40)</f>
        <v>SYM3</v>
      </c>
      <c r="E57" s="116" t="str">
        <f aca="false">IF('Game Info'!T40="","",'Game Info'!T40)</f>
        <v>SYM5</v>
      </c>
      <c r="F57" s="117" t="str">
        <f aca="false">IF('Game Info'!U40="","",'Game Info'!U40)</f>
        <v>J</v>
      </c>
      <c r="H57" s="91" t="n">
        <f aca="false">IF($B57="","",COUNTIF($B54:$B57,H$21)+COUNTIF($B54:$B57,$A$3))</f>
        <v>0</v>
      </c>
      <c r="I57" s="73" t="n">
        <f aca="false">IF($C57="","",COUNTIF($C54:$C57,H$21)+COUNTIF($C54:$C57,$A$3))</f>
        <v>1</v>
      </c>
      <c r="J57" s="73" t="n">
        <f aca="false">IF($D57="","",COUNTIF($D54:$D57,H$21)+COUNTIF($D54:$D57,$A$3))</f>
        <v>0</v>
      </c>
      <c r="K57" s="73" t="n">
        <f aca="false">IF($E57="","",COUNTIF($E54:$E57,H$21)+COUNTIF($E54:$E57,$A$3))</f>
        <v>0</v>
      </c>
      <c r="L57" s="92" t="n">
        <f aca="false">IF($F57="","",COUNTIF($F54:$F57,H$21)+COUNTIF($F54:$F57,$A$3))</f>
        <v>0</v>
      </c>
      <c r="N57" s="91" t="n">
        <f aca="false">IF($B57="","",COUNTIF($B54:$B57,N$21)+COUNTIF($B54:$B57,$A$3))</f>
        <v>0</v>
      </c>
      <c r="O57" s="73" t="n">
        <f aca="false">IF($C57="","",COUNTIF($C54:$C57,N$21)+COUNTIF($C54:$C57,$A$3))</f>
        <v>1</v>
      </c>
      <c r="P57" s="73" t="n">
        <f aca="false">IF($D57="","",COUNTIF($D54:$D57,N$21)+COUNTIF($D54:$D57,$A$3))</f>
        <v>1</v>
      </c>
      <c r="Q57" s="73" t="n">
        <f aca="false">IF($E57="","",COUNTIF($E54:$E57,N$21)+COUNTIF($E54:$E57,$A$3))</f>
        <v>0</v>
      </c>
      <c r="R57" s="92" t="n">
        <f aca="false">IF($F57="","",COUNTIF($F54:$F57,N$21)+COUNTIF($F54:$F57,$A$3))</f>
        <v>0</v>
      </c>
      <c r="T57" s="91" t="n">
        <f aca="false">IF($B57="","",COUNTIF($B54:$B57,T$21)+COUNTIF($B54:$B57,$A$3))</f>
        <v>1</v>
      </c>
      <c r="U57" s="73" t="n">
        <f aca="false">IF($C57="","",COUNTIF($C54:$C57,T$21)+COUNTIF($C54:$C57,$A$3))</f>
        <v>0</v>
      </c>
      <c r="V57" s="73" t="n">
        <f aca="false">IF($D57="","",COUNTIF($D54:$D57,T$21)+COUNTIF($D54:$D57,$A$3))</f>
        <v>1</v>
      </c>
      <c r="W57" s="73" t="n">
        <f aca="false">IF($E57="","",COUNTIF($E54:$E57,T$21)+COUNTIF($E54:$E57,$A$3))</f>
        <v>1</v>
      </c>
      <c r="X57" s="92" t="n">
        <f aca="false">IF($F57="","",COUNTIF($F54:$F57,T$21)+COUNTIF($F54:$F57,$A$3))</f>
        <v>1</v>
      </c>
      <c r="Z57" s="91" t="n">
        <f aca="false">IF($B57="","",COUNTIF($B54:$B57,Z$21)+COUNTIF($B54:$B57,$A$3))</f>
        <v>0</v>
      </c>
      <c r="AA57" s="73" t="n">
        <f aca="false">IF($C57="","",COUNTIF($C54:$C57,Z$21)+COUNTIF($C54:$C57,$A$3))</f>
        <v>0</v>
      </c>
      <c r="AB57" s="73" t="n">
        <f aca="false">IF($D57="","",COUNTIF($D54:$D57,Z$21)+COUNTIF($D54:$D57,$A$3))</f>
        <v>0</v>
      </c>
      <c r="AC57" s="73" t="n">
        <f aca="false">IF($E57="","",COUNTIF($E54:$E57,Z$21)+COUNTIF($E54:$E57,$A$3))</f>
        <v>0</v>
      </c>
      <c r="AD57" s="92" t="n">
        <f aca="false">IF($F57="","",COUNTIF($F54:$F57,Z$21)+COUNTIF($F54:$F57,$A$3))</f>
        <v>1</v>
      </c>
      <c r="AF57" s="91" t="n">
        <f aca="false">IF($B57="","",COUNTIF($B54:$B57,AF$21)+COUNTIF($B54:$B57,$A$3))</f>
        <v>0</v>
      </c>
      <c r="AG57" s="73" t="n">
        <f aca="false">IF($C57="","",COUNTIF($C54:$C57,AF$21)+COUNTIF($C54:$C57,$A$3))</f>
        <v>0</v>
      </c>
      <c r="AH57" s="73" t="n">
        <f aca="false">IF($D57="","",COUNTIF($D54:$D57,AF$21)+COUNTIF($D54:$D57,$A$3))</f>
        <v>0</v>
      </c>
      <c r="AI57" s="73" t="n">
        <f aca="false">IF($E57="","",COUNTIF($E54:$E57,AF$21)+COUNTIF($E54:$E57,$A$3))</f>
        <v>1</v>
      </c>
      <c r="AJ57" s="92" t="n">
        <f aca="false">IF($F57="","",COUNTIF($F54:$F57,AF$21)+COUNTIF($F54:$F57,$A$3))</f>
        <v>0</v>
      </c>
      <c r="AL57" s="91" t="n">
        <f aca="false">IF($B57="","",COUNTIF($B54:$B57,AL$21)+COUNTIF($B54:$B57,$A$3))</f>
        <v>1</v>
      </c>
      <c r="AM57" s="73" t="n">
        <f aca="false">IF($C57="","",COUNTIF($C54:$C57,AL$21)+COUNTIF($C54:$C57,$A$3))</f>
        <v>0</v>
      </c>
      <c r="AN57" s="73" t="n">
        <f aca="false">IF($D57="","",COUNTIF($D54:$D57,AL$21)+COUNTIF($D54:$D57,$A$3))</f>
        <v>1</v>
      </c>
      <c r="AO57" s="73" t="n">
        <f aca="false">IF($E57="","",COUNTIF($E54:$E57,AL$21)+COUNTIF($E54:$E57,$A$3))</f>
        <v>0</v>
      </c>
      <c r="AP57" s="92" t="n">
        <f aca="false">IF($F57="","",COUNTIF($F54:$F57,AL$21)+COUNTIF($F54:$F57,$A$3))</f>
        <v>1</v>
      </c>
      <c r="AR57" s="91" t="n">
        <f aca="false">IF($B57="","",COUNTIF($B54:$B57,AR$21)+COUNTIF($B54:$B57,$A$3))</f>
        <v>0</v>
      </c>
      <c r="AS57" s="73" t="n">
        <f aca="false">IF($C57="","",COUNTIF($C54:$C57,AR$21)+COUNTIF($C54:$C57,$A$3))</f>
        <v>1</v>
      </c>
      <c r="AT57" s="73" t="n">
        <f aca="false">IF($D57="","",COUNTIF($D54:$D57,AR$21)+COUNTIF($D54:$D57,$A$3))</f>
        <v>1</v>
      </c>
      <c r="AU57" s="73" t="n">
        <f aca="false">IF($E57="","",COUNTIF($E54:$E57,AR$21)+COUNTIF($E54:$E57,$A$3))</f>
        <v>1</v>
      </c>
      <c r="AV57" s="92" t="n">
        <f aca="false">IF($F57="","",COUNTIF($F54:$F57,AR$21)+COUNTIF($F54:$F57,$A$3))</f>
        <v>0</v>
      </c>
      <c r="AX57" s="91" t="n">
        <f aca="false">IF($B57="","",COUNTIF($B54:$B57,AX$21)+COUNTIF($B54:$B57,$A$3))</f>
        <v>0</v>
      </c>
      <c r="AY57" s="73" t="n">
        <f aca="false">IF($C57="","",COUNTIF($C54:$C57,AX$21)+COUNTIF($C54:$C57,$A$3))</f>
        <v>0</v>
      </c>
      <c r="AZ57" s="73" t="n">
        <f aca="false">IF($D57="","",COUNTIF($D54:$D57,AX$21)+COUNTIF($D54:$D57,$A$3))</f>
        <v>0</v>
      </c>
      <c r="BA57" s="73" t="n">
        <f aca="false">IF($E57="","",COUNTIF($E54:$E57,AX$21)+COUNTIF($E54:$E57,$A$3))</f>
        <v>0</v>
      </c>
      <c r="BB57" s="92" t="n">
        <f aca="false">IF($F57="","",COUNTIF($F54:$F57,AX$21)+COUNTIF($F54:$F57,$A$3))</f>
        <v>0</v>
      </c>
      <c r="BD57" s="91" t="n">
        <f aca="false">IF($B57="","",COUNTIF($B54:$B57,BD$21)+COUNTIF($B54:$B57,$A$3))</f>
        <v>2</v>
      </c>
      <c r="BE57" s="73" t="n">
        <f aca="false">IF($C57="","",COUNTIF($C54:$C57,BD$21)+COUNTIF($C54:$C57,$A$3))</f>
        <v>1</v>
      </c>
      <c r="BF57" s="73" t="n">
        <f aca="false">IF($D57="","",COUNTIF($D54:$D57,BD$21)+COUNTIF($D54:$D57,$A$3))</f>
        <v>0</v>
      </c>
      <c r="BG57" s="73" t="n">
        <f aca="false">IF($E57="","",COUNTIF($E54:$E57,BD$21)+COUNTIF($E54:$E57,$A$3))</f>
        <v>0</v>
      </c>
      <c r="BH57" s="92" t="n">
        <f aca="false">IF($F57="","",COUNTIF($F54:$F57,BD$21)+COUNTIF($F54:$F57,$A$3))</f>
        <v>1</v>
      </c>
      <c r="BJ57" s="91" t="n">
        <f aca="false">IF($B57="","",COUNTIF($B54:$B57,BJ$21)+COUNTIF($B54:$B57,$A$3))</f>
        <v>0</v>
      </c>
      <c r="BK57" s="73" t="n">
        <f aca="false">IF($C57="","",COUNTIF($C54:$C57,BJ$21)+COUNTIF($C54:$C57,$A$3))</f>
        <v>0</v>
      </c>
      <c r="BL57" s="73" t="n">
        <f aca="false">IF($D57="","",COUNTIF($D54:$D57,BJ$21)+COUNTIF($D54:$D57,$A$3))</f>
        <v>0</v>
      </c>
      <c r="BM57" s="73" t="n">
        <f aca="false">IF($E57="","",COUNTIF($E54:$E57,BJ$21)+COUNTIF($E54:$E57,$A$3))</f>
        <v>1</v>
      </c>
      <c r="BN57" s="92" t="n">
        <f aca="false">IF($F57="","",COUNTIF($F54:$F57,BJ$21)+COUNTIF($F54:$F57,$A$3))</f>
        <v>0</v>
      </c>
      <c r="BP57" s="91" t="n">
        <f aca="false">IF($B57="","",COUNTIF($B54:$B57,BP$21)+COUNTIF($B54:$B57,$A$3))</f>
        <v>0</v>
      </c>
      <c r="BQ57" s="73" t="n">
        <f aca="false">IF($C57="","",COUNTIF($C54:$C57,BP$21)+COUNTIF($C54:$C57,$A$3))</f>
        <v>0</v>
      </c>
      <c r="BR57" s="73" t="n">
        <f aca="false">IF($D57="","",COUNTIF($D54:$D57,BP$21)+COUNTIF($D54:$D57,$A$3))</f>
        <v>0</v>
      </c>
      <c r="BS57" s="73" t="n">
        <f aca="false">IF($E57="","",COUNTIF($E54:$E57,BP$21)+COUNTIF($E54:$E57,$A$3))</f>
        <v>0</v>
      </c>
      <c r="BT57" s="92" t="n">
        <f aca="false">IF($F57="","",COUNTIF($F54:$F57,BP$21)+COUNTIF($F54:$F57,$A$3))</f>
        <v>0</v>
      </c>
    </row>
    <row r="58" customFormat="false" ht="15" hidden="false" customHeight="false" outlineLevel="0" collapsed="false">
      <c r="A58" s="13" t="n">
        <v>36</v>
      </c>
      <c r="B58" s="116" t="str">
        <f aca="false">IF('Game Info'!Q41="","",'Game Info'!Q41)</f>
        <v>SYM2</v>
      </c>
      <c r="C58" s="116" t="str">
        <f aca="false">IF('Game Info'!R41="","",'Game Info'!R41)</f>
        <v>SYM2</v>
      </c>
      <c r="D58" s="116" t="str">
        <f aca="false">IF('Game Info'!S41="","",'Game Info'!S41)</f>
        <v>SYM3</v>
      </c>
      <c r="E58" s="116" t="str">
        <f aca="false">IF('Game Info'!T41="","",'Game Info'!T41)</f>
        <v>Q</v>
      </c>
      <c r="F58" s="117" t="str">
        <f aca="false">IF('Game Info'!U41="","",'Game Info'!U41)</f>
        <v>SYM1</v>
      </c>
      <c r="H58" s="91" t="n">
        <f aca="false">IF($B58="","",COUNTIF($B55:$B58,H$21)+COUNTIF($B55:$B58,$A$3))</f>
        <v>0</v>
      </c>
      <c r="I58" s="73" t="n">
        <f aca="false">IF($C58="","",COUNTIF($C55:$C58,H$21)+COUNTIF($C55:$C58,$A$3))</f>
        <v>1</v>
      </c>
      <c r="J58" s="73" t="n">
        <f aca="false">IF($D58="","",COUNTIF($D55:$D58,H$21)+COUNTIF($D55:$D58,$A$3))</f>
        <v>0</v>
      </c>
      <c r="K58" s="73" t="n">
        <f aca="false">IF($E58="","",COUNTIF($E55:$E58,H$21)+COUNTIF($E55:$E58,$A$3))</f>
        <v>0</v>
      </c>
      <c r="L58" s="92" t="n">
        <f aca="false">IF($F58="","",COUNTIF($F55:$F58,H$21)+COUNTIF($F55:$F58,$A$3))</f>
        <v>1</v>
      </c>
      <c r="N58" s="91" t="n">
        <f aca="false">IF($B58="","",COUNTIF($B55:$B58,N$21)+COUNTIF($B55:$B58,$A$3))</f>
        <v>1</v>
      </c>
      <c r="O58" s="73" t="n">
        <f aca="false">IF($C58="","",COUNTIF($C55:$C58,N$21)+COUNTIF($C55:$C58,$A$3))</f>
        <v>2</v>
      </c>
      <c r="P58" s="73" t="n">
        <f aca="false">IF($D58="","",COUNTIF($D55:$D58,N$21)+COUNTIF($D55:$D58,$A$3))</f>
        <v>1</v>
      </c>
      <c r="Q58" s="73" t="n">
        <f aca="false">IF($E58="","",COUNTIF($E55:$E58,N$21)+COUNTIF($E55:$E58,$A$3))</f>
        <v>0</v>
      </c>
      <c r="R58" s="92" t="n">
        <f aca="false">IF($F58="","",COUNTIF($F55:$F58,N$21)+COUNTIF($F55:$F58,$A$3))</f>
        <v>0</v>
      </c>
      <c r="T58" s="91" t="n">
        <f aca="false">IF($B58="","",COUNTIF($B55:$B58,T$21)+COUNTIF($B55:$B58,$A$3))</f>
        <v>1</v>
      </c>
      <c r="U58" s="73" t="n">
        <f aca="false">IF($C58="","",COUNTIF($C55:$C58,T$21)+COUNTIF($C55:$C58,$A$3))</f>
        <v>0</v>
      </c>
      <c r="V58" s="73" t="n">
        <f aca="false">IF($D58="","",COUNTIF($D55:$D58,T$21)+COUNTIF($D55:$D58,$A$3))</f>
        <v>2</v>
      </c>
      <c r="W58" s="73" t="n">
        <f aca="false">IF($E58="","",COUNTIF($E55:$E58,T$21)+COUNTIF($E55:$E58,$A$3))</f>
        <v>1</v>
      </c>
      <c r="X58" s="92" t="n">
        <f aca="false">IF($F58="","",COUNTIF($F55:$F58,T$21)+COUNTIF($F55:$F58,$A$3))</f>
        <v>0</v>
      </c>
      <c r="Z58" s="91" t="n">
        <f aca="false">IF($B58="","",COUNTIF($B55:$B58,Z$21)+COUNTIF($B55:$B58,$A$3))</f>
        <v>0</v>
      </c>
      <c r="AA58" s="73" t="n">
        <f aca="false">IF($C58="","",COUNTIF($C55:$C58,Z$21)+COUNTIF($C55:$C58,$A$3))</f>
        <v>0</v>
      </c>
      <c r="AB58" s="73" t="n">
        <f aca="false">IF($D58="","",COUNTIF($D55:$D58,Z$21)+COUNTIF($D55:$D58,$A$3))</f>
        <v>0</v>
      </c>
      <c r="AC58" s="73" t="n">
        <f aca="false">IF($E58="","",COUNTIF($E55:$E58,Z$21)+COUNTIF($E55:$E58,$A$3))</f>
        <v>0</v>
      </c>
      <c r="AD58" s="92" t="n">
        <f aca="false">IF($F58="","",COUNTIF($F55:$F58,Z$21)+COUNTIF($F55:$F58,$A$3))</f>
        <v>1</v>
      </c>
      <c r="AF58" s="91" t="n">
        <f aca="false">IF($B58="","",COUNTIF($B55:$B58,AF$21)+COUNTIF($B55:$B58,$A$3))</f>
        <v>0</v>
      </c>
      <c r="AG58" s="73" t="n">
        <f aca="false">IF($C58="","",COUNTIF($C55:$C58,AF$21)+COUNTIF($C55:$C58,$A$3))</f>
        <v>0</v>
      </c>
      <c r="AH58" s="73" t="n">
        <f aca="false">IF($D58="","",COUNTIF($D55:$D58,AF$21)+COUNTIF($D55:$D58,$A$3))</f>
        <v>0</v>
      </c>
      <c r="AI58" s="73" t="n">
        <f aca="false">IF($E58="","",COUNTIF($E55:$E58,AF$21)+COUNTIF($E55:$E58,$A$3))</f>
        <v>1</v>
      </c>
      <c r="AJ58" s="92" t="n">
        <f aca="false">IF($F58="","",COUNTIF($F55:$F58,AF$21)+COUNTIF($F55:$F58,$A$3))</f>
        <v>0</v>
      </c>
      <c r="AL58" s="91" t="n">
        <f aca="false">IF($B58="","",COUNTIF($B55:$B58,AL$21)+COUNTIF($B55:$B58,$A$3))</f>
        <v>0</v>
      </c>
      <c r="AM58" s="73" t="n">
        <f aca="false">IF($C58="","",COUNTIF($C55:$C58,AL$21)+COUNTIF($C55:$C58,$A$3))</f>
        <v>0</v>
      </c>
      <c r="AN58" s="73" t="n">
        <f aca="false">IF($D58="","",COUNTIF($D55:$D58,AL$21)+COUNTIF($D55:$D58,$A$3))</f>
        <v>0</v>
      </c>
      <c r="AO58" s="73" t="n">
        <f aca="false">IF($E58="","",COUNTIF($E55:$E58,AL$21)+COUNTIF($E55:$E58,$A$3))</f>
        <v>0</v>
      </c>
      <c r="AP58" s="92" t="n">
        <f aca="false">IF($F58="","",COUNTIF($F55:$F58,AL$21)+COUNTIF($F55:$F58,$A$3))</f>
        <v>1</v>
      </c>
      <c r="AR58" s="91" t="n">
        <f aca="false">IF($B58="","",COUNTIF($B55:$B58,AR$21)+COUNTIF($B55:$B58,$A$3))</f>
        <v>0</v>
      </c>
      <c r="AS58" s="73" t="n">
        <f aca="false">IF($C58="","",COUNTIF($C55:$C58,AR$21)+COUNTIF($C55:$C58,$A$3))</f>
        <v>0</v>
      </c>
      <c r="AT58" s="73" t="n">
        <f aca="false">IF($D58="","",COUNTIF($D55:$D58,AR$21)+COUNTIF($D55:$D58,$A$3))</f>
        <v>1</v>
      </c>
      <c r="AU58" s="73" t="n">
        <f aca="false">IF($E58="","",COUNTIF($E55:$E58,AR$21)+COUNTIF($E55:$E58,$A$3))</f>
        <v>1</v>
      </c>
      <c r="AV58" s="92" t="n">
        <f aca="false">IF($F58="","",COUNTIF($F55:$F58,AR$21)+COUNTIF($F55:$F58,$A$3))</f>
        <v>0</v>
      </c>
      <c r="AX58" s="91" t="n">
        <f aca="false">IF($B58="","",COUNTIF($B55:$B58,AX$21)+COUNTIF($B55:$B58,$A$3))</f>
        <v>0</v>
      </c>
      <c r="AY58" s="73" t="n">
        <f aca="false">IF($C58="","",COUNTIF($C55:$C58,AX$21)+COUNTIF($C55:$C58,$A$3))</f>
        <v>0</v>
      </c>
      <c r="AZ58" s="73" t="n">
        <f aca="false">IF($D58="","",COUNTIF($D55:$D58,AX$21)+COUNTIF($D55:$D58,$A$3))</f>
        <v>0</v>
      </c>
      <c r="BA58" s="73" t="n">
        <f aca="false">IF($E58="","",COUNTIF($E55:$E58,AX$21)+COUNTIF($E55:$E58,$A$3))</f>
        <v>1</v>
      </c>
      <c r="BB58" s="92" t="n">
        <f aca="false">IF($F58="","",COUNTIF($F55:$F58,AX$21)+COUNTIF($F55:$F58,$A$3))</f>
        <v>0</v>
      </c>
      <c r="BD58" s="91" t="n">
        <f aca="false">IF($B58="","",COUNTIF($B55:$B58,BD$21)+COUNTIF($B55:$B58,$A$3))</f>
        <v>2</v>
      </c>
      <c r="BE58" s="73" t="n">
        <f aca="false">IF($C58="","",COUNTIF($C55:$C58,BD$21)+COUNTIF($C55:$C58,$A$3))</f>
        <v>1</v>
      </c>
      <c r="BF58" s="73" t="n">
        <f aca="false">IF($D58="","",COUNTIF($D55:$D58,BD$21)+COUNTIF($D55:$D58,$A$3))</f>
        <v>0</v>
      </c>
      <c r="BG58" s="73" t="n">
        <f aca="false">IF($E58="","",COUNTIF($E55:$E58,BD$21)+COUNTIF($E55:$E58,$A$3))</f>
        <v>0</v>
      </c>
      <c r="BH58" s="92" t="n">
        <f aca="false">IF($F58="","",COUNTIF($F55:$F58,BD$21)+COUNTIF($F55:$F58,$A$3))</f>
        <v>1</v>
      </c>
      <c r="BJ58" s="91" t="n">
        <f aca="false">IF($B58="","",COUNTIF($B55:$B58,BJ$21)+COUNTIF($B55:$B58,$A$3))</f>
        <v>0</v>
      </c>
      <c r="BK58" s="73" t="n">
        <f aca="false">IF($C58="","",COUNTIF($C55:$C58,BJ$21)+COUNTIF($C55:$C58,$A$3))</f>
        <v>0</v>
      </c>
      <c r="BL58" s="73" t="n">
        <f aca="false">IF($D58="","",COUNTIF($D55:$D58,BJ$21)+COUNTIF($D55:$D58,$A$3))</f>
        <v>0</v>
      </c>
      <c r="BM58" s="73" t="n">
        <f aca="false">IF($E58="","",COUNTIF($E55:$E58,BJ$21)+COUNTIF($E55:$E58,$A$3))</f>
        <v>0</v>
      </c>
      <c r="BN58" s="92" t="n">
        <f aca="false">IF($F58="","",COUNTIF($F55:$F58,BJ$21)+COUNTIF($F55:$F58,$A$3))</f>
        <v>0</v>
      </c>
      <c r="BP58" s="91" t="n">
        <f aca="false">IF($B58="","",COUNTIF($B55:$B58,BP$21)+COUNTIF($B55:$B58,$A$3))</f>
        <v>0</v>
      </c>
      <c r="BQ58" s="73" t="n">
        <f aca="false">IF($C58="","",COUNTIF($C55:$C58,BP$21)+COUNTIF($C55:$C58,$A$3))</f>
        <v>0</v>
      </c>
      <c r="BR58" s="73" t="n">
        <f aca="false">IF($D58="","",COUNTIF($D55:$D58,BP$21)+COUNTIF($D55:$D58,$A$3))</f>
        <v>0</v>
      </c>
      <c r="BS58" s="73" t="n">
        <f aca="false">IF($E58="","",COUNTIF($E55:$E58,BP$21)+COUNTIF($E55:$E58,$A$3))</f>
        <v>0</v>
      </c>
      <c r="BT58" s="92" t="n">
        <f aca="false">IF($F58="","",COUNTIF($F55:$F58,BP$21)+COUNTIF($F55:$F58,$A$3))</f>
        <v>0</v>
      </c>
    </row>
    <row r="59" customFormat="false" ht="15" hidden="false" customHeight="false" outlineLevel="0" collapsed="false">
      <c r="A59" s="13" t="n">
        <v>37</v>
      </c>
      <c r="B59" s="116" t="str">
        <f aca="false">IF('Game Info'!Q42="","",'Game Info'!Q42)</f>
        <v>SYM2</v>
      </c>
      <c r="C59" s="116" t="str">
        <f aca="false">IF('Game Info'!R42="","",'Game Info'!R42)</f>
        <v>SYM2</v>
      </c>
      <c r="D59" s="116" t="str">
        <f aca="false">IF('Game Info'!S42="","",'Game Info'!S42)</f>
        <v>SYM3</v>
      </c>
      <c r="E59" s="116" t="str">
        <f aca="false">IF('Game Info'!T42="","",'Game Info'!T42)</f>
        <v>SYM2</v>
      </c>
      <c r="F59" s="117" t="str">
        <f aca="false">IF('Game Info'!U42="","",'Game Info'!U42)</f>
        <v>K</v>
      </c>
      <c r="H59" s="91" t="n">
        <f aca="false">IF($B59="","",COUNTIF($B56:$B59,H$21)+COUNTIF($B56:$B59,$A$3))</f>
        <v>0</v>
      </c>
      <c r="I59" s="73" t="n">
        <f aca="false">IF($C59="","",COUNTIF($C56:$C59,H$21)+COUNTIF($C56:$C59,$A$3))</f>
        <v>0</v>
      </c>
      <c r="J59" s="73" t="n">
        <f aca="false">IF($D59="","",COUNTIF($D56:$D59,H$21)+COUNTIF($D56:$D59,$A$3))</f>
        <v>0</v>
      </c>
      <c r="K59" s="73" t="n">
        <f aca="false">IF($E59="","",COUNTIF($E56:$E59,H$21)+COUNTIF($E56:$E59,$A$3))</f>
        <v>0</v>
      </c>
      <c r="L59" s="92" t="n">
        <f aca="false">IF($F59="","",COUNTIF($F56:$F59,H$21)+COUNTIF($F56:$F59,$A$3))</f>
        <v>1</v>
      </c>
      <c r="N59" s="91" t="n">
        <f aca="false">IF($B59="","",COUNTIF($B56:$B59,N$21)+COUNTIF($B56:$B59,$A$3))</f>
        <v>2</v>
      </c>
      <c r="O59" s="73" t="n">
        <f aca="false">IF($C59="","",COUNTIF($C56:$C59,N$21)+COUNTIF($C56:$C59,$A$3))</f>
        <v>3</v>
      </c>
      <c r="P59" s="73" t="n">
        <f aca="false">IF($D59="","",COUNTIF($D56:$D59,N$21)+COUNTIF($D56:$D59,$A$3))</f>
        <v>0</v>
      </c>
      <c r="Q59" s="73" t="n">
        <f aca="false">IF($E59="","",COUNTIF($E56:$E59,N$21)+COUNTIF($E56:$E59,$A$3))</f>
        <v>1</v>
      </c>
      <c r="R59" s="92" t="n">
        <f aca="false">IF($F59="","",COUNTIF($F56:$F59,N$21)+COUNTIF($F56:$F59,$A$3))</f>
        <v>0</v>
      </c>
      <c r="T59" s="91" t="n">
        <f aca="false">IF($B59="","",COUNTIF($B56:$B59,T$21)+COUNTIF($B56:$B59,$A$3))</f>
        <v>1</v>
      </c>
      <c r="U59" s="73" t="n">
        <f aca="false">IF($C59="","",COUNTIF($C56:$C59,T$21)+COUNTIF($C56:$C59,$A$3))</f>
        <v>0</v>
      </c>
      <c r="V59" s="73" t="n">
        <f aca="false">IF($D59="","",COUNTIF($D56:$D59,T$21)+COUNTIF($D56:$D59,$A$3))</f>
        <v>3</v>
      </c>
      <c r="W59" s="73" t="n">
        <f aca="false">IF($E59="","",COUNTIF($E56:$E59,T$21)+COUNTIF($E56:$E59,$A$3))</f>
        <v>0</v>
      </c>
      <c r="X59" s="92" t="n">
        <f aca="false">IF($F59="","",COUNTIF($F56:$F59,T$21)+COUNTIF($F56:$F59,$A$3))</f>
        <v>0</v>
      </c>
      <c r="Z59" s="91" t="n">
        <f aca="false">IF($B59="","",COUNTIF($B56:$B59,Z$21)+COUNTIF($B56:$B59,$A$3))</f>
        <v>0</v>
      </c>
      <c r="AA59" s="73" t="n">
        <f aca="false">IF($C59="","",COUNTIF($C56:$C59,Z$21)+COUNTIF($C56:$C59,$A$3))</f>
        <v>0</v>
      </c>
      <c r="AB59" s="73" t="n">
        <f aca="false">IF($D59="","",COUNTIF($D56:$D59,Z$21)+COUNTIF($D56:$D59,$A$3))</f>
        <v>0</v>
      </c>
      <c r="AC59" s="73" t="n">
        <f aca="false">IF($E59="","",COUNTIF($E56:$E59,Z$21)+COUNTIF($E56:$E59,$A$3))</f>
        <v>0</v>
      </c>
      <c r="AD59" s="92" t="n">
        <f aca="false">IF($F59="","",COUNTIF($F56:$F59,Z$21)+COUNTIF($F56:$F59,$A$3))</f>
        <v>1</v>
      </c>
      <c r="AF59" s="91" t="n">
        <f aca="false">IF($B59="","",COUNTIF($B56:$B59,AF$21)+COUNTIF($B56:$B59,$A$3))</f>
        <v>0</v>
      </c>
      <c r="AG59" s="73" t="n">
        <f aca="false">IF($C59="","",COUNTIF($C56:$C59,AF$21)+COUNTIF($C56:$C59,$A$3))</f>
        <v>0</v>
      </c>
      <c r="AH59" s="73" t="n">
        <f aca="false">IF($D59="","",COUNTIF($D56:$D59,AF$21)+COUNTIF($D56:$D59,$A$3))</f>
        <v>0</v>
      </c>
      <c r="AI59" s="73" t="n">
        <f aca="false">IF($E59="","",COUNTIF($E56:$E59,AF$21)+COUNTIF($E56:$E59,$A$3))</f>
        <v>1</v>
      </c>
      <c r="AJ59" s="92" t="n">
        <f aca="false">IF($F59="","",COUNTIF($F56:$F59,AF$21)+COUNTIF($F56:$F59,$A$3))</f>
        <v>0</v>
      </c>
      <c r="AL59" s="91" t="n">
        <f aca="false">IF($B59="","",COUNTIF($B56:$B59,AL$21)+COUNTIF($B56:$B59,$A$3))</f>
        <v>0</v>
      </c>
      <c r="AM59" s="73" t="n">
        <f aca="false">IF($C59="","",COUNTIF($C56:$C59,AL$21)+COUNTIF($C56:$C59,$A$3))</f>
        <v>0</v>
      </c>
      <c r="AN59" s="73" t="n">
        <f aca="false">IF($D59="","",COUNTIF($D56:$D59,AL$21)+COUNTIF($D56:$D59,$A$3))</f>
        <v>0</v>
      </c>
      <c r="AO59" s="73" t="n">
        <f aca="false">IF($E59="","",COUNTIF($E56:$E59,AL$21)+COUNTIF($E56:$E59,$A$3))</f>
        <v>0</v>
      </c>
      <c r="AP59" s="92" t="n">
        <f aca="false">IF($F59="","",COUNTIF($F56:$F59,AL$21)+COUNTIF($F56:$F59,$A$3))</f>
        <v>0</v>
      </c>
      <c r="AR59" s="91" t="n">
        <f aca="false">IF($B59="","",COUNTIF($B56:$B59,AR$21)+COUNTIF($B56:$B59,$A$3))</f>
        <v>0</v>
      </c>
      <c r="AS59" s="73" t="n">
        <f aca="false">IF($C59="","",COUNTIF($C56:$C59,AR$21)+COUNTIF($C56:$C59,$A$3))</f>
        <v>0</v>
      </c>
      <c r="AT59" s="73" t="n">
        <f aca="false">IF($D59="","",COUNTIF($D56:$D59,AR$21)+COUNTIF($D56:$D59,$A$3))</f>
        <v>1</v>
      </c>
      <c r="AU59" s="73" t="n">
        <f aca="false">IF($E59="","",COUNTIF($E56:$E59,AR$21)+COUNTIF($E56:$E59,$A$3))</f>
        <v>1</v>
      </c>
      <c r="AV59" s="92" t="n">
        <f aca="false">IF($F59="","",COUNTIF($F56:$F59,AR$21)+COUNTIF($F56:$F59,$A$3))</f>
        <v>1</v>
      </c>
      <c r="AX59" s="91" t="n">
        <f aca="false">IF($B59="","",COUNTIF($B56:$B59,AX$21)+COUNTIF($B56:$B59,$A$3))</f>
        <v>0</v>
      </c>
      <c r="AY59" s="73" t="n">
        <f aca="false">IF($C59="","",COUNTIF($C56:$C59,AX$21)+COUNTIF($C56:$C59,$A$3))</f>
        <v>0</v>
      </c>
      <c r="AZ59" s="73" t="n">
        <f aca="false">IF($D59="","",COUNTIF($D56:$D59,AX$21)+COUNTIF($D56:$D59,$A$3))</f>
        <v>0</v>
      </c>
      <c r="BA59" s="73" t="n">
        <f aca="false">IF($E59="","",COUNTIF($E56:$E59,AX$21)+COUNTIF($E56:$E59,$A$3))</f>
        <v>1</v>
      </c>
      <c r="BB59" s="92" t="n">
        <f aca="false">IF($F59="","",COUNTIF($F56:$F59,AX$21)+COUNTIF($F56:$F59,$A$3))</f>
        <v>0</v>
      </c>
      <c r="BD59" s="91" t="n">
        <f aca="false">IF($B59="","",COUNTIF($B56:$B59,BD$21)+COUNTIF($B56:$B59,$A$3))</f>
        <v>1</v>
      </c>
      <c r="BE59" s="73" t="n">
        <f aca="false">IF($C59="","",COUNTIF($C56:$C59,BD$21)+COUNTIF($C56:$C59,$A$3))</f>
        <v>1</v>
      </c>
      <c r="BF59" s="73" t="n">
        <f aca="false">IF($D59="","",COUNTIF($D56:$D59,BD$21)+COUNTIF($D56:$D59,$A$3))</f>
        <v>0</v>
      </c>
      <c r="BG59" s="73" t="n">
        <f aca="false">IF($E59="","",COUNTIF($E56:$E59,BD$21)+COUNTIF($E56:$E59,$A$3))</f>
        <v>0</v>
      </c>
      <c r="BH59" s="92" t="n">
        <f aca="false">IF($F59="","",COUNTIF($F56:$F59,BD$21)+COUNTIF($F56:$F59,$A$3))</f>
        <v>1</v>
      </c>
      <c r="BJ59" s="91" t="n">
        <f aca="false">IF($B59="","",COUNTIF($B56:$B59,BJ$21)+COUNTIF($B56:$B59,$A$3))</f>
        <v>0</v>
      </c>
      <c r="BK59" s="73" t="n">
        <f aca="false">IF($C59="","",COUNTIF($C56:$C59,BJ$21)+COUNTIF($C56:$C59,$A$3))</f>
        <v>0</v>
      </c>
      <c r="BL59" s="73" t="n">
        <f aca="false">IF($D59="","",COUNTIF($D56:$D59,BJ$21)+COUNTIF($D56:$D59,$A$3))</f>
        <v>0</v>
      </c>
      <c r="BM59" s="73" t="n">
        <f aca="false">IF($E59="","",COUNTIF($E56:$E59,BJ$21)+COUNTIF($E56:$E59,$A$3))</f>
        <v>0</v>
      </c>
      <c r="BN59" s="92" t="n">
        <f aca="false">IF($F59="","",COUNTIF($F56:$F59,BJ$21)+COUNTIF($F56:$F59,$A$3))</f>
        <v>0</v>
      </c>
      <c r="BP59" s="91" t="n">
        <f aca="false">IF($B59="","",COUNTIF($B56:$B59,BP$21)+COUNTIF($B56:$B59,$A$3))</f>
        <v>0</v>
      </c>
      <c r="BQ59" s="73" t="n">
        <f aca="false">IF($C59="","",COUNTIF($C56:$C59,BP$21)+COUNTIF($C56:$C59,$A$3))</f>
        <v>0</v>
      </c>
      <c r="BR59" s="73" t="n">
        <f aca="false">IF($D59="","",COUNTIF($D56:$D59,BP$21)+COUNTIF($D56:$D59,$A$3))</f>
        <v>0</v>
      </c>
      <c r="BS59" s="73" t="n">
        <f aca="false">IF($E59="","",COUNTIF($E56:$E59,BP$21)+COUNTIF($E56:$E59,$A$3))</f>
        <v>0</v>
      </c>
      <c r="BT59" s="92" t="n">
        <f aca="false">IF($F59="","",COUNTIF($F56:$F59,BP$21)+COUNTIF($F56:$F59,$A$3))</f>
        <v>0</v>
      </c>
    </row>
    <row r="60" customFormat="false" ht="15" hidden="false" customHeight="false" outlineLevel="0" collapsed="false">
      <c r="A60" s="13" t="n">
        <v>38</v>
      </c>
      <c r="B60" s="116" t="n">
        <f aca="false">IF('Game Info'!Q43="","",'Game Info'!Q43)</f>
        <v>9</v>
      </c>
      <c r="C60" s="116" t="str">
        <f aca="false">IF('Game Info'!R43="","",'Game Info'!R43)</f>
        <v>Q</v>
      </c>
      <c r="D60" s="116" t="n">
        <f aca="false">IF('Game Info'!S43="","",'Game Info'!S43)</f>
        <v>10</v>
      </c>
      <c r="E60" s="116" t="n">
        <f aca="false">IF('Game Info'!T43="","",'Game Info'!T43)</f>
        <v>9</v>
      </c>
      <c r="F60" s="117" t="str">
        <f aca="false">IF('Game Info'!U43="","",'Game Info'!U43)</f>
        <v>SYM3</v>
      </c>
      <c r="H60" s="91" t="n">
        <f aca="false">IF($B60="","",COUNTIF($B57:$B60,H$21)+COUNTIF($B57:$B60,$A$3))</f>
        <v>0</v>
      </c>
      <c r="I60" s="73" t="n">
        <f aca="false">IF($C60="","",COUNTIF($C57:$C60,H$21)+COUNTIF($C57:$C60,$A$3))</f>
        <v>0</v>
      </c>
      <c r="J60" s="73" t="n">
        <f aca="false">IF($D60="","",COUNTIF($D57:$D60,H$21)+COUNTIF($D57:$D60,$A$3))</f>
        <v>0</v>
      </c>
      <c r="K60" s="73" t="n">
        <f aca="false">IF($E60="","",COUNTIF($E57:$E60,H$21)+COUNTIF($E57:$E60,$A$3))</f>
        <v>0</v>
      </c>
      <c r="L60" s="92" t="n">
        <f aca="false">IF($F60="","",COUNTIF($F57:$F60,H$21)+COUNTIF($F57:$F60,$A$3))</f>
        <v>1</v>
      </c>
      <c r="N60" s="91" t="n">
        <f aca="false">IF($B60="","",COUNTIF($B57:$B60,N$21)+COUNTIF($B57:$B60,$A$3))</f>
        <v>2</v>
      </c>
      <c r="O60" s="73" t="n">
        <f aca="false">IF($C60="","",COUNTIF($C57:$C60,N$21)+COUNTIF($C57:$C60,$A$3))</f>
        <v>3</v>
      </c>
      <c r="P60" s="73" t="n">
        <f aca="false">IF($D60="","",COUNTIF($D57:$D60,N$21)+COUNTIF($D57:$D60,$A$3))</f>
        <v>0</v>
      </c>
      <c r="Q60" s="73" t="n">
        <f aca="false">IF($E60="","",COUNTIF($E57:$E60,N$21)+COUNTIF($E57:$E60,$A$3))</f>
        <v>1</v>
      </c>
      <c r="R60" s="92" t="n">
        <f aca="false">IF($F60="","",COUNTIF($F57:$F60,N$21)+COUNTIF($F57:$F60,$A$3))</f>
        <v>0</v>
      </c>
      <c r="T60" s="91" t="n">
        <f aca="false">IF($B60="","",COUNTIF($B57:$B60,T$21)+COUNTIF($B57:$B60,$A$3))</f>
        <v>0</v>
      </c>
      <c r="U60" s="73" t="n">
        <f aca="false">IF($C60="","",COUNTIF($C57:$C60,T$21)+COUNTIF($C57:$C60,$A$3))</f>
        <v>0</v>
      </c>
      <c r="V60" s="73" t="n">
        <f aca="false">IF($D60="","",COUNTIF($D57:$D60,T$21)+COUNTIF($D57:$D60,$A$3))</f>
        <v>3</v>
      </c>
      <c r="W60" s="73" t="n">
        <f aca="false">IF($E60="","",COUNTIF($E57:$E60,T$21)+COUNTIF($E57:$E60,$A$3))</f>
        <v>0</v>
      </c>
      <c r="X60" s="92" t="n">
        <f aca="false">IF($F60="","",COUNTIF($F57:$F60,T$21)+COUNTIF($F57:$F60,$A$3))</f>
        <v>1</v>
      </c>
      <c r="Z60" s="91" t="n">
        <f aca="false">IF($B60="","",COUNTIF($B57:$B60,Z$21)+COUNTIF($B57:$B60,$A$3))</f>
        <v>0</v>
      </c>
      <c r="AA60" s="73" t="n">
        <f aca="false">IF($C60="","",COUNTIF($C57:$C60,Z$21)+COUNTIF($C57:$C60,$A$3))</f>
        <v>0</v>
      </c>
      <c r="AB60" s="73" t="n">
        <f aca="false">IF($D60="","",COUNTIF($D57:$D60,Z$21)+COUNTIF($D57:$D60,$A$3))</f>
        <v>0</v>
      </c>
      <c r="AC60" s="73" t="n">
        <f aca="false">IF($E60="","",COUNTIF($E57:$E60,Z$21)+COUNTIF($E57:$E60,$A$3))</f>
        <v>0</v>
      </c>
      <c r="AD60" s="92" t="n">
        <f aca="false">IF($F60="","",COUNTIF($F57:$F60,Z$21)+COUNTIF($F57:$F60,$A$3))</f>
        <v>0</v>
      </c>
      <c r="AF60" s="91" t="n">
        <f aca="false">IF($B60="","",COUNTIF($B57:$B60,AF$21)+COUNTIF($B57:$B60,$A$3))</f>
        <v>0</v>
      </c>
      <c r="AG60" s="73" t="n">
        <f aca="false">IF($C60="","",COUNTIF($C57:$C60,AF$21)+COUNTIF($C57:$C60,$A$3))</f>
        <v>0</v>
      </c>
      <c r="AH60" s="73" t="n">
        <f aca="false">IF($D60="","",COUNTIF($D57:$D60,AF$21)+COUNTIF($D57:$D60,$A$3))</f>
        <v>0</v>
      </c>
      <c r="AI60" s="73" t="n">
        <f aca="false">IF($E60="","",COUNTIF($E57:$E60,AF$21)+COUNTIF($E57:$E60,$A$3))</f>
        <v>1</v>
      </c>
      <c r="AJ60" s="92" t="n">
        <f aca="false">IF($F60="","",COUNTIF($F57:$F60,AF$21)+COUNTIF($F57:$F60,$A$3))</f>
        <v>0</v>
      </c>
      <c r="AL60" s="91" t="n">
        <f aca="false">IF($B60="","",COUNTIF($B57:$B60,AL$21)+COUNTIF($B57:$B60,$A$3))</f>
        <v>0</v>
      </c>
      <c r="AM60" s="73" t="n">
        <f aca="false">IF($C60="","",COUNTIF($C57:$C60,AL$21)+COUNTIF($C57:$C60,$A$3))</f>
        <v>0</v>
      </c>
      <c r="AN60" s="73" t="n">
        <f aca="false">IF($D60="","",COUNTIF($D57:$D60,AL$21)+COUNTIF($D57:$D60,$A$3))</f>
        <v>0</v>
      </c>
      <c r="AO60" s="73" t="n">
        <f aca="false">IF($E60="","",COUNTIF($E57:$E60,AL$21)+COUNTIF($E57:$E60,$A$3))</f>
        <v>0</v>
      </c>
      <c r="AP60" s="92" t="n">
        <f aca="false">IF($F60="","",COUNTIF($F57:$F60,AL$21)+COUNTIF($F57:$F60,$A$3))</f>
        <v>0</v>
      </c>
      <c r="AR60" s="91" t="n">
        <f aca="false">IF($B60="","",COUNTIF($B57:$B60,AR$21)+COUNTIF($B57:$B60,$A$3))</f>
        <v>0</v>
      </c>
      <c r="AS60" s="73" t="n">
        <f aca="false">IF($C60="","",COUNTIF($C57:$C60,AR$21)+COUNTIF($C57:$C60,$A$3))</f>
        <v>0</v>
      </c>
      <c r="AT60" s="73" t="n">
        <f aca="false">IF($D60="","",COUNTIF($D57:$D60,AR$21)+COUNTIF($D57:$D60,$A$3))</f>
        <v>0</v>
      </c>
      <c r="AU60" s="73" t="n">
        <f aca="false">IF($E60="","",COUNTIF($E57:$E60,AR$21)+COUNTIF($E57:$E60,$A$3))</f>
        <v>0</v>
      </c>
      <c r="AV60" s="92" t="n">
        <f aca="false">IF($F60="","",COUNTIF($F57:$F60,AR$21)+COUNTIF($F57:$F60,$A$3))</f>
        <v>1</v>
      </c>
      <c r="AX60" s="91" t="n">
        <f aca="false">IF($B60="","",COUNTIF($B57:$B60,AX$21)+COUNTIF($B57:$B60,$A$3))</f>
        <v>0</v>
      </c>
      <c r="AY60" s="73" t="n">
        <f aca="false">IF($C60="","",COUNTIF($C57:$C60,AX$21)+COUNTIF($C57:$C60,$A$3))</f>
        <v>1</v>
      </c>
      <c r="AZ60" s="73" t="n">
        <f aca="false">IF($D60="","",COUNTIF($D57:$D60,AX$21)+COUNTIF($D57:$D60,$A$3))</f>
        <v>0</v>
      </c>
      <c r="BA60" s="73" t="n">
        <f aca="false">IF($E60="","",COUNTIF($E57:$E60,AX$21)+COUNTIF($E57:$E60,$A$3))</f>
        <v>1</v>
      </c>
      <c r="BB60" s="92" t="n">
        <f aca="false">IF($F60="","",COUNTIF($F57:$F60,AX$21)+COUNTIF($F57:$F60,$A$3))</f>
        <v>0</v>
      </c>
      <c r="BD60" s="91" t="n">
        <f aca="false">IF($B60="","",COUNTIF($B57:$B60,BD$21)+COUNTIF($B57:$B60,$A$3))</f>
        <v>1</v>
      </c>
      <c r="BE60" s="73" t="n">
        <f aca="false">IF($C60="","",COUNTIF($C57:$C60,BD$21)+COUNTIF($C57:$C60,$A$3))</f>
        <v>0</v>
      </c>
      <c r="BF60" s="73" t="n">
        <f aca="false">IF($D60="","",COUNTIF($D57:$D60,BD$21)+COUNTIF($D57:$D60,$A$3))</f>
        <v>0</v>
      </c>
      <c r="BG60" s="73" t="n">
        <f aca="false">IF($E60="","",COUNTIF($E57:$E60,BD$21)+COUNTIF($E57:$E60,$A$3))</f>
        <v>0</v>
      </c>
      <c r="BH60" s="92" t="n">
        <f aca="false">IF($F60="","",COUNTIF($F57:$F60,BD$21)+COUNTIF($F57:$F60,$A$3))</f>
        <v>1</v>
      </c>
      <c r="BJ60" s="91" t="n">
        <f aca="false">IF($B60="","",COUNTIF($B57:$B60,BJ$21)+COUNTIF($B57:$B60,$A$3))</f>
        <v>0</v>
      </c>
      <c r="BK60" s="73" t="n">
        <f aca="false">IF($C60="","",COUNTIF($C57:$C60,BJ$21)+COUNTIF($C57:$C60,$A$3))</f>
        <v>0</v>
      </c>
      <c r="BL60" s="73" t="n">
        <f aca="false">IF($D60="","",COUNTIF($D57:$D60,BJ$21)+COUNTIF($D57:$D60,$A$3))</f>
        <v>1</v>
      </c>
      <c r="BM60" s="73" t="n">
        <f aca="false">IF($E60="","",COUNTIF($E57:$E60,BJ$21)+COUNTIF($E57:$E60,$A$3))</f>
        <v>0</v>
      </c>
      <c r="BN60" s="92" t="n">
        <f aca="false">IF($F60="","",COUNTIF($F57:$F60,BJ$21)+COUNTIF($F57:$F60,$A$3))</f>
        <v>0</v>
      </c>
      <c r="BP60" s="91" t="n">
        <f aca="false">IF($B60="","",COUNTIF($B57:$B60,BP$21)+COUNTIF($B57:$B60,$A$3))</f>
        <v>1</v>
      </c>
      <c r="BQ60" s="73" t="n">
        <f aca="false">IF($C60="","",COUNTIF($C57:$C60,BP$21)+COUNTIF($C57:$C60,$A$3))</f>
        <v>0</v>
      </c>
      <c r="BR60" s="73" t="n">
        <f aca="false">IF($D60="","",COUNTIF($D57:$D60,BP$21)+COUNTIF($D57:$D60,$A$3))</f>
        <v>0</v>
      </c>
      <c r="BS60" s="73" t="n">
        <f aca="false">IF($E60="","",COUNTIF($E57:$E60,BP$21)+COUNTIF($E57:$E60,$A$3))</f>
        <v>1</v>
      </c>
      <c r="BT60" s="92" t="n">
        <f aca="false">IF($F60="","",COUNTIF($F57:$F60,BP$21)+COUNTIF($F57:$F60,$A$3))</f>
        <v>0</v>
      </c>
    </row>
    <row r="61" customFormat="false" ht="15" hidden="false" customHeight="false" outlineLevel="0" collapsed="false">
      <c r="A61" s="13" t="n">
        <v>39</v>
      </c>
      <c r="B61" s="116" t="str">
        <f aca="false">IF('Game Info'!Q44="","",'Game Info'!Q44)</f>
        <v>K</v>
      </c>
      <c r="C61" s="116" t="str">
        <f aca="false">IF('Game Info'!R44="","",'Game Info'!R44)</f>
        <v>FG</v>
      </c>
      <c r="D61" s="116" t="str">
        <f aca="false">IF('Game Info'!S44="","",'Game Info'!S44)</f>
        <v>SYM1</v>
      </c>
      <c r="E61" s="116" t="str">
        <f aca="false">IF('Game Info'!T44="","",'Game Info'!T44)</f>
        <v>SYM1</v>
      </c>
      <c r="F61" s="117" t="n">
        <f aca="false">IF('Game Info'!U44="","",'Game Info'!U44)</f>
        <v>10</v>
      </c>
      <c r="H61" s="91" t="n">
        <f aca="false">IF($B61="","",COUNTIF($B58:$B61,H$21)+COUNTIF($B58:$B61,$A$3))</f>
        <v>0</v>
      </c>
      <c r="I61" s="73" t="n">
        <f aca="false">IF($C61="","",COUNTIF($C58:$C61,H$21)+COUNTIF($C58:$C61,$A$3))</f>
        <v>0</v>
      </c>
      <c r="J61" s="73" t="n">
        <f aca="false">IF($D61="","",COUNTIF($D58:$D61,H$21)+COUNTIF($D58:$D61,$A$3))</f>
        <v>1</v>
      </c>
      <c r="K61" s="73" t="n">
        <f aca="false">IF($E61="","",COUNTIF($E58:$E61,H$21)+COUNTIF($E58:$E61,$A$3))</f>
        <v>1</v>
      </c>
      <c r="L61" s="92" t="n">
        <f aca="false">IF($F61="","",COUNTIF($F58:$F61,H$21)+COUNTIF($F58:$F61,$A$3))</f>
        <v>1</v>
      </c>
      <c r="N61" s="91" t="n">
        <f aca="false">IF($B61="","",COUNTIF($B58:$B61,N$21)+COUNTIF($B58:$B61,$A$3))</f>
        <v>2</v>
      </c>
      <c r="O61" s="73" t="n">
        <f aca="false">IF($C61="","",COUNTIF($C58:$C61,N$21)+COUNTIF($C58:$C61,$A$3))</f>
        <v>2</v>
      </c>
      <c r="P61" s="73" t="n">
        <f aca="false">IF($D61="","",COUNTIF($D58:$D61,N$21)+COUNTIF($D58:$D61,$A$3))</f>
        <v>0</v>
      </c>
      <c r="Q61" s="73" t="n">
        <f aca="false">IF($E61="","",COUNTIF($E58:$E61,N$21)+COUNTIF($E58:$E61,$A$3))</f>
        <v>1</v>
      </c>
      <c r="R61" s="92" t="n">
        <f aca="false">IF($F61="","",COUNTIF($F58:$F61,N$21)+COUNTIF($F58:$F61,$A$3))</f>
        <v>0</v>
      </c>
      <c r="T61" s="91" t="n">
        <f aca="false">IF($B61="","",COUNTIF($B58:$B61,T$21)+COUNTIF($B58:$B61,$A$3))</f>
        <v>0</v>
      </c>
      <c r="U61" s="73" t="n">
        <f aca="false">IF($C61="","",COUNTIF($C58:$C61,T$21)+COUNTIF($C58:$C61,$A$3))</f>
        <v>0</v>
      </c>
      <c r="V61" s="73" t="n">
        <f aca="false">IF($D61="","",COUNTIF($D58:$D61,T$21)+COUNTIF($D58:$D61,$A$3))</f>
        <v>2</v>
      </c>
      <c r="W61" s="73" t="n">
        <f aca="false">IF($E61="","",COUNTIF($E58:$E61,T$21)+COUNTIF($E58:$E61,$A$3))</f>
        <v>0</v>
      </c>
      <c r="X61" s="92" t="n">
        <f aca="false">IF($F61="","",COUNTIF($F58:$F61,T$21)+COUNTIF($F58:$F61,$A$3))</f>
        <v>1</v>
      </c>
      <c r="Z61" s="91" t="n">
        <f aca="false">IF($B61="","",COUNTIF($B58:$B61,Z$21)+COUNTIF($B58:$B61,$A$3))</f>
        <v>0</v>
      </c>
      <c r="AA61" s="73" t="n">
        <f aca="false">IF($C61="","",COUNTIF($C58:$C61,Z$21)+COUNTIF($C58:$C61,$A$3))</f>
        <v>0</v>
      </c>
      <c r="AB61" s="73" t="n">
        <f aca="false">IF($D61="","",COUNTIF($D58:$D61,Z$21)+COUNTIF($D58:$D61,$A$3))</f>
        <v>0</v>
      </c>
      <c r="AC61" s="73" t="n">
        <f aca="false">IF($E61="","",COUNTIF($E58:$E61,Z$21)+COUNTIF($E58:$E61,$A$3))</f>
        <v>0</v>
      </c>
      <c r="AD61" s="92" t="n">
        <f aca="false">IF($F61="","",COUNTIF($F58:$F61,Z$21)+COUNTIF($F58:$F61,$A$3))</f>
        <v>0</v>
      </c>
      <c r="AF61" s="91" t="n">
        <f aca="false">IF($B61="","",COUNTIF($B58:$B61,AF$21)+COUNTIF($B58:$B61,$A$3))</f>
        <v>0</v>
      </c>
      <c r="AG61" s="73" t="n">
        <f aca="false">IF($C61="","",COUNTIF($C58:$C61,AF$21)+COUNTIF($C58:$C61,$A$3))</f>
        <v>0</v>
      </c>
      <c r="AH61" s="73" t="n">
        <f aca="false">IF($D61="","",COUNTIF($D58:$D61,AF$21)+COUNTIF($D58:$D61,$A$3))</f>
        <v>0</v>
      </c>
      <c r="AI61" s="73" t="n">
        <f aca="false">IF($E61="","",COUNTIF($E58:$E61,AF$21)+COUNTIF($E58:$E61,$A$3))</f>
        <v>0</v>
      </c>
      <c r="AJ61" s="92" t="n">
        <f aca="false">IF($F61="","",COUNTIF($F58:$F61,AF$21)+COUNTIF($F58:$F61,$A$3))</f>
        <v>0</v>
      </c>
      <c r="AL61" s="91" t="n">
        <f aca="false">IF($B61="","",COUNTIF($B58:$B61,AL$21)+COUNTIF($B58:$B61,$A$3))</f>
        <v>0</v>
      </c>
      <c r="AM61" s="73" t="n">
        <f aca="false">IF($C61="","",COUNTIF($C58:$C61,AL$21)+COUNTIF($C58:$C61,$A$3))</f>
        <v>0</v>
      </c>
      <c r="AN61" s="73" t="n">
        <f aca="false">IF($D61="","",COUNTIF($D58:$D61,AL$21)+COUNTIF($D58:$D61,$A$3))</f>
        <v>0</v>
      </c>
      <c r="AO61" s="73" t="n">
        <f aca="false">IF($E61="","",COUNTIF($E58:$E61,AL$21)+COUNTIF($E58:$E61,$A$3))</f>
        <v>0</v>
      </c>
      <c r="AP61" s="92" t="n">
        <f aca="false">IF($F61="","",COUNTIF($F58:$F61,AL$21)+COUNTIF($F58:$F61,$A$3))</f>
        <v>0</v>
      </c>
      <c r="AR61" s="91" t="n">
        <f aca="false">IF($B61="","",COUNTIF($B58:$B61,AR$21)+COUNTIF($B58:$B61,$A$3))</f>
        <v>1</v>
      </c>
      <c r="AS61" s="73" t="n">
        <f aca="false">IF($C61="","",COUNTIF($C58:$C61,AR$21)+COUNTIF($C58:$C61,$A$3))</f>
        <v>0</v>
      </c>
      <c r="AT61" s="73" t="n">
        <f aca="false">IF($D61="","",COUNTIF($D58:$D61,AR$21)+COUNTIF($D58:$D61,$A$3))</f>
        <v>0</v>
      </c>
      <c r="AU61" s="73" t="n">
        <f aca="false">IF($E61="","",COUNTIF($E58:$E61,AR$21)+COUNTIF($E58:$E61,$A$3))</f>
        <v>0</v>
      </c>
      <c r="AV61" s="92" t="n">
        <f aca="false">IF($F61="","",COUNTIF($F58:$F61,AR$21)+COUNTIF($F58:$F61,$A$3))</f>
        <v>1</v>
      </c>
      <c r="AX61" s="91" t="n">
        <f aca="false">IF($B61="","",COUNTIF($B58:$B61,AX$21)+COUNTIF($B58:$B61,$A$3))</f>
        <v>0</v>
      </c>
      <c r="AY61" s="73" t="n">
        <f aca="false">IF($C61="","",COUNTIF($C58:$C61,AX$21)+COUNTIF($C58:$C61,$A$3))</f>
        <v>1</v>
      </c>
      <c r="AZ61" s="73" t="n">
        <f aca="false">IF($D61="","",COUNTIF($D58:$D61,AX$21)+COUNTIF($D58:$D61,$A$3))</f>
        <v>0</v>
      </c>
      <c r="BA61" s="73" t="n">
        <f aca="false">IF($E61="","",COUNTIF($E58:$E61,AX$21)+COUNTIF($E58:$E61,$A$3))</f>
        <v>1</v>
      </c>
      <c r="BB61" s="92" t="n">
        <f aca="false">IF($F61="","",COUNTIF($F58:$F61,AX$21)+COUNTIF($F58:$F61,$A$3))</f>
        <v>0</v>
      </c>
      <c r="BD61" s="91" t="n">
        <f aca="false">IF($B61="","",COUNTIF($B58:$B61,BD$21)+COUNTIF($B58:$B61,$A$3))</f>
        <v>0</v>
      </c>
      <c r="BE61" s="73" t="n">
        <f aca="false">IF($C61="","",COUNTIF($C58:$C61,BD$21)+COUNTIF($C58:$C61,$A$3))</f>
        <v>0</v>
      </c>
      <c r="BF61" s="73" t="n">
        <f aca="false">IF($D61="","",COUNTIF($D58:$D61,BD$21)+COUNTIF($D58:$D61,$A$3))</f>
        <v>0</v>
      </c>
      <c r="BG61" s="73" t="n">
        <f aca="false">IF($E61="","",COUNTIF($E58:$E61,BD$21)+COUNTIF($E58:$E61,$A$3))</f>
        <v>0</v>
      </c>
      <c r="BH61" s="92" t="n">
        <f aca="false">IF($F61="","",COUNTIF($F58:$F61,BD$21)+COUNTIF($F58:$F61,$A$3))</f>
        <v>0</v>
      </c>
      <c r="BJ61" s="91" t="n">
        <f aca="false">IF($B61="","",COUNTIF($B58:$B61,BJ$21)+COUNTIF($B58:$B61,$A$3))</f>
        <v>0</v>
      </c>
      <c r="BK61" s="73" t="n">
        <f aca="false">IF($C61="","",COUNTIF($C58:$C61,BJ$21)+COUNTIF($C58:$C61,$A$3))</f>
        <v>0</v>
      </c>
      <c r="BL61" s="73" t="n">
        <f aca="false">IF($D61="","",COUNTIF($D58:$D61,BJ$21)+COUNTIF($D58:$D61,$A$3))</f>
        <v>1</v>
      </c>
      <c r="BM61" s="73" t="n">
        <f aca="false">IF($E61="","",COUNTIF($E58:$E61,BJ$21)+COUNTIF($E58:$E61,$A$3))</f>
        <v>0</v>
      </c>
      <c r="BN61" s="92" t="n">
        <f aca="false">IF($F61="","",COUNTIF($F58:$F61,BJ$21)+COUNTIF($F58:$F61,$A$3))</f>
        <v>1</v>
      </c>
      <c r="BP61" s="91" t="n">
        <f aca="false">IF($B61="","",COUNTIF($B58:$B61,BP$21)+COUNTIF($B58:$B61,$A$3))</f>
        <v>1</v>
      </c>
      <c r="BQ61" s="73" t="n">
        <f aca="false">IF($C61="","",COUNTIF($C58:$C61,BP$21)+COUNTIF($C58:$C61,$A$3))</f>
        <v>0</v>
      </c>
      <c r="BR61" s="73" t="n">
        <f aca="false">IF($D61="","",COUNTIF($D58:$D61,BP$21)+COUNTIF($D58:$D61,$A$3))</f>
        <v>0</v>
      </c>
      <c r="BS61" s="73" t="n">
        <f aca="false">IF($E61="","",COUNTIF($E58:$E61,BP$21)+COUNTIF($E58:$E61,$A$3))</f>
        <v>1</v>
      </c>
      <c r="BT61" s="92" t="n">
        <f aca="false">IF($F61="","",COUNTIF($F58:$F61,BP$21)+COUNTIF($F58:$F61,$A$3))</f>
        <v>0</v>
      </c>
    </row>
    <row r="62" customFormat="false" ht="15" hidden="false" customHeight="false" outlineLevel="0" collapsed="false">
      <c r="A62" s="13" t="n">
        <v>40</v>
      </c>
      <c r="B62" s="116" t="str">
        <f aca="false">IF('Game Info'!Q45="","",'Game Info'!Q45)</f>
        <v>SYM3</v>
      </c>
      <c r="C62" s="116" t="str">
        <f aca="false">IF('Game Info'!R45="","",'Game Info'!R45)</f>
        <v>A</v>
      </c>
      <c r="D62" s="116" t="str">
        <f aca="false">IF('Game Info'!S45="","",'Game Info'!S45)</f>
        <v>J</v>
      </c>
      <c r="E62" s="116" t="str">
        <f aca="false">IF('Game Info'!T45="","",'Game Info'!T45)</f>
        <v>Q</v>
      </c>
      <c r="F62" s="117" t="str">
        <f aca="false">IF('Game Info'!U45="","",'Game Info'!U45)</f>
        <v>K</v>
      </c>
      <c r="H62" s="91" t="n">
        <f aca="false">IF($B62="","",COUNTIF($B59:$B62,H$21)+COUNTIF($B59:$B62,$A$3))</f>
        <v>0</v>
      </c>
      <c r="I62" s="73" t="n">
        <f aca="false">IF($C62="","",COUNTIF($C59:$C62,H$21)+COUNTIF($C59:$C62,$A$3))</f>
        <v>0</v>
      </c>
      <c r="J62" s="73" t="n">
        <f aca="false">IF($D62="","",COUNTIF($D59:$D62,H$21)+COUNTIF($D59:$D62,$A$3))</f>
        <v>1</v>
      </c>
      <c r="K62" s="73" t="n">
        <f aca="false">IF($E62="","",COUNTIF($E59:$E62,H$21)+COUNTIF($E59:$E62,$A$3))</f>
        <v>1</v>
      </c>
      <c r="L62" s="92" t="n">
        <f aca="false">IF($F62="","",COUNTIF($F59:$F62,H$21)+COUNTIF($F59:$F62,$A$3))</f>
        <v>0</v>
      </c>
      <c r="N62" s="91" t="n">
        <f aca="false">IF($B62="","",COUNTIF($B59:$B62,N$21)+COUNTIF($B59:$B62,$A$3))</f>
        <v>1</v>
      </c>
      <c r="O62" s="73" t="n">
        <f aca="false">IF($C62="","",COUNTIF($C59:$C62,N$21)+COUNTIF($C59:$C62,$A$3))</f>
        <v>1</v>
      </c>
      <c r="P62" s="73" t="n">
        <f aca="false">IF($D62="","",COUNTIF($D59:$D62,N$21)+COUNTIF($D59:$D62,$A$3))</f>
        <v>0</v>
      </c>
      <c r="Q62" s="73" t="n">
        <f aca="false">IF($E62="","",COUNTIF($E59:$E62,N$21)+COUNTIF($E59:$E62,$A$3))</f>
        <v>1</v>
      </c>
      <c r="R62" s="92" t="n">
        <f aca="false">IF($F62="","",COUNTIF($F59:$F62,N$21)+COUNTIF($F59:$F62,$A$3))</f>
        <v>0</v>
      </c>
      <c r="T62" s="91" t="n">
        <f aca="false">IF($B62="","",COUNTIF($B59:$B62,T$21)+COUNTIF($B59:$B62,$A$3))</f>
        <v>1</v>
      </c>
      <c r="U62" s="73" t="n">
        <f aca="false">IF($C62="","",COUNTIF($C59:$C62,T$21)+COUNTIF($C59:$C62,$A$3))</f>
        <v>0</v>
      </c>
      <c r="V62" s="73" t="n">
        <f aca="false">IF($D62="","",COUNTIF($D59:$D62,T$21)+COUNTIF($D59:$D62,$A$3))</f>
        <v>1</v>
      </c>
      <c r="W62" s="73" t="n">
        <f aca="false">IF($E62="","",COUNTIF($E59:$E62,T$21)+COUNTIF($E59:$E62,$A$3))</f>
        <v>0</v>
      </c>
      <c r="X62" s="92" t="n">
        <f aca="false">IF($F62="","",COUNTIF($F59:$F62,T$21)+COUNTIF($F59:$F62,$A$3))</f>
        <v>1</v>
      </c>
      <c r="Z62" s="91" t="n">
        <f aca="false">IF($B62="","",COUNTIF($B59:$B62,Z$21)+COUNTIF($B59:$B62,$A$3))</f>
        <v>0</v>
      </c>
      <c r="AA62" s="73" t="n">
        <f aca="false">IF($C62="","",COUNTIF($C59:$C62,Z$21)+COUNTIF($C59:$C62,$A$3))</f>
        <v>0</v>
      </c>
      <c r="AB62" s="73" t="n">
        <f aca="false">IF($D62="","",COUNTIF($D59:$D62,Z$21)+COUNTIF($D59:$D62,$A$3))</f>
        <v>0</v>
      </c>
      <c r="AC62" s="73" t="n">
        <f aca="false">IF($E62="","",COUNTIF($E59:$E62,Z$21)+COUNTIF($E59:$E62,$A$3))</f>
        <v>0</v>
      </c>
      <c r="AD62" s="92" t="n">
        <f aca="false">IF($F62="","",COUNTIF($F59:$F62,Z$21)+COUNTIF($F59:$F62,$A$3))</f>
        <v>0</v>
      </c>
      <c r="AF62" s="91" t="n">
        <f aca="false">IF($B62="","",COUNTIF($B59:$B62,AF$21)+COUNTIF($B59:$B62,$A$3))</f>
        <v>0</v>
      </c>
      <c r="AG62" s="73" t="n">
        <f aca="false">IF($C62="","",COUNTIF($C59:$C62,AF$21)+COUNTIF($C59:$C62,$A$3))</f>
        <v>0</v>
      </c>
      <c r="AH62" s="73" t="n">
        <f aca="false">IF($D62="","",COUNTIF($D59:$D62,AF$21)+COUNTIF($D59:$D62,$A$3))</f>
        <v>0</v>
      </c>
      <c r="AI62" s="73" t="n">
        <f aca="false">IF($E62="","",COUNTIF($E59:$E62,AF$21)+COUNTIF($E59:$E62,$A$3))</f>
        <v>0</v>
      </c>
      <c r="AJ62" s="92" t="n">
        <f aca="false">IF($F62="","",COUNTIF($F59:$F62,AF$21)+COUNTIF($F59:$F62,$A$3))</f>
        <v>0</v>
      </c>
      <c r="AL62" s="91" t="n">
        <f aca="false">IF($B62="","",COUNTIF($B59:$B62,AL$21)+COUNTIF($B59:$B62,$A$3))</f>
        <v>0</v>
      </c>
      <c r="AM62" s="73" t="n">
        <f aca="false">IF($C62="","",COUNTIF($C59:$C62,AL$21)+COUNTIF($C59:$C62,$A$3))</f>
        <v>1</v>
      </c>
      <c r="AN62" s="73" t="n">
        <f aca="false">IF($D62="","",COUNTIF($D59:$D62,AL$21)+COUNTIF($D59:$D62,$A$3))</f>
        <v>0</v>
      </c>
      <c r="AO62" s="73" t="n">
        <f aca="false">IF($E62="","",COUNTIF($E59:$E62,AL$21)+COUNTIF($E59:$E62,$A$3))</f>
        <v>0</v>
      </c>
      <c r="AP62" s="92" t="n">
        <f aca="false">IF($F62="","",COUNTIF($F59:$F62,AL$21)+COUNTIF($F59:$F62,$A$3))</f>
        <v>0</v>
      </c>
      <c r="AR62" s="91" t="n">
        <f aca="false">IF($B62="","",COUNTIF($B59:$B62,AR$21)+COUNTIF($B59:$B62,$A$3))</f>
        <v>1</v>
      </c>
      <c r="AS62" s="73" t="n">
        <f aca="false">IF($C62="","",COUNTIF($C59:$C62,AR$21)+COUNTIF($C59:$C62,$A$3))</f>
        <v>0</v>
      </c>
      <c r="AT62" s="73" t="n">
        <f aca="false">IF($D62="","",COUNTIF($D59:$D62,AR$21)+COUNTIF($D59:$D62,$A$3))</f>
        <v>0</v>
      </c>
      <c r="AU62" s="73" t="n">
        <f aca="false">IF($E62="","",COUNTIF($E59:$E62,AR$21)+COUNTIF($E59:$E62,$A$3))</f>
        <v>0</v>
      </c>
      <c r="AV62" s="92" t="n">
        <f aca="false">IF($F62="","",COUNTIF($F59:$F62,AR$21)+COUNTIF($F59:$F62,$A$3))</f>
        <v>2</v>
      </c>
      <c r="AX62" s="91" t="n">
        <f aca="false">IF($B62="","",COUNTIF($B59:$B62,AX$21)+COUNTIF($B59:$B62,$A$3))</f>
        <v>0</v>
      </c>
      <c r="AY62" s="73" t="n">
        <f aca="false">IF($C62="","",COUNTIF($C59:$C62,AX$21)+COUNTIF($C59:$C62,$A$3))</f>
        <v>1</v>
      </c>
      <c r="AZ62" s="73" t="n">
        <f aca="false">IF($D62="","",COUNTIF($D59:$D62,AX$21)+COUNTIF($D59:$D62,$A$3))</f>
        <v>0</v>
      </c>
      <c r="BA62" s="73" t="n">
        <f aca="false">IF($E62="","",COUNTIF($E59:$E62,AX$21)+COUNTIF($E59:$E62,$A$3))</f>
        <v>1</v>
      </c>
      <c r="BB62" s="92" t="n">
        <f aca="false">IF($F62="","",COUNTIF($F59:$F62,AX$21)+COUNTIF($F59:$F62,$A$3))</f>
        <v>0</v>
      </c>
      <c r="BD62" s="91" t="n">
        <f aca="false">IF($B62="","",COUNTIF($B59:$B62,BD$21)+COUNTIF($B59:$B62,$A$3))</f>
        <v>0</v>
      </c>
      <c r="BE62" s="73" t="n">
        <f aca="false">IF($C62="","",COUNTIF($C59:$C62,BD$21)+COUNTIF($C59:$C62,$A$3))</f>
        <v>0</v>
      </c>
      <c r="BF62" s="73" t="n">
        <f aca="false">IF($D62="","",COUNTIF($D59:$D62,BD$21)+COUNTIF($D59:$D62,$A$3))</f>
        <v>1</v>
      </c>
      <c r="BG62" s="73" t="n">
        <f aca="false">IF($E62="","",COUNTIF($E59:$E62,BD$21)+COUNTIF($E59:$E62,$A$3))</f>
        <v>0</v>
      </c>
      <c r="BH62" s="92" t="n">
        <f aca="false">IF($F62="","",COUNTIF($F59:$F62,BD$21)+COUNTIF($F59:$F62,$A$3))</f>
        <v>0</v>
      </c>
      <c r="BJ62" s="91" t="n">
        <f aca="false">IF($B62="","",COUNTIF($B59:$B62,BJ$21)+COUNTIF($B59:$B62,$A$3))</f>
        <v>0</v>
      </c>
      <c r="BK62" s="73" t="n">
        <f aca="false">IF($C62="","",COUNTIF($C59:$C62,BJ$21)+COUNTIF($C59:$C62,$A$3))</f>
        <v>0</v>
      </c>
      <c r="BL62" s="73" t="n">
        <f aca="false">IF($D62="","",COUNTIF($D59:$D62,BJ$21)+COUNTIF($D59:$D62,$A$3))</f>
        <v>1</v>
      </c>
      <c r="BM62" s="73" t="n">
        <f aca="false">IF($E62="","",COUNTIF($E59:$E62,BJ$21)+COUNTIF($E59:$E62,$A$3))</f>
        <v>0</v>
      </c>
      <c r="BN62" s="92" t="n">
        <f aca="false">IF($F62="","",COUNTIF($F59:$F62,BJ$21)+COUNTIF($F59:$F62,$A$3))</f>
        <v>1</v>
      </c>
      <c r="BP62" s="91" t="n">
        <f aca="false">IF($B62="","",COUNTIF($B59:$B62,BP$21)+COUNTIF($B59:$B62,$A$3))</f>
        <v>1</v>
      </c>
      <c r="BQ62" s="73" t="n">
        <f aca="false">IF($C62="","",COUNTIF($C59:$C62,BP$21)+COUNTIF($C59:$C62,$A$3))</f>
        <v>0</v>
      </c>
      <c r="BR62" s="73" t="n">
        <f aca="false">IF($D62="","",COUNTIF($D59:$D62,BP$21)+COUNTIF($D59:$D62,$A$3))</f>
        <v>0</v>
      </c>
      <c r="BS62" s="73" t="n">
        <f aca="false">IF($E62="","",COUNTIF($E59:$E62,BP$21)+COUNTIF($E59:$E62,$A$3))</f>
        <v>1</v>
      </c>
      <c r="BT62" s="92" t="n">
        <f aca="false">IF($F62="","",COUNTIF($F59:$F62,BP$21)+COUNTIF($F59:$F62,$A$3))</f>
        <v>0</v>
      </c>
    </row>
    <row r="63" customFormat="false" ht="15" hidden="false" customHeight="false" outlineLevel="0" collapsed="false">
      <c r="A63" s="13" t="n">
        <v>41</v>
      </c>
      <c r="B63" s="116" t="str">
        <f aca="false">IF('Game Info'!Q46="","",'Game Info'!Q46)</f>
        <v>SYM3</v>
      </c>
      <c r="C63" s="116" t="str">
        <f aca="false">IF('Game Info'!R46="","",'Game Info'!R46)</f>
        <v>Q</v>
      </c>
      <c r="D63" s="116" t="str">
        <f aca="false">IF('Game Info'!S46="","",'Game Info'!S46)</f>
        <v>WILD</v>
      </c>
      <c r="E63" s="116" t="str">
        <f aca="false">IF('Game Info'!T46="","",'Game Info'!T46)</f>
        <v>SYM4</v>
      </c>
      <c r="F63" s="117" t="str">
        <f aca="false">IF('Game Info'!U46="","",'Game Info'!U46)</f>
        <v>SYM1</v>
      </c>
      <c r="H63" s="91" t="n">
        <f aca="false">IF($B63="","",COUNTIF($B60:$B63,H$21)+COUNTIF($B60:$B63,$A$3))</f>
        <v>0</v>
      </c>
      <c r="I63" s="73" t="n">
        <f aca="false">IF($C63="","",COUNTIF($C60:$C63,H$21)+COUNTIF($C60:$C63,$A$3))</f>
        <v>0</v>
      </c>
      <c r="J63" s="73" t="n">
        <f aca="false">IF($D63="","",COUNTIF($D60:$D63,H$21)+COUNTIF($D60:$D63,$A$3))</f>
        <v>2</v>
      </c>
      <c r="K63" s="73" t="n">
        <f aca="false">IF($E63="","",COUNTIF($E60:$E63,H$21)+COUNTIF($E60:$E63,$A$3))</f>
        <v>1</v>
      </c>
      <c r="L63" s="92" t="n">
        <f aca="false">IF($F63="","",COUNTIF($F60:$F63,H$21)+COUNTIF($F60:$F63,$A$3))</f>
        <v>1</v>
      </c>
      <c r="N63" s="91" t="n">
        <f aca="false">IF($B63="","",COUNTIF($B60:$B63,N$21)+COUNTIF($B60:$B63,$A$3))</f>
        <v>0</v>
      </c>
      <c r="O63" s="73" t="n">
        <f aca="false">IF($C63="","",COUNTIF($C60:$C63,N$21)+COUNTIF($C60:$C63,$A$3))</f>
        <v>0</v>
      </c>
      <c r="P63" s="73" t="n">
        <f aca="false">IF($D63="","",COUNTIF($D60:$D63,N$21)+COUNTIF($D60:$D63,$A$3))</f>
        <v>1</v>
      </c>
      <c r="Q63" s="73" t="n">
        <f aca="false">IF($E63="","",COUNTIF($E60:$E63,N$21)+COUNTIF($E60:$E63,$A$3))</f>
        <v>0</v>
      </c>
      <c r="R63" s="92" t="n">
        <f aca="false">IF($F63="","",COUNTIF($F60:$F63,N$21)+COUNTIF($F60:$F63,$A$3))</f>
        <v>0</v>
      </c>
      <c r="T63" s="91" t="n">
        <f aca="false">IF($B63="","",COUNTIF($B60:$B63,T$21)+COUNTIF($B60:$B63,$A$3))</f>
        <v>2</v>
      </c>
      <c r="U63" s="73" t="n">
        <f aca="false">IF($C63="","",COUNTIF($C60:$C63,T$21)+COUNTIF($C60:$C63,$A$3))</f>
        <v>0</v>
      </c>
      <c r="V63" s="73" t="n">
        <f aca="false">IF($D63="","",COUNTIF($D60:$D63,T$21)+COUNTIF($D60:$D63,$A$3))</f>
        <v>1</v>
      </c>
      <c r="W63" s="73" t="n">
        <f aca="false">IF($E63="","",COUNTIF($E60:$E63,T$21)+COUNTIF($E60:$E63,$A$3))</f>
        <v>0</v>
      </c>
      <c r="X63" s="92" t="n">
        <f aca="false">IF($F63="","",COUNTIF($F60:$F63,T$21)+COUNTIF($F60:$F63,$A$3))</f>
        <v>1</v>
      </c>
      <c r="Z63" s="91" t="n">
        <f aca="false">IF($B63="","",COUNTIF($B60:$B63,Z$21)+COUNTIF($B60:$B63,$A$3))</f>
        <v>0</v>
      </c>
      <c r="AA63" s="73" t="n">
        <f aca="false">IF($C63="","",COUNTIF($C60:$C63,Z$21)+COUNTIF($C60:$C63,$A$3))</f>
        <v>0</v>
      </c>
      <c r="AB63" s="73" t="n">
        <f aca="false">IF($D63="","",COUNTIF($D60:$D63,Z$21)+COUNTIF($D60:$D63,$A$3))</f>
        <v>1</v>
      </c>
      <c r="AC63" s="73" t="n">
        <f aca="false">IF($E63="","",COUNTIF($E60:$E63,Z$21)+COUNTIF($E60:$E63,$A$3))</f>
        <v>1</v>
      </c>
      <c r="AD63" s="92" t="n">
        <f aca="false">IF($F63="","",COUNTIF($F60:$F63,Z$21)+COUNTIF($F60:$F63,$A$3))</f>
        <v>0</v>
      </c>
      <c r="AF63" s="91" t="n">
        <f aca="false">IF($B63="","",COUNTIF($B60:$B63,AF$21)+COUNTIF($B60:$B63,$A$3))</f>
        <v>0</v>
      </c>
      <c r="AG63" s="73" t="n">
        <f aca="false">IF($C63="","",COUNTIF($C60:$C63,AF$21)+COUNTIF($C60:$C63,$A$3))</f>
        <v>0</v>
      </c>
      <c r="AH63" s="73" t="n">
        <f aca="false">IF($D63="","",COUNTIF($D60:$D63,AF$21)+COUNTIF($D60:$D63,$A$3))</f>
        <v>1</v>
      </c>
      <c r="AI63" s="73" t="n">
        <f aca="false">IF($E63="","",COUNTIF($E60:$E63,AF$21)+COUNTIF($E60:$E63,$A$3))</f>
        <v>0</v>
      </c>
      <c r="AJ63" s="92" t="n">
        <f aca="false">IF($F63="","",COUNTIF($F60:$F63,AF$21)+COUNTIF($F60:$F63,$A$3))</f>
        <v>0</v>
      </c>
      <c r="AL63" s="91" t="n">
        <f aca="false">IF($B63="","",COUNTIF($B60:$B63,AL$21)+COUNTIF($B60:$B63,$A$3))</f>
        <v>0</v>
      </c>
      <c r="AM63" s="73" t="n">
        <f aca="false">IF($C63="","",COUNTIF($C60:$C63,AL$21)+COUNTIF($C60:$C63,$A$3))</f>
        <v>1</v>
      </c>
      <c r="AN63" s="73" t="n">
        <f aca="false">IF($D63="","",COUNTIF($D60:$D63,AL$21)+COUNTIF($D60:$D63,$A$3))</f>
        <v>1</v>
      </c>
      <c r="AO63" s="73" t="n">
        <f aca="false">IF($E63="","",COUNTIF($E60:$E63,AL$21)+COUNTIF($E60:$E63,$A$3))</f>
        <v>0</v>
      </c>
      <c r="AP63" s="92" t="n">
        <f aca="false">IF($F63="","",COUNTIF($F60:$F63,AL$21)+COUNTIF($F60:$F63,$A$3))</f>
        <v>0</v>
      </c>
      <c r="AR63" s="91" t="n">
        <f aca="false">IF($B63="","",COUNTIF($B60:$B63,AR$21)+COUNTIF($B60:$B63,$A$3))</f>
        <v>1</v>
      </c>
      <c r="AS63" s="73" t="n">
        <f aca="false">IF($C63="","",COUNTIF($C60:$C63,AR$21)+COUNTIF($C60:$C63,$A$3))</f>
        <v>0</v>
      </c>
      <c r="AT63" s="73" t="n">
        <f aca="false">IF($D63="","",COUNTIF($D60:$D63,AR$21)+COUNTIF($D60:$D63,$A$3))</f>
        <v>1</v>
      </c>
      <c r="AU63" s="73" t="n">
        <f aca="false">IF($E63="","",COUNTIF($E60:$E63,AR$21)+COUNTIF($E60:$E63,$A$3))</f>
        <v>0</v>
      </c>
      <c r="AV63" s="92" t="n">
        <f aca="false">IF($F63="","",COUNTIF($F60:$F63,AR$21)+COUNTIF($F60:$F63,$A$3))</f>
        <v>1</v>
      </c>
      <c r="AX63" s="91" t="n">
        <f aca="false">IF($B63="","",COUNTIF($B60:$B63,AX$21)+COUNTIF($B60:$B63,$A$3))</f>
        <v>0</v>
      </c>
      <c r="AY63" s="73" t="n">
        <f aca="false">IF($C63="","",COUNTIF($C60:$C63,AX$21)+COUNTIF($C60:$C63,$A$3))</f>
        <v>2</v>
      </c>
      <c r="AZ63" s="73" t="n">
        <f aca="false">IF($D63="","",COUNTIF($D60:$D63,AX$21)+COUNTIF($D60:$D63,$A$3))</f>
        <v>1</v>
      </c>
      <c r="BA63" s="73" t="n">
        <f aca="false">IF($E63="","",COUNTIF($E60:$E63,AX$21)+COUNTIF($E60:$E63,$A$3))</f>
        <v>1</v>
      </c>
      <c r="BB63" s="92" t="n">
        <f aca="false">IF($F63="","",COUNTIF($F60:$F63,AX$21)+COUNTIF($F60:$F63,$A$3))</f>
        <v>0</v>
      </c>
      <c r="BD63" s="91" t="n">
        <f aca="false">IF($B63="","",COUNTIF($B60:$B63,BD$21)+COUNTIF($B60:$B63,$A$3))</f>
        <v>0</v>
      </c>
      <c r="BE63" s="73" t="n">
        <f aca="false">IF($C63="","",COUNTIF($C60:$C63,BD$21)+COUNTIF($C60:$C63,$A$3))</f>
        <v>0</v>
      </c>
      <c r="BF63" s="73" t="n">
        <f aca="false">IF($D63="","",COUNTIF($D60:$D63,BD$21)+COUNTIF($D60:$D63,$A$3))</f>
        <v>2</v>
      </c>
      <c r="BG63" s="73" t="n">
        <f aca="false">IF($E63="","",COUNTIF($E60:$E63,BD$21)+COUNTIF($E60:$E63,$A$3))</f>
        <v>0</v>
      </c>
      <c r="BH63" s="92" t="n">
        <f aca="false">IF($F63="","",COUNTIF($F60:$F63,BD$21)+COUNTIF($F60:$F63,$A$3))</f>
        <v>0</v>
      </c>
      <c r="BJ63" s="91" t="n">
        <f aca="false">IF($B63="","",COUNTIF($B60:$B63,BJ$21)+COUNTIF($B60:$B63,$A$3))</f>
        <v>0</v>
      </c>
      <c r="BK63" s="73" t="n">
        <f aca="false">IF($C63="","",COUNTIF($C60:$C63,BJ$21)+COUNTIF($C60:$C63,$A$3))</f>
        <v>0</v>
      </c>
      <c r="BL63" s="73" t="n">
        <f aca="false">IF($D63="","",COUNTIF($D60:$D63,BJ$21)+COUNTIF($D60:$D63,$A$3))</f>
        <v>2</v>
      </c>
      <c r="BM63" s="73" t="n">
        <f aca="false">IF($E63="","",COUNTIF($E60:$E63,BJ$21)+COUNTIF($E60:$E63,$A$3))</f>
        <v>0</v>
      </c>
      <c r="BN63" s="92" t="n">
        <f aca="false">IF($F63="","",COUNTIF($F60:$F63,BJ$21)+COUNTIF($F60:$F63,$A$3))</f>
        <v>1</v>
      </c>
      <c r="BP63" s="91" t="n">
        <f aca="false">IF($B63="","",COUNTIF($B60:$B63,BP$21)+COUNTIF($B60:$B63,$A$3))</f>
        <v>1</v>
      </c>
      <c r="BQ63" s="73" t="n">
        <f aca="false">IF($C63="","",COUNTIF($C60:$C63,BP$21)+COUNTIF($C60:$C63,$A$3))</f>
        <v>0</v>
      </c>
      <c r="BR63" s="73" t="n">
        <f aca="false">IF($D63="","",COUNTIF($D60:$D63,BP$21)+COUNTIF($D60:$D63,$A$3))</f>
        <v>1</v>
      </c>
      <c r="BS63" s="73" t="n">
        <f aca="false">IF($E63="","",COUNTIF($E60:$E63,BP$21)+COUNTIF($E60:$E63,$A$3))</f>
        <v>1</v>
      </c>
      <c r="BT63" s="92" t="n">
        <f aca="false">IF($F63="","",COUNTIF($F60:$F63,BP$21)+COUNTIF($F60:$F63,$A$3))</f>
        <v>0</v>
      </c>
    </row>
    <row r="64" customFormat="false" ht="15" hidden="false" customHeight="false" outlineLevel="0" collapsed="false">
      <c r="A64" s="13" t="n">
        <v>42</v>
      </c>
      <c r="B64" s="116" t="n">
        <f aca="false">IF('Game Info'!Q47="","",'Game Info'!Q47)</f>
        <v>10</v>
      </c>
      <c r="C64" s="116" t="str">
        <f aca="false">IF('Game Info'!R47="","",'Game Info'!R47)</f>
        <v>SYM4</v>
      </c>
      <c r="D64" s="116" t="n">
        <f aca="false">IF('Game Info'!S47="","",'Game Info'!S47)</f>
        <v>10</v>
      </c>
      <c r="E64" s="116" t="str">
        <f aca="false">IF('Game Info'!T47="","",'Game Info'!T47)</f>
        <v>J</v>
      </c>
      <c r="F64" s="117" t="n">
        <f aca="false">IF('Game Info'!U47="","",'Game Info'!U47)</f>
        <v>10</v>
      </c>
      <c r="H64" s="91" t="n">
        <f aca="false">IF($B64="","",COUNTIF($B61:$B64,H$21)+COUNTIF($B61:$B64,$A$3))</f>
        <v>0</v>
      </c>
      <c r="I64" s="73" t="n">
        <f aca="false">IF($C64="","",COUNTIF($C61:$C64,H$21)+COUNTIF($C61:$C64,$A$3))</f>
        <v>0</v>
      </c>
      <c r="J64" s="73" t="n">
        <f aca="false">IF($D64="","",COUNTIF($D61:$D64,H$21)+COUNTIF($D61:$D64,$A$3))</f>
        <v>2</v>
      </c>
      <c r="K64" s="73" t="n">
        <f aca="false">IF($E64="","",COUNTIF($E61:$E64,H$21)+COUNTIF($E61:$E64,$A$3))</f>
        <v>1</v>
      </c>
      <c r="L64" s="92" t="n">
        <f aca="false">IF($F64="","",COUNTIF($F61:$F64,H$21)+COUNTIF($F61:$F64,$A$3))</f>
        <v>1</v>
      </c>
      <c r="N64" s="91" t="n">
        <f aca="false">IF($B64="","",COUNTIF($B61:$B64,N$21)+COUNTIF($B61:$B64,$A$3))</f>
        <v>0</v>
      </c>
      <c r="O64" s="73" t="n">
        <f aca="false">IF($C64="","",COUNTIF($C61:$C64,N$21)+COUNTIF($C61:$C64,$A$3))</f>
        <v>0</v>
      </c>
      <c r="P64" s="73" t="n">
        <f aca="false">IF($D64="","",COUNTIF($D61:$D64,N$21)+COUNTIF($D61:$D64,$A$3))</f>
        <v>1</v>
      </c>
      <c r="Q64" s="73" t="n">
        <f aca="false">IF($E64="","",COUNTIF($E61:$E64,N$21)+COUNTIF($E61:$E64,$A$3))</f>
        <v>0</v>
      </c>
      <c r="R64" s="92" t="n">
        <f aca="false">IF($F64="","",COUNTIF($F61:$F64,N$21)+COUNTIF($F61:$F64,$A$3))</f>
        <v>0</v>
      </c>
      <c r="T64" s="91" t="n">
        <f aca="false">IF($B64="","",COUNTIF($B61:$B64,T$21)+COUNTIF($B61:$B64,$A$3))</f>
        <v>2</v>
      </c>
      <c r="U64" s="73" t="n">
        <f aca="false">IF($C64="","",COUNTIF($C61:$C64,T$21)+COUNTIF($C61:$C64,$A$3))</f>
        <v>0</v>
      </c>
      <c r="V64" s="73" t="n">
        <f aca="false">IF($D64="","",COUNTIF($D61:$D64,T$21)+COUNTIF($D61:$D64,$A$3))</f>
        <v>1</v>
      </c>
      <c r="W64" s="73" t="n">
        <f aca="false">IF($E64="","",COUNTIF($E61:$E64,T$21)+COUNTIF($E61:$E64,$A$3))</f>
        <v>0</v>
      </c>
      <c r="X64" s="92" t="n">
        <f aca="false">IF($F64="","",COUNTIF($F61:$F64,T$21)+COUNTIF($F61:$F64,$A$3))</f>
        <v>0</v>
      </c>
      <c r="Z64" s="91" t="n">
        <f aca="false">IF($B64="","",COUNTIF($B61:$B64,Z$21)+COUNTIF($B61:$B64,$A$3))</f>
        <v>0</v>
      </c>
      <c r="AA64" s="73" t="n">
        <f aca="false">IF($C64="","",COUNTIF($C61:$C64,Z$21)+COUNTIF($C61:$C64,$A$3))</f>
        <v>1</v>
      </c>
      <c r="AB64" s="73" t="n">
        <f aca="false">IF($D64="","",COUNTIF($D61:$D64,Z$21)+COUNTIF($D61:$D64,$A$3))</f>
        <v>1</v>
      </c>
      <c r="AC64" s="73" t="n">
        <f aca="false">IF($E64="","",COUNTIF($E61:$E64,Z$21)+COUNTIF($E61:$E64,$A$3))</f>
        <v>1</v>
      </c>
      <c r="AD64" s="92" t="n">
        <f aca="false">IF($F64="","",COUNTIF($F61:$F64,Z$21)+COUNTIF($F61:$F64,$A$3))</f>
        <v>0</v>
      </c>
      <c r="AF64" s="91" t="n">
        <f aca="false">IF($B64="","",COUNTIF($B61:$B64,AF$21)+COUNTIF($B61:$B64,$A$3))</f>
        <v>0</v>
      </c>
      <c r="AG64" s="73" t="n">
        <f aca="false">IF($C64="","",COUNTIF($C61:$C64,AF$21)+COUNTIF($C61:$C64,$A$3))</f>
        <v>0</v>
      </c>
      <c r="AH64" s="73" t="n">
        <f aca="false">IF($D64="","",COUNTIF($D61:$D64,AF$21)+COUNTIF($D61:$D64,$A$3))</f>
        <v>1</v>
      </c>
      <c r="AI64" s="73" t="n">
        <f aca="false">IF($E64="","",COUNTIF($E61:$E64,AF$21)+COUNTIF($E61:$E64,$A$3))</f>
        <v>0</v>
      </c>
      <c r="AJ64" s="92" t="n">
        <f aca="false">IF($F64="","",COUNTIF($F61:$F64,AF$21)+COUNTIF($F61:$F64,$A$3))</f>
        <v>0</v>
      </c>
      <c r="AL64" s="91" t="n">
        <f aca="false">IF($B64="","",COUNTIF($B61:$B64,AL$21)+COUNTIF($B61:$B64,$A$3))</f>
        <v>0</v>
      </c>
      <c r="AM64" s="73" t="n">
        <f aca="false">IF($C64="","",COUNTIF($C61:$C64,AL$21)+COUNTIF($C61:$C64,$A$3))</f>
        <v>1</v>
      </c>
      <c r="AN64" s="73" t="n">
        <f aca="false">IF($D64="","",COUNTIF($D61:$D64,AL$21)+COUNTIF($D61:$D64,$A$3))</f>
        <v>1</v>
      </c>
      <c r="AO64" s="73" t="n">
        <f aca="false">IF($E64="","",COUNTIF($E61:$E64,AL$21)+COUNTIF($E61:$E64,$A$3))</f>
        <v>0</v>
      </c>
      <c r="AP64" s="92" t="n">
        <f aca="false">IF($F64="","",COUNTIF($F61:$F64,AL$21)+COUNTIF($F61:$F64,$A$3))</f>
        <v>0</v>
      </c>
      <c r="AR64" s="91" t="n">
        <f aca="false">IF($B64="","",COUNTIF($B61:$B64,AR$21)+COUNTIF($B61:$B64,$A$3))</f>
        <v>1</v>
      </c>
      <c r="AS64" s="73" t="n">
        <f aca="false">IF($C64="","",COUNTIF($C61:$C64,AR$21)+COUNTIF($C61:$C64,$A$3))</f>
        <v>0</v>
      </c>
      <c r="AT64" s="73" t="n">
        <f aca="false">IF($D64="","",COUNTIF($D61:$D64,AR$21)+COUNTIF($D61:$D64,$A$3))</f>
        <v>1</v>
      </c>
      <c r="AU64" s="73" t="n">
        <f aca="false">IF($E64="","",COUNTIF($E61:$E64,AR$21)+COUNTIF($E61:$E64,$A$3))</f>
        <v>0</v>
      </c>
      <c r="AV64" s="92" t="n">
        <f aca="false">IF($F64="","",COUNTIF($F61:$F64,AR$21)+COUNTIF($F61:$F64,$A$3))</f>
        <v>1</v>
      </c>
      <c r="AX64" s="91" t="n">
        <f aca="false">IF($B64="","",COUNTIF($B61:$B64,AX$21)+COUNTIF($B61:$B64,$A$3))</f>
        <v>0</v>
      </c>
      <c r="AY64" s="73" t="n">
        <f aca="false">IF($C64="","",COUNTIF($C61:$C64,AX$21)+COUNTIF($C61:$C64,$A$3))</f>
        <v>1</v>
      </c>
      <c r="AZ64" s="73" t="n">
        <f aca="false">IF($D64="","",COUNTIF($D61:$D64,AX$21)+COUNTIF($D61:$D64,$A$3))</f>
        <v>1</v>
      </c>
      <c r="BA64" s="73" t="n">
        <f aca="false">IF($E64="","",COUNTIF($E61:$E64,AX$21)+COUNTIF($E61:$E64,$A$3))</f>
        <v>1</v>
      </c>
      <c r="BB64" s="92" t="n">
        <f aca="false">IF($F64="","",COUNTIF($F61:$F64,AX$21)+COUNTIF($F61:$F64,$A$3))</f>
        <v>0</v>
      </c>
      <c r="BD64" s="91" t="n">
        <f aca="false">IF($B64="","",COUNTIF($B61:$B64,BD$21)+COUNTIF($B61:$B64,$A$3))</f>
        <v>0</v>
      </c>
      <c r="BE64" s="73" t="n">
        <f aca="false">IF($C64="","",COUNTIF($C61:$C64,BD$21)+COUNTIF($C61:$C64,$A$3))</f>
        <v>0</v>
      </c>
      <c r="BF64" s="73" t="n">
        <f aca="false">IF($D64="","",COUNTIF($D61:$D64,BD$21)+COUNTIF($D61:$D64,$A$3))</f>
        <v>2</v>
      </c>
      <c r="BG64" s="73" t="n">
        <f aca="false">IF($E64="","",COUNTIF($E61:$E64,BD$21)+COUNTIF($E61:$E64,$A$3))</f>
        <v>1</v>
      </c>
      <c r="BH64" s="92" t="n">
        <f aca="false">IF($F64="","",COUNTIF($F61:$F64,BD$21)+COUNTIF($F61:$F64,$A$3))</f>
        <v>0</v>
      </c>
      <c r="BJ64" s="91" t="n">
        <f aca="false">IF($B64="","",COUNTIF($B61:$B64,BJ$21)+COUNTIF($B61:$B64,$A$3))</f>
        <v>1</v>
      </c>
      <c r="BK64" s="73" t="n">
        <f aca="false">IF($C64="","",COUNTIF($C61:$C64,BJ$21)+COUNTIF($C61:$C64,$A$3))</f>
        <v>0</v>
      </c>
      <c r="BL64" s="73" t="n">
        <f aca="false">IF($D64="","",COUNTIF($D61:$D64,BJ$21)+COUNTIF($D61:$D64,$A$3))</f>
        <v>2</v>
      </c>
      <c r="BM64" s="73" t="n">
        <f aca="false">IF($E64="","",COUNTIF($E61:$E64,BJ$21)+COUNTIF($E61:$E64,$A$3))</f>
        <v>0</v>
      </c>
      <c r="BN64" s="92" t="n">
        <f aca="false">IF($F64="","",COUNTIF($F61:$F64,BJ$21)+COUNTIF($F61:$F64,$A$3))</f>
        <v>2</v>
      </c>
      <c r="BP64" s="91" t="n">
        <f aca="false">IF($B64="","",COUNTIF($B61:$B64,BP$21)+COUNTIF($B61:$B64,$A$3))</f>
        <v>0</v>
      </c>
      <c r="BQ64" s="73" t="n">
        <f aca="false">IF($C64="","",COUNTIF($C61:$C64,BP$21)+COUNTIF($C61:$C64,$A$3))</f>
        <v>0</v>
      </c>
      <c r="BR64" s="73" t="n">
        <f aca="false">IF($D64="","",COUNTIF($D61:$D64,BP$21)+COUNTIF($D61:$D64,$A$3))</f>
        <v>1</v>
      </c>
      <c r="BS64" s="73" t="n">
        <f aca="false">IF($E64="","",COUNTIF($E61:$E64,BP$21)+COUNTIF($E61:$E64,$A$3))</f>
        <v>0</v>
      </c>
      <c r="BT64" s="92" t="n">
        <f aca="false">IF($F64="","",COUNTIF($F61:$F64,BP$21)+COUNTIF($F61:$F64,$A$3))</f>
        <v>0</v>
      </c>
    </row>
    <row r="65" customFormat="false" ht="15" hidden="false" customHeight="false" outlineLevel="0" collapsed="false">
      <c r="A65" s="13" t="n">
        <v>43</v>
      </c>
      <c r="B65" s="116" t="str">
        <f aca="false">IF('Game Info'!Q48="","",'Game Info'!Q48)</f>
        <v>FG</v>
      </c>
      <c r="C65" s="116" t="str">
        <f aca="false">IF('Game Info'!R48="","",'Game Info'!R48)</f>
        <v>J</v>
      </c>
      <c r="D65" s="116" t="str">
        <f aca="false">IF('Game Info'!S48="","",'Game Info'!S48)</f>
        <v>SYM4</v>
      </c>
      <c r="E65" s="116" t="str">
        <f aca="false">IF('Game Info'!T48="","",'Game Info'!T48)</f>
        <v>SYM3</v>
      </c>
      <c r="F65" s="117" t="str">
        <f aca="false">IF('Game Info'!U48="","",'Game Info'!U48)</f>
        <v>SYM3</v>
      </c>
      <c r="H65" s="91" t="n">
        <f aca="false">IF($B65="","",COUNTIF($B62:$B65,H$21)+COUNTIF($B62:$B65,$A$3))</f>
        <v>0</v>
      </c>
      <c r="I65" s="73" t="n">
        <f aca="false">IF($C65="","",COUNTIF($C62:$C65,H$21)+COUNTIF($C62:$C65,$A$3))</f>
        <v>0</v>
      </c>
      <c r="J65" s="73" t="n">
        <f aca="false">IF($D65="","",COUNTIF($D62:$D65,H$21)+COUNTIF($D62:$D65,$A$3))</f>
        <v>1</v>
      </c>
      <c r="K65" s="73" t="n">
        <f aca="false">IF($E65="","",COUNTIF($E62:$E65,H$21)+COUNTIF($E62:$E65,$A$3))</f>
        <v>0</v>
      </c>
      <c r="L65" s="92" t="n">
        <f aca="false">IF($F65="","",COUNTIF($F62:$F65,H$21)+COUNTIF($F62:$F65,$A$3))</f>
        <v>1</v>
      </c>
      <c r="N65" s="91" t="n">
        <f aca="false">IF($B65="","",COUNTIF($B62:$B65,N$21)+COUNTIF($B62:$B65,$A$3))</f>
        <v>0</v>
      </c>
      <c r="O65" s="73" t="n">
        <f aca="false">IF($C65="","",COUNTIF($C62:$C65,N$21)+COUNTIF($C62:$C65,$A$3))</f>
        <v>0</v>
      </c>
      <c r="P65" s="73" t="n">
        <f aca="false">IF($D65="","",COUNTIF($D62:$D65,N$21)+COUNTIF($D62:$D65,$A$3))</f>
        <v>1</v>
      </c>
      <c r="Q65" s="73" t="n">
        <f aca="false">IF($E65="","",COUNTIF($E62:$E65,N$21)+COUNTIF($E62:$E65,$A$3))</f>
        <v>0</v>
      </c>
      <c r="R65" s="92" t="n">
        <f aca="false">IF($F65="","",COUNTIF($F62:$F65,N$21)+COUNTIF($F62:$F65,$A$3))</f>
        <v>0</v>
      </c>
      <c r="T65" s="91" t="n">
        <f aca="false">IF($B65="","",COUNTIF($B62:$B65,T$21)+COUNTIF($B62:$B65,$A$3))</f>
        <v>2</v>
      </c>
      <c r="U65" s="73" t="n">
        <f aca="false">IF($C65="","",COUNTIF($C62:$C65,T$21)+COUNTIF($C62:$C65,$A$3))</f>
        <v>0</v>
      </c>
      <c r="V65" s="73" t="n">
        <f aca="false">IF($D65="","",COUNTIF($D62:$D65,T$21)+COUNTIF($D62:$D65,$A$3))</f>
        <v>1</v>
      </c>
      <c r="W65" s="73" t="n">
        <f aca="false">IF($E65="","",COUNTIF($E62:$E65,T$21)+COUNTIF($E62:$E65,$A$3))</f>
        <v>1</v>
      </c>
      <c r="X65" s="92" t="n">
        <f aca="false">IF($F65="","",COUNTIF($F62:$F65,T$21)+COUNTIF($F62:$F65,$A$3))</f>
        <v>1</v>
      </c>
      <c r="Z65" s="91" t="n">
        <f aca="false">IF($B65="","",COUNTIF($B62:$B65,Z$21)+COUNTIF($B62:$B65,$A$3))</f>
        <v>0</v>
      </c>
      <c r="AA65" s="73" t="n">
        <f aca="false">IF($C65="","",COUNTIF($C62:$C65,Z$21)+COUNTIF($C62:$C65,$A$3))</f>
        <v>1</v>
      </c>
      <c r="AB65" s="73" t="n">
        <f aca="false">IF($D65="","",COUNTIF($D62:$D65,Z$21)+COUNTIF($D62:$D65,$A$3))</f>
        <v>2</v>
      </c>
      <c r="AC65" s="73" t="n">
        <f aca="false">IF($E65="","",COUNTIF($E62:$E65,Z$21)+COUNTIF($E62:$E65,$A$3))</f>
        <v>1</v>
      </c>
      <c r="AD65" s="92" t="n">
        <f aca="false">IF($F65="","",COUNTIF($F62:$F65,Z$21)+COUNTIF($F62:$F65,$A$3))</f>
        <v>0</v>
      </c>
      <c r="AF65" s="91" t="n">
        <f aca="false">IF($B65="","",COUNTIF($B62:$B65,AF$21)+COUNTIF($B62:$B65,$A$3))</f>
        <v>0</v>
      </c>
      <c r="AG65" s="73" t="n">
        <f aca="false">IF($C65="","",COUNTIF($C62:$C65,AF$21)+COUNTIF($C62:$C65,$A$3))</f>
        <v>0</v>
      </c>
      <c r="AH65" s="73" t="n">
        <f aca="false">IF($D65="","",COUNTIF($D62:$D65,AF$21)+COUNTIF($D62:$D65,$A$3))</f>
        <v>1</v>
      </c>
      <c r="AI65" s="73" t="n">
        <f aca="false">IF($E65="","",COUNTIF($E62:$E65,AF$21)+COUNTIF($E62:$E65,$A$3))</f>
        <v>0</v>
      </c>
      <c r="AJ65" s="92" t="n">
        <f aca="false">IF($F65="","",COUNTIF($F62:$F65,AF$21)+COUNTIF($F62:$F65,$A$3))</f>
        <v>0</v>
      </c>
      <c r="AL65" s="91" t="n">
        <f aca="false">IF($B65="","",COUNTIF($B62:$B65,AL$21)+COUNTIF($B62:$B65,$A$3))</f>
        <v>0</v>
      </c>
      <c r="AM65" s="73" t="n">
        <f aca="false">IF($C65="","",COUNTIF($C62:$C65,AL$21)+COUNTIF($C62:$C65,$A$3))</f>
        <v>1</v>
      </c>
      <c r="AN65" s="73" t="n">
        <f aca="false">IF($D65="","",COUNTIF($D62:$D65,AL$21)+COUNTIF($D62:$D65,$A$3))</f>
        <v>1</v>
      </c>
      <c r="AO65" s="73" t="n">
        <f aca="false">IF($E65="","",COUNTIF($E62:$E65,AL$21)+COUNTIF($E62:$E65,$A$3))</f>
        <v>0</v>
      </c>
      <c r="AP65" s="92" t="n">
        <f aca="false">IF($F65="","",COUNTIF($F62:$F65,AL$21)+COUNTIF($F62:$F65,$A$3))</f>
        <v>0</v>
      </c>
      <c r="AR65" s="91" t="n">
        <f aca="false">IF($B65="","",COUNTIF($B62:$B65,AR$21)+COUNTIF($B62:$B65,$A$3))</f>
        <v>0</v>
      </c>
      <c r="AS65" s="73" t="n">
        <f aca="false">IF($C65="","",COUNTIF($C62:$C65,AR$21)+COUNTIF($C62:$C65,$A$3))</f>
        <v>0</v>
      </c>
      <c r="AT65" s="73" t="n">
        <f aca="false">IF($D65="","",COUNTIF($D62:$D65,AR$21)+COUNTIF($D62:$D65,$A$3))</f>
        <v>1</v>
      </c>
      <c r="AU65" s="73" t="n">
        <f aca="false">IF($E65="","",COUNTIF($E62:$E65,AR$21)+COUNTIF($E62:$E65,$A$3))</f>
        <v>0</v>
      </c>
      <c r="AV65" s="92" t="n">
        <f aca="false">IF($F65="","",COUNTIF($F62:$F65,AR$21)+COUNTIF($F62:$F65,$A$3))</f>
        <v>1</v>
      </c>
      <c r="AX65" s="91" t="n">
        <f aca="false">IF($B65="","",COUNTIF($B62:$B65,AX$21)+COUNTIF($B62:$B65,$A$3))</f>
        <v>0</v>
      </c>
      <c r="AY65" s="73" t="n">
        <f aca="false">IF($C65="","",COUNTIF($C62:$C65,AX$21)+COUNTIF($C62:$C65,$A$3))</f>
        <v>1</v>
      </c>
      <c r="AZ65" s="73" t="n">
        <f aca="false">IF($D65="","",COUNTIF($D62:$D65,AX$21)+COUNTIF($D62:$D65,$A$3))</f>
        <v>1</v>
      </c>
      <c r="BA65" s="73" t="n">
        <f aca="false">IF($E65="","",COUNTIF($E62:$E65,AX$21)+COUNTIF($E62:$E65,$A$3))</f>
        <v>1</v>
      </c>
      <c r="BB65" s="92" t="n">
        <f aca="false">IF($F65="","",COUNTIF($F62:$F65,AX$21)+COUNTIF($F62:$F65,$A$3))</f>
        <v>0</v>
      </c>
      <c r="BD65" s="91" t="n">
        <f aca="false">IF($B65="","",COUNTIF($B62:$B65,BD$21)+COUNTIF($B62:$B65,$A$3))</f>
        <v>0</v>
      </c>
      <c r="BE65" s="73" t="n">
        <f aca="false">IF($C65="","",COUNTIF($C62:$C65,BD$21)+COUNTIF($C62:$C65,$A$3))</f>
        <v>1</v>
      </c>
      <c r="BF65" s="73" t="n">
        <f aca="false">IF($D65="","",COUNTIF($D62:$D65,BD$21)+COUNTIF($D62:$D65,$A$3))</f>
        <v>2</v>
      </c>
      <c r="BG65" s="73" t="n">
        <f aca="false">IF($E65="","",COUNTIF($E62:$E65,BD$21)+COUNTIF($E62:$E65,$A$3))</f>
        <v>1</v>
      </c>
      <c r="BH65" s="92" t="n">
        <f aca="false">IF($F65="","",COUNTIF($F62:$F65,BD$21)+COUNTIF($F62:$F65,$A$3))</f>
        <v>0</v>
      </c>
      <c r="BJ65" s="91" t="n">
        <f aca="false">IF($B65="","",COUNTIF($B62:$B65,BJ$21)+COUNTIF($B62:$B65,$A$3))</f>
        <v>1</v>
      </c>
      <c r="BK65" s="73" t="n">
        <f aca="false">IF($C65="","",COUNTIF($C62:$C65,BJ$21)+COUNTIF($C62:$C65,$A$3))</f>
        <v>0</v>
      </c>
      <c r="BL65" s="73" t="n">
        <f aca="false">IF($D65="","",COUNTIF($D62:$D65,BJ$21)+COUNTIF($D62:$D65,$A$3))</f>
        <v>2</v>
      </c>
      <c r="BM65" s="73" t="n">
        <f aca="false">IF($E65="","",COUNTIF($E62:$E65,BJ$21)+COUNTIF($E62:$E65,$A$3))</f>
        <v>0</v>
      </c>
      <c r="BN65" s="92" t="n">
        <f aca="false">IF($F65="","",COUNTIF($F62:$F65,BJ$21)+COUNTIF($F62:$F65,$A$3))</f>
        <v>1</v>
      </c>
      <c r="BP65" s="91" t="n">
        <f aca="false">IF($B65="","",COUNTIF($B62:$B65,BP$21)+COUNTIF($B62:$B65,$A$3))</f>
        <v>0</v>
      </c>
      <c r="BQ65" s="73" t="n">
        <f aca="false">IF($C65="","",COUNTIF($C62:$C65,BP$21)+COUNTIF($C62:$C65,$A$3))</f>
        <v>0</v>
      </c>
      <c r="BR65" s="73" t="n">
        <f aca="false">IF($D65="","",COUNTIF($D62:$D65,BP$21)+COUNTIF($D62:$D65,$A$3))</f>
        <v>1</v>
      </c>
      <c r="BS65" s="73" t="n">
        <f aca="false">IF($E65="","",COUNTIF($E62:$E65,BP$21)+COUNTIF($E62:$E65,$A$3))</f>
        <v>0</v>
      </c>
      <c r="BT65" s="92" t="n">
        <f aca="false">IF($F65="","",COUNTIF($F62:$F65,BP$21)+COUNTIF($F62:$F65,$A$3))</f>
        <v>0</v>
      </c>
    </row>
    <row r="66" customFormat="false" ht="15" hidden="false" customHeight="false" outlineLevel="0" collapsed="false">
      <c r="A66" s="13" t="n">
        <v>44</v>
      </c>
      <c r="B66" s="116" t="str">
        <f aca="false">IF('Game Info'!Q49="","",'Game Info'!Q49)</f>
        <v>A</v>
      </c>
      <c r="C66" s="116" t="str">
        <f aca="false">IF('Game Info'!R49="","",'Game Info'!R49)</f>
        <v>SYM3</v>
      </c>
      <c r="D66" s="116" t="str">
        <f aca="false">IF('Game Info'!S49="","",'Game Info'!S49)</f>
        <v>SYM4</v>
      </c>
      <c r="E66" s="116" t="str">
        <f aca="false">IF('Game Info'!T49="","",'Game Info'!T49)</f>
        <v>SYM3</v>
      </c>
      <c r="F66" s="117" t="str">
        <f aca="false">IF('Game Info'!U49="","",'Game Info'!U49)</f>
        <v>Q</v>
      </c>
      <c r="H66" s="91" t="n">
        <f aca="false">IF($B66="","",COUNTIF($B63:$B66,H$21)+COUNTIF($B63:$B66,$A$3))</f>
        <v>0</v>
      </c>
      <c r="I66" s="73" t="n">
        <f aca="false">IF($C66="","",COUNTIF($C63:$C66,H$21)+COUNTIF($C63:$C66,$A$3))</f>
        <v>0</v>
      </c>
      <c r="J66" s="73" t="n">
        <f aca="false">IF($D66="","",COUNTIF($D63:$D66,H$21)+COUNTIF($D63:$D66,$A$3))</f>
        <v>1</v>
      </c>
      <c r="K66" s="73" t="n">
        <f aca="false">IF($E66="","",COUNTIF($E63:$E66,H$21)+COUNTIF($E63:$E66,$A$3))</f>
        <v>0</v>
      </c>
      <c r="L66" s="92" t="n">
        <f aca="false">IF($F66="","",COUNTIF($F63:$F66,H$21)+COUNTIF($F63:$F66,$A$3))</f>
        <v>1</v>
      </c>
      <c r="N66" s="91" t="n">
        <f aca="false">IF($B66="","",COUNTIF($B63:$B66,N$21)+COUNTIF($B63:$B66,$A$3))</f>
        <v>0</v>
      </c>
      <c r="O66" s="73" t="n">
        <f aca="false">IF($C66="","",COUNTIF($C63:$C66,N$21)+COUNTIF($C63:$C66,$A$3))</f>
        <v>0</v>
      </c>
      <c r="P66" s="73" t="n">
        <f aca="false">IF($D66="","",COUNTIF($D63:$D66,N$21)+COUNTIF($D63:$D66,$A$3))</f>
        <v>1</v>
      </c>
      <c r="Q66" s="73" t="n">
        <f aca="false">IF($E66="","",COUNTIF($E63:$E66,N$21)+COUNTIF($E63:$E66,$A$3))</f>
        <v>0</v>
      </c>
      <c r="R66" s="92" t="n">
        <f aca="false">IF($F66="","",COUNTIF($F63:$F66,N$21)+COUNTIF($F63:$F66,$A$3))</f>
        <v>0</v>
      </c>
      <c r="T66" s="91" t="n">
        <f aca="false">IF($B66="","",COUNTIF($B63:$B66,T$21)+COUNTIF($B63:$B66,$A$3))</f>
        <v>1</v>
      </c>
      <c r="U66" s="73" t="n">
        <f aca="false">IF($C66="","",COUNTIF($C63:$C66,T$21)+COUNTIF($C63:$C66,$A$3))</f>
        <v>1</v>
      </c>
      <c r="V66" s="73" t="n">
        <f aca="false">IF($D66="","",COUNTIF($D63:$D66,T$21)+COUNTIF($D63:$D66,$A$3))</f>
        <v>1</v>
      </c>
      <c r="W66" s="73" t="n">
        <f aca="false">IF($E66="","",COUNTIF($E63:$E66,T$21)+COUNTIF($E63:$E66,$A$3))</f>
        <v>2</v>
      </c>
      <c r="X66" s="92" t="n">
        <f aca="false">IF($F66="","",COUNTIF($F63:$F66,T$21)+COUNTIF($F63:$F66,$A$3))</f>
        <v>1</v>
      </c>
      <c r="Z66" s="91" t="n">
        <f aca="false">IF($B66="","",COUNTIF($B63:$B66,Z$21)+COUNTIF($B63:$B66,$A$3))</f>
        <v>0</v>
      </c>
      <c r="AA66" s="73" t="n">
        <f aca="false">IF($C66="","",COUNTIF($C63:$C66,Z$21)+COUNTIF($C63:$C66,$A$3))</f>
        <v>1</v>
      </c>
      <c r="AB66" s="73" t="n">
        <f aca="false">IF($D66="","",COUNTIF($D63:$D66,Z$21)+COUNTIF($D63:$D66,$A$3))</f>
        <v>3</v>
      </c>
      <c r="AC66" s="73" t="n">
        <f aca="false">IF($E66="","",COUNTIF($E63:$E66,Z$21)+COUNTIF($E63:$E66,$A$3))</f>
        <v>1</v>
      </c>
      <c r="AD66" s="92" t="n">
        <f aca="false">IF($F66="","",COUNTIF($F63:$F66,Z$21)+COUNTIF($F63:$F66,$A$3))</f>
        <v>0</v>
      </c>
      <c r="AF66" s="91" t="n">
        <f aca="false">IF($B66="","",COUNTIF($B63:$B66,AF$21)+COUNTIF($B63:$B66,$A$3))</f>
        <v>0</v>
      </c>
      <c r="AG66" s="73" t="n">
        <f aca="false">IF($C66="","",COUNTIF($C63:$C66,AF$21)+COUNTIF($C63:$C66,$A$3))</f>
        <v>0</v>
      </c>
      <c r="AH66" s="73" t="n">
        <f aca="false">IF($D66="","",COUNTIF($D63:$D66,AF$21)+COUNTIF($D63:$D66,$A$3))</f>
        <v>1</v>
      </c>
      <c r="AI66" s="73" t="n">
        <f aca="false">IF($E66="","",COUNTIF($E63:$E66,AF$21)+COUNTIF($E63:$E66,$A$3))</f>
        <v>0</v>
      </c>
      <c r="AJ66" s="92" t="n">
        <f aca="false">IF($F66="","",COUNTIF($F63:$F66,AF$21)+COUNTIF($F63:$F66,$A$3))</f>
        <v>0</v>
      </c>
      <c r="AL66" s="91" t="n">
        <f aca="false">IF($B66="","",COUNTIF($B63:$B66,AL$21)+COUNTIF($B63:$B66,$A$3))</f>
        <v>1</v>
      </c>
      <c r="AM66" s="73" t="n">
        <f aca="false">IF($C66="","",COUNTIF($C63:$C66,AL$21)+COUNTIF($C63:$C66,$A$3))</f>
        <v>0</v>
      </c>
      <c r="AN66" s="73" t="n">
        <f aca="false">IF($D66="","",COUNTIF($D63:$D66,AL$21)+COUNTIF($D63:$D66,$A$3))</f>
        <v>1</v>
      </c>
      <c r="AO66" s="73" t="n">
        <f aca="false">IF($E66="","",COUNTIF($E63:$E66,AL$21)+COUNTIF($E63:$E66,$A$3))</f>
        <v>0</v>
      </c>
      <c r="AP66" s="92" t="n">
        <f aca="false">IF($F66="","",COUNTIF($F63:$F66,AL$21)+COUNTIF($F63:$F66,$A$3))</f>
        <v>0</v>
      </c>
      <c r="AR66" s="91" t="n">
        <f aca="false">IF($B66="","",COUNTIF($B63:$B66,AR$21)+COUNTIF($B63:$B66,$A$3))</f>
        <v>0</v>
      </c>
      <c r="AS66" s="73" t="n">
        <f aca="false">IF($C66="","",COUNTIF($C63:$C66,AR$21)+COUNTIF($C63:$C66,$A$3))</f>
        <v>0</v>
      </c>
      <c r="AT66" s="73" t="n">
        <f aca="false">IF($D66="","",COUNTIF($D63:$D66,AR$21)+COUNTIF($D63:$D66,$A$3))</f>
        <v>1</v>
      </c>
      <c r="AU66" s="73" t="n">
        <f aca="false">IF($E66="","",COUNTIF($E63:$E66,AR$21)+COUNTIF($E63:$E66,$A$3))</f>
        <v>0</v>
      </c>
      <c r="AV66" s="92" t="n">
        <f aca="false">IF($F66="","",COUNTIF($F63:$F66,AR$21)+COUNTIF($F63:$F66,$A$3))</f>
        <v>0</v>
      </c>
      <c r="AX66" s="91" t="n">
        <f aca="false">IF($B66="","",COUNTIF($B63:$B66,AX$21)+COUNTIF($B63:$B66,$A$3))</f>
        <v>0</v>
      </c>
      <c r="AY66" s="73" t="n">
        <f aca="false">IF($C66="","",COUNTIF($C63:$C66,AX$21)+COUNTIF($C63:$C66,$A$3))</f>
        <v>1</v>
      </c>
      <c r="AZ66" s="73" t="n">
        <f aca="false">IF($D66="","",COUNTIF($D63:$D66,AX$21)+COUNTIF($D63:$D66,$A$3))</f>
        <v>1</v>
      </c>
      <c r="BA66" s="73" t="n">
        <f aca="false">IF($E66="","",COUNTIF($E63:$E66,AX$21)+COUNTIF($E63:$E66,$A$3))</f>
        <v>0</v>
      </c>
      <c r="BB66" s="92" t="n">
        <f aca="false">IF($F66="","",COUNTIF($F63:$F66,AX$21)+COUNTIF($F63:$F66,$A$3))</f>
        <v>1</v>
      </c>
      <c r="BD66" s="91" t="n">
        <f aca="false">IF($B66="","",COUNTIF($B63:$B66,BD$21)+COUNTIF($B63:$B66,$A$3))</f>
        <v>0</v>
      </c>
      <c r="BE66" s="73" t="n">
        <f aca="false">IF($C66="","",COUNTIF($C63:$C66,BD$21)+COUNTIF($C63:$C66,$A$3))</f>
        <v>1</v>
      </c>
      <c r="BF66" s="73" t="n">
        <f aca="false">IF($D66="","",COUNTIF($D63:$D66,BD$21)+COUNTIF($D63:$D66,$A$3))</f>
        <v>1</v>
      </c>
      <c r="BG66" s="73" t="n">
        <f aca="false">IF($E66="","",COUNTIF($E63:$E66,BD$21)+COUNTIF($E63:$E66,$A$3))</f>
        <v>1</v>
      </c>
      <c r="BH66" s="92" t="n">
        <f aca="false">IF($F66="","",COUNTIF($F63:$F66,BD$21)+COUNTIF($F63:$F66,$A$3))</f>
        <v>0</v>
      </c>
      <c r="BJ66" s="91" t="n">
        <f aca="false">IF($B66="","",COUNTIF($B63:$B66,BJ$21)+COUNTIF($B63:$B66,$A$3))</f>
        <v>1</v>
      </c>
      <c r="BK66" s="73" t="n">
        <f aca="false">IF($C66="","",COUNTIF($C63:$C66,BJ$21)+COUNTIF($C63:$C66,$A$3))</f>
        <v>0</v>
      </c>
      <c r="BL66" s="73" t="n">
        <f aca="false">IF($D66="","",COUNTIF($D63:$D66,BJ$21)+COUNTIF($D63:$D66,$A$3))</f>
        <v>2</v>
      </c>
      <c r="BM66" s="73" t="n">
        <f aca="false">IF($E66="","",COUNTIF($E63:$E66,BJ$21)+COUNTIF($E63:$E66,$A$3))</f>
        <v>0</v>
      </c>
      <c r="BN66" s="92" t="n">
        <f aca="false">IF($F66="","",COUNTIF($F63:$F66,BJ$21)+COUNTIF($F63:$F66,$A$3))</f>
        <v>1</v>
      </c>
      <c r="BP66" s="91" t="n">
        <f aca="false">IF($B66="","",COUNTIF($B63:$B66,BP$21)+COUNTIF($B63:$B66,$A$3))</f>
        <v>0</v>
      </c>
      <c r="BQ66" s="73" t="n">
        <f aca="false">IF($C66="","",COUNTIF($C63:$C66,BP$21)+COUNTIF($C63:$C66,$A$3))</f>
        <v>0</v>
      </c>
      <c r="BR66" s="73" t="n">
        <f aca="false">IF($D66="","",COUNTIF($D63:$D66,BP$21)+COUNTIF($D63:$D66,$A$3))</f>
        <v>1</v>
      </c>
      <c r="BS66" s="73" t="n">
        <f aca="false">IF($E66="","",COUNTIF($E63:$E66,BP$21)+COUNTIF($E63:$E66,$A$3))</f>
        <v>0</v>
      </c>
      <c r="BT66" s="92" t="n">
        <f aca="false">IF($F66="","",COUNTIF($F63:$F66,BP$21)+COUNTIF($F63:$F66,$A$3))</f>
        <v>0</v>
      </c>
    </row>
    <row r="67" customFormat="false" ht="15" hidden="false" customHeight="false" outlineLevel="0" collapsed="false">
      <c r="A67" s="13" t="n">
        <v>45</v>
      </c>
      <c r="B67" s="116" t="str">
        <f aca="false">IF('Game Info'!Q50="","",'Game Info'!Q50)</f>
        <v>J</v>
      </c>
      <c r="C67" s="116" t="str">
        <f aca="false">IF('Game Info'!R50="","",'Game Info'!R50)</f>
        <v>K</v>
      </c>
      <c r="D67" s="116" t="str">
        <f aca="false">IF('Game Info'!S50="","",'Game Info'!S50)</f>
        <v>SYM4</v>
      </c>
      <c r="E67" s="116" t="str">
        <f aca="false">IF('Game Info'!T50="","",'Game Info'!T50)</f>
        <v>SYM3</v>
      </c>
      <c r="F67" s="117" t="str">
        <f aca="false">IF('Game Info'!U50="","",'Game Info'!U50)</f>
        <v>A</v>
      </c>
      <c r="H67" s="91" t="n">
        <f aca="false">IF($B67="","",COUNTIF($B64:$B67,H$21)+COUNTIF($B64:$B67,$A$3))</f>
        <v>0</v>
      </c>
      <c r="I67" s="73" t="n">
        <f aca="false">IF($C67="","",COUNTIF($C64:$C67,H$21)+COUNTIF($C64:$C67,$A$3))</f>
        <v>0</v>
      </c>
      <c r="J67" s="73" t="n">
        <f aca="false">IF($D67="","",COUNTIF($D64:$D67,H$21)+COUNTIF($D64:$D67,$A$3))</f>
        <v>0</v>
      </c>
      <c r="K67" s="73" t="n">
        <f aca="false">IF($E67="","",COUNTIF($E64:$E67,H$21)+COUNTIF($E64:$E67,$A$3))</f>
        <v>0</v>
      </c>
      <c r="L67" s="92" t="n">
        <f aca="false">IF($F67="","",COUNTIF($F64:$F67,H$21)+COUNTIF($F64:$F67,$A$3))</f>
        <v>0</v>
      </c>
      <c r="N67" s="91" t="n">
        <f aca="false">IF($B67="","",COUNTIF($B64:$B67,N$21)+COUNTIF($B64:$B67,$A$3))</f>
        <v>0</v>
      </c>
      <c r="O67" s="73" t="n">
        <f aca="false">IF($C67="","",COUNTIF($C64:$C67,N$21)+COUNTIF($C64:$C67,$A$3))</f>
        <v>0</v>
      </c>
      <c r="P67" s="73" t="n">
        <f aca="false">IF($D67="","",COUNTIF($D64:$D67,N$21)+COUNTIF($D64:$D67,$A$3))</f>
        <v>0</v>
      </c>
      <c r="Q67" s="73" t="n">
        <f aca="false">IF($E67="","",COUNTIF($E64:$E67,N$21)+COUNTIF($E64:$E67,$A$3))</f>
        <v>0</v>
      </c>
      <c r="R67" s="92" t="n">
        <f aca="false">IF($F67="","",COUNTIF($F64:$F67,N$21)+COUNTIF($F64:$F67,$A$3))</f>
        <v>0</v>
      </c>
      <c r="T67" s="91" t="n">
        <f aca="false">IF($B67="","",COUNTIF($B64:$B67,T$21)+COUNTIF($B64:$B67,$A$3))</f>
        <v>0</v>
      </c>
      <c r="U67" s="73" t="n">
        <f aca="false">IF($C67="","",COUNTIF($C64:$C67,T$21)+COUNTIF($C64:$C67,$A$3))</f>
        <v>1</v>
      </c>
      <c r="V67" s="73" t="n">
        <f aca="false">IF($D67="","",COUNTIF($D64:$D67,T$21)+COUNTIF($D64:$D67,$A$3))</f>
        <v>0</v>
      </c>
      <c r="W67" s="73" t="n">
        <f aca="false">IF($E67="","",COUNTIF($E64:$E67,T$21)+COUNTIF($E64:$E67,$A$3))</f>
        <v>3</v>
      </c>
      <c r="X67" s="92" t="n">
        <f aca="false">IF($F67="","",COUNTIF($F64:$F67,T$21)+COUNTIF($F64:$F67,$A$3))</f>
        <v>1</v>
      </c>
      <c r="Z67" s="91" t="n">
        <f aca="false">IF($B67="","",COUNTIF($B64:$B67,Z$21)+COUNTIF($B64:$B67,$A$3))</f>
        <v>0</v>
      </c>
      <c r="AA67" s="73" t="n">
        <f aca="false">IF($C67="","",COUNTIF($C64:$C67,Z$21)+COUNTIF($C64:$C67,$A$3))</f>
        <v>1</v>
      </c>
      <c r="AB67" s="73" t="n">
        <f aca="false">IF($D67="","",COUNTIF($D64:$D67,Z$21)+COUNTIF($D64:$D67,$A$3))</f>
        <v>3</v>
      </c>
      <c r="AC67" s="73" t="n">
        <f aca="false">IF($E67="","",COUNTIF($E64:$E67,Z$21)+COUNTIF($E64:$E67,$A$3))</f>
        <v>0</v>
      </c>
      <c r="AD67" s="92" t="n">
        <f aca="false">IF($F67="","",COUNTIF($F64:$F67,Z$21)+COUNTIF($F64:$F67,$A$3))</f>
        <v>0</v>
      </c>
      <c r="AF67" s="91" t="n">
        <f aca="false">IF($B67="","",COUNTIF($B64:$B67,AF$21)+COUNTIF($B64:$B67,$A$3))</f>
        <v>0</v>
      </c>
      <c r="AG67" s="73" t="n">
        <f aca="false">IF($C67="","",COUNTIF($C64:$C67,AF$21)+COUNTIF($C64:$C67,$A$3))</f>
        <v>0</v>
      </c>
      <c r="AH67" s="73" t="n">
        <f aca="false">IF($D67="","",COUNTIF($D64:$D67,AF$21)+COUNTIF($D64:$D67,$A$3))</f>
        <v>0</v>
      </c>
      <c r="AI67" s="73" t="n">
        <f aca="false">IF($E67="","",COUNTIF($E64:$E67,AF$21)+COUNTIF($E64:$E67,$A$3))</f>
        <v>0</v>
      </c>
      <c r="AJ67" s="92" t="n">
        <f aca="false">IF($F67="","",COUNTIF($F64:$F67,AF$21)+COUNTIF($F64:$F67,$A$3))</f>
        <v>0</v>
      </c>
      <c r="AL67" s="91" t="n">
        <f aca="false">IF($B67="","",COUNTIF($B64:$B67,AL$21)+COUNTIF($B64:$B67,$A$3))</f>
        <v>1</v>
      </c>
      <c r="AM67" s="73" t="n">
        <f aca="false">IF($C67="","",COUNTIF($C64:$C67,AL$21)+COUNTIF($C64:$C67,$A$3))</f>
        <v>0</v>
      </c>
      <c r="AN67" s="73" t="n">
        <f aca="false">IF($D67="","",COUNTIF($D64:$D67,AL$21)+COUNTIF($D64:$D67,$A$3))</f>
        <v>0</v>
      </c>
      <c r="AO67" s="73" t="n">
        <f aca="false">IF($E67="","",COUNTIF($E64:$E67,AL$21)+COUNTIF($E64:$E67,$A$3))</f>
        <v>0</v>
      </c>
      <c r="AP67" s="92" t="n">
        <f aca="false">IF($F67="","",COUNTIF($F64:$F67,AL$21)+COUNTIF($F64:$F67,$A$3))</f>
        <v>1</v>
      </c>
      <c r="AR67" s="91" t="n">
        <f aca="false">IF($B67="","",COUNTIF($B64:$B67,AR$21)+COUNTIF($B64:$B67,$A$3))</f>
        <v>0</v>
      </c>
      <c r="AS67" s="73" t="n">
        <f aca="false">IF($C67="","",COUNTIF($C64:$C67,AR$21)+COUNTIF($C64:$C67,$A$3))</f>
        <v>1</v>
      </c>
      <c r="AT67" s="73" t="n">
        <f aca="false">IF($D67="","",COUNTIF($D64:$D67,AR$21)+COUNTIF($D64:$D67,$A$3))</f>
        <v>0</v>
      </c>
      <c r="AU67" s="73" t="n">
        <f aca="false">IF($E67="","",COUNTIF($E64:$E67,AR$21)+COUNTIF($E64:$E67,$A$3))</f>
        <v>0</v>
      </c>
      <c r="AV67" s="92" t="n">
        <f aca="false">IF($F67="","",COUNTIF($F64:$F67,AR$21)+COUNTIF($F64:$F67,$A$3))</f>
        <v>0</v>
      </c>
      <c r="AX67" s="91" t="n">
        <f aca="false">IF($B67="","",COUNTIF($B64:$B67,AX$21)+COUNTIF($B64:$B67,$A$3))</f>
        <v>0</v>
      </c>
      <c r="AY67" s="73" t="n">
        <f aca="false">IF($C67="","",COUNTIF($C64:$C67,AX$21)+COUNTIF($C64:$C67,$A$3))</f>
        <v>0</v>
      </c>
      <c r="AZ67" s="73" t="n">
        <f aca="false">IF($D67="","",COUNTIF($D64:$D67,AX$21)+COUNTIF($D64:$D67,$A$3))</f>
        <v>0</v>
      </c>
      <c r="BA67" s="73" t="n">
        <f aca="false">IF($E67="","",COUNTIF($E64:$E67,AX$21)+COUNTIF($E64:$E67,$A$3))</f>
        <v>0</v>
      </c>
      <c r="BB67" s="92" t="n">
        <f aca="false">IF($F67="","",COUNTIF($F64:$F67,AX$21)+COUNTIF($F64:$F67,$A$3))</f>
        <v>1</v>
      </c>
      <c r="BD67" s="91" t="n">
        <f aca="false">IF($B67="","",COUNTIF($B64:$B67,BD$21)+COUNTIF($B64:$B67,$A$3))</f>
        <v>1</v>
      </c>
      <c r="BE67" s="73" t="n">
        <f aca="false">IF($C67="","",COUNTIF($C64:$C67,BD$21)+COUNTIF($C64:$C67,$A$3))</f>
        <v>1</v>
      </c>
      <c r="BF67" s="73" t="n">
        <f aca="false">IF($D67="","",COUNTIF($D64:$D67,BD$21)+COUNTIF($D64:$D67,$A$3))</f>
        <v>0</v>
      </c>
      <c r="BG67" s="73" t="n">
        <f aca="false">IF($E67="","",COUNTIF($E64:$E67,BD$21)+COUNTIF($E64:$E67,$A$3))</f>
        <v>1</v>
      </c>
      <c r="BH67" s="92" t="n">
        <f aca="false">IF($F67="","",COUNTIF($F64:$F67,BD$21)+COUNTIF($F64:$F67,$A$3))</f>
        <v>0</v>
      </c>
      <c r="BJ67" s="91" t="n">
        <f aca="false">IF($B67="","",COUNTIF($B64:$B67,BJ$21)+COUNTIF($B64:$B67,$A$3))</f>
        <v>1</v>
      </c>
      <c r="BK67" s="73" t="n">
        <f aca="false">IF($C67="","",COUNTIF($C64:$C67,BJ$21)+COUNTIF($C64:$C67,$A$3))</f>
        <v>0</v>
      </c>
      <c r="BL67" s="73" t="n">
        <f aca="false">IF($D67="","",COUNTIF($D64:$D67,BJ$21)+COUNTIF($D64:$D67,$A$3))</f>
        <v>1</v>
      </c>
      <c r="BM67" s="73" t="n">
        <f aca="false">IF($E67="","",COUNTIF($E64:$E67,BJ$21)+COUNTIF($E64:$E67,$A$3))</f>
        <v>0</v>
      </c>
      <c r="BN67" s="92" t="n">
        <f aca="false">IF($F67="","",COUNTIF($F64:$F67,BJ$21)+COUNTIF($F64:$F67,$A$3))</f>
        <v>1</v>
      </c>
      <c r="BP67" s="91" t="n">
        <f aca="false">IF($B67="","",COUNTIF($B64:$B67,BP$21)+COUNTIF($B64:$B67,$A$3))</f>
        <v>0</v>
      </c>
      <c r="BQ67" s="73" t="n">
        <f aca="false">IF($C67="","",COUNTIF($C64:$C67,BP$21)+COUNTIF($C64:$C67,$A$3))</f>
        <v>0</v>
      </c>
      <c r="BR67" s="73" t="n">
        <f aca="false">IF($D67="","",COUNTIF($D64:$D67,BP$21)+COUNTIF($D64:$D67,$A$3))</f>
        <v>0</v>
      </c>
      <c r="BS67" s="73" t="n">
        <f aca="false">IF($E67="","",COUNTIF($E64:$E67,BP$21)+COUNTIF($E64:$E67,$A$3))</f>
        <v>0</v>
      </c>
      <c r="BT67" s="92" t="n">
        <f aca="false">IF($F67="","",COUNTIF($F64:$F67,BP$21)+COUNTIF($F64:$F67,$A$3))</f>
        <v>0</v>
      </c>
    </row>
    <row r="68" customFormat="false" ht="15" hidden="false" customHeight="false" outlineLevel="0" collapsed="false">
      <c r="A68" s="13" t="n">
        <v>46</v>
      </c>
      <c r="B68" s="116" t="n">
        <f aca="false">IF('Game Info'!Q51="","",'Game Info'!Q51)</f>
        <v>10</v>
      </c>
      <c r="C68" s="116" t="str">
        <f aca="false">IF('Game Info'!R51="","",'Game Info'!R51)</f>
        <v>SYM2</v>
      </c>
      <c r="D68" s="116" t="str">
        <f aca="false">IF('Game Info'!S51="","",'Game Info'!S51)</f>
        <v>K</v>
      </c>
      <c r="E68" s="116" t="n">
        <f aca="false">IF('Game Info'!T51="","",'Game Info'!T51)</f>
        <v>9</v>
      </c>
      <c r="F68" s="117" t="str">
        <f aca="false">IF('Game Info'!U51="","",'Game Info'!U51)</f>
        <v>SYM4</v>
      </c>
      <c r="H68" s="91" t="n">
        <f aca="false">IF($B68="","",COUNTIF($B65:$B68,H$21)+COUNTIF($B65:$B68,$A$3))</f>
        <v>0</v>
      </c>
      <c r="I68" s="73" t="n">
        <f aca="false">IF($C68="","",COUNTIF($C65:$C68,H$21)+COUNTIF($C65:$C68,$A$3))</f>
        <v>0</v>
      </c>
      <c r="J68" s="73" t="n">
        <f aca="false">IF($D68="","",COUNTIF($D65:$D68,H$21)+COUNTIF($D65:$D68,$A$3))</f>
        <v>0</v>
      </c>
      <c r="K68" s="73" t="n">
        <f aca="false">IF($E68="","",COUNTIF($E65:$E68,H$21)+COUNTIF($E65:$E68,$A$3))</f>
        <v>0</v>
      </c>
      <c r="L68" s="92" t="n">
        <f aca="false">IF($F68="","",COUNTIF($F65:$F68,H$21)+COUNTIF($F65:$F68,$A$3))</f>
        <v>0</v>
      </c>
      <c r="N68" s="91" t="n">
        <f aca="false">IF($B68="","",COUNTIF($B65:$B68,N$21)+COUNTIF($B65:$B68,$A$3))</f>
        <v>0</v>
      </c>
      <c r="O68" s="73" t="n">
        <f aca="false">IF($C68="","",COUNTIF($C65:$C68,N$21)+COUNTIF($C65:$C68,$A$3))</f>
        <v>1</v>
      </c>
      <c r="P68" s="73" t="n">
        <f aca="false">IF($D68="","",COUNTIF($D65:$D68,N$21)+COUNTIF($D65:$D68,$A$3))</f>
        <v>0</v>
      </c>
      <c r="Q68" s="73" t="n">
        <f aca="false">IF($E68="","",COUNTIF($E65:$E68,N$21)+COUNTIF($E65:$E68,$A$3))</f>
        <v>0</v>
      </c>
      <c r="R68" s="92" t="n">
        <f aca="false">IF($F68="","",COUNTIF($F65:$F68,N$21)+COUNTIF($F65:$F68,$A$3))</f>
        <v>0</v>
      </c>
      <c r="T68" s="91" t="n">
        <f aca="false">IF($B68="","",COUNTIF($B65:$B68,T$21)+COUNTIF($B65:$B68,$A$3))</f>
        <v>0</v>
      </c>
      <c r="U68" s="73" t="n">
        <f aca="false">IF($C68="","",COUNTIF($C65:$C68,T$21)+COUNTIF($C65:$C68,$A$3))</f>
        <v>1</v>
      </c>
      <c r="V68" s="73" t="n">
        <f aca="false">IF($D68="","",COUNTIF($D65:$D68,T$21)+COUNTIF($D65:$D68,$A$3))</f>
        <v>0</v>
      </c>
      <c r="W68" s="73" t="n">
        <f aca="false">IF($E68="","",COUNTIF($E65:$E68,T$21)+COUNTIF($E65:$E68,$A$3))</f>
        <v>3</v>
      </c>
      <c r="X68" s="92" t="n">
        <f aca="false">IF($F68="","",COUNTIF($F65:$F68,T$21)+COUNTIF($F65:$F68,$A$3))</f>
        <v>1</v>
      </c>
      <c r="Z68" s="91" t="n">
        <f aca="false">IF($B68="","",COUNTIF($B65:$B68,Z$21)+COUNTIF($B65:$B68,$A$3))</f>
        <v>0</v>
      </c>
      <c r="AA68" s="73" t="n">
        <f aca="false">IF($C68="","",COUNTIF($C65:$C68,Z$21)+COUNTIF($C65:$C68,$A$3))</f>
        <v>0</v>
      </c>
      <c r="AB68" s="73" t="n">
        <f aca="false">IF($D68="","",COUNTIF($D65:$D68,Z$21)+COUNTIF($D65:$D68,$A$3))</f>
        <v>3</v>
      </c>
      <c r="AC68" s="73" t="n">
        <f aca="false">IF($E68="","",COUNTIF($E65:$E68,Z$21)+COUNTIF($E65:$E68,$A$3))</f>
        <v>0</v>
      </c>
      <c r="AD68" s="92" t="n">
        <f aca="false">IF($F68="","",COUNTIF($F65:$F68,Z$21)+COUNTIF($F65:$F68,$A$3))</f>
        <v>1</v>
      </c>
      <c r="AF68" s="91" t="n">
        <f aca="false">IF($B68="","",COUNTIF($B65:$B68,AF$21)+COUNTIF($B65:$B68,$A$3))</f>
        <v>0</v>
      </c>
      <c r="AG68" s="73" t="n">
        <f aca="false">IF($C68="","",COUNTIF($C65:$C68,AF$21)+COUNTIF($C65:$C68,$A$3))</f>
        <v>0</v>
      </c>
      <c r="AH68" s="73" t="n">
        <f aca="false">IF($D68="","",COUNTIF($D65:$D68,AF$21)+COUNTIF($D65:$D68,$A$3))</f>
        <v>0</v>
      </c>
      <c r="AI68" s="73" t="n">
        <f aca="false">IF($E68="","",COUNTIF($E65:$E68,AF$21)+COUNTIF($E65:$E68,$A$3))</f>
        <v>0</v>
      </c>
      <c r="AJ68" s="92" t="n">
        <f aca="false">IF($F68="","",COUNTIF($F65:$F68,AF$21)+COUNTIF($F65:$F68,$A$3))</f>
        <v>0</v>
      </c>
      <c r="AL68" s="91" t="n">
        <f aca="false">IF($B68="","",COUNTIF($B65:$B68,AL$21)+COUNTIF($B65:$B68,$A$3))</f>
        <v>1</v>
      </c>
      <c r="AM68" s="73" t="n">
        <f aca="false">IF($C68="","",COUNTIF($C65:$C68,AL$21)+COUNTIF($C65:$C68,$A$3))</f>
        <v>0</v>
      </c>
      <c r="AN68" s="73" t="n">
        <f aca="false">IF($D68="","",COUNTIF($D65:$D68,AL$21)+COUNTIF($D65:$D68,$A$3))</f>
        <v>0</v>
      </c>
      <c r="AO68" s="73" t="n">
        <f aca="false">IF($E68="","",COUNTIF($E65:$E68,AL$21)+COUNTIF($E65:$E68,$A$3))</f>
        <v>0</v>
      </c>
      <c r="AP68" s="92" t="n">
        <f aca="false">IF($F68="","",COUNTIF($F65:$F68,AL$21)+COUNTIF($F65:$F68,$A$3))</f>
        <v>1</v>
      </c>
      <c r="AR68" s="91" t="n">
        <f aca="false">IF($B68="","",COUNTIF($B65:$B68,AR$21)+COUNTIF($B65:$B68,$A$3))</f>
        <v>0</v>
      </c>
      <c r="AS68" s="73" t="n">
        <f aca="false">IF($C68="","",COUNTIF($C65:$C68,AR$21)+COUNTIF($C65:$C68,$A$3))</f>
        <v>1</v>
      </c>
      <c r="AT68" s="73" t="n">
        <f aca="false">IF($D68="","",COUNTIF($D65:$D68,AR$21)+COUNTIF($D65:$D68,$A$3))</f>
        <v>1</v>
      </c>
      <c r="AU68" s="73" t="n">
        <f aca="false">IF($E68="","",COUNTIF($E65:$E68,AR$21)+COUNTIF($E65:$E68,$A$3))</f>
        <v>0</v>
      </c>
      <c r="AV68" s="92" t="n">
        <f aca="false">IF($F68="","",COUNTIF($F65:$F68,AR$21)+COUNTIF($F65:$F68,$A$3))</f>
        <v>0</v>
      </c>
      <c r="AX68" s="91" t="n">
        <f aca="false">IF($B68="","",COUNTIF($B65:$B68,AX$21)+COUNTIF($B65:$B68,$A$3))</f>
        <v>0</v>
      </c>
      <c r="AY68" s="73" t="n">
        <f aca="false">IF($C68="","",COUNTIF($C65:$C68,AX$21)+COUNTIF($C65:$C68,$A$3))</f>
        <v>0</v>
      </c>
      <c r="AZ68" s="73" t="n">
        <f aca="false">IF($D68="","",COUNTIF($D65:$D68,AX$21)+COUNTIF($D65:$D68,$A$3))</f>
        <v>0</v>
      </c>
      <c r="BA68" s="73" t="n">
        <f aca="false">IF($E68="","",COUNTIF($E65:$E68,AX$21)+COUNTIF($E65:$E68,$A$3))</f>
        <v>0</v>
      </c>
      <c r="BB68" s="92" t="n">
        <f aca="false">IF($F68="","",COUNTIF($F65:$F68,AX$21)+COUNTIF($F65:$F68,$A$3))</f>
        <v>1</v>
      </c>
      <c r="BD68" s="91" t="n">
        <f aca="false">IF($B68="","",COUNTIF($B65:$B68,BD$21)+COUNTIF($B65:$B68,$A$3))</f>
        <v>1</v>
      </c>
      <c r="BE68" s="73" t="n">
        <f aca="false">IF($C68="","",COUNTIF($C65:$C68,BD$21)+COUNTIF($C65:$C68,$A$3))</f>
        <v>1</v>
      </c>
      <c r="BF68" s="73" t="n">
        <f aca="false">IF($D68="","",COUNTIF($D65:$D68,BD$21)+COUNTIF($D65:$D68,$A$3))</f>
        <v>0</v>
      </c>
      <c r="BG68" s="73" t="n">
        <f aca="false">IF($E68="","",COUNTIF($E65:$E68,BD$21)+COUNTIF($E65:$E68,$A$3))</f>
        <v>0</v>
      </c>
      <c r="BH68" s="92" t="n">
        <f aca="false">IF($F68="","",COUNTIF($F65:$F68,BD$21)+COUNTIF($F65:$F68,$A$3))</f>
        <v>0</v>
      </c>
      <c r="BJ68" s="91" t="n">
        <f aca="false">IF($B68="","",COUNTIF($B65:$B68,BJ$21)+COUNTIF($B65:$B68,$A$3))</f>
        <v>1</v>
      </c>
      <c r="BK68" s="73" t="n">
        <f aca="false">IF($C68="","",COUNTIF($C65:$C68,BJ$21)+COUNTIF($C65:$C68,$A$3))</f>
        <v>0</v>
      </c>
      <c r="BL68" s="73" t="n">
        <f aca="false">IF($D68="","",COUNTIF($D65:$D68,BJ$21)+COUNTIF($D65:$D68,$A$3))</f>
        <v>0</v>
      </c>
      <c r="BM68" s="73" t="n">
        <f aca="false">IF($E68="","",COUNTIF($E65:$E68,BJ$21)+COUNTIF($E65:$E68,$A$3))</f>
        <v>0</v>
      </c>
      <c r="BN68" s="92" t="n">
        <f aca="false">IF($F68="","",COUNTIF($F65:$F68,BJ$21)+COUNTIF($F65:$F68,$A$3))</f>
        <v>0</v>
      </c>
      <c r="BP68" s="91" t="n">
        <f aca="false">IF($B68="","",COUNTIF($B65:$B68,BP$21)+COUNTIF($B65:$B68,$A$3))</f>
        <v>0</v>
      </c>
      <c r="BQ68" s="73" t="n">
        <f aca="false">IF($C68="","",COUNTIF($C65:$C68,BP$21)+COUNTIF($C65:$C68,$A$3))</f>
        <v>0</v>
      </c>
      <c r="BR68" s="73" t="n">
        <f aca="false">IF($D68="","",COUNTIF($D65:$D68,BP$21)+COUNTIF($D65:$D68,$A$3))</f>
        <v>0</v>
      </c>
      <c r="BS68" s="73" t="n">
        <f aca="false">IF($E68="","",COUNTIF($E65:$E68,BP$21)+COUNTIF($E65:$E68,$A$3))</f>
        <v>1</v>
      </c>
      <c r="BT68" s="92" t="n">
        <f aca="false">IF($F68="","",COUNTIF($F65:$F68,BP$21)+COUNTIF($F65:$F68,$A$3))</f>
        <v>0</v>
      </c>
    </row>
    <row r="69" customFormat="false" ht="15" hidden="false" customHeight="false" outlineLevel="0" collapsed="false">
      <c r="A69" s="13" t="n">
        <v>47</v>
      </c>
      <c r="B69" s="116" t="str">
        <f aca="false">IF('Game Info'!Q52="","",'Game Info'!Q52)</f>
        <v>SYM2</v>
      </c>
      <c r="C69" s="116" t="str">
        <f aca="false">IF('Game Info'!R52="","",'Game Info'!R52)</f>
        <v>SYM2</v>
      </c>
      <c r="D69" s="116" t="str">
        <f aca="false">IF('Game Info'!S52="","",'Game Info'!S52)</f>
        <v>SYM5</v>
      </c>
      <c r="E69" s="116" t="str">
        <f aca="false">IF('Game Info'!T52="","",'Game Info'!T52)</f>
        <v>K</v>
      </c>
      <c r="F69" s="117" t="str">
        <f aca="false">IF('Game Info'!U52="","",'Game Info'!U52)</f>
        <v>K</v>
      </c>
      <c r="H69" s="91" t="n">
        <f aca="false">IF($B69="","",COUNTIF($B66:$B69,H$21)+COUNTIF($B66:$B69,$A$3))</f>
        <v>0</v>
      </c>
      <c r="I69" s="73" t="n">
        <f aca="false">IF($C69="","",COUNTIF($C66:$C69,H$21)+COUNTIF($C66:$C69,$A$3))</f>
        <v>0</v>
      </c>
      <c r="J69" s="73" t="n">
        <f aca="false">IF($D69="","",COUNTIF($D66:$D69,H$21)+COUNTIF($D66:$D69,$A$3))</f>
        <v>0</v>
      </c>
      <c r="K69" s="73" t="n">
        <f aca="false">IF($E69="","",COUNTIF($E66:$E69,H$21)+COUNTIF($E66:$E69,$A$3))</f>
        <v>0</v>
      </c>
      <c r="L69" s="92" t="n">
        <f aca="false">IF($F69="","",COUNTIF($F66:$F69,H$21)+COUNTIF($F66:$F69,$A$3))</f>
        <v>0</v>
      </c>
      <c r="N69" s="91" t="n">
        <f aca="false">IF($B69="","",COUNTIF($B66:$B69,N$21)+COUNTIF($B66:$B69,$A$3))</f>
        <v>1</v>
      </c>
      <c r="O69" s="73" t="n">
        <f aca="false">IF($C69="","",COUNTIF($C66:$C69,N$21)+COUNTIF($C66:$C69,$A$3))</f>
        <v>2</v>
      </c>
      <c r="P69" s="73" t="n">
        <f aca="false">IF($D69="","",COUNTIF($D66:$D69,N$21)+COUNTIF($D66:$D69,$A$3))</f>
        <v>0</v>
      </c>
      <c r="Q69" s="73" t="n">
        <f aca="false">IF($E69="","",COUNTIF($E66:$E69,N$21)+COUNTIF($E66:$E69,$A$3))</f>
        <v>0</v>
      </c>
      <c r="R69" s="92" t="n">
        <f aca="false">IF($F69="","",COUNTIF($F66:$F69,N$21)+COUNTIF($F66:$F69,$A$3))</f>
        <v>0</v>
      </c>
      <c r="T69" s="91" t="n">
        <f aca="false">IF($B69="","",COUNTIF($B66:$B69,T$21)+COUNTIF($B66:$B69,$A$3))</f>
        <v>0</v>
      </c>
      <c r="U69" s="73" t="n">
        <f aca="false">IF($C69="","",COUNTIF($C66:$C69,T$21)+COUNTIF($C66:$C69,$A$3))</f>
        <v>1</v>
      </c>
      <c r="V69" s="73" t="n">
        <f aca="false">IF($D69="","",COUNTIF($D66:$D69,T$21)+COUNTIF($D66:$D69,$A$3))</f>
        <v>0</v>
      </c>
      <c r="W69" s="73" t="n">
        <f aca="false">IF($E69="","",COUNTIF($E66:$E69,T$21)+COUNTIF($E66:$E69,$A$3))</f>
        <v>2</v>
      </c>
      <c r="X69" s="92" t="n">
        <f aca="false">IF($F69="","",COUNTIF($F66:$F69,T$21)+COUNTIF($F66:$F69,$A$3))</f>
        <v>0</v>
      </c>
      <c r="Z69" s="91" t="n">
        <f aca="false">IF($B69="","",COUNTIF($B66:$B69,Z$21)+COUNTIF($B66:$B69,$A$3))</f>
        <v>0</v>
      </c>
      <c r="AA69" s="73" t="n">
        <f aca="false">IF($C69="","",COUNTIF($C66:$C69,Z$21)+COUNTIF($C66:$C69,$A$3))</f>
        <v>0</v>
      </c>
      <c r="AB69" s="73" t="n">
        <f aca="false">IF($D69="","",COUNTIF($D66:$D69,Z$21)+COUNTIF($D66:$D69,$A$3))</f>
        <v>2</v>
      </c>
      <c r="AC69" s="73" t="n">
        <f aca="false">IF($E69="","",COUNTIF($E66:$E69,Z$21)+COUNTIF($E66:$E69,$A$3))</f>
        <v>0</v>
      </c>
      <c r="AD69" s="92" t="n">
        <f aca="false">IF($F69="","",COUNTIF($F66:$F69,Z$21)+COUNTIF($F66:$F69,$A$3))</f>
        <v>1</v>
      </c>
      <c r="AF69" s="91" t="n">
        <f aca="false">IF($B69="","",COUNTIF($B66:$B69,AF$21)+COUNTIF($B66:$B69,$A$3))</f>
        <v>0</v>
      </c>
      <c r="AG69" s="73" t="n">
        <f aca="false">IF($C69="","",COUNTIF($C66:$C69,AF$21)+COUNTIF($C66:$C69,$A$3))</f>
        <v>0</v>
      </c>
      <c r="AH69" s="73" t="n">
        <f aca="false">IF($D69="","",COUNTIF($D66:$D69,AF$21)+COUNTIF($D66:$D69,$A$3))</f>
        <v>1</v>
      </c>
      <c r="AI69" s="73" t="n">
        <f aca="false">IF($E69="","",COUNTIF($E66:$E69,AF$21)+COUNTIF($E66:$E69,$A$3))</f>
        <v>0</v>
      </c>
      <c r="AJ69" s="92" t="n">
        <f aca="false">IF($F69="","",COUNTIF($F66:$F69,AF$21)+COUNTIF($F66:$F69,$A$3))</f>
        <v>0</v>
      </c>
      <c r="AL69" s="91" t="n">
        <f aca="false">IF($B69="","",COUNTIF($B66:$B69,AL$21)+COUNTIF($B66:$B69,$A$3))</f>
        <v>1</v>
      </c>
      <c r="AM69" s="73" t="n">
        <f aca="false">IF($C69="","",COUNTIF($C66:$C69,AL$21)+COUNTIF($C66:$C69,$A$3))</f>
        <v>0</v>
      </c>
      <c r="AN69" s="73" t="n">
        <f aca="false">IF($D69="","",COUNTIF($D66:$D69,AL$21)+COUNTIF($D66:$D69,$A$3))</f>
        <v>0</v>
      </c>
      <c r="AO69" s="73" t="n">
        <f aca="false">IF($E69="","",COUNTIF($E66:$E69,AL$21)+COUNTIF($E66:$E69,$A$3))</f>
        <v>0</v>
      </c>
      <c r="AP69" s="92" t="n">
        <f aca="false">IF($F69="","",COUNTIF($F66:$F69,AL$21)+COUNTIF($F66:$F69,$A$3))</f>
        <v>1</v>
      </c>
      <c r="AR69" s="91" t="n">
        <f aca="false">IF($B69="","",COUNTIF($B66:$B69,AR$21)+COUNTIF($B66:$B69,$A$3))</f>
        <v>0</v>
      </c>
      <c r="AS69" s="73" t="n">
        <f aca="false">IF($C69="","",COUNTIF($C66:$C69,AR$21)+COUNTIF($C66:$C69,$A$3))</f>
        <v>1</v>
      </c>
      <c r="AT69" s="73" t="n">
        <f aca="false">IF($D69="","",COUNTIF($D66:$D69,AR$21)+COUNTIF($D66:$D69,$A$3))</f>
        <v>1</v>
      </c>
      <c r="AU69" s="73" t="n">
        <f aca="false">IF($E69="","",COUNTIF($E66:$E69,AR$21)+COUNTIF($E66:$E69,$A$3))</f>
        <v>1</v>
      </c>
      <c r="AV69" s="92" t="n">
        <f aca="false">IF($F69="","",COUNTIF($F66:$F69,AR$21)+COUNTIF($F66:$F69,$A$3))</f>
        <v>1</v>
      </c>
      <c r="AX69" s="91" t="n">
        <f aca="false">IF($B69="","",COUNTIF($B66:$B69,AX$21)+COUNTIF($B66:$B69,$A$3))</f>
        <v>0</v>
      </c>
      <c r="AY69" s="73" t="n">
        <f aca="false">IF($C69="","",COUNTIF($C66:$C69,AX$21)+COUNTIF($C66:$C69,$A$3))</f>
        <v>0</v>
      </c>
      <c r="AZ69" s="73" t="n">
        <f aca="false">IF($D69="","",COUNTIF($D66:$D69,AX$21)+COUNTIF($D66:$D69,$A$3))</f>
        <v>0</v>
      </c>
      <c r="BA69" s="73" t="n">
        <f aca="false">IF($E69="","",COUNTIF($E66:$E69,AX$21)+COUNTIF($E66:$E69,$A$3))</f>
        <v>0</v>
      </c>
      <c r="BB69" s="92" t="n">
        <f aca="false">IF($F69="","",COUNTIF($F66:$F69,AX$21)+COUNTIF($F66:$F69,$A$3))</f>
        <v>1</v>
      </c>
      <c r="BD69" s="91" t="n">
        <f aca="false">IF($B69="","",COUNTIF($B66:$B69,BD$21)+COUNTIF($B66:$B69,$A$3))</f>
        <v>1</v>
      </c>
      <c r="BE69" s="73" t="n">
        <f aca="false">IF($C69="","",COUNTIF($C66:$C69,BD$21)+COUNTIF($C66:$C69,$A$3))</f>
        <v>0</v>
      </c>
      <c r="BF69" s="73" t="n">
        <f aca="false">IF($D69="","",COUNTIF($D66:$D69,BD$21)+COUNTIF($D66:$D69,$A$3))</f>
        <v>0</v>
      </c>
      <c r="BG69" s="73" t="n">
        <f aca="false">IF($E69="","",COUNTIF($E66:$E69,BD$21)+COUNTIF($E66:$E69,$A$3))</f>
        <v>0</v>
      </c>
      <c r="BH69" s="92" t="n">
        <f aca="false">IF($F69="","",COUNTIF($F66:$F69,BD$21)+COUNTIF($F66:$F69,$A$3))</f>
        <v>0</v>
      </c>
      <c r="BJ69" s="91" t="n">
        <f aca="false">IF($B69="","",COUNTIF($B66:$B69,BJ$21)+COUNTIF($B66:$B69,$A$3))</f>
        <v>1</v>
      </c>
      <c r="BK69" s="73" t="n">
        <f aca="false">IF($C69="","",COUNTIF($C66:$C69,BJ$21)+COUNTIF($C66:$C69,$A$3))</f>
        <v>0</v>
      </c>
      <c r="BL69" s="73" t="n">
        <f aca="false">IF($D69="","",COUNTIF($D66:$D69,BJ$21)+COUNTIF($D66:$D69,$A$3))</f>
        <v>0</v>
      </c>
      <c r="BM69" s="73" t="n">
        <f aca="false">IF($E69="","",COUNTIF($E66:$E69,BJ$21)+COUNTIF($E66:$E69,$A$3))</f>
        <v>0</v>
      </c>
      <c r="BN69" s="92" t="n">
        <f aca="false">IF($F69="","",COUNTIF($F66:$F69,BJ$21)+COUNTIF($F66:$F69,$A$3))</f>
        <v>0</v>
      </c>
      <c r="BP69" s="91" t="n">
        <f aca="false">IF($B69="","",COUNTIF($B66:$B69,BP$21)+COUNTIF($B66:$B69,$A$3))</f>
        <v>0</v>
      </c>
      <c r="BQ69" s="73" t="n">
        <f aca="false">IF($C69="","",COUNTIF($C66:$C69,BP$21)+COUNTIF($C66:$C69,$A$3))</f>
        <v>0</v>
      </c>
      <c r="BR69" s="73" t="n">
        <f aca="false">IF($D69="","",COUNTIF($D66:$D69,BP$21)+COUNTIF($D66:$D69,$A$3))</f>
        <v>0</v>
      </c>
      <c r="BS69" s="73" t="n">
        <f aca="false">IF($E69="","",COUNTIF($E66:$E69,BP$21)+COUNTIF($E66:$E69,$A$3))</f>
        <v>1</v>
      </c>
      <c r="BT69" s="92" t="n">
        <f aca="false">IF($F69="","",COUNTIF($F66:$F69,BP$21)+COUNTIF($F66:$F69,$A$3))</f>
        <v>0</v>
      </c>
    </row>
    <row r="70" customFormat="false" ht="15" hidden="false" customHeight="false" outlineLevel="0" collapsed="false">
      <c r="A70" s="13" t="n">
        <v>48</v>
      </c>
      <c r="B70" s="116" t="n">
        <f aca="false">IF('Game Info'!Q53="","",'Game Info'!Q53)</f>
        <v>9</v>
      </c>
      <c r="C70" s="116" t="str">
        <f aca="false">IF('Game Info'!R53="","",'Game Info'!R53)</f>
        <v>Q</v>
      </c>
      <c r="D70" s="116" t="str">
        <f aca="false">IF('Game Info'!S53="","",'Game Info'!S53)</f>
        <v>J</v>
      </c>
      <c r="E70" s="116" t="str">
        <f aca="false">IF('Game Info'!T53="","",'Game Info'!T53)</f>
        <v>SYM5</v>
      </c>
      <c r="F70" s="117" t="str">
        <f aca="false">IF('Game Info'!U53="","",'Game Info'!U53)</f>
        <v>SYM3</v>
      </c>
      <c r="H70" s="91" t="n">
        <f aca="false">IF($B70="","",COUNTIF($B67:$B70,H$21)+COUNTIF($B67:$B70,$A$3))</f>
        <v>0</v>
      </c>
      <c r="I70" s="73" t="n">
        <f aca="false">IF($C70="","",COUNTIF($C67:$C70,H$21)+COUNTIF($C67:$C70,$A$3))</f>
        <v>0</v>
      </c>
      <c r="J70" s="73" t="n">
        <f aca="false">IF($D70="","",COUNTIF($D67:$D70,H$21)+COUNTIF($D67:$D70,$A$3))</f>
        <v>0</v>
      </c>
      <c r="K70" s="73" t="n">
        <f aca="false">IF($E70="","",COUNTIF($E67:$E70,H$21)+COUNTIF($E67:$E70,$A$3))</f>
        <v>0</v>
      </c>
      <c r="L70" s="92" t="n">
        <f aca="false">IF($F70="","",COUNTIF($F67:$F70,H$21)+COUNTIF($F67:$F70,$A$3))</f>
        <v>0</v>
      </c>
      <c r="N70" s="91" t="n">
        <f aca="false">IF($B70="","",COUNTIF($B67:$B70,N$21)+COUNTIF($B67:$B70,$A$3))</f>
        <v>1</v>
      </c>
      <c r="O70" s="73" t="n">
        <f aca="false">IF($C70="","",COUNTIF($C67:$C70,N$21)+COUNTIF($C67:$C70,$A$3))</f>
        <v>2</v>
      </c>
      <c r="P70" s="73" t="n">
        <f aca="false">IF($D70="","",COUNTIF($D67:$D70,N$21)+COUNTIF($D67:$D70,$A$3))</f>
        <v>0</v>
      </c>
      <c r="Q70" s="73" t="n">
        <f aca="false">IF($E70="","",COUNTIF($E67:$E70,N$21)+COUNTIF($E67:$E70,$A$3))</f>
        <v>0</v>
      </c>
      <c r="R70" s="92" t="n">
        <f aca="false">IF($F70="","",COUNTIF($F67:$F70,N$21)+COUNTIF($F67:$F70,$A$3))</f>
        <v>0</v>
      </c>
      <c r="T70" s="91" t="n">
        <f aca="false">IF($B70="","",COUNTIF($B67:$B70,T$21)+COUNTIF($B67:$B70,$A$3))</f>
        <v>0</v>
      </c>
      <c r="U70" s="73" t="n">
        <f aca="false">IF($C70="","",COUNTIF($C67:$C70,T$21)+COUNTIF($C67:$C70,$A$3))</f>
        <v>0</v>
      </c>
      <c r="V70" s="73" t="n">
        <f aca="false">IF($D70="","",COUNTIF($D67:$D70,T$21)+COUNTIF($D67:$D70,$A$3))</f>
        <v>0</v>
      </c>
      <c r="W70" s="73" t="n">
        <f aca="false">IF($E70="","",COUNTIF($E67:$E70,T$21)+COUNTIF($E67:$E70,$A$3))</f>
        <v>1</v>
      </c>
      <c r="X70" s="92" t="n">
        <f aca="false">IF($F70="","",COUNTIF($F67:$F70,T$21)+COUNTIF($F67:$F70,$A$3))</f>
        <v>1</v>
      </c>
      <c r="Z70" s="91" t="n">
        <f aca="false">IF($B70="","",COUNTIF($B67:$B70,Z$21)+COUNTIF($B67:$B70,$A$3))</f>
        <v>0</v>
      </c>
      <c r="AA70" s="73" t="n">
        <f aca="false">IF($C70="","",COUNTIF($C67:$C70,Z$21)+COUNTIF($C67:$C70,$A$3))</f>
        <v>0</v>
      </c>
      <c r="AB70" s="73" t="n">
        <f aca="false">IF($D70="","",COUNTIF($D67:$D70,Z$21)+COUNTIF($D67:$D70,$A$3))</f>
        <v>1</v>
      </c>
      <c r="AC70" s="73" t="n">
        <f aca="false">IF($E70="","",COUNTIF($E67:$E70,Z$21)+COUNTIF($E67:$E70,$A$3))</f>
        <v>0</v>
      </c>
      <c r="AD70" s="92" t="n">
        <f aca="false">IF($F70="","",COUNTIF($F67:$F70,Z$21)+COUNTIF($F67:$F70,$A$3))</f>
        <v>1</v>
      </c>
      <c r="AF70" s="91" t="n">
        <f aca="false">IF($B70="","",COUNTIF($B67:$B70,AF$21)+COUNTIF($B67:$B70,$A$3))</f>
        <v>0</v>
      </c>
      <c r="AG70" s="73" t="n">
        <f aca="false">IF($C70="","",COUNTIF($C67:$C70,AF$21)+COUNTIF($C67:$C70,$A$3))</f>
        <v>0</v>
      </c>
      <c r="AH70" s="73" t="n">
        <f aca="false">IF($D70="","",COUNTIF($D67:$D70,AF$21)+COUNTIF($D67:$D70,$A$3))</f>
        <v>1</v>
      </c>
      <c r="AI70" s="73" t="n">
        <f aca="false">IF($E70="","",COUNTIF($E67:$E70,AF$21)+COUNTIF($E67:$E70,$A$3))</f>
        <v>1</v>
      </c>
      <c r="AJ70" s="92" t="n">
        <f aca="false">IF($F70="","",COUNTIF($F67:$F70,AF$21)+COUNTIF($F67:$F70,$A$3))</f>
        <v>0</v>
      </c>
      <c r="AL70" s="91" t="n">
        <f aca="false">IF($B70="","",COUNTIF($B67:$B70,AL$21)+COUNTIF($B67:$B70,$A$3))</f>
        <v>0</v>
      </c>
      <c r="AM70" s="73" t="n">
        <f aca="false">IF($C70="","",COUNTIF($C67:$C70,AL$21)+COUNTIF($C67:$C70,$A$3))</f>
        <v>0</v>
      </c>
      <c r="AN70" s="73" t="n">
        <f aca="false">IF($D70="","",COUNTIF($D67:$D70,AL$21)+COUNTIF($D67:$D70,$A$3))</f>
        <v>0</v>
      </c>
      <c r="AO70" s="73" t="n">
        <f aca="false">IF($E70="","",COUNTIF($E67:$E70,AL$21)+COUNTIF($E67:$E70,$A$3))</f>
        <v>0</v>
      </c>
      <c r="AP70" s="92" t="n">
        <f aca="false">IF($F70="","",COUNTIF($F67:$F70,AL$21)+COUNTIF($F67:$F70,$A$3))</f>
        <v>1</v>
      </c>
      <c r="AR70" s="91" t="n">
        <f aca="false">IF($B70="","",COUNTIF($B67:$B70,AR$21)+COUNTIF($B67:$B70,$A$3))</f>
        <v>0</v>
      </c>
      <c r="AS70" s="73" t="n">
        <f aca="false">IF($C70="","",COUNTIF($C67:$C70,AR$21)+COUNTIF($C67:$C70,$A$3))</f>
        <v>1</v>
      </c>
      <c r="AT70" s="73" t="n">
        <f aca="false">IF($D70="","",COUNTIF($D67:$D70,AR$21)+COUNTIF($D67:$D70,$A$3))</f>
        <v>1</v>
      </c>
      <c r="AU70" s="73" t="n">
        <f aca="false">IF($E70="","",COUNTIF($E67:$E70,AR$21)+COUNTIF($E67:$E70,$A$3))</f>
        <v>1</v>
      </c>
      <c r="AV70" s="92" t="n">
        <f aca="false">IF($F70="","",COUNTIF($F67:$F70,AR$21)+COUNTIF($F67:$F70,$A$3))</f>
        <v>1</v>
      </c>
      <c r="AX70" s="91" t="n">
        <f aca="false">IF($B70="","",COUNTIF($B67:$B70,AX$21)+COUNTIF($B67:$B70,$A$3))</f>
        <v>0</v>
      </c>
      <c r="AY70" s="73" t="n">
        <f aca="false">IF($C70="","",COUNTIF($C67:$C70,AX$21)+COUNTIF($C67:$C70,$A$3))</f>
        <v>1</v>
      </c>
      <c r="AZ70" s="73" t="n">
        <f aca="false">IF($D70="","",COUNTIF($D67:$D70,AX$21)+COUNTIF($D67:$D70,$A$3))</f>
        <v>0</v>
      </c>
      <c r="BA70" s="73" t="n">
        <f aca="false">IF($E70="","",COUNTIF($E67:$E70,AX$21)+COUNTIF($E67:$E70,$A$3))</f>
        <v>0</v>
      </c>
      <c r="BB70" s="92" t="n">
        <f aca="false">IF($F70="","",COUNTIF($F67:$F70,AX$21)+COUNTIF($F67:$F70,$A$3))</f>
        <v>0</v>
      </c>
      <c r="BD70" s="91" t="n">
        <f aca="false">IF($B70="","",COUNTIF($B67:$B70,BD$21)+COUNTIF($B67:$B70,$A$3))</f>
        <v>1</v>
      </c>
      <c r="BE70" s="73" t="n">
        <f aca="false">IF($C70="","",COUNTIF($C67:$C70,BD$21)+COUNTIF($C67:$C70,$A$3))</f>
        <v>0</v>
      </c>
      <c r="BF70" s="73" t="n">
        <f aca="false">IF($D70="","",COUNTIF($D67:$D70,BD$21)+COUNTIF($D67:$D70,$A$3))</f>
        <v>1</v>
      </c>
      <c r="BG70" s="73" t="n">
        <f aca="false">IF($E70="","",COUNTIF($E67:$E70,BD$21)+COUNTIF($E67:$E70,$A$3))</f>
        <v>0</v>
      </c>
      <c r="BH70" s="92" t="n">
        <f aca="false">IF($F70="","",COUNTIF($F67:$F70,BD$21)+COUNTIF($F67:$F70,$A$3))</f>
        <v>0</v>
      </c>
      <c r="BJ70" s="91" t="n">
        <f aca="false">IF($B70="","",COUNTIF($B67:$B70,BJ$21)+COUNTIF($B67:$B70,$A$3))</f>
        <v>1</v>
      </c>
      <c r="BK70" s="73" t="n">
        <f aca="false">IF($C70="","",COUNTIF($C67:$C70,BJ$21)+COUNTIF($C67:$C70,$A$3))</f>
        <v>0</v>
      </c>
      <c r="BL70" s="73" t="n">
        <f aca="false">IF($D70="","",COUNTIF($D67:$D70,BJ$21)+COUNTIF($D67:$D70,$A$3))</f>
        <v>0</v>
      </c>
      <c r="BM70" s="73" t="n">
        <f aca="false">IF($E70="","",COUNTIF($E67:$E70,BJ$21)+COUNTIF($E67:$E70,$A$3))</f>
        <v>0</v>
      </c>
      <c r="BN70" s="92" t="n">
        <f aca="false">IF($F70="","",COUNTIF($F67:$F70,BJ$21)+COUNTIF($F67:$F70,$A$3))</f>
        <v>0</v>
      </c>
      <c r="BP70" s="91" t="n">
        <f aca="false">IF($B70="","",COUNTIF($B67:$B70,BP$21)+COUNTIF($B67:$B70,$A$3))</f>
        <v>1</v>
      </c>
      <c r="BQ70" s="73" t="n">
        <f aca="false">IF($C70="","",COUNTIF($C67:$C70,BP$21)+COUNTIF($C67:$C70,$A$3))</f>
        <v>0</v>
      </c>
      <c r="BR70" s="73" t="n">
        <f aca="false">IF($D70="","",COUNTIF($D67:$D70,BP$21)+COUNTIF($D67:$D70,$A$3))</f>
        <v>0</v>
      </c>
      <c r="BS70" s="73" t="n">
        <f aca="false">IF($E70="","",COUNTIF($E67:$E70,BP$21)+COUNTIF($E67:$E70,$A$3))</f>
        <v>1</v>
      </c>
      <c r="BT70" s="92" t="n">
        <f aca="false">IF($F70="","",COUNTIF($F67:$F70,BP$21)+COUNTIF($F67:$F70,$A$3))</f>
        <v>0</v>
      </c>
    </row>
    <row r="71" customFormat="false" ht="15" hidden="false" customHeight="false" outlineLevel="0" collapsed="false">
      <c r="A71" s="13" t="n">
        <v>49</v>
      </c>
      <c r="B71" s="116" t="str">
        <f aca="false">IF('Game Info'!Q54="","",'Game Info'!Q54)</f>
        <v>SYM4</v>
      </c>
      <c r="C71" s="116" t="str">
        <f aca="false">IF('Game Info'!R54="","",'Game Info'!R54)</f>
        <v>SYM5</v>
      </c>
      <c r="D71" s="116" t="str">
        <f aca="false">IF('Game Info'!S54="","",'Game Info'!S54)</f>
        <v>SYM1</v>
      </c>
      <c r="E71" s="116" t="str">
        <f aca="false">IF('Game Info'!T54="","",'Game Info'!T54)</f>
        <v>J</v>
      </c>
      <c r="F71" s="117" t="str">
        <f aca="false">IF('Game Info'!U54="","",'Game Info'!U54)</f>
        <v>SYM3</v>
      </c>
      <c r="H71" s="91" t="n">
        <f aca="false">IF($B71="","",COUNTIF($B68:$B71,H$21)+COUNTIF($B68:$B71,$A$3))</f>
        <v>0</v>
      </c>
      <c r="I71" s="73" t="n">
        <f aca="false">IF($C71="","",COUNTIF($C68:$C71,H$21)+COUNTIF($C68:$C71,$A$3))</f>
        <v>0</v>
      </c>
      <c r="J71" s="73" t="n">
        <f aca="false">IF($D71="","",COUNTIF($D68:$D71,H$21)+COUNTIF($D68:$D71,$A$3))</f>
        <v>1</v>
      </c>
      <c r="K71" s="73" t="n">
        <f aca="false">IF($E71="","",COUNTIF($E68:$E71,H$21)+COUNTIF($E68:$E71,$A$3))</f>
        <v>0</v>
      </c>
      <c r="L71" s="92" t="n">
        <f aca="false">IF($F71="","",COUNTIF($F68:$F71,H$21)+COUNTIF($F68:$F71,$A$3))</f>
        <v>0</v>
      </c>
      <c r="N71" s="91" t="n">
        <f aca="false">IF($B71="","",COUNTIF($B68:$B71,N$21)+COUNTIF($B68:$B71,$A$3))</f>
        <v>1</v>
      </c>
      <c r="O71" s="73" t="n">
        <f aca="false">IF($C71="","",COUNTIF($C68:$C71,N$21)+COUNTIF($C68:$C71,$A$3))</f>
        <v>2</v>
      </c>
      <c r="P71" s="73" t="n">
        <f aca="false">IF($D71="","",COUNTIF($D68:$D71,N$21)+COUNTIF($D68:$D71,$A$3))</f>
        <v>0</v>
      </c>
      <c r="Q71" s="73" t="n">
        <f aca="false">IF($E71="","",COUNTIF($E68:$E71,N$21)+COUNTIF($E68:$E71,$A$3))</f>
        <v>0</v>
      </c>
      <c r="R71" s="92" t="n">
        <f aca="false">IF($F71="","",COUNTIF($F68:$F71,N$21)+COUNTIF($F68:$F71,$A$3))</f>
        <v>0</v>
      </c>
      <c r="T71" s="91" t="n">
        <f aca="false">IF($B71="","",COUNTIF($B68:$B71,T$21)+COUNTIF($B68:$B71,$A$3))</f>
        <v>0</v>
      </c>
      <c r="U71" s="73" t="n">
        <f aca="false">IF($C71="","",COUNTIF($C68:$C71,T$21)+COUNTIF($C68:$C71,$A$3))</f>
        <v>0</v>
      </c>
      <c r="V71" s="73" t="n">
        <f aca="false">IF($D71="","",COUNTIF($D68:$D71,T$21)+COUNTIF($D68:$D71,$A$3))</f>
        <v>0</v>
      </c>
      <c r="W71" s="73" t="n">
        <f aca="false">IF($E71="","",COUNTIF($E68:$E71,T$21)+COUNTIF($E68:$E71,$A$3))</f>
        <v>0</v>
      </c>
      <c r="X71" s="92" t="n">
        <f aca="false">IF($F71="","",COUNTIF($F68:$F71,T$21)+COUNTIF($F68:$F71,$A$3))</f>
        <v>2</v>
      </c>
      <c r="Z71" s="91" t="n">
        <f aca="false">IF($B71="","",COUNTIF($B68:$B71,Z$21)+COUNTIF($B68:$B71,$A$3))</f>
        <v>1</v>
      </c>
      <c r="AA71" s="73" t="n">
        <f aca="false">IF($C71="","",COUNTIF($C68:$C71,Z$21)+COUNTIF($C68:$C71,$A$3))</f>
        <v>0</v>
      </c>
      <c r="AB71" s="73" t="n">
        <f aca="false">IF($D71="","",COUNTIF($D68:$D71,Z$21)+COUNTIF($D68:$D71,$A$3))</f>
        <v>0</v>
      </c>
      <c r="AC71" s="73" t="n">
        <f aca="false">IF($E71="","",COUNTIF($E68:$E71,Z$21)+COUNTIF($E68:$E71,$A$3))</f>
        <v>0</v>
      </c>
      <c r="AD71" s="92" t="n">
        <f aca="false">IF($F71="","",COUNTIF($F68:$F71,Z$21)+COUNTIF($F68:$F71,$A$3))</f>
        <v>1</v>
      </c>
      <c r="AF71" s="91" t="n">
        <f aca="false">IF($B71="","",COUNTIF($B68:$B71,AF$21)+COUNTIF($B68:$B71,$A$3))</f>
        <v>0</v>
      </c>
      <c r="AG71" s="73" t="n">
        <f aca="false">IF($C71="","",COUNTIF($C68:$C71,AF$21)+COUNTIF($C68:$C71,$A$3))</f>
        <v>1</v>
      </c>
      <c r="AH71" s="73" t="n">
        <f aca="false">IF($D71="","",COUNTIF($D68:$D71,AF$21)+COUNTIF($D68:$D71,$A$3))</f>
        <v>1</v>
      </c>
      <c r="AI71" s="73" t="n">
        <f aca="false">IF($E71="","",COUNTIF($E68:$E71,AF$21)+COUNTIF($E68:$E71,$A$3))</f>
        <v>1</v>
      </c>
      <c r="AJ71" s="92" t="n">
        <f aca="false">IF($F71="","",COUNTIF($F68:$F71,AF$21)+COUNTIF($F68:$F71,$A$3))</f>
        <v>0</v>
      </c>
      <c r="AL71" s="91" t="n">
        <f aca="false">IF($B71="","",COUNTIF($B68:$B71,AL$21)+COUNTIF($B68:$B71,$A$3))</f>
        <v>0</v>
      </c>
      <c r="AM71" s="73" t="n">
        <f aca="false">IF($C71="","",COUNTIF($C68:$C71,AL$21)+COUNTIF($C68:$C71,$A$3))</f>
        <v>0</v>
      </c>
      <c r="AN71" s="73" t="n">
        <f aca="false">IF($D71="","",COUNTIF($D68:$D71,AL$21)+COUNTIF($D68:$D71,$A$3))</f>
        <v>0</v>
      </c>
      <c r="AO71" s="73" t="n">
        <f aca="false">IF($E71="","",COUNTIF($E68:$E71,AL$21)+COUNTIF($E68:$E71,$A$3))</f>
        <v>0</v>
      </c>
      <c r="AP71" s="92" t="n">
        <f aca="false">IF($F71="","",COUNTIF($F68:$F71,AL$21)+COUNTIF($F68:$F71,$A$3))</f>
        <v>0</v>
      </c>
      <c r="AR71" s="91" t="n">
        <f aca="false">IF($B71="","",COUNTIF($B68:$B71,AR$21)+COUNTIF($B68:$B71,$A$3))</f>
        <v>0</v>
      </c>
      <c r="AS71" s="73" t="n">
        <f aca="false">IF($C71="","",COUNTIF($C68:$C71,AR$21)+COUNTIF($C68:$C71,$A$3))</f>
        <v>0</v>
      </c>
      <c r="AT71" s="73" t="n">
        <f aca="false">IF($D71="","",COUNTIF($D68:$D71,AR$21)+COUNTIF($D68:$D71,$A$3))</f>
        <v>1</v>
      </c>
      <c r="AU71" s="73" t="n">
        <f aca="false">IF($E71="","",COUNTIF($E68:$E71,AR$21)+COUNTIF($E68:$E71,$A$3))</f>
        <v>1</v>
      </c>
      <c r="AV71" s="92" t="n">
        <f aca="false">IF($F71="","",COUNTIF($F68:$F71,AR$21)+COUNTIF($F68:$F71,$A$3))</f>
        <v>1</v>
      </c>
      <c r="AX71" s="91" t="n">
        <f aca="false">IF($B71="","",COUNTIF($B68:$B71,AX$21)+COUNTIF($B68:$B71,$A$3))</f>
        <v>0</v>
      </c>
      <c r="AY71" s="73" t="n">
        <f aca="false">IF($C71="","",COUNTIF($C68:$C71,AX$21)+COUNTIF($C68:$C71,$A$3))</f>
        <v>1</v>
      </c>
      <c r="AZ71" s="73" t="n">
        <f aca="false">IF($D71="","",COUNTIF($D68:$D71,AX$21)+COUNTIF($D68:$D71,$A$3))</f>
        <v>0</v>
      </c>
      <c r="BA71" s="73" t="n">
        <f aca="false">IF($E71="","",COUNTIF($E68:$E71,AX$21)+COUNTIF($E68:$E71,$A$3))</f>
        <v>0</v>
      </c>
      <c r="BB71" s="92" t="n">
        <f aca="false">IF($F71="","",COUNTIF($F68:$F71,AX$21)+COUNTIF($F68:$F71,$A$3))</f>
        <v>0</v>
      </c>
      <c r="BD71" s="91" t="n">
        <f aca="false">IF($B71="","",COUNTIF($B68:$B71,BD$21)+COUNTIF($B68:$B71,$A$3))</f>
        <v>0</v>
      </c>
      <c r="BE71" s="73" t="n">
        <f aca="false">IF($C71="","",COUNTIF($C68:$C71,BD$21)+COUNTIF($C68:$C71,$A$3))</f>
        <v>0</v>
      </c>
      <c r="BF71" s="73" t="n">
        <f aca="false">IF($D71="","",COUNTIF($D68:$D71,BD$21)+COUNTIF($D68:$D71,$A$3))</f>
        <v>1</v>
      </c>
      <c r="BG71" s="73" t="n">
        <f aca="false">IF($E71="","",COUNTIF($E68:$E71,BD$21)+COUNTIF($E68:$E71,$A$3))</f>
        <v>1</v>
      </c>
      <c r="BH71" s="92" t="n">
        <f aca="false">IF($F71="","",COUNTIF($F68:$F71,BD$21)+COUNTIF($F68:$F71,$A$3))</f>
        <v>0</v>
      </c>
      <c r="BJ71" s="91" t="n">
        <f aca="false">IF($B71="","",COUNTIF($B68:$B71,BJ$21)+COUNTIF($B68:$B71,$A$3))</f>
        <v>1</v>
      </c>
      <c r="BK71" s="73" t="n">
        <f aca="false">IF($C71="","",COUNTIF($C68:$C71,BJ$21)+COUNTIF($C68:$C71,$A$3))</f>
        <v>0</v>
      </c>
      <c r="BL71" s="73" t="n">
        <f aca="false">IF($D71="","",COUNTIF($D68:$D71,BJ$21)+COUNTIF($D68:$D71,$A$3))</f>
        <v>0</v>
      </c>
      <c r="BM71" s="73" t="n">
        <f aca="false">IF($E71="","",COUNTIF($E68:$E71,BJ$21)+COUNTIF($E68:$E71,$A$3))</f>
        <v>0</v>
      </c>
      <c r="BN71" s="92" t="n">
        <f aca="false">IF($F71="","",COUNTIF($F68:$F71,BJ$21)+COUNTIF($F68:$F71,$A$3))</f>
        <v>0</v>
      </c>
      <c r="BP71" s="91" t="n">
        <f aca="false">IF($B71="","",COUNTIF($B68:$B71,BP$21)+COUNTIF($B68:$B71,$A$3))</f>
        <v>1</v>
      </c>
      <c r="BQ71" s="73" t="n">
        <f aca="false">IF($C71="","",COUNTIF($C68:$C71,BP$21)+COUNTIF($C68:$C71,$A$3))</f>
        <v>0</v>
      </c>
      <c r="BR71" s="73" t="n">
        <f aca="false">IF($D71="","",COUNTIF($D68:$D71,BP$21)+COUNTIF($D68:$D71,$A$3))</f>
        <v>0</v>
      </c>
      <c r="BS71" s="73" t="n">
        <f aca="false">IF($E71="","",COUNTIF($E68:$E71,BP$21)+COUNTIF($E68:$E71,$A$3))</f>
        <v>1</v>
      </c>
      <c r="BT71" s="92" t="n">
        <f aca="false">IF($F71="","",COUNTIF($F68:$F71,BP$21)+COUNTIF($F68:$F71,$A$3))</f>
        <v>0</v>
      </c>
    </row>
    <row r="72" customFormat="false" ht="15" hidden="false" customHeight="false" outlineLevel="0" collapsed="false">
      <c r="A72" s="13" t="n">
        <v>50</v>
      </c>
      <c r="B72" s="116" t="str">
        <f aca="false">IF('Game Info'!Q55="","",'Game Info'!Q55)</f>
        <v>J</v>
      </c>
      <c r="C72" s="116" t="str">
        <f aca="false">IF('Game Info'!R55="","",'Game Info'!R55)</f>
        <v>Q</v>
      </c>
      <c r="D72" s="116" t="str">
        <f aca="false">IF('Game Info'!S55="","",'Game Info'!S55)</f>
        <v>SYM1</v>
      </c>
      <c r="E72" s="116" t="str">
        <f aca="false">IF('Game Info'!T55="","",'Game Info'!T55)</f>
        <v>A</v>
      </c>
      <c r="F72" s="117" t="str">
        <f aca="false">IF('Game Info'!U55="","",'Game Info'!U55)</f>
        <v>SYM3</v>
      </c>
      <c r="H72" s="91" t="n">
        <f aca="false">IF($B72="","",COUNTIF($B69:$B72,H$21)+COUNTIF($B69:$B72,$A$3))</f>
        <v>0</v>
      </c>
      <c r="I72" s="73" t="n">
        <f aca="false">IF($C72="","",COUNTIF($C69:$C72,H$21)+COUNTIF($C69:$C72,$A$3))</f>
        <v>0</v>
      </c>
      <c r="J72" s="73" t="n">
        <f aca="false">IF($D72="","",COUNTIF($D69:$D72,H$21)+COUNTIF($D69:$D72,$A$3))</f>
        <v>2</v>
      </c>
      <c r="K72" s="73" t="n">
        <f aca="false">IF($E72="","",COUNTIF($E69:$E72,H$21)+COUNTIF($E69:$E72,$A$3))</f>
        <v>0</v>
      </c>
      <c r="L72" s="92" t="n">
        <f aca="false">IF($F72="","",COUNTIF($F69:$F72,H$21)+COUNTIF($F69:$F72,$A$3))</f>
        <v>0</v>
      </c>
      <c r="N72" s="91" t="n">
        <f aca="false">IF($B72="","",COUNTIF($B69:$B72,N$21)+COUNTIF($B69:$B72,$A$3))</f>
        <v>1</v>
      </c>
      <c r="O72" s="73" t="n">
        <f aca="false">IF($C72="","",COUNTIF($C69:$C72,N$21)+COUNTIF($C69:$C72,$A$3))</f>
        <v>1</v>
      </c>
      <c r="P72" s="73" t="n">
        <f aca="false">IF($D72="","",COUNTIF($D69:$D72,N$21)+COUNTIF($D69:$D72,$A$3))</f>
        <v>0</v>
      </c>
      <c r="Q72" s="73" t="n">
        <f aca="false">IF($E72="","",COUNTIF($E69:$E72,N$21)+COUNTIF($E69:$E72,$A$3))</f>
        <v>0</v>
      </c>
      <c r="R72" s="92" t="n">
        <f aca="false">IF($F72="","",COUNTIF($F69:$F72,N$21)+COUNTIF($F69:$F72,$A$3))</f>
        <v>0</v>
      </c>
      <c r="T72" s="91" t="n">
        <f aca="false">IF($B72="","",COUNTIF($B69:$B72,T$21)+COUNTIF($B69:$B72,$A$3))</f>
        <v>0</v>
      </c>
      <c r="U72" s="73" t="n">
        <f aca="false">IF($C72="","",COUNTIF($C69:$C72,T$21)+COUNTIF($C69:$C72,$A$3))</f>
        <v>0</v>
      </c>
      <c r="V72" s="73" t="n">
        <f aca="false">IF($D72="","",COUNTIF($D69:$D72,T$21)+COUNTIF($D69:$D72,$A$3))</f>
        <v>0</v>
      </c>
      <c r="W72" s="73" t="n">
        <f aca="false">IF($E72="","",COUNTIF($E69:$E72,T$21)+COUNTIF($E69:$E72,$A$3))</f>
        <v>0</v>
      </c>
      <c r="X72" s="92" t="n">
        <f aca="false">IF($F72="","",COUNTIF($F69:$F72,T$21)+COUNTIF($F69:$F72,$A$3))</f>
        <v>3</v>
      </c>
      <c r="Z72" s="91" t="n">
        <f aca="false">IF($B72="","",COUNTIF($B69:$B72,Z$21)+COUNTIF($B69:$B72,$A$3))</f>
        <v>1</v>
      </c>
      <c r="AA72" s="73" t="n">
        <f aca="false">IF($C72="","",COUNTIF($C69:$C72,Z$21)+COUNTIF($C69:$C72,$A$3))</f>
        <v>0</v>
      </c>
      <c r="AB72" s="73" t="n">
        <f aca="false">IF($D72="","",COUNTIF($D69:$D72,Z$21)+COUNTIF($D69:$D72,$A$3))</f>
        <v>0</v>
      </c>
      <c r="AC72" s="73" t="n">
        <f aca="false">IF($E72="","",COUNTIF($E69:$E72,Z$21)+COUNTIF($E69:$E72,$A$3))</f>
        <v>0</v>
      </c>
      <c r="AD72" s="92" t="n">
        <f aca="false">IF($F72="","",COUNTIF($F69:$F72,Z$21)+COUNTIF($F69:$F72,$A$3))</f>
        <v>0</v>
      </c>
      <c r="AF72" s="91" t="n">
        <f aca="false">IF($B72="","",COUNTIF($B69:$B72,AF$21)+COUNTIF($B69:$B72,$A$3))</f>
        <v>0</v>
      </c>
      <c r="AG72" s="73" t="n">
        <f aca="false">IF($C72="","",COUNTIF($C69:$C72,AF$21)+COUNTIF($C69:$C72,$A$3))</f>
        <v>1</v>
      </c>
      <c r="AH72" s="73" t="n">
        <f aca="false">IF($D72="","",COUNTIF($D69:$D72,AF$21)+COUNTIF($D69:$D72,$A$3))</f>
        <v>1</v>
      </c>
      <c r="AI72" s="73" t="n">
        <f aca="false">IF($E72="","",COUNTIF($E69:$E72,AF$21)+COUNTIF($E69:$E72,$A$3))</f>
        <v>1</v>
      </c>
      <c r="AJ72" s="92" t="n">
        <f aca="false">IF($F72="","",COUNTIF($F69:$F72,AF$21)+COUNTIF($F69:$F72,$A$3))</f>
        <v>0</v>
      </c>
      <c r="AL72" s="91" t="n">
        <f aca="false">IF($B72="","",COUNTIF($B69:$B72,AL$21)+COUNTIF($B69:$B72,$A$3))</f>
        <v>0</v>
      </c>
      <c r="AM72" s="73" t="n">
        <f aca="false">IF($C72="","",COUNTIF($C69:$C72,AL$21)+COUNTIF($C69:$C72,$A$3))</f>
        <v>0</v>
      </c>
      <c r="AN72" s="73" t="n">
        <f aca="false">IF($D72="","",COUNTIF($D69:$D72,AL$21)+COUNTIF($D69:$D72,$A$3))</f>
        <v>0</v>
      </c>
      <c r="AO72" s="73" t="n">
        <f aca="false">IF($E72="","",COUNTIF($E69:$E72,AL$21)+COUNTIF($E69:$E72,$A$3))</f>
        <v>1</v>
      </c>
      <c r="AP72" s="92" t="n">
        <f aca="false">IF($F72="","",COUNTIF($F69:$F72,AL$21)+COUNTIF($F69:$F72,$A$3))</f>
        <v>0</v>
      </c>
      <c r="AR72" s="91" t="n">
        <f aca="false">IF($B72="","",COUNTIF($B69:$B72,AR$21)+COUNTIF($B69:$B72,$A$3))</f>
        <v>0</v>
      </c>
      <c r="AS72" s="73" t="n">
        <f aca="false">IF($C72="","",COUNTIF($C69:$C72,AR$21)+COUNTIF($C69:$C72,$A$3))</f>
        <v>0</v>
      </c>
      <c r="AT72" s="73" t="n">
        <f aca="false">IF($D72="","",COUNTIF($D69:$D72,AR$21)+COUNTIF($D69:$D72,$A$3))</f>
        <v>0</v>
      </c>
      <c r="AU72" s="73" t="n">
        <f aca="false">IF($E72="","",COUNTIF($E69:$E72,AR$21)+COUNTIF($E69:$E72,$A$3))</f>
        <v>1</v>
      </c>
      <c r="AV72" s="92" t="n">
        <f aca="false">IF($F72="","",COUNTIF($F69:$F72,AR$21)+COUNTIF($F69:$F72,$A$3))</f>
        <v>1</v>
      </c>
      <c r="AX72" s="91" t="n">
        <f aca="false">IF($B72="","",COUNTIF($B69:$B72,AX$21)+COUNTIF($B69:$B72,$A$3))</f>
        <v>0</v>
      </c>
      <c r="AY72" s="73" t="n">
        <f aca="false">IF($C72="","",COUNTIF($C69:$C72,AX$21)+COUNTIF($C69:$C72,$A$3))</f>
        <v>2</v>
      </c>
      <c r="AZ72" s="73" t="n">
        <f aca="false">IF($D72="","",COUNTIF($D69:$D72,AX$21)+COUNTIF($D69:$D72,$A$3))</f>
        <v>0</v>
      </c>
      <c r="BA72" s="73" t="n">
        <f aca="false">IF($E72="","",COUNTIF($E69:$E72,AX$21)+COUNTIF($E69:$E72,$A$3))</f>
        <v>0</v>
      </c>
      <c r="BB72" s="92" t="n">
        <f aca="false">IF($F72="","",COUNTIF($F69:$F72,AX$21)+COUNTIF($F69:$F72,$A$3))</f>
        <v>0</v>
      </c>
      <c r="BD72" s="91" t="n">
        <f aca="false">IF($B72="","",COUNTIF($B69:$B72,BD$21)+COUNTIF($B69:$B72,$A$3))</f>
        <v>1</v>
      </c>
      <c r="BE72" s="73" t="n">
        <f aca="false">IF($C72="","",COUNTIF($C69:$C72,BD$21)+COUNTIF($C69:$C72,$A$3))</f>
        <v>0</v>
      </c>
      <c r="BF72" s="73" t="n">
        <f aca="false">IF($D72="","",COUNTIF($D69:$D72,BD$21)+COUNTIF($D69:$D72,$A$3))</f>
        <v>1</v>
      </c>
      <c r="BG72" s="73" t="n">
        <f aca="false">IF($E72="","",COUNTIF($E69:$E72,BD$21)+COUNTIF($E69:$E72,$A$3))</f>
        <v>1</v>
      </c>
      <c r="BH72" s="92" t="n">
        <f aca="false">IF($F72="","",COUNTIF($F69:$F72,BD$21)+COUNTIF($F69:$F72,$A$3))</f>
        <v>0</v>
      </c>
      <c r="BJ72" s="91" t="n">
        <f aca="false">IF($B72="","",COUNTIF($B69:$B72,BJ$21)+COUNTIF($B69:$B72,$A$3))</f>
        <v>0</v>
      </c>
      <c r="BK72" s="73" t="n">
        <f aca="false">IF($C72="","",COUNTIF($C69:$C72,BJ$21)+COUNTIF($C69:$C72,$A$3))</f>
        <v>0</v>
      </c>
      <c r="BL72" s="73" t="n">
        <f aca="false">IF($D72="","",COUNTIF($D69:$D72,BJ$21)+COUNTIF($D69:$D72,$A$3))</f>
        <v>0</v>
      </c>
      <c r="BM72" s="73" t="n">
        <f aca="false">IF($E72="","",COUNTIF($E69:$E72,BJ$21)+COUNTIF($E69:$E72,$A$3))</f>
        <v>0</v>
      </c>
      <c r="BN72" s="92" t="n">
        <f aca="false">IF($F72="","",COUNTIF($F69:$F72,BJ$21)+COUNTIF($F69:$F72,$A$3))</f>
        <v>0</v>
      </c>
      <c r="BP72" s="91" t="n">
        <f aca="false">IF($B72="","",COUNTIF($B69:$B72,BP$21)+COUNTIF($B69:$B72,$A$3))</f>
        <v>1</v>
      </c>
      <c r="BQ72" s="73" t="n">
        <f aca="false">IF($C72="","",COUNTIF($C69:$C72,BP$21)+COUNTIF($C69:$C72,$A$3))</f>
        <v>0</v>
      </c>
      <c r="BR72" s="73" t="n">
        <f aca="false">IF($D72="","",COUNTIF($D69:$D72,BP$21)+COUNTIF($D69:$D72,$A$3))</f>
        <v>0</v>
      </c>
      <c r="BS72" s="73" t="n">
        <f aca="false">IF($E72="","",COUNTIF($E69:$E72,BP$21)+COUNTIF($E69:$E72,$A$3))</f>
        <v>0</v>
      </c>
      <c r="BT72" s="92" t="n">
        <f aca="false">IF($F72="","",COUNTIF($F69:$F72,BP$21)+COUNTIF($F69:$F72,$A$3))</f>
        <v>0</v>
      </c>
    </row>
    <row r="73" customFormat="false" ht="15" hidden="false" customHeight="false" outlineLevel="0" collapsed="false">
      <c r="A73" s="13" t="n">
        <v>51</v>
      </c>
      <c r="B73" s="116" t="str">
        <f aca="false">IF('Game Info'!Q56="","",'Game Info'!Q56)</f>
        <v>SYM3</v>
      </c>
      <c r="C73" s="116" t="str">
        <f aca="false">IF('Game Info'!R56="","",'Game Info'!R56)</f>
        <v>SYM4</v>
      </c>
      <c r="D73" s="116" t="str">
        <f aca="false">IF('Game Info'!S56="","",'Game Info'!S56)</f>
        <v>Q</v>
      </c>
      <c r="E73" s="116" t="str">
        <f aca="false">IF('Game Info'!T56="","",'Game Info'!T56)</f>
        <v>SYM4</v>
      </c>
      <c r="F73" s="117" t="str">
        <f aca="false">IF('Game Info'!U56="","",'Game Info'!U56)</f>
        <v>Q</v>
      </c>
      <c r="H73" s="91" t="n">
        <f aca="false">IF($B73="","",COUNTIF($B70:$B73,H$21)+COUNTIF($B70:$B73,$A$3))</f>
        <v>0</v>
      </c>
      <c r="I73" s="73" t="n">
        <f aca="false">IF($C73="","",COUNTIF($C70:$C73,H$21)+COUNTIF($C70:$C73,$A$3))</f>
        <v>0</v>
      </c>
      <c r="J73" s="73" t="n">
        <f aca="false">IF($D73="","",COUNTIF($D70:$D73,H$21)+COUNTIF($D70:$D73,$A$3))</f>
        <v>2</v>
      </c>
      <c r="K73" s="73" t="n">
        <f aca="false">IF($E73="","",COUNTIF($E70:$E73,H$21)+COUNTIF($E70:$E73,$A$3))</f>
        <v>0</v>
      </c>
      <c r="L73" s="92" t="n">
        <f aca="false">IF($F73="","",COUNTIF($F70:$F73,H$21)+COUNTIF($F70:$F73,$A$3))</f>
        <v>0</v>
      </c>
      <c r="N73" s="91" t="n">
        <f aca="false">IF($B73="","",COUNTIF($B70:$B73,N$21)+COUNTIF($B70:$B73,$A$3))</f>
        <v>0</v>
      </c>
      <c r="O73" s="73" t="n">
        <f aca="false">IF($C73="","",COUNTIF($C70:$C73,N$21)+COUNTIF($C70:$C73,$A$3))</f>
        <v>0</v>
      </c>
      <c r="P73" s="73" t="n">
        <f aca="false">IF($D73="","",COUNTIF($D70:$D73,N$21)+COUNTIF($D70:$D73,$A$3))</f>
        <v>0</v>
      </c>
      <c r="Q73" s="73" t="n">
        <f aca="false">IF($E73="","",COUNTIF($E70:$E73,N$21)+COUNTIF($E70:$E73,$A$3))</f>
        <v>0</v>
      </c>
      <c r="R73" s="92" t="n">
        <f aca="false">IF($F73="","",COUNTIF($F70:$F73,N$21)+COUNTIF($F70:$F73,$A$3))</f>
        <v>0</v>
      </c>
      <c r="T73" s="91" t="n">
        <f aca="false">IF($B73="","",COUNTIF($B70:$B73,T$21)+COUNTIF($B70:$B73,$A$3))</f>
        <v>1</v>
      </c>
      <c r="U73" s="73" t="n">
        <f aca="false">IF($C73="","",COUNTIF($C70:$C73,T$21)+COUNTIF($C70:$C73,$A$3))</f>
        <v>0</v>
      </c>
      <c r="V73" s="73" t="n">
        <f aca="false">IF($D73="","",COUNTIF($D70:$D73,T$21)+COUNTIF($D70:$D73,$A$3))</f>
        <v>0</v>
      </c>
      <c r="W73" s="73" t="n">
        <f aca="false">IF($E73="","",COUNTIF($E70:$E73,T$21)+COUNTIF($E70:$E73,$A$3))</f>
        <v>0</v>
      </c>
      <c r="X73" s="92" t="n">
        <f aca="false">IF($F73="","",COUNTIF($F70:$F73,T$21)+COUNTIF($F70:$F73,$A$3))</f>
        <v>3</v>
      </c>
      <c r="Z73" s="91" t="n">
        <f aca="false">IF($B73="","",COUNTIF($B70:$B73,Z$21)+COUNTIF($B70:$B73,$A$3))</f>
        <v>1</v>
      </c>
      <c r="AA73" s="73" t="n">
        <f aca="false">IF($C73="","",COUNTIF($C70:$C73,Z$21)+COUNTIF($C70:$C73,$A$3))</f>
        <v>1</v>
      </c>
      <c r="AB73" s="73" t="n">
        <f aca="false">IF($D73="","",COUNTIF($D70:$D73,Z$21)+COUNTIF($D70:$D73,$A$3))</f>
        <v>0</v>
      </c>
      <c r="AC73" s="73" t="n">
        <f aca="false">IF($E73="","",COUNTIF($E70:$E73,Z$21)+COUNTIF($E70:$E73,$A$3))</f>
        <v>1</v>
      </c>
      <c r="AD73" s="92" t="n">
        <f aca="false">IF($F73="","",COUNTIF($F70:$F73,Z$21)+COUNTIF($F70:$F73,$A$3))</f>
        <v>0</v>
      </c>
      <c r="AF73" s="91" t="n">
        <f aca="false">IF($B73="","",COUNTIF($B70:$B73,AF$21)+COUNTIF($B70:$B73,$A$3))</f>
        <v>0</v>
      </c>
      <c r="AG73" s="73" t="n">
        <f aca="false">IF($C73="","",COUNTIF($C70:$C73,AF$21)+COUNTIF($C70:$C73,$A$3))</f>
        <v>1</v>
      </c>
      <c r="AH73" s="73" t="n">
        <f aca="false">IF($D73="","",COUNTIF($D70:$D73,AF$21)+COUNTIF($D70:$D73,$A$3))</f>
        <v>0</v>
      </c>
      <c r="AI73" s="73" t="n">
        <f aca="false">IF($E73="","",COUNTIF($E70:$E73,AF$21)+COUNTIF($E70:$E73,$A$3))</f>
        <v>1</v>
      </c>
      <c r="AJ73" s="92" t="n">
        <f aca="false">IF($F73="","",COUNTIF($F70:$F73,AF$21)+COUNTIF($F70:$F73,$A$3))</f>
        <v>0</v>
      </c>
      <c r="AL73" s="91" t="n">
        <f aca="false">IF($B73="","",COUNTIF($B70:$B73,AL$21)+COUNTIF($B70:$B73,$A$3))</f>
        <v>0</v>
      </c>
      <c r="AM73" s="73" t="n">
        <f aca="false">IF($C73="","",COUNTIF($C70:$C73,AL$21)+COUNTIF($C70:$C73,$A$3))</f>
        <v>0</v>
      </c>
      <c r="AN73" s="73" t="n">
        <f aca="false">IF($D73="","",COUNTIF($D70:$D73,AL$21)+COUNTIF($D70:$D73,$A$3))</f>
        <v>0</v>
      </c>
      <c r="AO73" s="73" t="n">
        <f aca="false">IF($E73="","",COUNTIF($E70:$E73,AL$21)+COUNTIF($E70:$E73,$A$3))</f>
        <v>1</v>
      </c>
      <c r="AP73" s="92" t="n">
        <f aca="false">IF($F73="","",COUNTIF($F70:$F73,AL$21)+COUNTIF($F70:$F73,$A$3))</f>
        <v>0</v>
      </c>
      <c r="AR73" s="91" t="n">
        <f aca="false">IF($B73="","",COUNTIF($B70:$B73,AR$21)+COUNTIF($B70:$B73,$A$3))</f>
        <v>0</v>
      </c>
      <c r="AS73" s="73" t="n">
        <f aca="false">IF($C73="","",COUNTIF($C70:$C73,AR$21)+COUNTIF($C70:$C73,$A$3))</f>
        <v>0</v>
      </c>
      <c r="AT73" s="73" t="n">
        <f aca="false">IF($D73="","",COUNTIF($D70:$D73,AR$21)+COUNTIF($D70:$D73,$A$3))</f>
        <v>0</v>
      </c>
      <c r="AU73" s="73" t="n">
        <f aca="false">IF($E73="","",COUNTIF($E70:$E73,AR$21)+COUNTIF($E70:$E73,$A$3))</f>
        <v>0</v>
      </c>
      <c r="AV73" s="92" t="n">
        <f aca="false">IF($F73="","",COUNTIF($F70:$F73,AR$21)+COUNTIF($F70:$F73,$A$3))</f>
        <v>0</v>
      </c>
      <c r="AX73" s="91" t="n">
        <f aca="false">IF($B73="","",COUNTIF($B70:$B73,AX$21)+COUNTIF($B70:$B73,$A$3))</f>
        <v>0</v>
      </c>
      <c r="AY73" s="73" t="n">
        <f aca="false">IF($C73="","",COUNTIF($C70:$C73,AX$21)+COUNTIF($C70:$C73,$A$3))</f>
        <v>2</v>
      </c>
      <c r="AZ73" s="73" t="n">
        <f aca="false">IF($D73="","",COUNTIF($D70:$D73,AX$21)+COUNTIF($D70:$D73,$A$3))</f>
        <v>1</v>
      </c>
      <c r="BA73" s="73" t="n">
        <f aca="false">IF($E73="","",COUNTIF($E70:$E73,AX$21)+COUNTIF($E70:$E73,$A$3))</f>
        <v>0</v>
      </c>
      <c r="BB73" s="92" t="n">
        <f aca="false">IF($F73="","",COUNTIF($F70:$F73,AX$21)+COUNTIF($F70:$F73,$A$3))</f>
        <v>1</v>
      </c>
      <c r="BD73" s="91" t="n">
        <f aca="false">IF($B73="","",COUNTIF($B70:$B73,BD$21)+COUNTIF($B70:$B73,$A$3))</f>
        <v>1</v>
      </c>
      <c r="BE73" s="73" t="n">
        <f aca="false">IF($C73="","",COUNTIF($C70:$C73,BD$21)+COUNTIF($C70:$C73,$A$3))</f>
        <v>0</v>
      </c>
      <c r="BF73" s="73" t="n">
        <f aca="false">IF($D73="","",COUNTIF($D70:$D73,BD$21)+COUNTIF($D70:$D73,$A$3))</f>
        <v>1</v>
      </c>
      <c r="BG73" s="73" t="n">
        <f aca="false">IF($E73="","",COUNTIF($E70:$E73,BD$21)+COUNTIF($E70:$E73,$A$3))</f>
        <v>1</v>
      </c>
      <c r="BH73" s="92" t="n">
        <f aca="false">IF($F73="","",COUNTIF($F70:$F73,BD$21)+COUNTIF($F70:$F73,$A$3))</f>
        <v>0</v>
      </c>
      <c r="BJ73" s="91" t="n">
        <f aca="false">IF($B73="","",COUNTIF($B70:$B73,BJ$21)+COUNTIF($B70:$B73,$A$3))</f>
        <v>0</v>
      </c>
      <c r="BK73" s="73" t="n">
        <f aca="false">IF($C73="","",COUNTIF($C70:$C73,BJ$21)+COUNTIF($C70:$C73,$A$3))</f>
        <v>0</v>
      </c>
      <c r="BL73" s="73" t="n">
        <f aca="false">IF($D73="","",COUNTIF($D70:$D73,BJ$21)+COUNTIF($D70:$D73,$A$3))</f>
        <v>0</v>
      </c>
      <c r="BM73" s="73" t="n">
        <f aca="false">IF($E73="","",COUNTIF($E70:$E73,BJ$21)+COUNTIF($E70:$E73,$A$3))</f>
        <v>0</v>
      </c>
      <c r="BN73" s="92" t="n">
        <f aca="false">IF($F73="","",COUNTIF($F70:$F73,BJ$21)+COUNTIF($F70:$F73,$A$3))</f>
        <v>0</v>
      </c>
      <c r="BP73" s="91" t="n">
        <f aca="false">IF($B73="","",COUNTIF($B70:$B73,BP$21)+COUNTIF($B70:$B73,$A$3))</f>
        <v>1</v>
      </c>
      <c r="BQ73" s="73" t="n">
        <f aca="false">IF($C73="","",COUNTIF($C70:$C73,BP$21)+COUNTIF($C70:$C73,$A$3))</f>
        <v>0</v>
      </c>
      <c r="BR73" s="73" t="n">
        <f aca="false">IF($D73="","",COUNTIF($D70:$D73,BP$21)+COUNTIF($D70:$D73,$A$3))</f>
        <v>0</v>
      </c>
      <c r="BS73" s="73" t="n">
        <f aca="false">IF($E73="","",COUNTIF($E70:$E73,BP$21)+COUNTIF($E70:$E73,$A$3))</f>
        <v>0</v>
      </c>
      <c r="BT73" s="92" t="n">
        <f aca="false">IF($F73="","",COUNTIF($F70:$F73,BP$21)+COUNTIF($F70:$F73,$A$3))</f>
        <v>0</v>
      </c>
    </row>
    <row r="74" customFormat="false" ht="15" hidden="false" customHeight="false" outlineLevel="0" collapsed="false">
      <c r="A74" s="13" t="n">
        <v>52</v>
      </c>
      <c r="B74" s="116" t="str">
        <f aca="false">IF('Game Info'!Q57="","",'Game Info'!Q57)</f>
        <v>K</v>
      </c>
      <c r="C74" s="116" t="str">
        <f aca="false">IF('Game Info'!R57="","",'Game Info'!R57)</f>
        <v>SYM4</v>
      </c>
      <c r="D74" s="116" t="str">
        <f aca="false">IF('Game Info'!S57="","",'Game Info'!S57)</f>
        <v>K</v>
      </c>
      <c r="E74" s="116" t="str">
        <f aca="false">IF('Game Info'!T57="","",'Game Info'!T57)</f>
        <v>SYM4</v>
      </c>
      <c r="F74" s="117" t="str">
        <f aca="false">IF('Game Info'!U57="","",'Game Info'!U57)</f>
        <v>K</v>
      </c>
      <c r="H74" s="91" t="n">
        <f aca="false">IF($B74="","",COUNTIF($B71:$B74,H$21)+COUNTIF($B71:$B74,$A$3))</f>
        <v>0</v>
      </c>
      <c r="I74" s="73" t="n">
        <f aca="false">IF($C74="","",COUNTIF($C71:$C74,H$21)+COUNTIF($C71:$C74,$A$3))</f>
        <v>0</v>
      </c>
      <c r="J74" s="73" t="n">
        <f aca="false">IF($D74="","",COUNTIF($D71:$D74,H$21)+COUNTIF($D71:$D74,$A$3))</f>
        <v>2</v>
      </c>
      <c r="K74" s="73" t="n">
        <f aca="false">IF($E74="","",COUNTIF($E71:$E74,H$21)+COUNTIF($E71:$E74,$A$3))</f>
        <v>0</v>
      </c>
      <c r="L74" s="92" t="n">
        <f aca="false">IF($F74="","",COUNTIF($F71:$F74,H$21)+COUNTIF($F71:$F74,$A$3))</f>
        <v>0</v>
      </c>
      <c r="N74" s="91" t="n">
        <f aca="false">IF($B74="","",COUNTIF($B71:$B74,N$21)+COUNTIF($B71:$B74,$A$3))</f>
        <v>0</v>
      </c>
      <c r="O74" s="73" t="n">
        <f aca="false">IF($C74="","",COUNTIF($C71:$C74,N$21)+COUNTIF($C71:$C74,$A$3))</f>
        <v>0</v>
      </c>
      <c r="P74" s="73" t="n">
        <f aca="false">IF($D74="","",COUNTIF($D71:$D74,N$21)+COUNTIF($D71:$D74,$A$3))</f>
        <v>0</v>
      </c>
      <c r="Q74" s="73" t="n">
        <f aca="false">IF($E74="","",COUNTIF($E71:$E74,N$21)+COUNTIF($E71:$E74,$A$3))</f>
        <v>0</v>
      </c>
      <c r="R74" s="92" t="n">
        <f aca="false">IF($F74="","",COUNTIF($F71:$F74,N$21)+COUNTIF($F71:$F74,$A$3))</f>
        <v>0</v>
      </c>
      <c r="T74" s="91" t="n">
        <f aca="false">IF($B74="","",COUNTIF($B71:$B74,T$21)+COUNTIF($B71:$B74,$A$3))</f>
        <v>1</v>
      </c>
      <c r="U74" s="73" t="n">
        <f aca="false">IF($C74="","",COUNTIF($C71:$C74,T$21)+COUNTIF($C71:$C74,$A$3))</f>
        <v>0</v>
      </c>
      <c r="V74" s="73" t="n">
        <f aca="false">IF($D74="","",COUNTIF($D71:$D74,T$21)+COUNTIF($D71:$D74,$A$3))</f>
        <v>0</v>
      </c>
      <c r="W74" s="73" t="n">
        <f aca="false">IF($E74="","",COUNTIF($E71:$E74,T$21)+COUNTIF($E71:$E74,$A$3))</f>
        <v>0</v>
      </c>
      <c r="X74" s="92" t="n">
        <f aca="false">IF($F74="","",COUNTIF($F71:$F74,T$21)+COUNTIF($F71:$F74,$A$3))</f>
        <v>2</v>
      </c>
      <c r="Z74" s="91" t="n">
        <f aca="false">IF($B74="","",COUNTIF($B71:$B74,Z$21)+COUNTIF($B71:$B74,$A$3))</f>
        <v>1</v>
      </c>
      <c r="AA74" s="73" t="n">
        <f aca="false">IF($C74="","",COUNTIF($C71:$C74,Z$21)+COUNTIF($C71:$C74,$A$3))</f>
        <v>2</v>
      </c>
      <c r="AB74" s="73" t="n">
        <f aca="false">IF($D74="","",COUNTIF($D71:$D74,Z$21)+COUNTIF($D71:$D74,$A$3))</f>
        <v>0</v>
      </c>
      <c r="AC74" s="73" t="n">
        <f aca="false">IF($E74="","",COUNTIF($E71:$E74,Z$21)+COUNTIF($E71:$E74,$A$3))</f>
        <v>2</v>
      </c>
      <c r="AD74" s="92" t="n">
        <f aca="false">IF($F74="","",COUNTIF($F71:$F74,Z$21)+COUNTIF($F71:$F74,$A$3))</f>
        <v>0</v>
      </c>
      <c r="AF74" s="91" t="n">
        <f aca="false">IF($B74="","",COUNTIF($B71:$B74,AF$21)+COUNTIF($B71:$B74,$A$3))</f>
        <v>0</v>
      </c>
      <c r="AG74" s="73" t="n">
        <f aca="false">IF($C74="","",COUNTIF($C71:$C74,AF$21)+COUNTIF($C71:$C74,$A$3))</f>
        <v>1</v>
      </c>
      <c r="AH74" s="73" t="n">
        <f aca="false">IF($D74="","",COUNTIF($D71:$D74,AF$21)+COUNTIF($D71:$D74,$A$3))</f>
        <v>0</v>
      </c>
      <c r="AI74" s="73" t="n">
        <f aca="false">IF($E74="","",COUNTIF($E71:$E74,AF$21)+COUNTIF($E71:$E74,$A$3))</f>
        <v>0</v>
      </c>
      <c r="AJ74" s="92" t="n">
        <f aca="false">IF($F74="","",COUNTIF($F71:$F74,AF$21)+COUNTIF($F71:$F74,$A$3))</f>
        <v>0</v>
      </c>
      <c r="AL74" s="91" t="n">
        <f aca="false">IF($B74="","",COUNTIF($B71:$B74,AL$21)+COUNTIF($B71:$B74,$A$3))</f>
        <v>0</v>
      </c>
      <c r="AM74" s="73" t="n">
        <f aca="false">IF($C74="","",COUNTIF($C71:$C74,AL$21)+COUNTIF($C71:$C74,$A$3))</f>
        <v>0</v>
      </c>
      <c r="AN74" s="73" t="n">
        <f aca="false">IF($D74="","",COUNTIF($D71:$D74,AL$21)+COUNTIF($D71:$D74,$A$3))</f>
        <v>0</v>
      </c>
      <c r="AO74" s="73" t="n">
        <f aca="false">IF($E74="","",COUNTIF($E71:$E74,AL$21)+COUNTIF($E71:$E74,$A$3))</f>
        <v>1</v>
      </c>
      <c r="AP74" s="92" t="n">
        <f aca="false">IF($F74="","",COUNTIF($F71:$F74,AL$21)+COUNTIF($F71:$F74,$A$3))</f>
        <v>0</v>
      </c>
      <c r="AR74" s="91" t="n">
        <f aca="false">IF($B74="","",COUNTIF($B71:$B74,AR$21)+COUNTIF($B71:$B74,$A$3))</f>
        <v>1</v>
      </c>
      <c r="AS74" s="73" t="n">
        <f aca="false">IF($C74="","",COUNTIF($C71:$C74,AR$21)+COUNTIF($C71:$C74,$A$3))</f>
        <v>0</v>
      </c>
      <c r="AT74" s="73" t="n">
        <f aca="false">IF($D74="","",COUNTIF($D71:$D74,AR$21)+COUNTIF($D71:$D74,$A$3))</f>
        <v>1</v>
      </c>
      <c r="AU74" s="73" t="n">
        <f aca="false">IF($E74="","",COUNTIF($E71:$E74,AR$21)+COUNTIF($E71:$E74,$A$3))</f>
        <v>0</v>
      </c>
      <c r="AV74" s="92" t="n">
        <f aca="false">IF($F74="","",COUNTIF($F71:$F74,AR$21)+COUNTIF($F71:$F74,$A$3))</f>
        <v>1</v>
      </c>
      <c r="AX74" s="91" t="n">
        <f aca="false">IF($B74="","",COUNTIF($B71:$B74,AX$21)+COUNTIF($B71:$B74,$A$3))</f>
        <v>0</v>
      </c>
      <c r="AY74" s="73" t="n">
        <f aca="false">IF($C74="","",COUNTIF($C71:$C74,AX$21)+COUNTIF($C71:$C74,$A$3))</f>
        <v>1</v>
      </c>
      <c r="AZ74" s="73" t="n">
        <f aca="false">IF($D74="","",COUNTIF($D71:$D74,AX$21)+COUNTIF($D71:$D74,$A$3))</f>
        <v>1</v>
      </c>
      <c r="BA74" s="73" t="n">
        <f aca="false">IF($E74="","",COUNTIF($E71:$E74,AX$21)+COUNTIF($E71:$E74,$A$3))</f>
        <v>0</v>
      </c>
      <c r="BB74" s="92" t="n">
        <f aca="false">IF($F74="","",COUNTIF($F71:$F74,AX$21)+COUNTIF($F71:$F74,$A$3))</f>
        <v>1</v>
      </c>
      <c r="BD74" s="91" t="n">
        <f aca="false">IF($B74="","",COUNTIF($B71:$B74,BD$21)+COUNTIF($B71:$B74,$A$3))</f>
        <v>1</v>
      </c>
      <c r="BE74" s="73" t="n">
        <f aca="false">IF($C74="","",COUNTIF($C71:$C74,BD$21)+COUNTIF($C71:$C74,$A$3))</f>
        <v>0</v>
      </c>
      <c r="BF74" s="73" t="n">
        <f aca="false">IF($D74="","",COUNTIF($D71:$D74,BD$21)+COUNTIF($D71:$D74,$A$3))</f>
        <v>0</v>
      </c>
      <c r="BG74" s="73" t="n">
        <f aca="false">IF($E74="","",COUNTIF($E71:$E74,BD$21)+COUNTIF($E71:$E74,$A$3))</f>
        <v>1</v>
      </c>
      <c r="BH74" s="92" t="n">
        <f aca="false">IF($F74="","",COUNTIF($F71:$F74,BD$21)+COUNTIF($F71:$F74,$A$3))</f>
        <v>0</v>
      </c>
      <c r="BJ74" s="91" t="n">
        <f aca="false">IF($B74="","",COUNTIF($B71:$B74,BJ$21)+COUNTIF($B71:$B74,$A$3))</f>
        <v>0</v>
      </c>
      <c r="BK74" s="73" t="n">
        <f aca="false">IF($C74="","",COUNTIF($C71:$C74,BJ$21)+COUNTIF($C71:$C74,$A$3))</f>
        <v>0</v>
      </c>
      <c r="BL74" s="73" t="n">
        <f aca="false">IF($D74="","",COUNTIF($D71:$D74,BJ$21)+COUNTIF($D71:$D74,$A$3))</f>
        <v>0</v>
      </c>
      <c r="BM74" s="73" t="n">
        <f aca="false">IF($E74="","",COUNTIF($E71:$E74,BJ$21)+COUNTIF($E71:$E74,$A$3))</f>
        <v>0</v>
      </c>
      <c r="BN74" s="92" t="n">
        <f aca="false">IF($F74="","",COUNTIF($F71:$F74,BJ$21)+COUNTIF($F71:$F74,$A$3))</f>
        <v>0</v>
      </c>
      <c r="BP74" s="91" t="n">
        <f aca="false">IF($B74="","",COUNTIF($B71:$B74,BP$21)+COUNTIF($B71:$B74,$A$3))</f>
        <v>0</v>
      </c>
      <c r="BQ74" s="73" t="n">
        <f aca="false">IF($C74="","",COUNTIF($C71:$C74,BP$21)+COUNTIF($C71:$C74,$A$3))</f>
        <v>0</v>
      </c>
      <c r="BR74" s="73" t="n">
        <f aca="false">IF($D74="","",COUNTIF($D71:$D74,BP$21)+COUNTIF($D71:$D74,$A$3))</f>
        <v>0</v>
      </c>
      <c r="BS74" s="73" t="n">
        <f aca="false">IF($E74="","",COUNTIF($E71:$E74,BP$21)+COUNTIF($E71:$E74,$A$3))</f>
        <v>0</v>
      </c>
      <c r="BT74" s="92" t="n">
        <f aca="false">IF($F74="","",COUNTIF($F71:$F74,BP$21)+COUNTIF($F71:$F74,$A$3))</f>
        <v>0</v>
      </c>
    </row>
    <row r="75" customFormat="false" ht="15" hidden="false" customHeight="false" outlineLevel="0" collapsed="false">
      <c r="A75" s="13" t="n">
        <v>53</v>
      </c>
      <c r="B75" s="116" t="n">
        <f aca="false">IF('Game Info'!Q58="","",'Game Info'!Q58)</f>
        <v>9</v>
      </c>
      <c r="C75" s="116" t="str">
        <f aca="false">IF('Game Info'!R58="","",'Game Info'!R58)</f>
        <v>SYM4</v>
      </c>
      <c r="D75" s="116" t="str">
        <f aca="false">IF('Game Info'!S58="","",'Game Info'!S58)</f>
        <v>J</v>
      </c>
      <c r="E75" s="116" t="str">
        <f aca="false">IF('Game Info'!T58="","",'Game Info'!T58)</f>
        <v>SYM4</v>
      </c>
      <c r="F75" s="117" t="str">
        <f aca="false">IF('Game Info'!U58="","",'Game Info'!U58)</f>
        <v>SYM2</v>
      </c>
      <c r="H75" s="91" t="n">
        <f aca="false">IF($B75="","",COUNTIF($B72:$B75,H$21)+COUNTIF($B72:$B75,$A$3))</f>
        <v>0</v>
      </c>
      <c r="I75" s="73" t="n">
        <f aca="false">IF($C75="","",COUNTIF($C72:$C75,H$21)+COUNTIF($C72:$C75,$A$3))</f>
        <v>0</v>
      </c>
      <c r="J75" s="73" t="n">
        <f aca="false">IF($D75="","",COUNTIF($D72:$D75,H$21)+COUNTIF($D72:$D75,$A$3))</f>
        <v>1</v>
      </c>
      <c r="K75" s="73" t="n">
        <f aca="false">IF($E75="","",COUNTIF($E72:$E75,H$21)+COUNTIF($E72:$E75,$A$3))</f>
        <v>0</v>
      </c>
      <c r="L75" s="92" t="n">
        <f aca="false">IF($F75="","",COUNTIF($F72:$F75,H$21)+COUNTIF($F72:$F75,$A$3))</f>
        <v>0</v>
      </c>
      <c r="N75" s="91" t="n">
        <f aca="false">IF($B75="","",COUNTIF($B72:$B75,N$21)+COUNTIF($B72:$B75,$A$3))</f>
        <v>0</v>
      </c>
      <c r="O75" s="73" t="n">
        <f aca="false">IF($C75="","",COUNTIF($C72:$C75,N$21)+COUNTIF($C72:$C75,$A$3))</f>
        <v>0</v>
      </c>
      <c r="P75" s="73" t="n">
        <f aca="false">IF($D75="","",COUNTIF($D72:$D75,N$21)+COUNTIF($D72:$D75,$A$3))</f>
        <v>0</v>
      </c>
      <c r="Q75" s="73" t="n">
        <f aca="false">IF($E75="","",COUNTIF($E72:$E75,N$21)+COUNTIF($E72:$E75,$A$3))</f>
        <v>0</v>
      </c>
      <c r="R75" s="92" t="n">
        <f aca="false">IF($F75="","",COUNTIF($F72:$F75,N$21)+COUNTIF($F72:$F75,$A$3))</f>
        <v>1</v>
      </c>
      <c r="T75" s="91" t="n">
        <f aca="false">IF($B75="","",COUNTIF($B72:$B75,T$21)+COUNTIF($B72:$B75,$A$3))</f>
        <v>1</v>
      </c>
      <c r="U75" s="73" t="n">
        <f aca="false">IF($C75="","",COUNTIF($C72:$C75,T$21)+COUNTIF($C72:$C75,$A$3))</f>
        <v>0</v>
      </c>
      <c r="V75" s="73" t="n">
        <f aca="false">IF($D75="","",COUNTIF($D72:$D75,T$21)+COUNTIF($D72:$D75,$A$3))</f>
        <v>0</v>
      </c>
      <c r="W75" s="73" t="n">
        <f aca="false">IF($E75="","",COUNTIF($E72:$E75,T$21)+COUNTIF($E72:$E75,$A$3))</f>
        <v>0</v>
      </c>
      <c r="X75" s="92" t="n">
        <f aca="false">IF($F75="","",COUNTIF($F72:$F75,T$21)+COUNTIF($F72:$F75,$A$3))</f>
        <v>1</v>
      </c>
      <c r="Z75" s="91" t="n">
        <f aca="false">IF($B75="","",COUNTIF($B72:$B75,Z$21)+COUNTIF($B72:$B75,$A$3))</f>
        <v>0</v>
      </c>
      <c r="AA75" s="73" t="n">
        <f aca="false">IF($C75="","",COUNTIF($C72:$C75,Z$21)+COUNTIF($C72:$C75,$A$3))</f>
        <v>3</v>
      </c>
      <c r="AB75" s="73" t="n">
        <f aca="false">IF($D75="","",COUNTIF($D72:$D75,Z$21)+COUNTIF($D72:$D75,$A$3))</f>
        <v>0</v>
      </c>
      <c r="AC75" s="73" t="n">
        <f aca="false">IF($E75="","",COUNTIF($E72:$E75,Z$21)+COUNTIF($E72:$E75,$A$3))</f>
        <v>3</v>
      </c>
      <c r="AD75" s="92" t="n">
        <f aca="false">IF($F75="","",COUNTIF($F72:$F75,Z$21)+COUNTIF($F72:$F75,$A$3))</f>
        <v>0</v>
      </c>
      <c r="AF75" s="91" t="n">
        <f aca="false">IF($B75="","",COUNTIF($B72:$B75,AF$21)+COUNTIF($B72:$B75,$A$3))</f>
        <v>0</v>
      </c>
      <c r="AG75" s="73" t="n">
        <f aca="false">IF($C75="","",COUNTIF($C72:$C75,AF$21)+COUNTIF($C72:$C75,$A$3))</f>
        <v>0</v>
      </c>
      <c r="AH75" s="73" t="n">
        <f aca="false">IF($D75="","",COUNTIF($D72:$D75,AF$21)+COUNTIF($D72:$D75,$A$3))</f>
        <v>0</v>
      </c>
      <c r="AI75" s="73" t="n">
        <f aca="false">IF($E75="","",COUNTIF($E72:$E75,AF$21)+COUNTIF($E72:$E75,$A$3))</f>
        <v>0</v>
      </c>
      <c r="AJ75" s="92" t="n">
        <f aca="false">IF($F75="","",COUNTIF($F72:$F75,AF$21)+COUNTIF($F72:$F75,$A$3))</f>
        <v>0</v>
      </c>
      <c r="AL75" s="91" t="n">
        <f aca="false">IF($B75="","",COUNTIF($B72:$B75,AL$21)+COUNTIF($B72:$B75,$A$3))</f>
        <v>0</v>
      </c>
      <c r="AM75" s="73" t="n">
        <f aca="false">IF($C75="","",COUNTIF($C72:$C75,AL$21)+COUNTIF($C72:$C75,$A$3))</f>
        <v>0</v>
      </c>
      <c r="AN75" s="73" t="n">
        <f aca="false">IF($D75="","",COUNTIF($D72:$D75,AL$21)+COUNTIF($D72:$D75,$A$3))</f>
        <v>0</v>
      </c>
      <c r="AO75" s="73" t="n">
        <f aca="false">IF($E75="","",COUNTIF($E72:$E75,AL$21)+COUNTIF($E72:$E75,$A$3))</f>
        <v>1</v>
      </c>
      <c r="AP75" s="92" t="n">
        <f aca="false">IF($F75="","",COUNTIF($F72:$F75,AL$21)+COUNTIF($F72:$F75,$A$3))</f>
        <v>0</v>
      </c>
      <c r="AR75" s="91" t="n">
        <f aca="false">IF($B75="","",COUNTIF($B72:$B75,AR$21)+COUNTIF($B72:$B75,$A$3))</f>
        <v>1</v>
      </c>
      <c r="AS75" s="73" t="n">
        <f aca="false">IF($C75="","",COUNTIF($C72:$C75,AR$21)+COUNTIF($C72:$C75,$A$3))</f>
        <v>0</v>
      </c>
      <c r="AT75" s="73" t="n">
        <f aca="false">IF($D75="","",COUNTIF($D72:$D75,AR$21)+COUNTIF($D72:$D75,$A$3))</f>
        <v>1</v>
      </c>
      <c r="AU75" s="73" t="n">
        <f aca="false">IF($E75="","",COUNTIF($E72:$E75,AR$21)+COUNTIF($E72:$E75,$A$3))</f>
        <v>0</v>
      </c>
      <c r="AV75" s="92" t="n">
        <f aca="false">IF($F75="","",COUNTIF($F72:$F75,AR$21)+COUNTIF($F72:$F75,$A$3))</f>
        <v>1</v>
      </c>
      <c r="AX75" s="91" t="n">
        <f aca="false">IF($B75="","",COUNTIF($B72:$B75,AX$21)+COUNTIF($B72:$B75,$A$3))</f>
        <v>0</v>
      </c>
      <c r="AY75" s="73" t="n">
        <f aca="false">IF($C75="","",COUNTIF($C72:$C75,AX$21)+COUNTIF($C72:$C75,$A$3))</f>
        <v>1</v>
      </c>
      <c r="AZ75" s="73" t="n">
        <f aca="false">IF($D75="","",COUNTIF($D72:$D75,AX$21)+COUNTIF($D72:$D75,$A$3))</f>
        <v>1</v>
      </c>
      <c r="BA75" s="73" t="n">
        <f aca="false">IF($E75="","",COUNTIF($E72:$E75,AX$21)+COUNTIF($E72:$E75,$A$3))</f>
        <v>0</v>
      </c>
      <c r="BB75" s="92" t="n">
        <f aca="false">IF($F75="","",COUNTIF($F72:$F75,AX$21)+COUNTIF($F72:$F75,$A$3))</f>
        <v>1</v>
      </c>
      <c r="BD75" s="91" t="n">
        <f aca="false">IF($B75="","",COUNTIF($B72:$B75,BD$21)+COUNTIF($B72:$B75,$A$3))</f>
        <v>1</v>
      </c>
      <c r="BE75" s="73" t="n">
        <f aca="false">IF($C75="","",COUNTIF($C72:$C75,BD$21)+COUNTIF($C72:$C75,$A$3))</f>
        <v>0</v>
      </c>
      <c r="BF75" s="73" t="n">
        <f aca="false">IF($D75="","",COUNTIF($D72:$D75,BD$21)+COUNTIF($D72:$D75,$A$3))</f>
        <v>1</v>
      </c>
      <c r="BG75" s="73" t="n">
        <f aca="false">IF($E75="","",COUNTIF($E72:$E75,BD$21)+COUNTIF($E72:$E75,$A$3))</f>
        <v>0</v>
      </c>
      <c r="BH75" s="92" t="n">
        <f aca="false">IF($F75="","",COUNTIF($F72:$F75,BD$21)+COUNTIF($F72:$F75,$A$3))</f>
        <v>0</v>
      </c>
      <c r="BJ75" s="91" t="n">
        <f aca="false">IF($B75="","",COUNTIF($B72:$B75,BJ$21)+COUNTIF($B72:$B75,$A$3))</f>
        <v>0</v>
      </c>
      <c r="BK75" s="73" t="n">
        <f aca="false">IF($C75="","",COUNTIF($C72:$C75,BJ$21)+COUNTIF($C72:$C75,$A$3))</f>
        <v>0</v>
      </c>
      <c r="BL75" s="73" t="n">
        <f aca="false">IF($D75="","",COUNTIF($D72:$D75,BJ$21)+COUNTIF($D72:$D75,$A$3))</f>
        <v>0</v>
      </c>
      <c r="BM75" s="73" t="n">
        <f aca="false">IF($E75="","",COUNTIF($E72:$E75,BJ$21)+COUNTIF($E72:$E75,$A$3))</f>
        <v>0</v>
      </c>
      <c r="BN75" s="92" t="n">
        <f aca="false">IF($F75="","",COUNTIF($F72:$F75,BJ$21)+COUNTIF($F72:$F75,$A$3))</f>
        <v>0</v>
      </c>
      <c r="BP75" s="91" t="n">
        <f aca="false">IF($B75="","",COUNTIF($B72:$B75,BP$21)+COUNTIF($B72:$B75,$A$3))</f>
        <v>1</v>
      </c>
      <c r="BQ75" s="73" t="n">
        <f aca="false">IF($C75="","",COUNTIF($C72:$C75,BP$21)+COUNTIF($C72:$C75,$A$3))</f>
        <v>0</v>
      </c>
      <c r="BR75" s="73" t="n">
        <f aca="false">IF($D75="","",COUNTIF($D72:$D75,BP$21)+COUNTIF($D72:$D75,$A$3))</f>
        <v>0</v>
      </c>
      <c r="BS75" s="73" t="n">
        <f aca="false">IF($E75="","",COUNTIF($E72:$E75,BP$21)+COUNTIF($E72:$E75,$A$3))</f>
        <v>0</v>
      </c>
      <c r="BT75" s="92" t="n">
        <f aca="false">IF($F75="","",COUNTIF($F72:$F75,BP$21)+COUNTIF($F72:$F75,$A$3))</f>
        <v>0</v>
      </c>
    </row>
    <row r="76" customFormat="false" ht="15" hidden="false" customHeight="false" outlineLevel="0" collapsed="false">
      <c r="A76" s="13" t="n">
        <v>54</v>
      </c>
      <c r="B76" s="116" t="str">
        <f aca="false">IF('Game Info'!Q59="","",'Game Info'!Q59)</f>
        <v>SYM1</v>
      </c>
      <c r="C76" s="116" t="n">
        <f aca="false">IF('Game Info'!R59="","",'Game Info'!R59)</f>
        <v>9</v>
      </c>
      <c r="D76" s="116" t="str">
        <f aca="false">IF('Game Info'!S59="","",'Game Info'!S59)</f>
        <v>SYM2</v>
      </c>
      <c r="E76" s="116" t="n">
        <f aca="false">IF('Game Info'!T59="","",'Game Info'!T59)</f>
        <v>10</v>
      </c>
      <c r="F76" s="117" t="str">
        <f aca="false">IF('Game Info'!U59="","",'Game Info'!U59)</f>
        <v>A</v>
      </c>
      <c r="H76" s="91" t="n">
        <f aca="false">IF($B76="","",COUNTIF($B73:$B76,H$21)+COUNTIF($B73:$B76,$A$3))</f>
        <v>1</v>
      </c>
      <c r="I76" s="73" t="n">
        <f aca="false">IF($C76="","",COUNTIF($C73:$C76,H$21)+COUNTIF($C73:$C76,$A$3))</f>
        <v>0</v>
      </c>
      <c r="J76" s="73" t="n">
        <f aca="false">IF($D76="","",COUNTIF($D73:$D76,H$21)+COUNTIF($D73:$D76,$A$3))</f>
        <v>0</v>
      </c>
      <c r="K76" s="73" t="n">
        <f aca="false">IF($E76="","",COUNTIF($E73:$E76,H$21)+COUNTIF($E73:$E76,$A$3))</f>
        <v>0</v>
      </c>
      <c r="L76" s="92" t="n">
        <f aca="false">IF($F76="","",COUNTIF($F73:$F76,H$21)+COUNTIF($F73:$F76,$A$3))</f>
        <v>0</v>
      </c>
      <c r="N76" s="91" t="n">
        <f aca="false">IF($B76="","",COUNTIF($B73:$B76,N$21)+COUNTIF($B73:$B76,$A$3))</f>
        <v>0</v>
      </c>
      <c r="O76" s="73" t="n">
        <f aca="false">IF($C76="","",COUNTIF($C73:$C76,N$21)+COUNTIF($C73:$C76,$A$3))</f>
        <v>0</v>
      </c>
      <c r="P76" s="73" t="n">
        <f aca="false">IF($D76="","",COUNTIF($D73:$D76,N$21)+COUNTIF($D73:$D76,$A$3))</f>
        <v>1</v>
      </c>
      <c r="Q76" s="73" t="n">
        <f aca="false">IF($E76="","",COUNTIF($E73:$E76,N$21)+COUNTIF($E73:$E76,$A$3))</f>
        <v>0</v>
      </c>
      <c r="R76" s="92" t="n">
        <f aca="false">IF($F76="","",COUNTIF($F73:$F76,N$21)+COUNTIF($F73:$F76,$A$3))</f>
        <v>1</v>
      </c>
      <c r="T76" s="91" t="n">
        <f aca="false">IF($B76="","",COUNTIF($B73:$B76,T$21)+COUNTIF($B73:$B76,$A$3))</f>
        <v>1</v>
      </c>
      <c r="U76" s="73" t="n">
        <f aca="false">IF($C76="","",COUNTIF($C73:$C76,T$21)+COUNTIF($C73:$C76,$A$3))</f>
        <v>0</v>
      </c>
      <c r="V76" s="73" t="n">
        <f aca="false">IF($D76="","",COUNTIF($D73:$D76,T$21)+COUNTIF($D73:$D76,$A$3))</f>
        <v>0</v>
      </c>
      <c r="W76" s="73" t="n">
        <f aca="false">IF($E76="","",COUNTIF($E73:$E76,T$21)+COUNTIF($E73:$E76,$A$3))</f>
        <v>0</v>
      </c>
      <c r="X76" s="92" t="n">
        <f aca="false">IF($F76="","",COUNTIF($F73:$F76,T$21)+COUNTIF($F73:$F76,$A$3))</f>
        <v>0</v>
      </c>
      <c r="Z76" s="91" t="n">
        <f aca="false">IF($B76="","",COUNTIF($B73:$B76,Z$21)+COUNTIF($B73:$B76,$A$3))</f>
        <v>0</v>
      </c>
      <c r="AA76" s="73" t="n">
        <f aca="false">IF($C76="","",COUNTIF($C73:$C76,Z$21)+COUNTIF($C73:$C76,$A$3))</f>
        <v>3</v>
      </c>
      <c r="AB76" s="73" t="n">
        <f aca="false">IF($D76="","",COUNTIF($D73:$D76,Z$21)+COUNTIF($D73:$D76,$A$3))</f>
        <v>0</v>
      </c>
      <c r="AC76" s="73" t="n">
        <f aca="false">IF($E76="","",COUNTIF($E73:$E76,Z$21)+COUNTIF($E73:$E76,$A$3))</f>
        <v>3</v>
      </c>
      <c r="AD76" s="92" t="n">
        <f aca="false">IF($F76="","",COUNTIF($F73:$F76,Z$21)+COUNTIF($F73:$F76,$A$3))</f>
        <v>0</v>
      </c>
      <c r="AF76" s="91" t="n">
        <f aca="false">IF($B76="","",COUNTIF($B73:$B76,AF$21)+COUNTIF($B73:$B76,$A$3))</f>
        <v>0</v>
      </c>
      <c r="AG76" s="73" t="n">
        <f aca="false">IF($C76="","",COUNTIF($C73:$C76,AF$21)+COUNTIF($C73:$C76,$A$3))</f>
        <v>0</v>
      </c>
      <c r="AH76" s="73" t="n">
        <f aca="false">IF($D76="","",COUNTIF($D73:$D76,AF$21)+COUNTIF($D73:$D76,$A$3))</f>
        <v>0</v>
      </c>
      <c r="AI76" s="73" t="n">
        <f aca="false">IF($E76="","",COUNTIF($E73:$E76,AF$21)+COUNTIF($E73:$E76,$A$3))</f>
        <v>0</v>
      </c>
      <c r="AJ76" s="92" t="n">
        <f aca="false">IF($F76="","",COUNTIF($F73:$F76,AF$21)+COUNTIF($F73:$F76,$A$3))</f>
        <v>0</v>
      </c>
      <c r="AL76" s="91" t="n">
        <f aca="false">IF($B76="","",COUNTIF($B73:$B76,AL$21)+COUNTIF($B73:$B76,$A$3))</f>
        <v>0</v>
      </c>
      <c r="AM76" s="73" t="n">
        <f aca="false">IF($C76="","",COUNTIF($C73:$C76,AL$21)+COUNTIF($C73:$C76,$A$3))</f>
        <v>0</v>
      </c>
      <c r="AN76" s="73" t="n">
        <f aca="false">IF($D76="","",COUNTIF($D73:$D76,AL$21)+COUNTIF($D73:$D76,$A$3))</f>
        <v>0</v>
      </c>
      <c r="AO76" s="73" t="n">
        <f aca="false">IF($E76="","",COUNTIF($E73:$E76,AL$21)+COUNTIF($E73:$E76,$A$3))</f>
        <v>0</v>
      </c>
      <c r="AP76" s="92" t="n">
        <f aca="false">IF($F76="","",COUNTIF($F73:$F76,AL$21)+COUNTIF($F73:$F76,$A$3))</f>
        <v>1</v>
      </c>
      <c r="AR76" s="91" t="n">
        <f aca="false">IF($B76="","",COUNTIF($B73:$B76,AR$21)+COUNTIF($B73:$B76,$A$3))</f>
        <v>1</v>
      </c>
      <c r="AS76" s="73" t="n">
        <f aca="false">IF($C76="","",COUNTIF($C73:$C76,AR$21)+COUNTIF($C73:$C76,$A$3))</f>
        <v>0</v>
      </c>
      <c r="AT76" s="73" t="n">
        <f aca="false">IF($D76="","",COUNTIF($D73:$D76,AR$21)+COUNTIF($D73:$D76,$A$3))</f>
        <v>1</v>
      </c>
      <c r="AU76" s="73" t="n">
        <f aca="false">IF($E76="","",COUNTIF($E73:$E76,AR$21)+COUNTIF($E73:$E76,$A$3))</f>
        <v>0</v>
      </c>
      <c r="AV76" s="92" t="n">
        <f aca="false">IF($F76="","",COUNTIF($F73:$F76,AR$21)+COUNTIF($F73:$F76,$A$3))</f>
        <v>1</v>
      </c>
      <c r="AX76" s="91" t="n">
        <f aca="false">IF($B76="","",COUNTIF($B73:$B76,AX$21)+COUNTIF($B73:$B76,$A$3))</f>
        <v>0</v>
      </c>
      <c r="AY76" s="73" t="n">
        <f aca="false">IF($C76="","",COUNTIF($C73:$C76,AX$21)+COUNTIF($C73:$C76,$A$3))</f>
        <v>0</v>
      </c>
      <c r="AZ76" s="73" t="n">
        <f aca="false">IF($D76="","",COUNTIF($D73:$D76,AX$21)+COUNTIF($D73:$D76,$A$3))</f>
        <v>1</v>
      </c>
      <c r="BA76" s="73" t="n">
        <f aca="false">IF($E76="","",COUNTIF($E73:$E76,AX$21)+COUNTIF($E73:$E76,$A$3))</f>
        <v>0</v>
      </c>
      <c r="BB76" s="92" t="n">
        <f aca="false">IF($F76="","",COUNTIF($F73:$F76,AX$21)+COUNTIF($F73:$F76,$A$3))</f>
        <v>1</v>
      </c>
      <c r="BD76" s="91" t="n">
        <f aca="false">IF($B76="","",COUNTIF($B73:$B76,BD$21)+COUNTIF($B73:$B76,$A$3))</f>
        <v>0</v>
      </c>
      <c r="BE76" s="73" t="n">
        <f aca="false">IF($C76="","",COUNTIF($C73:$C76,BD$21)+COUNTIF($C73:$C76,$A$3))</f>
        <v>0</v>
      </c>
      <c r="BF76" s="73" t="n">
        <f aca="false">IF($D76="","",COUNTIF($D73:$D76,BD$21)+COUNTIF($D73:$D76,$A$3))</f>
        <v>1</v>
      </c>
      <c r="BG76" s="73" t="n">
        <f aca="false">IF($E76="","",COUNTIF($E73:$E76,BD$21)+COUNTIF($E73:$E76,$A$3))</f>
        <v>0</v>
      </c>
      <c r="BH76" s="92" t="n">
        <f aca="false">IF($F76="","",COUNTIF($F73:$F76,BD$21)+COUNTIF($F73:$F76,$A$3))</f>
        <v>0</v>
      </c>
      <c r="BJ76" s="91" t="n">
        <f aca="false">IF($B76="","",COUNTIF($B73:$B76,BJ$21)+COUNTIF($B73:$B76,$A$3))</f>
        <v>0</v>
      </c>
      <c r="BK76" s="73" t="n">
        <f aca="false">IF($C76="","",COUNTIF($C73:$C76,BJ$21)+COUNTIF($C73:$C76,$A$3))</f>
        <v>0</v>
      </c>
      <c r="BL76" s="73" t="n">
        <f aca="false">IF($D76="","",COUNTIF($D73:$D76,BJ$21)+COUNTIF($D73:$D76,$A$3))</f>
        <v>0</v>
      </c>
      <c r="BM76" s="73" t="n">
        <f aca="false">IF($E76="","",COUNTIF($E73:$E76,BJ$21)+COUNTIF($E73:$E76,$A$3))</f>
        <v>1</v>
      </c>
      <c r="BN76" s="92" t="n">
        <f aca="false">IF($F76="","",COUNTIF($F73:$F76,BJ$21)+COUNTIF($F73:$F76,$A$3))</f>
        <v>0</v>
      </c>
      <c r="BP76" s="91" t="n">
        <f aca="false">IF($B76="","",COUNTIF($B73:$B76,BP$21)+COUNTIF($B73:$B76,$A$3))</f>
        <v>1</v>
      </c>
      <c r="BQ76" s="73" t="n">
        <f aca="false">IF($C76="","",COUNTIF($C73:$C76,BP$21)+COUNTIF($C73:$C76,$A$3))</f>
        <v>1</v>
      </c>
      <c r="BR76" s="73" t="n">
        <f aca="false">IF($D76="","",COUNTIF($D73:$D76,BP$21)+COUNTIF($D73:$D76,$A$3))</f>
        <v>0</v>
      </c>
      <c r="BS76" s="73" t="n">
        <f aca="false">IF($E76="","",COUNTIF($E73:$E76,BP$21)+COUNTIF($E73:$E76,$A$3))</f>
        <v>0</v>
      </c>
      <c r="BT76" s="92" t="n">
        <f aca="false">IF($F76="","",COUNTIF($F73:$F76,BP$21)+COUNTIF($F73:$F76,$A$3))</f>
        <v>0</v>
      </c>
    </row>
    <row r="77" customFormat="false" ht="15" hidden="false" customHeight="false" outlineLevel="0" collapsed="false">
      <c r="A77" s="13" t="n">
        <v>55</v>
      </c>
      <c r="B77" s="116" t="str">
        <f aca="false">IF('Game Info'!Q60="","",'Game Info'!Q60)</f>
        <v>SYM1</v>
      </c>
      <c r="C77" s="116" t="n">
        <f aca="false">IF('Game Info'!R60="","",'Game Info'!R60)</f>
        <v>10</v>
      </c>
      <c r="D77" s="116" t="n">
        <f aca="false">IF('Game Info'!S60="","",'Game Info'!S60)</f>
        <v>10</v>
      </c>
      <c r="E77" s="116" t="str">
        <f aca="false">IF('Game Info'!T60="","",'Game Info'!T60)</f>
        <v>SYM3</v>
      </c>
      <c r="F77" s="117" t="str">
        <f aca="false">IF('Game Info'!U60="","",'Game Info'!U60)</f>
        <v>SYM5</v>
      </c>
      <c r="H77" s="91" t="n">
        <f aca="false">IF($B77="","",COUNTIF($B74:$B77,H$21)+COUNTIF($B74:$B77,$A$3))</f>
        <v>2</v>
      </c>
      <c r="I77" s="73" t="n">
        <f aca="false">IF($C77="","",COUNTIF($C74:$C77,H$21)+COUNTIF($C74:$C77,$A$3))</f>
        <v>0</v>
      </c>
      <c r="J77" s="73" t="n">
        <f aca="false">IF($D77="","",COUNTIF($D74:$D77,H$21)+COUNTIF($D74:$D77,$A$3))</f>
        <v>0</v>
      </c>
      <c r="K77" s="73" t="n">
        <f aca="false">IF($E77="","",COUNTIF($E74:$E77,H$21)+COUNTIF($E74:$E77,$A$3))</f>
        <v>0</v>
      </c>
      <c r="L77" s="92" t="n">
        <f aca="false">IF($F77="","",COUNTIF($F74:$F77,H$21)+COUNTIF($F74:$F77,$A$3))</f>
        <v>0</v>
      </c>
      <c r="N77" s="91" t="n">
        <f aca="false">IF($B77="","",COUNTIF($B74:$B77,N$21)+COUNTIF($B74:$B77,$A$3))</f>
        <v>0</v>
      </c>
      <c r="O77" s="73" t="n">
        <f aca="false">IF($C77="","",COUNTIF($C74:$C77,N$21)+COUNTIF($C74:$C77,$A$3))</f>
        <v>0</v>
      </c>
      <c r="P77" s="73" t="n">
        <f aca="false">IF($D77="","",COUNTIF($D74:$D77,N$21)+COUNTIF($D74:$D77,$A$3))</f>
        <v>1</v>
      </c>
      <c r="Q77" s="73" t="n">
        <f aca="false">IF($E77="","",COUNTIF($E74:$E77,N$21)+COUNTIF($E74:$E77,$A$3))</f>
        <v>0</v>
      </c>
      <c r="R77" s="92" t="n">
        <f aca="false">IF($F77="","",COUNTIF($F74:$F77,N$21)+COUNTIF($F74:$F77,$A$3))</f>
        <v>1</v>
      </c>
      <c r="T77" s="91" t="n">
        <f aca="false">IF($B77="","",COUNTIF($B74:$B77,T$21)+COUNTIF($B74:$B77,$A$3))</f>
        <v>0</v>
      </c>
      <c r="U77" s="73" t="n">
        <f aca="false">IF($C77="","",COUNTIF($C74:$C77,T$21)+COUNTIF($C74:$C77,$A$3))</f>
        <v>0</v>
      </c>
      <c r="V77" s="73" t="n">
        <f aca="false">IF($D77="","",COUNTIF($D74:$D77,T$21)+COUNTIF($D74:$D77,$A$3))</f>
        <v>0</v>
      </c>
      <c r="W77" s="73" t="n">
        <f aca="false">IF($E77="","",COUNTIF($E74:$E77,T$21)+COUNTIF($E74:$E77,$A$3))</f>
        <v>1</v>
      </c>
      <c r="X77" s="92" t="n">
        <f aca="false">IF($F77="","",COUNTIF($F74:$F77,T$21)+COUNTIF($F74:$F77,$A$3))</f>
        <v>0</v>
      </c>
      <c r="Z77" s="91" t="n">
        <f aca="false">IF($B77="","",COUNTIF($B74:$B77,Z$21)+COUNTIF($B74:$B77,$A$3))</f>
        <v>0</v>
      </c>
      <c r="AA77" s="73" t="n">
        <f aca="false">IF($C77="","",COUNTIF($C74:$C77,Z$21)+COUNTIF($C74:$C77,$A$3))</f>
        <v>2</v>
      </c>
      <c r="AB77" s="73" t="n">
        <f aca="false">IF($D77="","",COUNTIF($D74:$D77,Z$21)+COUNTIF($D74:$D77,$A$3))</f>
        <v>0</v>
      </c>
      <c r="AC77" s="73" t="n">
        <f aca="false">IF($E77="","",COUNTIF($E74:$E77,Z$21)+COUNTIF($E74:$E77,$A$3))</f>
        <v>2</v>
      </c>
      <c r="AD77" s="92" t="n">
        <f aca="false">IF($F77="","",COUNTIF($F74:$F77,Z$21)+COUNTIF($F74:$F77,$A$3))</f>
        <v>0</v>
      </c>
      <c r="AF77" s="91" t="n">
        <f aca="false">IF($B77="","",COUNTIF($B74:$B77,AF$21)+COUNTIF($B74:$B77,$A$3))</f>
        <v>0</v>
      </c>
      <c r="AG77" s="73" t="n">
        <f aca="false">IF($C77="","",COUNTIF($C74:$C77,AF$21)+COUNTIF($C74:$C77,$A$3))</f>
        <v>0</v>
      </c>
      <c r="AH77" s="73" t="n">
        <f aca="false">IF($D77="","",COUNTIF($D74:$D77,AF$21)+COUNTIF($D74:$D77,$A$3))</f>
        <v>0</v>
      </c>
      <c r="AI77" s="73" t="n">
        <f aca="false">IF($E77="","",COUNTIF($E74:$E77,AF$21)+COUNTIF($E74:$E77,$A$3))</f>
        <v>0</v>
      </c>
      <c r="AJ77" s="92" t="n">
        <f aca="false">IF($F77="","",COUNTIF($F74:$F77,AF$21)+COUNTIF($F74:$F77,$A$3))</f>
        <v>1</v>
      </c>
      <c r="AL77" s="91" t="n">
        <f aca="false">IF($B77="","",COUNTIF($B74:$B77,AL$21)+COUNTIF($B74:$B77,$A$3))</f>
        <v>0</v>
      </c>
      <c r="AM77" s="73" t="n">
        <f aca="false">IF($C77="","",COUNTIF($C74:$C77,AL$21)+COUNTIF($C74:$C77,$A$3))</f>
        <v>0</v>
      </c>
      <c r="AN77" s="73" t="n">
        <f aca="false">IF($D77="","",COUNTIF($D74:$D77,AL$21)+COUNTIF($D74:$D77,$A$3))</f>
        <v>0</v>
      </c>
      <c r="AO77" s="73" t="n">
        <f aca="false">IF($E77="","",COUNTIF($E74:$E77,AL$21)+COUNTIF($E74:$E77,$A$3))</f>
        <v>0</v>
      </c>
      <c r="AP77" s="92" t="n">
        <f aca="false">IF($F77="","",COUNTIF($F74:$F77,AL$21)+COUNTIF($F74:$F77,$A$3))</f>
        <v>1</v>
      </c>
      <c r="AR77" s="91" t="n">
        <f aca="false">IF($B77="","",COUNTIF($B74:$B77,AR$21)+COUNTIF($B74:$B77,$A$3))</f>
        <v>1</v>
      </c>
      <c r="AS77" s="73" t="n">
        <f aca="false">IF($C77="","",COUNTIF($C74:$C77,AR$21)+COUNTIF($C74:$C77,$A$3))</f>
        <v>0</v>
      </c>
      <c r="AT77" s="73" t="n">
        <f aca="false">IF($D77="","",COUNTIF($D74:$D77,AR$21)+COUNTIF($D74:$D77,$A$3))</f>
        <v>1</v>
      </c>
      <c r="AU77" s="73" t="n">
        <f aca="false">IF($E77="","",COUNTIF($E74:$E77,AR$21)+COUNTIF($E74:$E77,$A$3))</f>
        <v>0</v>
      </c>
      <c r="AV77" s="92" t="n">
        <f aca="false">IF($F77="","",COUNTIF($F74:$F77,AR$21)+COUNTIF($F74:$F77,$A$3))</f>
        <v>1</v>
      </c>
      <c r="AX77" s="91" t="n">
        <f aca="false">IF($B77="","",COUNTIF($B74:$B77,AX$21)+COUNTIF($B74:$B77,$A$3))</f>
        <v>0</v>
      </c>
      <c r="AY77" s="73" t="n">
        <f aca="false">IF($C77="","",COUNTIF($C74:$C77,AX$21)+COUNTIF($C74:$C77,$A$3))</f>
        <v>0</v>
      </c>
      <c r="AZ77" s="73" t="n">
        <f aca="false">IF($D77="","",COUNTIF($D74:$D77,AX$21)+COUNTIF($D74:$D77,$A$3))</f>
        <v>0</v>
      </c>
      <c r="BA77" s="73" t="n">
        <f aca="false">IF($E77="","",COUNTIF($E74:$E77,AX$21)+COUNTIF($E74:$E77,$A$3))</f>
        <v>0</v>
      </c>
      <c r="BB77" s="92" t="n">
        <f aca="false">IF($F77="","",COUNTIF($F74:$F77,AX$21)+COUNTIF($F74:$F77,$A$3))</f>
        <v>0</v>
      </c>
      <c r="BD77" s="91" t="n">
        <f aca="false">IF($B77="","",COUNTIF($B74:$B77,BD$21)+COUNTIF($B74:$B77,$A$3))</f>
        <v>0</v>
      </c>
      <c r="BE77" s="73" t="n">
        <f aca="false">IF($C77="","",COUNTIF($C74:$C77,BD$21)+COUNTIF($C74:$C77,$A$3))</f>
        <v>0</v>
      </c>
      <c r="BF77" s="73" t="n">
        <f aca="false">IF($D77="","",COUNTIF($D74:$D77,BD$21)+COUNTIF($D74:$D77,$A$3))</f>
        <v>1</v>
      </c>
      <c r="BG77" s="73" t="n">
        <f aca="false">IF($E77="","",COUNTIF($E74:$E77,BD$21)+COUNTIF($E74:$E77,$A$3))</f>
        <v>0</v>
      </c>
      <c r="BH77" s="92" t="n">
        <f aca="false">IF($F77="","",COUNTIF($F74:$F77,BD$21)+COUNTIF($F74:$F77,$A$3))</f>
        <v>0</v>
      </c>
      <c r="BJ77" s="91" t="n">
        <f aca="false">IF($B77="","",COUNTIF($B74:$B77,BJ$21)+COUNTIF($B74:$B77,$A$3))</f>
        <v>0</v>
      </c>
      <c r="BK77" s="73" t="n">
        <f aca="false">IF($C77="","",COUNTIF($C74:$C77,BJ$21)+COUNTIF($C74:$C77,$A$3))</f>
        <v>1</v>
      </c>
      <c r="BL77" s="73" t="n">
        <f aca="false">IF($D77="","",COUNTIF($D74:$D77,BJ$21)+COUNTIF($D74:$D77,$A$3))</f>
        <v>1</v>
      </c>
      <c r="BM77" s="73" t="n">
        <f aca="false">IF($E77="","",COUNTIF($E74:$E77,BJ$21)+COUNTIF($E74:$E77,$A$3))</f>
        <v>1</v>
      </c>
      <c r="BN77" s="92" t="n">
        <f aca="false">IF($F77="","",COUNTIF($F74:$F77,BJ$21)+COUNTIF($F74:$F77,$A$3))</f>
        <v>0</v>
      </c>
      <c r="BP77" s="91" t="n">
        <f aca="false">IF($B77="","",COUNTIF($B74:$B77,BP$21)+COUNTIF($B74:$B77,$A$3))</f>
        <v>1</v>
      </c>
      <c r="BQ77" s="73" t="n">
        <f aca="false">IF($C77="","",COUNTIF($C74:$C77,BP$21)+COUNTIF($C74:$C77,$A$3))</f>
        <v>1</v>
      </c>
      <c r="BR77" s="73" t="n">
        <f aca="false">IF($D77="","",COUNTIF($D74:$D77,BP$21)+COUNTIF($D74:$D77,$A$3))</f>
        <v>0</v>
      </c>
      <c r="BS77" s="73" t="n">
        <f aca="false">IF($E77="","",COUNTIF($E74:$E77,BP$21)+COUNTIF($E74:$E77,$A$3))</f>
        <v>0</v>
      </c>
      <c r="BT77" s="92" t="n">
        <f aca="false">IF($F77="","",COUNTIF($F74:$F77,BP$21)+COUNTIF($F74:$F77,$A$3))</f>
        <v>0</v>
      </c>
    </row>
    <row r="78" customFormat="false" ht="15" hidden="false" customHeight="false" outlineLevel="0" collapsed="false">
      <c r="A78" s="13" t="n">
        <v>56</v>
      </c>
      <c r="B78" s="116" t="n">
        <f aca="false">IF('Game Info'!Q61="","",'Game Info'!Q61)</f>
        <v>10</v>
      </c>
      <c r="C78" s="116" t="str">
        <f aca="false">IF('Game Info'!R61="","",'Game Info'!R61)</f>
        <v>SYM2</v>
      </c>
      <c r="D78" s="116" t="str">
        <f aca="false">IF('Game Info'!S61="","",'Game Info'!S61)</f>
        <v>WILD</v>
      </c>
      <c r="E78" s="116" t="str">
        <f aca="false">IF('Game Info'!T61="","",'Game Info'!T61)</f>
        <v>K</v>
      </c>
      <c r="F78" s="117" t="str">
        <f aca="false">IF('Game Info'!U61="","",'Game Info'!U61)</f>
        <v>J</v>
      </c>
      <c r="H78" s="91" t="n">
        <f aca="false">IF($B78="","",COUNTIF($B75:$B78,H$21)+COUNTIF($B75:$B78,$A$3))</f>
        <v>2</v>
      </c>
      <c r="I78" s="73" t="n">
        <f aca="false">IF($C78="","",COUNTIF($C75:$C78,H$21)+COUNTIF($C75:$C78,$A$3))</f>
        <v>0</v>
      </c>
      <c r="J78" s="73" t="n">
        <f aca="false">IF($D78="","",COUNTIF($D75:$D78,H$21)+COUNTIF($D75:$D78,$A$3))</f>
        <v>1</v>
      </c>
      <c r="K78" s="73" t="n">
        <f aca="false">IF($E78="","",COUNTIF($E75:$E78,H$21)+COUNTIF($E75:$E78,$A$3))</f>
        <v>0</v>
      </c>
      <c r="L78" s="92" t="n">
        <f aca="false">IF($F78="","",COUNTIF($F75:$F78,H$21)+COUNTIF($F75:$F78,$A$3))</f>
        <v>0</v>
      </c>
      <c r="N78" s="91" t="n">
        <f aca="false">IF($B78="","",COUNTIF($B75:$B78,N$21)+COUNTIF($B75:$B78,$A$3))</f>
        <v>0</v>
      </c>
      <c r="O78" s="73" t="n">
        <f aca="false">IF($C78="","",COUNTIF($C75:$C78,N$21)+COUNTIF($C75:$C78,$A$3))</f>
        <v>1</v>
      </c>
      <c r="P78" s="73" t="n">
        <f aca="false">IF($D78="","",COUNTIF($D75:$D78,N$21)+COUNTIF($D75:$D78,$A$3))</f>
        <v>2</v>
      </c>
      <c r="Q78" s="73" t="n">
        <f aca="false">IF($E78="","",COUNTIF($E75:$E78,N$21)+COUNTIF($E75:$E78,$A$3))</f>
        <v>0</v>
      </c>
      <c r="R78" s="92" t="n">
        <f aca="false">IF($F78="","",COUNTIF($F75:$F78,N$21)+COUNTIF($F75:$F78,$A$3))</f>
        <v>1</v>
      </c>
      <c r="T78" s="91" t="n">
        <f aca="false">IF($B78="","",COUNTIF($B75:$B78,T$21)+COUNTIF($B75:$B78,$A$3))</f>
        <v>0</v>
      </c>
      <c r="U78" s="73" t="n">
        <f aca="false">IF($C78="","",COUNTIF($C75:$C78,T$21)+COUNTIF($C75:$C78,$A$3))</f>
        <v>0</v>
      </c>
      <c r="V78" s="73" t="n">
        <f aca="false">IF($D78="","",COUNTIF($D75:$D78,T$21)+COUNTIF($D75:$D78,$A$3))</f>
        <v>1</v>
      </c>
      <c r="W78" s="73" t="n">
        <f aca="false">IF($E78="","",COUNTIF($E75:$E78,T$21)+COUNTIF($E75:$E78,$A$3))</f>
        <v>1</v>
      </c>
      <c r="X78" s="92" t="n">
        <f aca="false">IF($F78="","",COUNTIF($F75:$F78,T$21)+COUNTIF($F75:$F78,$A$3))</f>
        <v>0</v>
      </c>
      <c r="Z78" s="91" t="n">
        <f aca="false">IF($B78="","",COUNTIF($B75:$B78,Z$21)+COUNTIF($B75:$B78,$A$3))</f>
        <v>0</v>
      </c>
      <c r="AA78" s="73" t="n">
        <f aca="false">IF($C78="","",COUNTIF($C75:$C78,Z$21)+COUNTIF($C75:$C78,$A$3))</f>
        <v>1</v>
      </c>
      <c r="AB78" s="73" t="n">
        <f aca="false">IF($D78="","",COUNTIF($D75:$D78,Z$21)+COUNTIF($D75:$D78,$A$3))</f>
        <v>1</v>
      </c>
      <c r="AC78" s="73" t="n">
        <f aca="false">IF($E78="","",COUNTIF($E75:$E78,Z$21)+COUNTIF($E75:$E78,$A$3))</f>
        <v>1</v>
      </c>
      <c r="AD78" s="92" t="n">
        <f aca="false">IF($F78="","",COUNTIF($F75:$F78,Z$21)+COUNTIF($F75:$F78,$A$3))</f>
        <v>0</v>
      </c>
      <c r="AF78" s="91" t="n">
        <f aca="false">IF($B78="","",COUNTIF($B75:$B78,AF$21)+COUNTIF($B75:$B78,$A$3))</f>
        <v>0</v>
      </c>
      <c r="AG78" s="73" t="n">
        <f aca="false">IF($C78="","",COUNTIF($C75:$C78,AF$21)+COUNTIF($C75:$C78,$A$3))</f>
        <v>0</v>
      </c>
      <c r="AH78" s="73" t="n">
        <f aca="false">IF($D78="","",COUNTIF($D75:$D78,AF$21)+COUNTIF($D75:$D78,$A$3))</f>
        <v>1</v>
      </c>
      <c r="AI78" s="73" t="n">
        <f aca="false">IF($E78="","",COUNTIF($E75:$E78,AF$21)+COUNTIF($E75:$E78,$A$3))</f>
        <v>0</v>
      </c>
      <c r="AJ78" s="92" t="n">
        <f aca="false">IF($F78="","",COUNTIF($F75:$F78,AF$21)+COUNTIF($F75:$F78,$A$3))</f>
        <v>1</v>
      </c>
      <c r="AL78" s="91" t="n">
        <f aca="false">IF($B78="","",COUNTIF($B75:$B78,AL$21)+COUNTIF($B75:$B78,$A$3))</f>
        <v>0</v>
      </c>
      <c r="AM78" s="73" t="n">
        <f aca="false">IF($C78="","",COUNTIF($C75:$C78,AL$21)+COUNTIF($C75:$C78,$A$3))</f>
        <v>0</v>
      </c>
      <c r="AN78" s="73" t="n">
        <f aca="false">IF($D78="","",COUNTIF($D75:$D78,AL$21)+COUNTIF($D75:$D78,$A$3))</f>
        <v>1</v>
      </c>
      <c r="AO78" s="73" t="n">
        <f aca="false">IF($E78="","",COUNTIF($E75:$E78,AL$21)+COUNTIF($E75:$E78,$A$3))</f>
        <v>0</v>
      </c>
      <c r="AP78" s="92" t="n">
        <f aca="false">IF($F78="","",COUNTIF($F75:$F78,AL$21)+COUNTIF($F75:$F78,$A$3))</f>
        <v>1</v>
      </c>
      <c r="AR78" s="91" t="n">
        <f aca="false">IF($B78="","",COUNTIF($B75:$B78,AR$21)+COUNTIF($B75:$B78,$A$3))</f>
        <v>0</v>
      </c>
      <c r="AS78" s="73" t="n">
        <f aca="false">IF($C78="","",COUNTIF($C75:$C78,AR$21)+COUNTIF($C75:$C78,$A$3))</f>
        <v>0</v>
      </c>
      <c r="AT78" s="73" t="n">
        <f aca="false">IF($D78="","",COUNTIF($D75:$D78,AR$21)+COUNTIF($D75:$D78,$A$3))</f>
        <v>1</v>
      </c>
      <c r="AU78" s="73" t="n">
        <f aca="false">IF($E78="","",COUNTIF($E75:$E78,AR$21)+COUNTIF($E75:$E78,$A$3))</f>
        <v>1</v>
      </c>
      <c r="AV78" s="92" t="n">
        <f aca="false">IF($F78="","",COUNTIF($F75:$F78,AR$21)+COUNTIF($F75:$F78,$A$3))</f>
        <v>0</v>
      </c>
      <c r="AX78" s="91" t="n">
        <f aca="false">IF($B78="","",COUNTIF($B75:$B78,AX$21)+COUNTIF($B75:$B78,$A$3))</f>
        <v>0</v>
      </c>
      <c r="AY78" s="73" t="n">
        <f aca="false">IF($C78="","",COUNTIF($C75:$C78,AX$21)+COUNTIF($C75:$C78,$A$3))</f>
        <v>0</v>
      </c>
      <c r="AZ78" s="73" t="n">
        <f aca="false">IF($D78="","",COUNTIF($D75:$D78,AX$21)+COUNTIF($D75:$D78,$A$3))</f>
        <v>1</v>
      </c>
      <c r="BA78" s="73" t="n">
        <f aca="false">IF($E78="","",COUNTIF($E75:$E78,AX$21)+COUNTIF($E75:$E78,$A$3))</f>
        <v>0</v>
      </c>
      <c r="BB78" s="92" t="n">
        <f aca="false">IF($F78="","",COUNTIF($F75:$F78,AX$21)+COUNTIF($F75:$F78,$A$3))</f>
        <v>0</v>
      </c>
      <c r="BD78" s="91" t="n">
        <f aca="false">IF($B78="","",COUNTIF($B75:$B78,BD$21)+COUNTIF($B75:$B78,$A$3))</f>
        <v>0</v>
      </c>
      <c r="BE78" s="73" t="n">
        <f aca="false">IF($C78="","",COUNTIF($C75:$C78,BD$21)+COUNTIF($C75:$C78,$A$3))</f>
        <v>0</v>
      </c>
      <c r="BF78" s="73" t="n">
        <f aca="false">IF($D78="","",COUNTIF($D75:$D78,BD$21)+COUNTIF($D75:$D78,$A$3))</f>
        <v>2</v>
      </c>
      <c r="BG78" s="73" t="n">
        <f aca="false">IF($E78="","",COUNTIF($E75:$E78,BD$21)+COUNTIF($E75:$E78,$A$3))</f>
        <v>0</v>
      </c>
      <c r="BH78" s="92" t="n">
        <f aca="false">IF($F78="","",COUNTIF($F75:$F78,BD$21)+COUNTIF($F75:$F78,$A$3))</f>
        <v>1</v>
      </c>
      <c r="BJ78" s="91" t="n">
        <f aca="false">IF($B78="","",COUNTIF($B75:$B78,BJ$21)+COUNTIF($B75:$B78,$A$3))</f>
        <v>1</v>
      </c>
      <c r="BK78" s="73" t="n">
        <f aca="false">IF($C78="","",COUNTIF($C75:$C78,BJ$21)+COUNTIF($C75:$C78,$A$3))</f>
        <v>1</v>
      </c>
      <c r="BL78" s="73" t="n">
        <f aca="false">IF($D78="","",COUNTIF($D75:$D78,BJ$21)+COUNTIF($D75:$D78,$A$3))</f>
        <v>2</v>
      </c>
      <c r="BM78" s="73" t="n">
        <f aca="false">IF($E78="","",COUNTIF($E75:$E78,BJ$21)+COUNTIF($E75:$E78,$A$3))</f>
        <v>1</v>
      </c>
      <c r="BN78" s="92" t="n">
        <f aca="false">IF($F78="","",COUNTIF($F75:$F78,BJ$21)+COUNTIF($F75:$F78,$A$3))</f>
        <v>0</v>
      </c>
      <c r="BP78" s="91" t="n">
        <f aca="false">IF($B78="","",COUNTIF($B75:$B78,BP$21)+COUNTIF($B75:$B78,$A$3))</f>
        <v>1</v>
      </c>
      <c r="BQ78" s="73" t="n">
        <f aca="false">IF($C78="","",COUNTIF($C75:$C78,BP$21)+COUNTIF($C75:$C78,$A$3))</f>
        <v>1</v>
      </c>
      <c r="BR78" s="73" t="n">
        <f aca="false">IF($D78="","",COUNTIF($D75:$D78,BP$21)+COUNTIF($D75:$D78,$A$3))</f>
        <v>1</v>
      </c>
      <c r="BS78" s="73" t="n">
        <f aca="false">IF($E78="","",COUNTIF($E75:$E78,BP$21)+COUNTIF($E75:$E78,$A$3))</f>
        <v>0</v>
      </c>
      <c r="BT78" s="92" t="n">
        <f aca="false">IF($F78="","",COUNTIF($F75:$F78,BP$21)+COUNTIF($F75:$F78,$A$3))</f>
        <v>0</v>
      </c>
    </row>
    <row r="79" customFormat="false" ht="15" hidden="false" customHeight="false" outlineLevel="0" collapsed="false">
      <c r="A79" s="13" t="n">
        <v>57</v>
      </c>
      <c r="B79" s="116" t="str">
        <f aca="false">IF('Game Info'!Q62="","",'Game Info'!Q62)</f>
        <v>Q</v>
      </c>
      <c r="C79" s="116" t="str">
        <f aca="false">IF('Game Info'!R62="","",'Game Info'!R62)</f>
        <v>J</v>
      </c>
      <c r="D79" s="116" t="str">
        <f aca="false">IF('Game Info'!S62="","",'Game Info'!S62)</f>
        <v>Q</v>
      </c>
      <c r="E79" s="116" t="str">
        <f aca="false">IF('Game Info'!T62="","",'Game Info'!T62)</f>
        <v>SYM5</v>
      </c>
      <c r="F79" s="117" t="str">
        <f aca="false">IF('Game Info'!U62="","",'Game Info'!U62)</f>
        <v>SYM1</v>
      </c>
      <c r="H79" s="91" t="n">
        <f aca="false">IF($B79="","",COUNTIF($B76:$B79,H$21)+COUNTIF($B76:$B79,$A$3))</f>
        <v>2</v>
      </c>
      <c r="I79" s="73" t="n">
        <f aca="false">IF($C79="","",COUNTIF($C76:$C79,H$21)+COUNTIF($C76:$C79,$A$3))</f>
        <v>0</v>
      </c>
      <c r="J79" s="73" t="n">
        <f aca="false">IF($D79="","",COUNTIF($D76:$D79,H$21)+COUNTIF($D76:$D79,$A$3))</f>
        <v>1</v>
      </c>
      <c r="K79" s="73" t="n">
        <f aca="false">IF($E79="","",COUNTIF($E76:$E79,H$21)+COUNTIF($E76:$E79,$A$3))</f>
        <v>0</v>
      </c>
      <c r="L79" s="92" t="n">
        <f aca="false">IF($F79="","",COUNTIF($F76:$F79,H$21)+COUNTIF($F76:$F79,$A$3))</f>
        <v>1</v>
      </c>
      <c r="N79" s="91" t="n">
        <f aca="false">IF($B79="","",COUNTIF($B76:$B79,N$21)+COUNTIF($B76:$B79,$A$3))</f>
        <v>0</v>
      </c>
      <c r="O79" s="73" t="n">
        <f aca="false">IF($C79="","",COUNTIF($C76:$C79,N$21)+COUNTIF($C76:$C79,$A$3))</f>
        <v>1</v>
      </c>
      <c r="P79" s="73" t="n">
        <f aca="false">IF($D79="","",COUNTIF($D76:$D79,N$21)+COUNTIF($D76:$D79,$A$3))</f>
        <v>2</v>
      </c>
      <c r="Q79" s="73" t="n">
        <f aca="false">IF($E79="","",COUNTIF($E76:$E79,N$21)+COUNTIF($E76:$E79,$A$3))</f>
        <v>0</v>
      </c>
      <c r="R79" s="92" t="n">
        <f aca="false">IF($F79="","",COUNTIF($F76:$F79,N$21)+COUNTIF($F76:$F79,$A$3))</f>
        <v>0</v>
      </c>
      <c r="T79" s="91" t="n">
        <f aca="false">IF($B79="","",COUNTIF($B76:$B79,T$21)+COUNTIF($B76:$B79,$A$3))</f>
        <v>0</v>
      </c>
      <c r="U79" s="73" t="n">
        <f aca="false">IF($C79="","",COUNTIF($C76:$C79,T$21)+COUNTIF($C76:$C79,$A$3))</f>
        <v>0</v>
      </c>
      <c r="V79" s="73" t="n">
        <f aca="false">IF($D79="","",COUNTIF($D76:$D79,T$21)+COUNTIF($D76:$D79,$A$3))</f>
        <v>1</v>
      </c>
      <c r="W79" s="73" t="n">
        <f aca="false">IF($E79="","",COUNTIF($E76:$E79,T$21)+COUNTIF($E76:$E79,$A$3))</f>
        <v>1</v>
      </c>
      <c r="X79" s="92" t="n">
        <f aca="false">IF($F79="","",COUNTIF($F76:$F79,T$21)+COUNTIF($F76:$F79,$A$3))</f>
        <v>0</v>
      </c>
      <c r="Z79" s="91" t="n">
        <f aca="false">IF($B79="","",COUNTIF($B76:$B79,Z$21)+COUNTIF($B76:$B79,$A$3))</f>
        <v>0</v>
      </c>
      <c r="AA79" s="73" t="n">
        <f aca="false">IF($C79="","",COUNTIF($C76:$C79,Z$21)+COUNTIF($C76:$C79,$A$3))</f>
        <v>0</v>
      </c>
      <c r="AB79" s="73" t="n">
        <f aca="false">IF($D79="","",COUNTIF($D76:$D79,Z$21)+COUNTIF($D76:$D79,$A$3))</f>
        <v>1</v>
      </c>
      <c r="AC79" s="73" t="n">
        <f aca="false">IF($E79="","",COUNTIF($E76:$E79,Z$21)+COUNTIF($E76:$E79,$A$3))</f>
        <v>0</v>
      </c>
      <c r="AD79" s="92" t="n">
        <f aca="false">IF($F79="","",COUNTIF($F76:$F79,Z$21)+COUNTIF($F76:$F79,$A$3))</f>
        <v>0</v>
      </c>
      <c r="AF79" s="91" t="n">
        <f aca="false">IF($B79="","",COUNTIF($B76:$B79,AF$21)+COUNTIF($B76:$B79,$A$3))</f>
        <v>0</v>
      </c>
      <c r="AG79" s="73" t="n">
        <f aca="false">IF($C79="","",COUNTIF($C76:$C79,AF$21)+COUNTIF($C76:$C79,$A$3))</f>
        <v>0</v>
      </c>
      <c r="AH79" s="73" t="n">
        <f aca="false">IF($D79="","",COUNTIF($D76:$D79,AF$21)+COUNTIF($D76:$D79,$A$3))</f>
        <v>1</v>
      </c>
      <c r="AI79" s="73" t="n">
        <f aca="false">IF($E79="","",COUNTIF($E76:$E79,AF$21)+COUNTIF($E76:$E79,$A$3))</f>
        <v>1</v>
      </c>
      <c r="AJ79" s="92" t="n">
        <f aca="false">IF($F79="","",COUNTIF($F76:$F79,AF$21)+COUNTIF($F76:$F79,$A$3))</f>
        <v>1</v>
      </c>
      <c r="AL79" s="91" t="n">
        <f aca="false">IF($B79="","",COUNTIF($B76:$B79,AL$21)+COUNTIF($B76:$B79,$A$3))</f>
        <v>0</v>
      </c>
      <c r="AM79" s="73" t="n">
        <f aca="false">IF($C79="","",COUNTIF($C76:$C79,AL$21)+COUNTIF($C76:$C79,$A$3))</f>
        <v>0</v>
      </c>
      <c r="AN79" s="73" t="n">
        <f aca="false">IF($D79="","",COUNTIF($D76:$D79,AL$21)+COUNTIF($D76:$D79,$A$3))</f>
        <v>1</v>
      </c>
      <c r="AO79" s="73" t="n">
        <f aca="false">IF($E79="","",COUNTIF($E76:$E79,AL$21)+COUNTIF($E76:$E79,$A$3))</f>
        <v>0</v>
      </c>
      <c r="AP79" s="92" t="n">
        <f aca="false">IF($F79="","",COUNTIF($F76:$F79,AL$21)+COUNTIF($F76:$F79,$A$3))</f>
        <v>1</v>
      </c>
      <c r="AR79" s="91" t="n">
        <f aca="false">IF($B79="","",COUNTIF($B76:$B79,AR$21)+COUNTIF($B76:$B79,$A$3))</f>
        <v>0</v>
      </c>
      <c r="AS79" s="73" t="n">
        <f aca="false">IF($C79="","",COUNTIF($C76:$C79,AR$21)+COUNTIF($C76:$C79,$A$3))</f>
        <v>0</v>
      </c>
      <c r="AT79" s="73" t="n">
        <f aca="false">IF($D79="","",COUNTIF($D76:$D79,AR$21)+COUNTIF($D76:$D79,$A$3))</f>
        <v>1</v>
      </c>
      <c r="AU79" s="73" t="n">
        <f aca="false">IF($E79="","",COUNTIF($E76:$E79,AR$21)+COUNTIF($E76:$E79,$A$3))</f>
        <v>1</v>
      </c>
      <c r="AV79" s="92" t="n">
        <f aca="false">IF($F79="","",COUNTIF($F76:$F79,AR$21)+COUNTIF($F76:$F79,$A$3))</f>
        <v>0</v>
      </c>
      <c r="AX79" s="91" t="n">
        <f aca="false">IF($B79="","",COUNTIF($B76:$B79,AX$21)+COUNTIF($B76:$B79,$A$3))</f>
        <v>1</v>
      </c>
      <c r="AY79" s="73" t="n">
        <f aca="false">IF($C79="","",COUNTIF($C76:$C79,AX$21)+COUNTIF($C76:$C79,$A$3))</f>
        <v>0</v>
      </c>
      <c r="AZ79" s="73" t="n">
        <f aca="false">IF($D79="","",COUNTIF($D76:$D79,AX$21)+COUNTIF($D76:$D79,$A$3))</f>
        <v>2</v>
      </c>
      <c r="BA79" s="73" t="n">
        <f aca="false">IF($E79="","",COUNTIF($E76:$E79,AX$21)+COUNTIF($E76:$E79,$A$3))</f>
        <v>0</v>
      </c>
      <c r="BB79" s="92" t="n">
        <f aca="false">IF($F79="","",COUNTIF($F76:$F79,AX$21)+COUNTIF($F76:$F79,$A$3))</f>
        <v>0</v>
      </c>
      <c r="BD79" s="91" t="n">
        <f aca="false">IF($B79="","",COUNTIF($B76:$B79,BD$21)+COUNTIF($B76:$B79,$A$3))</f>
        <v>0</v>
      </c>
      <c r="BE79" s="73" t="n">
        <f aca="false">IF($C79="","",COUNTIF($C76:$C79,BD$21)+COUNTIF($C76:$C79,$A$3))</f>
        <v>1</v>
      </c>
      <c r="BF79" s="73" t="n">
        <f aca="false">IF($D79="","",COUNTIF($D76:$D79,BD$21)+COUNTIF($D76:$D79,$A$3))</f>
        <v>1</v>
      </c>
      <c r="BG79" s="73" t="n">
        <f aca="false">IF($E79="","",COUNTIF($E76:$E79,BD$21)+COUNTIF($E76:$E79,$A$3))</f>
        <v>0</v>
      </c>
      <c r="BH79" s="92" t="n">
        <f aca="false">IF($F79="","",COUNTIF($F76:$F79,BD$21)+COUNTIF($F76:$F79,$A$3))</f>
        <v>1</v>
      </c>
      <c r="BJ79" s="91" t="n">
        <f aca="false">IF($B79="","",COUNTIF($B76:$B79,BJ$21)+COUNTIF($B76:$B79,$A$3))</f>
        <v>1</v>
      </c>
      <c r="BK79" s="73" t="n">
        <f aca="false">IF($C79="","",COUNTIF($C76:$C79,BJ$21)+COUNTIF($C76:$C79,$A$3))</f>
        <v>1</v>
      </c>
      <c r="BL79" s="73" t="n">
        <f aca="false">IF($D79="","",COUNTIF($D76:$D79,BJ$21)+COUNTIF($D76:$D79,$A$3))</f>
        <v>2</v>
      </c>
      <c r="BM79" s="73" t="n">
        <f aca="false">IF($E79="","",COUNTIF($E76:$E79,BJ$21)+COUNTIF($E76:$E79,$A$3))</f>
        <v>1</v>
      </c>
      <c r="BN79" s="92" t="n">
        <f aca="false">IF($F79="","",COUNTIF($F76:$F79,BJ$21)+COUNTIF($F76:$F79,$A$3))</f>
        <v>0</v>
      </c>
      <c r="BP79" s="91" t="n">
        <f aca="false">IF($B79="","",COUNTIF($B76:$B79,BP$21)+COUNTIF($B76:$B79,$A$3))</f>
        <v>0</v>
      </c>
      <c r="BQ79" s="73" t="n">
        <f aca="false">IF($C79="","",COUNTIF($C76:$C79,BP$21)+COUNTIF($C76:$C79,$A$3))</f>
        <v>1</v>
      </c>
      <c r="BR79" s="73" t="n">
        <f aca="false">IF($D79="","",COUNTIF($D76:$D79,BP$21)+COUNTIF($D76:$D79,$A$3))</f>
        <v>1</v>
      </c>
      <c r="BS79" s="73" t="n">
        <f aca="false">IF($E79="","",COUNTIF($E76:$E79,BP$21)+COUNTIF($E76:$E79,$A$3))</f>
        <v>0</v>
      </c>
      <c r="BT79" s="92" t="n">
        <f aca="false">IF($F79="","",COUNTIF($F76:$F79,BP$21)+COUNTIF($F76:$F79,$A$3))</f>
        <v>0</v>
      </c>
    </row>
    <row r="80" customFormat="false" ht="15" hidden="false" customHeight="false" outlineLevel="0" collapsed="false">
      <c r="A80" s="13" t="n">
        <v>58</v>
      </c>
      <c r="B80" s="116" t="str">
        <f aca="false">IF('Game Info'!Q63="","",'Game Info'!Q63)</f>
        <v>SYM3</v>
      </c>
      <c r="C80" s="116" t="str">
        <f aca="false">IF('Game Info'!R63="","",'Game Info'!R63)</f>
        <v>K</v>
      </c>
      <c r="D80" s="116" t="str">
        <f aca="false">IF('Game Info'!S63="","",'Game Info'!S63)</f>
        <v>SYM5</v>
      </c>
      <c r="E80" s="116" t="str">
        <f aca="false">IF('Game Info'!T63="","",'Game Info'!T63)</f>
        <v>Q</v>
      </c>
      <c r="F80" s="117" t="str">
        <f aca="false">IF('Game Info'!U63="","",'Game Info'!U63)</f>
        <v>K</v>
      </c>
      <c r="H80" s="91" t="n">
        <f aca="false">IF($B80="","",COUNTIF($B77:$B80,H$21)+COUNTIF($B77:$B80,$A$3))</f>
        <v>1</v>
      </c>
      <c r="I80" s="73" t="n">
        <f aca="false">IF($C80="","",COUNTIF($C77:$C80,H$21)+COUNTIF($C77:$C80,$A$3))</f>
        <v>0</v>
      </c>
      <c r="J80" s="73" t="n">
        <f aca="false">IF($D80="","",COUNTIF($D77:$D80,H$21)+COUNTIF($D77:$D80,$A$3))</f>
        <v>1</v>
      </c>
      <c r="K80" s="73" t="n">
        <f aca="false">IF($E80="","",COUNTIF($E77:$E80,H$21)+COUNTIF($E77:$E80,$A$3))</f>
        <v>0</v>
      </c>
      <c r="L80" s="92" t="n">
        <f aca="false">IF($F80="","",COUNTIF($F77:$F80,H$21)+COUNTIF($F77:$F80,$A$3))</f>
        <v>1</v>
      </c>
      <c r="N80" s="91" t="n">
        <f aca="false">IF($B80="","",COUNTIF($B77:$B80,N$21)+COUNTIF($B77:$B80,$A$3))</f>
        <v>0</v>
      </c>
      <c r="O80" s="73" t="n">
        <f aca="false">IF($C80="","",COUNTIF($C77:$C80,N$21)+COUNTIF($C77:$C80,$A$3))</f>
        <v>1</v>
      </c>
      <c r="P80" s="73" t="n">
        <f aca="false">IF($D80="","",COUNTIF($D77:$D80,N$21)+COUNTIF($D77:$D80,$A$3))</f>
        <v>1</v>
      </c>
      <c r="Q80" s="73" t="n">
        <f aca="false">IF($E80="","",COUNTIF($E77:$E80,N$21)+COUNTIF($E77:$E80,$A$3))</f>
        <v>0</v>
      </c>
      <c r="R80" s="92" t="n">
        <f aca="false">IF($F80="","",COUNTIF($F77:$F80,N$21)+COUNTIF($F77:$F80,$A$3))</f>
        <v>0</v>
      </c>
      <c r="T80" s="91" t="n">
        <f aca="false">IF($B80="","",COUNTIF($B77:$B80,T$21)+COUNTIF($B77:$B80,$A$3))</f>
        <v>1</v>
      </c>
      <c r="U80" s="73" t="n">
        <f aca="false">IF($C80="","",COUNTIF($C77:$C80,T$21)+COUNTIF($C77:$C80,$A$3))</f>
        <v>0</v>
      </c>
      <c r="V80" s="73" t="n">
        <f aca="false">IF($D80="","",COUNTIF($D77:$D80,T$21)+COUNTIF($D77:$D80,$A$3))</f>
        <v>1</v>
      </c>
      <c r="W80" s="73" t="n">
        <f aca="false">IF($E80="","",COUNTIF($E77:$E80,T$21)+COUNTIF($E77:$E80,$A$3))</f>
        <v>1</v>
      </c>
      <c r="X80" s="92" t="n">
        <f aca="false">IF($F80="","",COUNTIF($F77:$F80,T$21)+COUNTIF($F77:$F80,$A$3))</f>
        <v>0</v>
      </c>
      <c r="Z80" s="91" t="n">
        <f aca="false">IF($B80="","",COUNTIF($B77:$B80,Z$21)+COUNTIF($B77:$B80,$A$3))</f>
        <v>0</v>
      </c>
      <c r="AA80" s="73" t="n">
        <f aca="false">IF($C80="","",COUNTIF($C77:$C80,Z$21)+COUNTIF($C77:$C80,$A$3))</f>
        <v>0</v>
      </c>
      <c r="AB80" s="73" t="n">
        <f aca="false">IF($D80="","",COUNTIF($D77:$D80,Z$21)+COUNTIF($D77:$D80,$A$3))</f>
        <v>1</v>
      </c>
      <c r="AC80" s="73" t="n">
        <f aca="false">IF($E80="","",COUNTIF($E77:$E80,Z$21)+COUNTIF($E77:$E80,$A$3))</f>
        <v>0</v>
      </c>
      <c r="AD80" s="92" t="n">
        <f aca="false">IF($F80="","",COUNTIF($F77:$F80,Z$21)+COUNTIF($F77:$F80,$A$3))</f>
        <v>0</v>
      </c>
      <c r="AF80" s="91" t="n">
        <f aca="false">IF($B80="","",COUNTIF($B77:$B80,AF$21)+COUNTIF($B77:$B80,$A$3))</f>
        <v>0</v>
      </c>
      <c r="AG80" s="73" t="n">
        <f aca="false">IF($C80="","",COUNTIF($C77:$C80,AF$21)+COUNTIF($C77:$C80,$A$3))</f>
        <v>0</v>
      </c>
      <c r="AH80" s="73" t="n">
        <f aca="false">IF($D80="","",COUNTIF($D77:$D80,AF$21)+COUNTIF($D77:$D80,$A$3))</f>
        <v>2</v>
      </c>
      <c r="AI80" s="73" t="n">
        <f aca="false">IF($E80="","",COUNTIF($E77:$E80,AF$21)+COUNTIF($E77:$E80,$A$3))</f>
        <v>1</v>
      </c>
      <c r="AJ80" s="92" t="n">
        <f aca="false">IF($F80="","",COUNTIF($F77:$F80,AF$21)+COUNTIF($F77:$F80,$A$3))</f>
        <v>1</v>
      </c>
      <c r="AL80" s="91" t="n">
        <f aca="false">IF($B80="","",COUNTIF($B77:$B80,AL$21)+COUNTIF($B77:$B80,$A$3))</f>
        <v>0</v>
      </c>
      <c r="AM80" s="73" t="n">
        <f aca="false">IF($C80="","",COUNTIF($C77:$C80,AL$21)+COUNTIF($C77:$C80,$A$3))</f>
        <v>0</v>
      </c>
      <c r="AN80" s="73" t="n">
        <f aca="false">IF($D80="","",COUNTIF($D77:$D80,AL$21)+COUNTIF($D77:$D80,$A$3))</f>
        <v>1</v>
      </c>
      <c r="AO80" s="73" t="n">
        <f aca="false">IF($E80="","",COUNTIF($E77:$E80,AL$21)+COUNTIF($E77:$E80,$A$3))</f>
        <v>0</v>
      </c>
      <c r="AP80" s="92" t="n">
        <f aca="false">IF($F80="","",COUNTIF($F77:$F80,AL$21)+COUNTIF($F77:$F80,$A$3))</f>
        <v>0</v>
      </c>
      <c r="AR80" s="91" t="n">
        <f aca="false">IF($B80="","",COUNTIF($B77:$B80,AR$21)+COUNTIF($B77:$B80,$A$3))</f>
        <v>0</v>
      </c>
      <c r="AS80" s="73" t="n">
        <f aca="false">IF($C80="","",COUNTIF($C77:$C80,AR$21)+COUNTIF($C77:$C80,$A$3))</f>
        <v>1</v>
      </c>
      <c r="AT80" s="73" t="n">
        <f aca="false">IF($D80="","",COUNTIF($D77:$D80,AR$21)+COUNTIF($D77:$D80,$A$3))</f>
        <v>1</v>
      </c>
      <c r="AU80" s="73" t="n">
        <f aca="false">IF($E80="","",COUNTIF($E77:$E80,AR$21)+COUNTIF($E77:$E80,$A$3))</f>
        <v>1</v>
      </c>
      <c r="AV80" s="92" t="n">
        <f aca="false">IF($F80="","",COUNTIF($F77:$F80,AR$21)+COUNTIF($F77:$F80,$A$3))</f>
        <v>1</v>
      </c>
      <c r="AX80" s="91" t="n">
        <f aca="false">IF($B80="","",COUNTIF($B77:$B80,AX$21)+COUNTIF($B77:$B80,$A$3))</f>
        <v>1</v>
      </c>
      <c r="AY80" s="73" t="n">
        <f aca="false">IF($C80="","",COUNTIF($C77:$C80,AX$21)+COUNTIF($C77:$C80,$A$3))</f>
        <v>0</v>
      </c>
      <c r="AZ80" s="73" t="n">
        <f aca="false">IF($D80="","",COUNTIF($D77:$D80,AX$21)+COUNTIF($D77:$D80,$A$3))</f>
        <v>2</v>
      </c>
      <c r="BA80" s="73" t="n">
        <f aca="false">IF($E80="","",COUNTIF($E77:$E80,AX$21)+COUNTIF($E77:$E80,$A$3))</f>
        <v>1</v>
      </c>
      <c r="BB80" s="92" t="n">
        <f aca="false">IF($F80="","",COUNTIF($F77:$F80,AX$21)+COUNTIF($F77:$F80,$A$3))</f>
        <v>0</v>
      </c>
      <c r="BD80" s="91" t="n">
        <f aca="false">IF($B80="","",COUNTIF($B77:$B80,BD$21)+COUNTIF($B77:$B80,$A$3))</f>
        <v>0</v>
      </c>
      <c r="BE80" s="73" t="n">
        <f aca="false">IF($C80="","",COUNTIF($C77:$C80,BD$21)+COUNTIF($C77:$C80,$A$3))</f>
        <v>1</v>
      </c>
      <c r="BF80" s="73" t="n">
        <f aca="false">IF($D80="","",COUNTIF($D77:$D80,BD$21)+COUNTIF($D77:$D80,$A$3))</f>
        <v>1</v>
      </c>
      <c r="BG80" s="73" t="n">
        <f aca="false">IF($E80="","",COUNTIF($E77:$E80,BD$21)+COUNTIF($E77:$E80,$A$3))</f>
        <v>0</v>
      </c>
      <c r="BH80" s="92" t="n">
        <f aca="false">IF($F80="","",COUNTIF($F77:$F80,BD$21)+COUNTIF($F77:$F80,$A$3))</f>
        <v>1</v>
      </c>
      <c r="BJ80" s="91" t="n">
        <f aca="false">IF($B80="","",COUNTIF($B77:$B80,BJ$21)+COUNTIF($B77:$B80,$A$3))</f>
        <v>1</v>
      </c>
      <c r="BK80" s="73" t="n">
        <f aca="false">IF($C80="","",COUNTIF($C77:$C80,BJ$21)+COUNTIF($C77:$C80,$A$3))</f>
        <v>1</v>
      </c>
      <c r="BL80" s="73" t="n">
        <f aca="false">IF($D80="","",COUNTIF($D77:$D80,BJ$21)+COUNTIF($D77:$D80,$A$3))</f>
        <v>2</v>
      </c>
      <c r="BM80" s="73" t="n">
        <f aca="false">IF($E80="","",COUNTIF($E77:$E80,BJ$21)+COUNTIF($E77:$E80,$A$3))</f>
        <v>0</v>
      </c>
      <c r="BN80" s="92" t="n">
        <f aca="false">IF($F80="","",COUNTIF($F77:$F80,BJ$21)+COUNTIF($F77:$F80,$A$3))</f>
        <v>0</v>
      </c>
      <c r="BP80" s="91" t="n">
        <f aca="false">IF($B80="","",COUNTIF($B77:$B80,BP$21)+COUNTIF($B77:$B80,$A$3))</f>
        <v>0</v>
      </c>
      <c r="BQ80" s="73" t="n">
        <f aca="false">IF($C80="","",COUNTIF($C77:$C80,BP$21)+COUNTIF($C77:$C80,$A$3))</f>
        <v>0</v>
      </c>
      <c r="BR80" s="73" t="n">
        <f aca="false">IF($D80="","",COUNTIF($D77:$D80,BP$21)+COUNTIF($D77:$D80,$A$3))</f>
        <v>1</v>
      </c>
      <c r="BS80" s="73" t="n">
        <f aca="false">IF($E80="","",COUNTIF($E77:$E80,BP$21)+COUNTIF($E77:$E80,$A$3))</f>
        <v>0</v>
      </c>
      <c r="BT80" s="92" t="n">
        <f aca="false">IF($F80="","",COUNTIF($F77:$F80,BP$21)+COUNTIF($F77:$F80,$A$3))</f>
        <v>0</v>
      </c>
    </row>
    <row r="81" customFormat="false" ht="15" hidden="false" customHeight="false" outlineLevel="0" collapsed="false">
      <c r="A81" s="13" t="n">
        <v>59</v>
      </c>
      <c r="B81" s="116" t="str">
        <f aca="false">IF('Game Info'!Q64="","",'Game Info'!Q64)</f>
        <v>A</v>
      </c>
      <c r="C81" s="116" t="str">
        <f aca="false">IF('Game Info'!R64="","",'Game Info'!R64)</f>
        <v>FG</v>
      </c>
      <c r="D81" s="116" t="n">
        <f aca="false">IF('Game Info'!S64="","",'Game Info'!S64)</f>
        <v>10</v>
      </c>
      <c r="E81" s="116" t="str">
        <f aca="false">IF('Game Info'!T64="","",'Game Info'!T64)</f>
        <v>SYM2</v>
      </c>
      <c r="F81" s="117" t="str">
        <f aca="false">IF('Game Info'!U64="","",'Game Info'!U64)</f>
        <v>SYM3</v>
      </c>
      <c r="H81" s="91" t="n">
        <f aca="false">IF($B81="","",COUNTIF($B78:$B81,H$21)+COUNTIF($B78:$B81,$A$3))</f>
        <v>0</v>
      </c>
      <c r="I81" s="73" t="n">
        <f aca="false">IF($C81="","",COUNTIF($C78:$C81,H$21)+COUNTIF($C78:$C81,$A$3))</f>
        <v>0</v>
      </c>
      <c r="J81" s="73" t="n">
        <f aca="false">IF($D81="","",COUNTIF($D78:$D81,H$21)+COUNTIF($D78:$D81,$A$3))</f>
        <v>1</v>
      </c>
      <c r="K81" s="73" t="n">
        <f aca="false">IF($E81="","",COUNTIF($E78:$E81,H$21)+COUNTIF($E78:$E81,$A$3))</f>
        <v>0</v>
      </c>
      <c r="L81" s="92" t="n">
        <f aca="false">IF($F81="","",COUNTIF($F78:$F81,H$21)+COUNTIF($F78:$F81,$A$3))</f>
        <v>1</v>
      </c>
      <c r="N81" s="91" t="n">
        <f aca="false">IF($B81="","",COUNTIF($B78:$B81,N$21)+COUNTIF($B78:$B81,$A$3))</f>
        <v>0</v>
      </c>
      <c r="O81" s="73" t="n">
        <f aca="false">IF($C81="","",COUNTIF($C78:$C81,N$21)+COUNTIF($C78:$C81,$A$3))</f>
        <v>1</v>
      </c>
      <c r="P81" s="73" t="n">
        <f aca="false">IF($D81="","",COUNTIF($D78:$D81,N$21)+COUNTIF($D78:$D81,$A$3))</f>
        <v>1</v>
      </c>
      <c r="Q81" s="73" t="n">
        <f aca="false">IF($E81="","",COUNTIF($E78:$E81,N$21)+COUNTIF($E78:$E81,$A$3))</f>
        <v>1</v>
      </c>
      <c r="R81" s="92" t="n">
        <f aca="false">IF($F81="","",COUNTIF($F78:$F81,N$21)+COUNTIF($F78:$F81,$A$3))</f>
        <v>0</v>
      </c>
      <c r="T81" s="91" t="n">
        <f aca="false">IF($B81="","",COUNTIF($B78:$B81,T$21)+COUNTIF($B78:$B81,$A$3))</f>
        <v>1</v>
      </c>
      <c r="U81" s="73" t="n">
        <f aca="false">IF($C81="","",COUNTIF($C78:$C81,T$21)+COUNTIF($C78:$C81,$A$3))</f>
        <v>0</v>
      </c>
      <c r="V81" s="73" t="n">
        <f aca="false">IF($D81="","",COUNTIF($D78:$D81,T$21)+COUNTIF($D78:$D81,$A$3))</f>
        <v>1</v>
      </c>
      <c r="W81" s="73" t="n">
        <f aca="false">IF($E81="","",COUNTIF($E78:$E81,T$21)+COUNTIF($E78:$E81,$A$3))</f>
        <v>0</v>
      </c>
      <c r="X81" s="92" t="n">
        <f aca="false">IF($F81="","",COUNTIF($F78:$F81,T$21)+COUNTIF($F78:$F81,$A$3))</f>
        <v>1</v>
      </c>
      <c r="Z81" s="91" t="n">
        <f aca="false">IF($B81="","",COUNTIF($B78:$B81,Z$21)+COUNTIF($B78:$B81,$A$3))</f>
        <v>0</v>
      </c>
      <c r="AA81" s="73" t="n">
        <f aca="false">IF($C81="","",COUNTIF($C78:$C81,Z$21)+COUNTIF($C78:$C81,$A$3))</f>
        <v>0</v>
      </c>
      <c r="AB81" s="73" t="n">
        <f aca="false">IF($D81="","",COUNTIF($D78:$D81,Z$21)+COUNTIF($D78:$D81,$A$3))</f>
        <v>1</v>
      </c>
      <c r="AC81" s="73" t="n">
        <f aca="false">IF($E81="","",COUNTIF($E78:$E81,Z$21)+COUNTIF($E78:$E81,$A$3))</f>
        <v>0</v>
      </c>
      <c r="AD81" s="92" t="n">
        <f aca="false">IF($F81="","",COUNTIF($F78:$F81,Z$21)+COUNTIF($F78:$F81,$A$3))</f>
        <v>0</v>
      </c>
      <c r="AF81" s="91" t="n">
        <f aca="false">IF($B81="","",COUNTIF($B78:$B81,AF$21)+COUNTIF($B78:$B81,$A$3))</f>
        <v>0</v>
      </c>
      <c r="AG81" s="73" t="n">
        <f aca="false">IF($C81="","",COUNTIF($C78:$C81,AF$21)+COUNTIF($C78:$C81,$A$3))</f>
        <v>0</v>
      </c>
      <c r="AH81" s="73" t="n">
        <f aca="false">IF($D81="","",COUNTIF($D78:$D81,AF$21)+COUNTIF($D78:$D81,$A$3))</f>
        <v>2</v>
      </c>
      <c r="AI81" s="73" t="n">
        <f aca="false">IF($E81="","",COUNTIF($E78:$E81,AF$21)+COUNTIF($E78:$E81,$A$3))</f>
        <v>1</v>
      </c>
      <c r="AJ81" s="92" t="n">
        <f aca="false">IF($F81="","",COUNTIF($F78:$F81,AF$21)+COUNTIF($F78:$F81,$A$3))</f>
        <v>0</v>
      </c>
      <c r="AL81" s="91" t="n">
        <f aca="false">IF($B81="","",COUNTIF($B78:$B81,AL$21)+COUNTIF($B78:$B81,$A$3))</f>
        <v>1</v>
      </c>
      <c r="AM81" s="73" t="n">
        <f aca="false">IF($C81="","",COUNTIF($C78:$C81,AL$21)+COUNTIF($C78:$C81,$A$3))</f>
        <v>0</v>
      </c>
      <c r="AN81" s="73" t="n">
        <f aca="false">IF($D81="","",COUNTIF($D78:$D81,AL$21)+COUNTIF($D78:$D81,$A$3))</f>
        <v>1</v>
      </c>
      <c r="AO81" s="73" t="n">
        <f aca="false">IF($E81="","",COUNTIF($E78:$E81,AL$21)+COUNTIF($E78:$E81,$A$3))</f>
        <v>0</v>
      </c>
      <c r="AP81" s="92" t="n">
        <f aca="false">IF($F81="","",COUNTIF($F78:$F81,AL$21)+COUNTIF($F78:$F81,$A$3))</f>
        <v>0</v>
      </c>
      <c r="AR81" s="91" t="n">
        <f aca="false">IF($B81="","",COUNTIF($B78:$B81,AR$21)+COUNTIF($B78:$B81,$A$3))</f>
        <v>0</v>
      </c>
      <c r="AS81" s="73" t="n">
        <f aca="false">IF($C81="","",COUNTIF($C78:$C81,AR$21)+COUNTIF($C78:$C81,$A$3))</f>
        <v>1</v>
      </c>
      <c r="AT81" s="73" t="n">
        <f aca="false">IF($D81="","",COUNTIF($D78:$D81,AR$21)+COUNTIF($D78:$D81,$A$3))</f>
        <v>1</v>
      </c>
      <c r="AU81" s="73" t="n">
        <f aca="false">IF($E81="","",COUNTIF($E78:$E81,AR$21)+COUNTIF($E78:$E81,$A$3))</f>
        <v>1</v>
      </c>
      <c r="AV81" s="92" t="n">
        <f aca="false">IF($F81="","",COUNTIF($F78:$F81,AR$21)+COUNTIF($F78:$F81,$A$3))</f>
        <v>1</v>
      </c>
      <c r="AX81" s="91" t="n">
        <f aca="false">IF($B81="","",COUNTIF($B78:$B81,AX$21)+COUNTIF($B78:$B81,$A$3))</f>
        <v>1</v>
      </c>
      <c r="AY81" s="73" t="n">
        <f aca="false">IF($C81="","",COUNTIF($C78:$C81,AX$21)+COUNTIF($C78:$C81,$A$3))</f>
        <v>0</v>
      </c>
      <c r="AZ81" s="73" t="n">
        <f aca="false">IF($D81="","",COUNTIF($D78:$D81,AX$21)+COUNTIF($D78:$D81,$A$3))</f>
        <v>2</v>
      </c>
      <c r="BA81" s="73" t="n">
        <f aca="false">IF($E81="","",COUNTIF($E78:$E81,AX$21)+COUNTIF($E78:$E81,$A$3))</f>
        <v>1</v>
      </c>
      <c r="BB81" s="92" t="n">
        <f aca="false">IF($F81="","",COUNTIF($F78:$F81,AX$21)+COUNTIF($F78:$F81,$A$3))</f>
        <v>0</v>
      </c>
      <c r="BD81" s="91" t="n">
        <f aca="false">IF($B81="","",COUNTIF($B78:$B81,BD$21)+COUNTIF($B78:$B81,$A$3))</f>
        <v>0</v>
      </c>
      <c r="BE81" s="73" t="n">
        <f aca="false">IF($C81="","",COUNTIF($C78:$C81,BD$21)+COUNTIF($C78:$C81,$A$3))</f>
        <v>1</v>
      </c>
      <c r="BF81" s="73" t="n">
        <f aca="false">IF($D81="","",COUNTIF($D78:$D81,BD$21)+COUNTIF($D78:$D81,$A$3))</f>
        <v>1</v>
      </c>
      <c r="BG81" s="73" t="n">
        <f aca="false">IF($E81="","",COUNTIF($E78:$E81,BD$21)+COUNTIF($E78:$E81,$A$3))</f>
        <v>0</v>
      </c>
      <c r="BH81" s="92" t="n">
        <f aca="false">IF($F81="","",COUNTIF($F78:$F81,BD$21)+COUNTIF($F78:$F81,$A$3))</f>
        <v>1</v>
      </c>
      <c r="BJ81" s="91" t="n">
        <f aca="false">IF($B81="","",COUNTIF($B78:$B81,BJ$21)+COUNTIF($B78:$B81,$A$3))</f>
        <v>1</v>
      </c>
      <c r="BK81" s="73" t="n">
        <f aca="false">IF($C81="","",COUNTIF($C78:$C81,BJ$21)+COUNTIF($C78:$C81,$A$3))</f>
        <v>0</v>
      </c>
      <c r="BL81" s="73" t="n">
        <f aca="false">IF($D81="","",COUNTIF($D78:$D81,BJ$21)+COUNTIF($D78:$D81,$A$3))</f>
        <v>2</v>
      </c>
      <c r="BM81" s="73" t="n">
        <f aca="false">IF($E81="","",COUNTIF($E78:$E81,BJ$21)+COUNTIF($E78:$E81,$A$3))</f>
        <v>0</v>
      </c>
      <c r="BN81" s="92" t="n">
        <f aca="false">IF($F81="","",COUNTIF($F78:$F81,BJ$21)+COUNTIF($F78:$F81,$A$3))</f>
        <v>0</v>
      </c>
      <c r="BP81" s="91" t="n">
        <f aca="false">IF($B81="","",COUNTIF($B78:$B81,BP$21)+COUNTIF($B78:$B81,$A$3))</f>
        <v>0</v>
      </c>
      <c r="BQ81" s="73" t="n">
        <f aca="false">IF($C81="","",COUNTIF($C78:$C81,BP$21)+COUNTIF($C78:$C81,$A$3))</f>
        <v>0</v>
      </c>
      <c r="BR81" s="73" t="n">
        <f aca="false">IF($D81="","",COUNTIF($D78:$D81,BP$21)+COUNTIF($D78:$D81,$A$3))</f>
        <v>1</v>
      </c>
      <c r="BS81" s="73" t="n">
        <f aca="false">IF($E81="","",COUNTIF($E78:$E81,BP$21)+COUNTIF($E78:$E81,$A$3))</f>
        <v>0</v>
      </c>
      <c r="BT81" s="92" t="n">
        <f aca="false">IF($F81="","",COUNTIF($F78:$F81,BP$21)+COUNTIF($F78:$F81,$A$3))</f>
        <v>0</v>
      </c>
    </row>
    <row r="82" customFormat="false" ht="15" hidden="false" customHeight="false" outlineLevel="0" collapsed="false">
      <c r="A82" s="13" t="n">
        <v>60</v>
      </c>
      <c r="B82" s="116" t="n">
        <f aca="false">IF('Game Info'!Q65="","",'Game Info'!Q65)</f>
        <v>10</v>
      </c>
      <c r="C82" s="116" t="str">
        <f aca="false">IF('Game Info'!R65="","",'Game Info'!R65)</f>
        <v>J</v>
      </c>
      <c r="D82" s="116" t="str">
        <f aca="false">IF('Game Info'!S65="","",'Game Info'!S65)</f>
        <v>SYM4</v>
      </c>
      <c r="E82" s="116" t="n">
        <f aca="false">IF('Game Info'!T65="","",'Game Info'!T65)</f>
        <v>9</v>
      </c>
      <c r="F82" s="117" t="str">
        <f aca="false">IF('Game Info'!U65="","",'Game Info'!U65)</f>
        <v>J</v>
      </c>
      <c r="H82" s="91" t="n">
        <f aca="false">IF($B82="","",COUNTIF($B79:$B82,H$21)+COUNTIF($B79:$B82,$A$3))</f>
        <v>0</v>
      </c>
      <c r="I82" s="73" t="n">
        <f aca="false">IF($C82="","",COUNTIF($C79:$C82,H$21)+COUNTIF($C79:$C82,$A$3))</f>
        <v>0</v>
      </c>
      <c r="J82" s="73" t="n">
        <f aca="false">IF($D82="","",COUNTIF($D79:$D82,H$21)+COUNTIF($D79:$D82,$A$3))</f>
        <v>0</v>
      </c>
      <c r="K82" s="73" t="n">
        <f aca="false">IF($E82="","",COUNTIF($E79:$E82,H$21)+COUNTIF($E79:$E82,$A$3))</f>
        <v>0</v>
      </c>
      <c r="L82" s="92" t="n">
        <f aca="false">IF($F82="","",COUNTIF($F79:$F82,H$21)+COUNTIF($F79:$F82,$A$3))</f>
        <v>1</v>
      </c>
      <c r="N82" s="91" t="n">
        <f aca="false">IF($B82="","",COUNTIF($B79:$B82,N$21)+COUNTIF($B79:$B82,$A$3))</f>
        <v>0</v>
      </c>
      <c r="O82" s="73" t="n">
        <f aca="false">IF($C82="","",COUNTIF($C79:$C82,N$21)+COUNTIF($C79:$C82,$A$3))</f>
        <v>0</v>
      </c>
      <c r="P82" s="73" t="n">
        <f aca="false">IF($D82="","",COUNTIF($D79:$D82,N$21)+COUNTIF($D79:$D82,$A$3))</f>
        <v>0</v>
      </c>
      <c r="Q82" s="73" t="n">
        <f aca="false">IF($E82="","",COUNTIF($E79:$E82,N$21)+COUNTIF($E79:$E82,$A$3))</f>
        <v>1</v>
      </c>
      <c r="R82" s="92" t="n">
        <f aca="false">IF($F82="","",COUNTIF($F79:$F82,N$21)+COUNTIF($F79:$F82,$A$3))</f>
        <v>0</v>
      </c>
      <c r="T82" s="91" t="n">
        <f aca="false">IF($B82="","",COUNTIF($B79:$B82,T$21)+COUNTIF($B79:$B82,$A$3))</f>
        <v>1</v>
      </c>
      <c r="U82" s="73" t="n">
        <f aca="false">IF($C82="","",COUNTIF($C79:$C82,T$21)+COUNTIF($C79:$C82,$A$3))</f>
        <v>0</v>
      </c>
      <c r="V82" s="73" t="n">
        <f aca="false">IF($D82="","",COUNTIF($D79:$D82,T$21)+COUNTIF($D79:$D82,$A$3))</f>
        <v>0</v>
      </c>
      <c r="W82" s="73" t="n">
        <f aca="false">IF($E82="","",COUNTIF($E79:$E82,T$21)+COUNTIF($E79:$E82,$A$3))</f>
        <v>0</v>
      </c>
      <c r="X82" s="92" t="n">
        <f aca="false">IF($F82="","",COUNTIF($F79:$F82,T$21)+COUNTIF($F79:$F82,$A$3))</f>
        <v>1</v>
      </c>
      <c r="Z82" s="91" t="n">
        <f aca="false">IF($B82="","",COUNTIF($B79:$B82,Z$21)+COUNTIF($B79:$B82,$A$3))</f>
        <v>0</v>
      </c>
      <c r="AA82" s="73" t="n">
        <f aca="false">IF($C82="","",COUNTIF($C79:$C82,Z$21)+COUNTIF($C79:$C82,$A$3))</f>
        <v>0</v>
      </c>
      <c r="AB82" s="73" t="n">
        <f aca="false">IF($D82="","",COUNTIF($D79:$D82,Z$21)+COUNTIF($D79:$D82,$A$3))</f>
        <v>1</v>
      </c>
      <c r="AC82" s="73" t="n">
        <f aca="false">IF($E82="","",COUNTIF($E79:$E82,Z$21)+COUNTIF($E79:$E82,$A$3))</f>
        <v>0</v>
      </c>
      <c r="AD82" s="92" t="n">
        <f aca="false">IF($F82="","",COUNTIF($F79:$F82,Z$21)+COUNTIF($F79:$F82,$A$3))</f>
        <v>0</v>
      </c>
      <c r="AF82" s="91" t="n">
        <f aca="false">IF($B82="","",COUNTIF($B79:$B82,AF$21)+COUNTIF($B79:$B82,$A$3))</f>
        <v>0</v>
      </c>
      <c r="AG82" s="73" t="n">
        <f aca="false">IF($C82="","",COUNTIF($C79:$C82,AF$21)+COUNTIF($C79:$C82,$A$3))</f>
        <v>0</v>
      </c>
      <c r="AH82" s="73" t="n">
        <f aca="false">IF($D82="","",COUNTIF($D79:$D82,AF$21)+COUNTIF($D79:$D82,$A$3))</f>
        <v>1</v>
      </c>
      <c r="AI82" s="73" t="n">
        <f aca="false">IF($E82="","",COUNTIF($E79:$E82,AF$21)+COUNTIF($E79:$E82,$A$3))</f>
        <v>1</v>
      </c>
      <c r="AJ82" s="92" t="n">
        <f aca="false">IF($F82="","",COUNTIF($F79:$F82,AF$21)+COUNTIF($F79:$F82,$A$3))</f>
        <v>0</v>
      </c>
      <c r="AL82" s="91" t="n">
        <f aca="false">IF($B82="","",COUNTIF($B79:$B82,AL$21)+COUNTIF($B79:$B82,$A$3))</f>
        <v>1</v>
      </c>
      <c r="AM82" s="73" t="n">
        <f aca="false">IF($C82="","",COUNTIF($C79:$C82,AL$21)+COUNTIF($C79:$C82,$A$3))</f>
        <v>0</v>
      </c>
      <c r="AN82" s="73" t="n">
        <f aca="false">IF($D82="","",COUNTIF($D79:$D82,AL$21)+COUNTIF($D79:$D82,$A$3))</f>
        <v>0</v>
      </c>
      <c r="AO82" s="73" t="n">
        <f aca="false">IF($E82="","",COUNTIF($E79:$E82,AL$21)+COUNTIF($E79:$E82,$A$3))</f>
        <v>0</v>
      </c>
      <c r="AP82" s="92" t="n">
        <f aca="false">IF($F82="","",COUNTIF($F79:$F82,AL$21)+COUNTIF($F79:$F82,$A$3))</f>
        <v>0</v>
      </c>
      <c r="AR82" s="91" t="n">
        <f aca="false">IF($B82="","",COUNTIF($B79:$B82,AR$21)+COUNTIF($B79:$B82,$A$3))</f>
        <v>0</v>
      </c>
      <c r="AS82" s="73" t="n">
        <f aca="false">IF($C82="","",COUNTIF($C79:$C82,AR$21)+COUNTIF($C79:$C82,$A$3))</f>
        <v>1</v>
      </c>
      <c r="AT82" s="73" t="n">
        <f aca="false">IF($D82="","",COUNTIF($D79:$D82,AR$21)+COUNTIF($D79:$D82,$A$3))</f>
        <v>0</v>
      </c>
      <c r="AU82" s="73" t="n">
        <f aca="false">IF($E82="","",COUNTIF($E79:$E82,AR$21)+COUNTIF($E79:$E82,$A$3))</f>
        <v>0</v>
      </c>
      <c r="AV82" s="92" t="n">
        <f aca="false">IF($F82="","",COUNTIF($F79:$F82,AR$21)+COUNTIF($F79:$F82,$A$3))</f>
        <v>1</v>
      </c>
      <c r="AX82" s="91" t="n">
        <f aca="false">IF($B82="","",COUNTIF($B79:$B82,AX$21)+COUNTIF($B79:$B82,$A$3))</f>
        <v>1</v>
      </c>
      <c r="AY82" s="73" t="n">
        <f aca="false">IF($C82="","",COUNTIF($C79:$C82,AX$21)+COUNTIF($C79:$C82,$A$3))</f>
        <v>0</v>
      </c>
      <c r="AZ82" s="73" t="n">
        <f aca="false">IF($D82="","",COUNTIF($D79:$D82,AX$21)+COUNTIF($D79:$D82,$A$3))</f>
        <v>1</v>
      </c>
      <c r="BA82" s="73" t="n">
        <f aca="false">IF($E82="","",COUNTIF($E79:$E82,AX$21)+COUNTIF($E79:$E82,$A$3))</f>
        <v>1</v>
      </c>
      <c r="BB82" s="92" t="n">
        <f aca="false">IF($F82="","",COUNTIF($F79:$F82,AX$21)+COUNTIF($F79:$F82,$A$3))</f>
        <v>0</v>
      </c>
      <c r="BD82" s="91" t="n">
        <f aca="false">IF($B82="","",COUNTIF($B79:$B82,BD$21)+COUNTIF($B79:$B82,$A$3))</f>
        <v>0</v>
      </c>
      <c r="BE82" s="73" t="n">
        <f aca="false">IF($C82="","",COUNTIF($C79:$C82,BD$21)+COUNTIF($C79:$C82,$A$3))</f>
        <v>2</v>
      </c>
      <c r="BF82" s="73" t="n">
        <f aca="false">IF($D82="","",COUNTIF($D79:$D82,BD$21)+COUNTIF($D79:$D82,$A$3))</f>
        <v>0</v>
      </c>
      <c r="BG82" s="73" t="n">
        <f aca="false">IF($E82="","",COUNTIF($E79:$E82,BD$21)+COUNTIF($E79:$E82,$A$3))</f>
        <v>0</v>
      </c>
      <c r="BH82" s="92" t="n">
        <f aca="false">IF($F82="","",COUNTIF($F79:$F82,BD$21)+COUNTIF($F79:$F82,$A$3))</f>
        <v>1</v>
      </c>
      <c r="BJ82" s="91" t="n">
        <f aca="false">IF($B82="","",COUNTIF($B79:$B82,BJ$21)+COUNTIF($B79:$B82,$A$3))</f>
        <v>1</v>
      </c>
      <c r="BK82" s="73" t="n">
        <f aca="false">IF($C82="","",COUNTIF($C79:$C82,BJ$21)+COUNTIF($C79:$C82,$A$3))</f>
        <v>0</v>
      </c>
      <c r="BL82" s="73" t="n">
        <f aca="false">IF($D82="","",COUNTIF($D79:$D82,BJ$21)+COUNTIF($D79:$D82,$A$3))</f>
        <v>1</v>
      </c>
      <c r="BM82" s="73" t="n">
        <f aca="false">IF($E82="","",COUNTIF($E79:$E82,BJ$21)+COUNTIF($E79:$E82,$A$3))</f>
        <v>0</v>
      </c>
      <c r="BN82" s="92" t="n">
        <f aca="false">IF($F82="","",COUNTIF($F79:$F82,BJ$21)+COUNTIF($F79:$F82,$A$3))</f>
        <v>0</v>
      </c>
      <c r="BP82" s="91" t="n">
        <f aca="false">IF($B82="","",COUNTIF($B79:$B82,BP$21)+COUNTIF($B79:$B82,$A$3))</f>
        <v>0</v>
      </c>
      <c r="BQ82" s="73" t="n">
        <f aca="false">IF($C82="","",COUNTIF($C79:$C82,BP$21)+COUNTIF($C79:$C82,$A$3))</f>
        <v>0</v>
      </c>
      <c r="BR82" s="73" t="n">
        <f aca="false">IF($D82="","",COUNTIF($D79:$D82,BP$21)+COUNTIF($D79:$D82,$A$3))</f>
        <v>0</v>
      </c>
      <c r="BS82" s="73" t="n">
        <f aca="false">IF($E82="","",COUNTIF($E79:$E82,BP$21)+COUNTIF($E79:$E82,$A$3))</f>
        <v>1</v>
      </c>
      <c r="BT82" s="92" t="n">
        <f aca="false">IF($F82="","",COUNTIF($F79:$F82,BP$21)+COUNTIF($F79:$F82,$A$3))</f>
        <v>0</v>
      </c>
    </row>
    <row r="83" customFormat="false" ht="15" hidden="false" customHeight="false" outlineLevel="0" collapsed="false">
      <c r="A83" s="13" t="n">
        <v>61</v>
      </c>
      <c r="B83" s="116" t="str">
        <f aca="false">IF('Game Info'!Q66="","",'Game Info'!Q66)</f>
        <v>K</v>
      </c>
      <c r="C83" s="116" t="str">
        <f aca="false">IF('Game Info'!R66="","",'Game Info'!R66)</f>
        <v>Q</v>
      </c>
      <c r="D83" s="116" t="n">
        <f aca="false">IF('Game Info'!S66="","",'Game Info'!S66)</f>
        <v>9</v>
      </c>
      <c r="E83" s="116" t="str">
        <f aca="false">IF('Game Info'!T66="","",'Game Info'!T66)</f>
        <v>SYM1</v>
      </c>
      <c r="F83" s="117" t="str">
        <f aca="false">IF('Game Info'!U66="","",'Game Info'!U66)</f>
        <v>SYM2</v>
      </c>
      <c r="H83" s="91" t="n">
        <f aca="false">IF($B83="","",COUNTIF($B80:$B83,H$21)+COUNTIF($B80:$B83,$A$3))</f>
        <v>0</v>
      </c>
      <c r="I83" s="73" t="n">
        <f aca="false">IF($C83="","",COUNTIF($C80:$C83,H$21)+COUNTIF($C80:$C83,$A$3))</f>
        <v>0</v>
      </c>
      <c r="J83" s="73" t="n">
        <f aca="false">IF($D83="","",COUNTIF($D80:$D83,H$21)+COUNTIF($D80:$D83,$A$3))</f>
        <v>0</v>
      </c>
      <c r="K83" s="73" t="n">
        <f aca="false">IF($E83="","",COUNTIF($E80:$E83,H$21)+COUNTIF($E80:$E83,$A$3))</f>
        <v>1</v>
      </c>
      <c r="L83" s="92" t="n">
        <f aca="false">IF($F83="","",COUNTIF($F80:$F83,H$21)+COUNTIF($F80:$F83,$A$3))</f>
        <v>0</v>
      </c>
      <c r="N83" s="91" t="n">
        <f aca="false">IF($B83="","",COUNTIF($B80:$B83,N$21)+COUNTIF($B80:$B83,$A$3))</f>
        <v>0</v>
      </c>
      <c r="O83" s="73" t="n">
        <f aca="false">IF($C83="","",COUNTIF($C80:$C83,N$21)+COUNTIF($C80:$C83,$A$3))</f>
        <v>0</v>
      </c>
      <c r="P83" s="73" t="n">
        <f aca="false">IF($D83="","",COUNTIF($D80:$D83,N$21)+COUNTIF($D80:$D83,$A$3))</f>
        <v>0</v>
      </c>
      <c r="Q83" s="73" t="n">
        <f aca="false">IF($E83="","",COUNTIF($E80:$E83,N$21)+COUNTIF($E80:$E83,$A$3))</f>
        <v>1</v>
      </c>
      <c r="R83" s="92" t="n">
        <f aca="false">IF($F83="","",COUNTIF($F80:$F83,N$21)+COUNTIF($F80:$F83,$A$3))</f>
        <v>1</v>
      </c>
      <c r="T83" s="91" t="n">
        <f aca="false">IF($B83="","",COUNTIF($B80:$B83,T$21)+COUNTIF($B80:$B83,$A$3))</f>
        <v>1</v>
      </c>
      <c r="U83" s="73" t="n">
        <f aca="false">IF($C83="","",COUNTIF($C80:$C83,T$21)+COUNTIF($C80:$C83,$A$3))</f>
        <v>0</v>
      </c>
      <c r="V83" s="73" t="n">
        <f aca="false">IF($D83="","",COUNTIF($D80:$D83,T$21)+COUNTIF($D80:$D83,$A$3))</f>
        <v>0</v>
      </c>
      <c r="W83" s="73" t="n">
        <f aca="false">IF($E83="","",COUNTIF($E80:$E83,T$21)+COUNTIF($E80:$E83,$A$3))</f>
        <v>0</v>
      </c>
      <c r="X83" s="92" t="n">
        <f aca="false">IF($F83="","",COUNTIF($F80:$F83,T$21)+COUNTIF($F80:$F83,$A$3))</f>
        <v>1</v>
      </c>
      <c r="Z83" s="91" t="n">
        <f aca="false">IF($B83="","",COUNTIF($B80:$B83,Z$21)+COUNTIF($B80:$B83,$A$3))</f>
        <v>0</v>
      </c>
      <c r="AA83" s="73" t="n">
        <f aca="false">IF($C83="","",COUNTIF($C80:$C83,Z$21)+COUNTIF($C80:$C83,$A$3))</f>
        <v>0</v>
      </c>
      <c r="AB83" s="73" t="n">
        <f aca="false">IF($D83="","",COUNTIF($D80:$D83,Z$21)+COUNTIF($D80:$D83,$A$3))</f>
        <v>1</v>
      </c>
      <c r="AC83" s="73" t="n">
        <f aca="false">IF($E83="","",COUNTIF($E80:$E83,Z$21)+COUNTIF($E80:$E83,$A$3))</f>
        <v>0</v>
      </c>
      <c r="AD83" s="92" t="n">
        <f aca="false">IF($F83="","",COUNTIF($F80:$F83,Z$21)+COUNTIF($F80:$F83,$A$3))</f>
        <v>0</v>
      </c>
      <c r="AF83" s="91" t="n">
        <f aca="false">IF($B83="","",COUNTIF($B80:$B83,AF$21)+COUNTIF($B80:$B83,$A$3))</f>
        <v>0</v>
      </c>
      <c r="AG83" s="73" t="n">
        <f aca="false">IF($C83="","",COUNTIF($C80:$C83,AF$21)+COUNTIF($C80:$C83,$A$3))</f>
        <v>0</v>
      </c>
      <c r="AH83" s="73" t="n">
        <f aca="false">IF($D83="","",COUNTIF($D80:$D83,AF$21)+COUNTIF($D80:$D83,$A$3))</f>
        <v>1</v>
      </c>
      <c r="AI83" s="73" t="n">
        <f aca="false">IF($E83="","",COUNTIF($E80:$E83,AF$21)+COUNTIF($E80:$E83,$A$3))</f>
        <v>0</v>
      </c>
      <c r="AJ83" s="92" t="n">
        <f aca="false">IF($F83="","",COUNTIF($F80:$F83,AF$21)+COUNTIF($F80:$F83,$A$3))</f>
        <v>0</v>
      </c>
      <c r="AL83" s="91" t="n">
        <f aca="false">IF($B83="","",COUNTIF($B80:$B83,AL$21)+COUNTIF($B80:$B83,$A$3))</f>
        <v>1</v>
      </c>
      <c r="AM83" s="73" t="n">
        <f aca="false">IF($C83="","",COUNTIF($C80:$C83,AL$21)+COUNTIF($C80:$C83,$A$3))</f>
        <v>0</v>
      </c>
      <c r="AN83" s="73" t="n">
        <f aca="false">IF($D83="","",COUNTIF($D80:$D83,AL$21)+COUNTIF($D80:$D83,$A$3))</f>
        <v>0</v>
      </c>
      <c r="AO83" s="73" t="n">
        <f aca="false">IF($E83="","",COUNTIF($E80:$E83,AL$21)+COUNTIF($E80:$E83,$A$3))</f>
        <v>0</v>
      </c>
      <c r="AP83" s="92" t="n">
        <f aca="false">IF($F83="","",COUNTIF($F80:$F83,AL$21)+COUNTIF($F80:$F83,$A$3))</f>
        <v>0</v>
      </c>
      <c r="AR83" s="91" t="n">
        <f aca="false">IF($B83="","",COUNTIF($B80:$B83,AR$21)+COUNTIF($B80:$B83,$A$3))</f>
        <v>1</v>
      </c>
      <c r="AS83" s="73" t="n">
        <f aca="false">IF($C83="","",COUNTIF($C80:$C83,AR$21)+COUNTIF($C80:$C83,$A$3))</f>
        <v>1</v>
      </c>
      <c r="AT83" s="73" t="n">
        <f aca="false">IF($D83="","",COUNTIF($D80:$D83,AR$21)+COUNTIF($D80:$D83,$A$3))</f>
        <v>0</v>
      </c>
      <c r="AU83" s="73" t="n">
        <f aca="false">IF($E83="","",COUNTIF($E80:$E83,AR$21)+COUNTIF($E80:$E83,$A$3))</f>
        <v>0</v>
      </c>
      <c r="AV83" s="92" t="n">
        <f aca="false">IF($F83="","",COUNTIF($F80:$F83,AR$21)+COUNTIF($F80:$F83,$A$3))</f>
        <v>1</v>
      </c>
      <c r="AX83" s="91" t="n">
        <f aca="false">IF($B83="","",COUNTIF($B80:$B83,AX$21)+COUNTIF($B80:$B83,$A$3))</f>
        <v>0</v>
      </c>
      <c r="AY83" s="73" t="n">
        <f aca="false">IF($C83="","",COUNTIF($C80:$C83,AX$21)+COUNTIF($C80:$C83,$A$3))</f>
        <v>1</v>
      </c>
      <c r="AZ83" s="73" t="n">
        <f aca="false">IF($D83="","",COUNTIF($D80:$D83,AX$21)+COUNTIF($D80:$D83,$A$3))</f>
        <v>0</v>
      </c>
      <c r="BA83" s="73" t="n">
        <f aca="false">IF($E83="","",COUNTIF($E80:$E83,AX$21)+COUNTIF($E80:$E83,$A$3))</f>
        <v>1</v>
      </c>
      <c r="BB83" s="92" t="n">
        <f aca="false">IF($F83="","",COUNTIF($F80:$F83,AX$21)+COUNTIF($F80:$F83,$A$3))</f>
        <v>0</v>
      </c>
      <c r="BD83" s="91" t="n">
        <f aca="false">IF($B83="","",COUNTIF($B80:$B83,BD$21)+COUNTIF($B80:$B83,$A$3))</f>
        <v>0</v>
      </c>
      <c r="BE83" s="73" t="n">
        <f aca="false">IF($C83="","",COUNTIF($C80:$C83,BD$21)+COUNTIF($C80:$C83,$A$3))</f>
        <v>1</v>
      </c>
      <c r="BF83" s="73" t="n">
        <f aca="false">IF($D83="","",COUNTIF($D80:$D83,BD$21)+COUNTIF($D80:$D83,$A$3))</f>
        <v>0</v>
      </c>
      <c r="BG83" s="73" t="n">
        <f aca="false">IF($E83="","",COUNTIF($E80:$E83,BD$21)+COUNTIF($E80:$E83,$A$3))</f>
        <v>0</v>
      </c>
      <c r="BH83" s="92" t="n">
        <f aca="false">IF($F83="","",COUNTIF($F80:$F83,BD$21)+COUNTIF($F80:$F83,$A$3))</f>
        <v>1</v>
      </c>
      <c r="BJ83" s="91" t="n">
        <f aca="false">IF($B83="","",COUNTIF($B80:$B83,BJ$21)+COUNTIF($B80:$B83,$A$3))</f>
        <v>1</v>
      </c>
      <c r="BK83" s="73" t="n">
        <f aca="false">IF($C83="","",COUNTIF($C80:$C83,BJ$21)+COUNTIF($C80:$C83,$A$3))</f>
        <v>0</v>
      </c>
      <c r="BL83" s="73" t="n">
        <f aca="false">IF($D83="","",COUNTIF($D80:$D83,BJ$21)+COUNTIF($D80:$D83,$A$3))</f>
        <v>1</v>
      </c>
      <c r="BM83" s="73" t="n">
        <f aca="false">IF($E83="","",COUNTIF($E80:$E83,BJ$21)+COUNTIF($E80:$E83,$A$3))</f>
        <v>0</v>
      </c>
      <c r="BN83" s="92" t="n">
        <f aca="false">IF($F83="","",COUNTIF($F80:$F83,BJ$21)+COUNTIF($F80:$F83,$A$3))</f>
        <v>0</v>
      </c>
      <c r="BP83" s="91" t="n">
        <f aca="false">IF($B83="","",COUNTIF($B80:$B83,BP$21)+COUNTIF($B80:$B83,$A$3))</f>
        <v>0</v>
      </c>
      <c r="BQ83" s="73" t="n">
        <f aca="false">IF($C83="","",COUNTIF($C80:$C83,BP$21)+COUNTIF($C80:$C83,$A$3))</f>
        <v>0</v>
      </c>
      <c r="BR83" s="73" t="n">
        <f aca="false">IF($D83="","",COUNTIF($D80:$D83,BP$21)+COUNTIF($D80:$D83,$A$3))</f>
        <v>1</v>
      </c>
      <c r="BS83" s="73" t="n">
        <f aca="false">IF($E83="","",COUNTIF($E80:$E83,BP$21)+COUNTIF($E80:$E83,$A$3))</f>
        <v>1</v>
      </c>
      <c r="BT83" s="92" t="n">
        <f aca="false">IF($F83="","",COUNTIF($F80:$F83,BP$21)+COUNTIF($F80:$F83,$A$3))</f>
        <v>0</v>
      </c>
    </row>
    <row r="84" customFormat="false" ht="15" hidden="false" customHeight="false" outlineLevel="0" collapsed="false">
      <c r="A84" s="13" t="n">
        <v>62</v>
      </c>
      <c r="B84" s="116" t="str">
        <f aca="false">IF('Game Info'!Q67="","",'Game Info'!Q67)</f>
        <v>SYM2</v>
      </c>
      <c r="C84" s="116" t="n">
        <f aca="false">IF('Game Info'!R67="","",'Game Info'!R67)</f>
        <v>10</v>
      </c>
      <c r="D84" s="116" t="str">
        <f aca="false">IF('Game Info'!S67="","",'Game Info'!S67)</f>
        <v>SYM2</v>
      </c>
      <c r="E84" s="116" t="str">
        <f aca="false">IF('Game Info'!T67="","",'Game Info'!T67)</f>
        <v>SYM1</v>
      </c>
      <c r="F84" s="117" t="str">
        <f aca="false">IF('Game Info'!U67="","",'Game Info'!U67)</f>
        <v>SYM2</v>
      </c>
      <c r="H84" s="91" t="n">
        <f aca="false">IF($B84="","",COUNTIF($B81:$B84,H$21)+COUNTIF($B81:$B84,$A$3))</f>
        <v>0</v>
      </c>
      <c r="I84" s="73" t="n">
        <f aca="false">IF($C84="","",COUNTIF($C81:$C84,H$21)+COUNTIF($C81:$C84,$A$3))</f>
        <v>0</v>
      </c>
      <c r="J84" s="73" t="n">
        <f aca="false">IF($D84="","",COUNTIF($D81:$D84,H$21)+COUNTIF($D81:$D84,$A$3))</f>
        <v>0</v>
      </c>
      <c r="K84" s="73" t="n">
        <f aca="false">IF($E84="","",COUNTIF($E81:$E84,H$21)+COUNTIF($E81:$E84,$A$3))</f>
        <v>2</v>
      </c>
      <c r="L84" s="92" t="n">
        <f aca="false">IF($F84="","",COUNTIF($F81:$F84,H$21)+COUNTIF($F81:$F84,$A$3))</f>
        <v>0</v>
      </c>
      <c r="N84" s="91" t="n">
        <f aca="false">IF($B84="","",COUNTIF($B81:$B84,N$21)+COUNTIF($B81:$B84,$A$3))</f>
        <v>1</v>
      </c>
      <c r="O84" s="73" t="n">
        <f aca="false">IF($C84="","",COUNTIF($C81:$C84,N$21)+COUNTIF($C81:$C84,$A$3))</f>
        <v>0</v>
      </c>
      <c r="P84" s="73" t="n">
        <f aca="false">IF($D84="","",COUNTIF($D81:$D84,N$21)+COUNTIF($D81:$D84,$A$3))</f>
        <v>1</v>
      </c>
      <c r="Q84" s="73" t="n">
        <f aca="false">IF($E84="","",COUNTIF($E81:$E84,N$21)+COUNTIF($E81:$E84,$A$3))</f>
        <v>1</v>
      </c>
      <c r="R84" s="92" t="n">
        <f aca="false">IF($F84="","",COUNTIF($F81:$F84,N$21)+COUNTIF($F81:$F84,$A$3))</f>
        <v>2</v>
      </c>
      <c r="T84" s="91" t="n">
        <f aca="false">IF($B84="","",COUNTIF($B81:$B84,T$21)+COUNTIF($B81:$B84,$A$3))</f>
        <v>0</v>
      </c>
      <c r="U84" s="73" t="n">
        <f aca="false">IF($C84="","",COUNTIF($C81:$C84,T$21)+COUNTIF($C81:$C84,$A$3))</f>
        <v>0</v>
      </c>
      <c r="V84" s="73" t="n">
        <f aca="false">IF($D84="","",COUNTIF($D81:$D84,T$21)+COUNTIF($D81:$D84,$A$3))</f>
        <v>0</v>
      </c>
      <c r="W84" s="73" t="n">
        <f aca="false">IF($E84="","",COUNTIF($E81:$E84,T$21)+COUNTIF($E81:$E84,$A$3))</f>
        <v>0</v>
      </c>
      <c r="X84" s="92" t="n">
        <f aca="false">IF($F84="","",COUNTIF($F81:$F84,T$21)+COUNTIF($F81:$F84,$A$3))</f>
        <v>1</v>
      </c>
      <c r="Z84" s="91" t="n">
        <f aca="false">IF($B84="","",COUNTIF($B81:$B84,Z$21)+COUNTIF($B81:$B84,$A$3))</f>
        <v>0</v>
      </c>
      <c r="AA84" s="73" t="n">
        <f aca="false">IF($C84="","",COUNTIF($C81:$C84,Z$21)+COUNTIF($C81:$C84,$A$3))</f>
        <v>0</v>
      </c>
      <c r="AB84" s="73" t="n">
        <f aca="false">IF($D84="","",COUNTIF($D81:$D84,Z$21)+COUNTIF($D81:$D84,$A$3))</f>
        <v>1</v>
      </c>
      <c r="AC84" s="73" t="n">
        <f aca="false">IF($E84="","",COUNTIF($E81:$E84,Z$21)+COUNTIF($E81:$E84,$A$3))</f>
        <v>0</v>
      </c>
      <c r="AD84" s="92" t="n">
        <f aca="false">IF($F84="","",COUNTIF($F81:$F84,Z$21)+COUNTIF($F81:$F84,$A$3))</f>
        <v>0</v>
      </c>
      <c r="AF84" s="91" t="n">
        <f aca="false">IF($B84="","",COUNTIF($B81:$B84,AF$21)+COUNTIF($B81:$B84,$A$3))</f>
        <v>0</v>
      </c>
      <c r="AG84" s="73" t="n">
        <f aca="false">IF($C84="","",COUNTIF($C81:$C84,AF$21)+COUNTIF($C81:$C84,$A$3))</f>
        <v>0</v>
      </c>
      <c r="AH84" s="73" t="n">
        <f aca="false">IF($D84="","",COUNTIF($D81:$D84,AF$21)+COUNTIF($D81:$D84,$A$3))</f>
        <v>0</v>
      </c>
      <c r="AI84" s="73" t="n">
        <f aca="false">IF($E84="","",COUNTIF($E81:$E84,AF$21)+COUNTIF($E81:$E84,$A$3))</f>
        <v>0</v>
      </c>
      <c r="AJ84" s="92" t="n">
        <f aca="false">IF($F84="","",COUNTIF($F81:$F84,AF$21)+COUNTIF($F81:$F84,$A$3))</f>
        <v>0</v>
      </c>
      <c r="AL84" s="91" t="n">
        <f aca="false">IF($B84="","",COUNTIF($B81:$B84,AL$21)+COUNTIF($B81:$B84,$A$3))</f>
        <v>1</v>
      </c>
      <c r="AM84" s="73" t="n">
        <f aca="false">IF($C84="","",COUNTIF($C81:$C84,AL$21)+COUNTIF($C81:$C84,$A$3))</f>
        <v>0</v>
      </c>
      <c r="AN84" s="73" t="n">
        <f aca="false">IF($D84="","",COUNTIF($D81:$D84,AL$21)+COUNTIF($D81:$D84,$A$3))</f>
        <v>0</v>
      </c>
      <c r="AO84" s="73" t="n">
        <f aca="false">IF($E84="","",COUNTIF($E81:$E84,AL$21)+COUNTIF($E81:$E84,$A$3))</f>
        <v>0</v>
      </c>
      <c r="AP84" s="92" t="n">
        <f aca="false">IF($F84="","",COUNTIF($F81:$F84,AL$21)+COUNTIF($F81:$F84,$A$3))</f>
        <v>0</v>
      </c>
      <c r="AR84" s="91" t="n">
        <f aca="false">IF($B84="","",COUNTIF($B81:$B84,AR$21)+COUNTIF($B81:$B84,$A$3))</f>
        <v>1</v>
      </c>
      <c r="AS84" s="73" t="n">
        <f aca="false">IF($C84="","",COUNTIF($C81:$C84,AR$21)+COUNTIF($C81:$C84,$A$3))</f>
        <v>0</v>
      </c>
      <c r="AT84" s="73" t="n">
        <f aca="false">IF($D84="","",COUNTIF($D81:$D84,AR$21)+COUNTIF($D81:$D84,$A$3))</f>
        <v>0</v>
      </c>
      <c r="AU84" s="73" t="n">
        <f aca="false">IF($E84="","",COUNTIF($E81:$E84,AR$21)+COUNTIF($E81:$E84,$A$3))</f>
        <v>0</v>
      </c>
      <c r="AV84" s="92" t="n">
        <f aca="false">IF($F84="","",COUNTIF($F81:$F84,AR$21)+COUNTIF($F81:$F84,$A$3))</f>
        <v>0</v>
      </c>
      <c r="AX84" s="91" t="n">
        <f aca="false">IF($B84="","",COUNTIF($B81:$B84,AX$21)+COUNTIF($B81:$B84,$A$3))</f>
        <v>0</v>
      </c>
      <c r="AY84" s="73" t="n">
        <f aca="false">IF($C84="","",COUNTIF($C81:$C84,AX$21)+COUNTIF($C81:$C84,$A$3))</f>
        <v>1</v>
      </c>
      <c r="AZ84" s="73" t="n">
        <f aca="false">IF($D84="","",COUNTIF($D81:$D84,AX$21)+COUNTIF($D81:$D84,$A$3))</f>
        <v>0</v>
      </c>
      <c r="BA84" s="73" t="n">
        <f aca="false">IF($E84="","",COUNTIF($E81:$E84,AX$21)+COUNTIF($E81:$E84,$A$3))</f>
        <v>0</v>
      </c>
      <c r="BB84" s="92" t="n">
        <f aca="false">IF($F84="","",COUNTIF($F81:$F84,AX$21)+COUNTIF($F81:$F84,$A$3))</f>
        <v>0</v>
      </c>
      <c r="BD84" s="91" t="n">
        <f aca="false">IF($B84="","",COUNTIF($B81:$B84,BD$21)+COUNTIF($B81:$B84,$A$3))</f>
        <v>0</v>
      </c>
      <c r="BE84" s="73" t="n">
        <f aca="false">IF($C84="","",COUNTIF($C81:$C84,BD$21)+COUNTIF($C81:$C84,$A$3))</f>
        <v>1</v>
      </c>
      <c r="BF84" s="73" t="n">
        <f aca="false">IF($D84="","",COUNTIF($D81:$D84,BD$21)+COUNTIF($D81:$D84,$A$3))</f>
        <v>0</v>
      </c>
      <c r="BG84" s="73" t="n">
        <f aca="false">IF($E84="","",COUNTIF($E81:$E84,BD$21)+COUNTIF($E81:$E84,$A$3))</f>
        <v>0</v>
      </c>
      <c r="BH84" s="92" t="n">
        <f aca="false">IF($F84="","",COUNTIF($F81:$F84,BD$21)+COUNTIF($F81:$F84,$A$3))</f>
        <v>1</v>
      </c>
      <c r="BJ84" s="91" t="n">
        <f aca="false">IF($B84="","",COUNTIF($B81:$B84,BJ$21)+COUNTIF($B81:$B84,$A$3))</f>
        <v>1</v>
      </c>
      <c r="BK84" s="73" t="n">
        <f aca="false">IF($C84="","",COUNTIF($C81:$C84,BJ$21)+COUNTIF($C81:$C84,$A$3))</f>
        <v>1</v>
      </c>
      <c r="BL84" s="73" t="n">
        <f aca="false">IF($D84="","",COUNTIF($D81:$D84,BJ$21)+COUNTIF($D81:$D84,$A$3))</f>
        <v>1</v>
      </c>
      <c r="BM84" s="73" t="n">
        <f aca="false">IF($E84="","",COUNTIF($E81:$E84,BJ$21)+COUNTIF($E81:$E84,$A$3))</f>
        <v>0</v>
      </c>
      <c r="BN84" s="92" t="n">
        <f aca="false">IF($F84="","",COUNTIF($F81:$F84,BJ$21)+COUNTIF($F81:$F84,$A$3))</f>
        <v>0</v>
      </c>
      <c r="BP84" s="91" t="n">
        <f aca="false">IF($B84="","",COUNTIF($B81:$B84,BP$21)+COUNTIF($B81:$B84,$A$3))</f>
        <v>0</v>
      </c>
      <c r="BQ84" s="73" t="n">
        <f aca="false">IF($C84="","",COUNTIF($C81:$C84,BP$21)+COUNTIF($C81:$C84,$A$3))</f>
        <v>0</v>
      </c>
      <c r="BR84" s="73" t="n">
        <f aca="false">IF($D84="","",COUNTIF($D81:$D84,BP$21)+COUNTIF($D81:$D84,$A$3))</f>
        <v>1</v>
      </c>
      <c r="BS84" s="73" t="n">
        <f aca="false">IF($E84="","",COUNTIF($E81:$E84,BP$21)+COUNTIF($E81:$E84,$A$3))</f>
        <v>1</v>
      </c>
      <c r="BT84" s="92" t="n">
        <f aca="false">IF($F84="","",COUNTIF($F81:$F84,BP$21)+COUNTIF($F81:$F84,$A$3))</f>
        <v>0</v>
      </c>
    </row>
    <row r="85" customFormat="false" ht="15" hidden="false" customHeight="false" outlineLevel="0" collapsed="false">
      <c r="A85" s="13" t="n">
        <v>63</v>
      </c>
      <c r="B85" s="116" t="str">
        <f aca="false">IF('Game Info'!Q68="","",'Game Info'!Q68)</f>
        <v>J</v>
      </c>
      <c r="C85" s="116" t="str">
        <f aca="false">IF('Game Info'!R68="","",'Game Info'!R68)</f>
        <v>SYM3</v>
      </c>
      <c r="D85" s="116" t="str">
        <f aca="false">IF('Game Info'!S68="","",'Game Info'!S68)</f>
        <v>K</v>
      </c>
      <c r="E85" s="116" t="str">
        <f aca="false">IF('Game Info'!T68="","",'Game Info'!T68)</f>
        <v>Q</v>
      </c>
      <c r="F85" s="117" t="str">
        <f aca="false">IF('Game Info'!U68="","",'Game Info'!U68)</f>
        <v>SYM2</v>
      </c>
      <c r="H85" s="91" t="n">
        <f aca="false">IF($B85="","",COUNTIF($B82:$B85,H$21)+COUNTIF($B82:$B85,$A$3))</f>
        <v>0</v>
      </c>
      <c r="I85" s="73" t="n">
        <f aca="false">IF($C85="","",COUNTIF($C82:$C85,H$21)+COUNTIF($C82:$C85,$A$3))</f>
        <v>0</v>
      </c>
      <c r="J85" s="73" t="n">
        <f aca="false">IF($D85="","",COUNTIF($D82:$D85,H$21)+COUNTIF($D82:$D85,$A$3))</f>
        <v>0</v>
      </c>
      <c r="K85" s="73" t="n">
        <f aca="false">IF($E85="","",COUNTIF($E82:$E85,H$21)+COUNTIF($E82:$E85,$A$3))</f>
        <v>2</v>
      </c>
      <c r="L85" s="92" t="n">
        <f aca="false">IF($F85="","",COUNTIF($F82:$F85,H$21)+COUNTIF($F82:$F85,$A$3))</f>
        <v>0</v>
      </c>
      <c r="N85" s="91" t="n">
        <f aca="false">IF($B85="","",COUNTIF($B82:$B85,N$21)+COUNTIF($B82:$B85,$A$3))</f>
        <v>1</v>
      </c>
      <c r="O85" s="73" t="n">
        <f aca="false">IF($C85="","",COUNTIF($C82:$C85,N$21)+COUNTIF($C82:$C85,$A$3))</f>
        <v>0</v>
      </c>
      <c r="P85" s="73" t="n">
        <f aca="false">IF($D85="","",COUNTIF($D82:$D85,N$21)+COUNTIF($D82:$D85,$A$3))</f>
        <v>1</v>
      </c>
      <c r="Q85" s="73" t="n">
        <f aca="false">IF($E85="","",COUNTIF($E82:$E85,N$21)+COUNTIF($E82:$E85,$A$3))</f>
        <v>0</v>
      </c>
      <c r="R85" s="92" t="n">
        <f aca="false">IF($F85="","",COUNTIF($F82:$F85,N$21)+COUNTIF($F82:$F85,$A$3))</f>
        <v>3</v>
      </c>
      <c r="T85" s="91" t="n">
        <f aca="false">IF($B85="","",COUNTIF($B82:$B85,T$21)+COUNTIF($B82:$B85,$A$3))</f>
        <v>0</v>
      </c>
      <c r="U85" s="73" t="n">
        <f aca="false">IF($C85="","",COUNTIF($C82:$C85,T$21)+COUNTIF($C82:$C85,$A$3))</f>
        <v>1</v>
      </c>
      <c r="V85" s="73" t="n">
        <f aca="false">IF($D85="","",COUNTIF($D82:$D85,T$21)+COUNTIF($D82:$D85,$A$3))</f>
        <v>0</v>
      </c>
      <c r="W85" s="73" t="n">
        <f aca="false">IF($E85="","",COUNTIF($E82:$E85,T$21)+COUNTIF($E82:$E85,$A$3))</f>
        <v>0</v>
      </c>
      <c r="X85" s="92" t="n">
        <f aca="false">IF($F85="","",COUNTIF($F82:$F85,T$21)+COUNTIF($F82:$F85,$A$3))</f>
        <v>0</v>
      </c>
      <c r="Z85" s="91" t="n">
        <f aca="false">IF($B85="","",COUNTIF($B82:$B85,Z$21)+COUNTIF($B82:$B85,$A$3))</f>
        <v>0</v>
      </c>
      <c r="AA85" s="73" t="n">
        <f aca="false">IF($C85="","",COUNTIF($C82:$C85,Z$21)+COUNTIF($C82:$C85,$A$3))</f>
        <v>0</v>
      </c>
      <c r="AB85" s="73" t="n">
        <f aca="false">IF($D85="","",COUNTIF($D82:$D85,Z$21)+COUNTIF($D82:$D85,$A$3))</f>
        <v>1</v>
      </c>
      <c r="AC85" s="73" t="n">
        <f aca="false">IF($E85="","",COUNTIF($E82:$E85,Z$21)+COUNTIF($E82:$E85,$A$3))</f>
        <v>0</v>
      </c>
      <c r="AD85" s="92" t="n">
        <f aca="false">IF($F85="","",COUNTIF($F82:$F85,Z$21)+COUNTIF($F82:$F85,$A$3))</f>
        <v>0</v>
      </c>
      <c r="AF85" s="91" t="n">
        <f aca="false">IF($B85="","",COUNTIF($B82:$B85,AF$21)+COUNTIF($B82:$B85,$A$3))</f>
        <v>0</v>
      </c>
      <c r="AG85" s="73" t="n">
        <f aca="false">IF($C85="","",COUNTIF($C82:$C85,AF$21)+COUNTIF($C82:$C85,$A$3))</f>
        <v>0</v>
      </c>
      <c r="AH85" s="73" t="n">
        <f aca="false">IF($D85="","",COUNTIF($D82:$D85,AF$21)+COUNTIF($D82:$D85,$A$3))</f>
        <v>0</v>
      </c>
      <c r="AI85" s="73" t="n">
        <f aca="false">IF($E85="","",COUNTIF($E82:$E85,AF$21)+COUNTIF($E82:$E85,$A$3))</f>
        <v>0</v>
      </c>
      <c r="AJ85" s="92" t="n">
        <f aca="false">IF($F85="","",COUNTIF($F82:$F85,AF$21)+COUNTIF($F82:$F85,$A$3))</f>
        <v>0</v>
      </c>
      <c r="AL85" s="91" t="n">
        <f aca="false">IF($B85="","",COUNTIF($B82:$B85,AL$21)+COUNTIF($B82:$B85,$A$3))</f>
        <v>0</v>
      </c>
      <c r="AM85" s="73" t="n">
        <f aca="false">IF($C85="","",COUNTIF($C82:$C85,AL$21)+COUNTIF($C82:$C85,$A$3))</f>
        <v>0</v>
      </c>
      <c r="AN85" s="73" t="n">
        <f aca="false">IF($D85="","",COUNTIF($D82:$D85,AL$21)+COUNTIF($D82:$D85,$A$3))</f>
        <v>0</v>
      </c>
      <c r="AO85" s="73" t="n">
        <f aca="false">IF($E85="","",COUNTIF($E82:$E85,AL$21)+COUNTIF($E82:$E85,$A$3))</f>
        <v>0</v>
      </c>
      <c r="AP85" s="92" t="n">
        <f aca="false">IF($F85="","",COUNTIF($F82:$F85,AL$21)+COUNTIF($F82:$F85,$A$3))</f>
        <v>0</v>
      </c>
      <c r="AR85" s="91" t="n">
        <f aca="false">IF($B85="","",COUNTIF($B82:$B85,AR$21)+COUNTIF($B82:$B85,$A$3))</f>
        <v>1</v>
      </c>
      <c r="AS85" s="73" t="n">
        <f aca="false">IF($C85="","",COUNTIF($C82:$C85,AR$21)+COUNTIF($C82:$C85,$A$3))</f>
        <v>0</v>
      </c>
      <c r="AT85" s="73" t="n">
        <f aca="false">IF($D85="","",COUNTIF($D82:$D85,AR$21)+COUNTIF($D82:$D85,$A$3))</f>
        <v>1</v>
      </c>
      <c r="AU85" s="73" t="n">
        <f aca="false">IF($E85="","",COUNTIF($E82:$E85,AR$21)+COUNTIF($E82:$E85,$A$3))</f>
        <v>0</v>
      </c>
      <c r="AV85" s="92" t="n">
        <f aca="false">IF($F85="","",COUNTIF($F82:$F85,AR$21)+COUNTIF($F82:$F85,$A$3))</f>
        <v>0</v>
      </c>
      <c r="AX85" s="91" t="n">
        <f aca="false">IF($B85="","",COUNTIF($B82:$B85,AX$21)+COUNTIF($B82:$B85,$A$3))</f>
        <v>0</v>
      </c>
      <c r="AY85" s="73" t="n">
        <f aca="false">IF($C85="","",COUNTIF($C82:$C85,AX$21)+COUNTIF($C82:$C85,$A$3))</f>
        <v>1</v>
      </c>
      <c r="AZ85" s="73" t="n">
        <f aca="false">IF($D85="","",COUNTIF($D82:$D85,AX$21)+COUNTIF($D82:$D85,$A$3))</f>
        <v>0</v>
      </c>
      <c r="BA85" s="73" t="n">
        <f aca="false">IF($E85="","",COUNTIF($E82:$E85,AX$21)+COUNTIF($E82:$E85,$A$3))</f>
        <v>1</v>
      </c>
      <c r="BB85" s="92" t="n">
        <f aca="false">IF($F85="","",COUNTIF($F82:$F85,AX$21)+COUNTIF($F82:$F85,$A$3))</f>
        <v>0</v>
      </c>
      <c r="BD85" s="91" t="n">
        <f aca="false">IF($B85="","",COUNTIF($B82:$B85,BD$21)+COUNTIF($B82:$B85,$A$3))</f>
        <v>1</v>
      </c>
      <c r="BE85" s="73" t="n">
        <f aca="false">IF($C85="","",COUNTIF($C82:$C85,BD$21)+COUNTIF($C82:$C85,$A$3))</f>
        <v>1</v>
      </c>
      <c r="BF85" s="73" t="n">
        <f aca="false">IF($D85="","",COUNTIF($D82:$D85,BD$21)+COUNTIF($D82:$D85,$A$3))</f>
        <v>0</v>
      </c>
      <c r="BG85" s="73" t="n">
        <f aca="false">IF($E85="","",COUNTIF($E82:$E85,BD$21)+COUNTIF($E82:$E85,$A$3))</f>
        <v>0</v>
      </c>
      <c r="BH85" s="92" t="n">
        <f aca="false">IF($F85="","",COUNTIF($F82:$F85,BD$21)+COUNTIF($F82:$F85,$A$3))</f>
        <v>1</v>
      </c>
      <c r="BJ85" s="91" t="n">
        <f aca="false">IF($B85="","",COUNTIF($B82:$B85,BJ$21)+COUNTIF($B82:$B85,$A$3))</f>
        <v>1</v>
      </c>
      <c r="BK85" s="73" t="n">
        <f aca="false">IF($C85="","",COUNTIF($C82:$C85,BJ$21)+COUNTIF($C82:$C85,$A$3))</f>
        <v>1</v>
      </c>
      <c r="BL85" s="73" t="n">
        <f aca="false">IF($D85="","",COUNTIF($D82:$D85,BJ$21)+COUNTIF($D82:$D85,$A$3))</f>
        <v>0</v>
      </c>
      <c r="BM85" s="73" t="n">
        <f aca="false">IF($E85="","",COUNTIF($E82:$E85,BJ$21)+COUNTIF($E82:$E85,$A$3))</f>
        <v>0</v>
      </c>
      <c r="BN85" s="92" t="n">
        <f aca="false">IF($F85="","",COUNTIF($F82:$F85,BJ$21)+COUNTIF($F82:$F85,$A$3))</f>
        <v>0</v>
      </c>
      <c r="BP85" s="91" t="n">
        <f aca="false">IF($B85="","",COUNTIF($B82:$B85,BP$21)+COUNTIF($B82:$B85,$A$3))</f>
        <v>0</v>
      </c>
      <c r="BQ85" s="73" t="n">
        <f aca="false">IF($C85="","",COUNTIF($C82:$C85,BP$21)+COUNTIF($C82:$C85,$A$3))</f>
        <v>0</v>
      </c>
      <c r="BR85" s="73" t="n">
        <f aca="false">IF($D85="","",COUNTIF($D82:$D85,BP$21)+COUNTIF($D82:$D85,$A$3))</f>
        <v>1</v>
      </c>
      <c r="BS85" s="73" t="n">
        <f aca="false">IF($E85="","",COUNTIF($E82:$E85,BP$21)+COUNTIF($E82:$E85,$A$3))</f>
        <v>1</v>
      </c>
      <c r="BT85" s="92" t="n">
        <f aca="false">IF($F85="","",COUNTIF($F82:$F85,BP$21)+COUNTIF($F82:$F85,$A$3))</f>
        <v>0</v>
      </c>
    </row>
    <row r="86" customFormat="false" ht="15" hidden="false" customHeight="false" outlineLevel="0" collapsed="false">
      <c r="A86" s="13" t="n">
        <v>64</v>
      </c>
      <c r="B86" s="116" t="str">
        <f aca="false">IF('Game Info'!Q69="","",'Game Info'!Q69)</f>
        <v>SYM1</v>
      </c>
      <c r="C86" s="116" t="str">
        <f aca="false">IF('Game Info'!R69="","",'Game Info'!R69)</f>
        <v>A</v>
      </c>
      <c r="D86" s="116" t="str">
        <f aca="false">IF('Game Info'!S69="","",'Game Info'!S69)</f>
        <v>SYM1</v>
      </c>
      <c r="E86" s="116" t="str">
        <f aca="false">IF('Game Info'!T69="","",'Game Info'!T69)</f>
        <v>FG</v>
      </c>
      <c r="F86" s="117" t="n">
        <f aca="false">IF('Game Info'!U69="","",'Game Info'!U69)</f>
        <v>10</v>
      </c>
      <c r="H86" s="91" t="n">
        <f aca="false">IF($B86="","",COUNTIF($B83:$B86,H$21)+COUNTIF($B83:$B86,$A$3))</f>
        <v>1</v>
      </c>
      <c r="I86" s="73" t="n">
        <f aca="false">IF($C86="","",COUNTIF($C83:$C86,H$21)+COUNTIF($C83:$C86,$A$3))</f>
        <v>0</v>
      </c>
      <c r="J86" s="73" t="n">
        <f aca="false">IF($D86="","",COUNTIF($D83:$D86,H$21)+COUNTIF($D83:$D86,$A$3))</f>
        <v>1</v>
      </c>
      <c r="K86" s="73" t="n">
        <f aca="false">IF($E86="","",COUNTIF($E83:$E86,H$21)+COUNTIF($E83:$E86,$A$3))</f>
        <v>2</v>
      </c>
      <c r="L86" s="92" t="n">
        <f aca="false">IF($F86="","",COUNTIF($F83:$F86,H$21)+COUNTIF($F83:$F86,$A$3))</f>
        <v>0</v>
      </c>
      <c r="N86" s="91" t="n">
        <f aca="false">IF($B86="","",COUNTIF($B83:$B86,N$21)+COUNTIF($B83:$B86,$A$3))</f>
        <v>1</v>
      </c>
      <c r="O86" s="73" t="n">
        <f aca="false">IF($C86="","",COUNTIF($C83:$C86,N$21)+COUNTIF($C83:$C86,$A$3))</f>
        <v>0</v>
      </c>
      <c r="P86" s="73" t="n">
        <f aca="false">IF($D86="","",COUNTIF($D83:$D86,N$21)+COUNTIF($D83:$D86,$A$3))</f>
        <v>1</v>
      </c>
      <c r="Q86" s="73" t="n">
        <f aca="false">IF($E86="","",COUNTIF($E83:$E86,N$21)+COUNTIF($E83:$E86,$A$3))</f>
        <v>0</v>
      </c>
      <c r="R86" s="92" t="n">
        <f aca="false">IF($F86="","",COUNTIF($F83:$F86,N$21)+COUNTIF($F83:$F86,$A$3))</f>
        <v>3</v>
      </c>
      <c r="T86" s="91" t="n">
        <f aca="false">IF($B86="","",COUNTIF($B83:$B86,T$21)+COUNTIF($B83:$B86,$A$3))</f>
        <v>0</v>
      </c>
      <c r="U86" s="73" t="n">
        <f aca="false">IF($C86="","",COUNTIF($C83:$C86,T$21)+COUNTIF($C83:$C86,$A$3))</f>
        <v>1</v>
      </c>
      <c r="V86" s="73" t="n">
        <f aca="false">IF($D86="","",COUNTIF($D83:$D86,T$21)+COUNTIF($D83:$D86,$A$3))</f>
        <v>0</v>
      </c>
      <c r="W86" s="73" t="n">
        <f aca="false">IF($E86="","",COUNTIF($E83:$E86,T$21)+COUNTIF($E83:$E86,$A$3))</f>
        <v>0</v>
      </c>
      <c r="X86" s="92" t="n">
        <f aca="false">IF($F86="","",COUNTIF($F83:$F86,T$21)+COUNTIF($F83:$F86,$A$3))</f>
        <v>0</v>
      </c>
      <c r="Z86" s="91" t="n">
        <f aca="false">IF($B86="","",COUNTIF($B83:$B86,Z$21)+COUNTIF($B83:$B86,$A$3))</f>
        <v>0</v>
      </c>
      <c r="AA86" s="73" t="n">
        <f aca="false">IF($C86="","",COUNTIF($C83:$C86,Z$21)+COUNTIF($C83:$C86,$A$3))</f>
        <v>0</v>
      </c>
      <c r="AB86" s="73" t="n">
        <f aca="false">IF($D86="","",COUNTIF($D83:$D86,Z$21)+COUNTIF($D83:$D86,$A$3))</f>
        <v>0</v>
      </c>
      <c r="AC86" s="73" t="n">
        <f aca="false">IF($E86="","",COUNTIF($E83:$E86,Z$21)+COUNTIF($E83:$E86,$A$3))</f>
        <v>0</v>
      </c>
      <c r="AD86" s="92" t="n">
        <f aca="false">IF($F86="","",COUNTIF($F83:$F86,Z$21)+COUNTIF($F83:$F86,$A$3))</f>
        <v>0</v>
      </c>
      <c r="AF86" s="91" t="n">
        <f aca="false">IF($B86="","",COUNTIF($B83:$B86,AF$21)+COUNTIF($B83:$B86,$A$3))</f>
        <v>0</v>
      </c>
      <c r="AG86" s="73" t="n">
        <f aca="false">IF($C86="","",COUNTIF($C83:$C86,AF$21)+COUNTIF($C83:$C86,$A$3))</f>
        <v>0</v>
      </c>
      <c r="AH86" s="73" t="n">
        <f aca="false">IF($D86="","",COUNTIF($D83:$D86,AF$21)+COUNTIF($D83:$D86,$A$3))</f>
        <v>0</v>
      </c>
      <c r="AI86" s="73" t="n">
        <f aca="false">IF($E86="","",COUNTIF($E83:$E86,AF$21)+COUNTIF($E83:$E86,$A$3))</f>
        <v>0</v>
      </c>
      <c r="AJ86" s="92" t="n">
        <f aca="false">IF($F86="","",COUNTIF($F83:$F86,AF$21)+COUNTIF($F83:$F86,$A$3))</f>
        <v>0</v>
      </c>
      <c r="AL86" s="91" t="n">
        <f aca="false">IF($B86="","",COUNTIF($B83:$B86,AL$21)+COUNTIF($B83:$B86,$A$3))</f>
        <v>0</v>
      </c>
      <c r="AM86" s="73" t="n">
        <f aca="false">IF($C86="","",COUNTIF($C83:$C86,AL$21)+COUNTIF($C83:$C86,$A$3))</f>
        <v>1</v>
      </c>
      <c r="AN86" s="73" t="n">
        <f aca="false">IF($D86="","",COUNTIF($D83:$D86,AL$21)+COUNTIF($D83:$D86,$A$3))</f>
        <v>0</v>
      </c>
      <c r="AO86" s="73" t="n">
        <f aca="false">IF($E86="","",COUNTIF($E83:$E86,AL$21)+COUNTIF($E83:$E86,$A$3))</f>
        <v>0</v>
      </c>
      <c r="AP86" s="92" t="n">
        <f aca="false">IF($F86="","",COUNTIF($F83:$F86,AL$21)+COUNTIF($F83:$F86,$A$3))</f>
        <v>0</v>
      </c>
      <c r="AR86" s="91" t="n">
        <f aca="false">IF($B86="","",COUNTIF($B83:$B86,AR$21)+COUNTIF($B83:$B86,$A$3))</f>
        <v>1</v>
      </c>
      <c r="AS86" s="73" t="n">
        <f aca="false">IF($C86="","",COUNTIF($C83:$C86,AR$21)+COUNTIF($C83:$C86,$A$3))</f>
        <v>0</v>
      </c>
      <c r="AT86" s="73" t="n">
        <f aca="false">IF($D86="","",COUNTIF($D83:$D86,AR$21)+COUNTIF($D83:$D86,$A$3))</f>
        <v>1</v>
      </c>
      <c r="AU86" s="73" t="n">
        <f aca="false">IF($E86="","",COUNTIF($E83:$E86,AR$21)+COUNTIF($E83:$E86,$A$3))</f>
        <v>0</v>
      </c>
      <c r="AV86" s="92" t="n">
        <f aca="false">IF($F86="","",COUNTIF($F83:$F86,AR$21)+COUNTIF($F83:$F86,$A$3))</f>
        <v>0</v>
      </c>
      <c r="AX86" s="91" t="n">
        <f aca="false">IF($B86="","",COUNTIF($B83:$B86,AX$21)+COUNTIF($B83:$B86,$A$3))</f>
        <v>0</v>
      </c>
      <c r="AY86" s="73" t="n">
        <f aca="false">IF($C86="","",COUNTIF($C83:$C86,AX$21)+COUNTIF($C83:$C86,$A$3))</f>
        <v>1</v>
      </c>
      <c r="AZ86" s="73" t="n">
        <f aca="false">IF($D86="","",COUNTIF($D83:$D86,AX$21)+COUNTIF($D83:$D86,$A$3))</f>
        <v>0</v>
      </c>
      <c r="BA86" s="73" t="n">
        <f aca="false">IF($E86="","",COUNTIF($E83:$E86,AX$21)+COUNTIF($E83:$E86,$A$3))</f>
        <v>1</v>
      </c>
      <c r="BB86" s="92" t="n">
        <f aca="false">IF($F86="","",COUNTIF($F83:$F86,AX$21)+COUNTIF($F83:$F86,$A$3))</f>
        <v>0</v>
      </c>
      <c r="BD86" s="91" t="n">
        <f aca="false">IF($B86="","",COUNTIF($B83:$B86,BD$21)+COUNTIF($B83:$B86,$A$3))</f>
        <v>1</v>
      </c>
      <c r="BE86" s="73" t="n">
        <f aca="false">IF($C86="","",COUNTIF($C83:$C86,BD$21)+COUNTIF($C83:$C86,$A$3))</f>
        <v>0</v>
      </c>
      <c r="BF86" s="73" t="n">
        <f aca="false">IF($D86="","",COUNTIF($D83:$D86,BD$21)+COUNTIF($D83:$D86,$A$3))</f>
        <v>0</v>
      </c>
      <c r="BG86" s="73" t="n">
        <f aca="false">IF($E86="","",COUNTIF($E83:$E86,BD$21)+COUNTIF($E83:$E86,$A$3))</f>
        <v>0</v>
      </c>
      <c r="BH86" s="92" t="n">
        <f aca="false">IF($F86="","",COUNTIF($F83:$F86,BD$21)+COUNTIF($F83:$F86,$A$3))</f>
        <v>0</v>
      </c>
      <c r="BJ86" s="91" t="n">
        <f aca="false">IF($B86="","",COUNTIF($B83:$B86,BJ$21)+COUNTIF($B83:$B86,$A$3))</f>
        <v>0</v>
      </c>
      <c r="BK86" s="73" t="n">
        <f aca="false">IF($C86="","",COUNTIF($C83:$C86,BJ$21)+COUNTIF($C83:$C86,$A$3))</f>
        <v>1</v>
      </c>
      <c r="BL86" s="73" t="n">
        <f aca="false">IF($D86="","",COUNTIF($D83:$D86,BJ$21)+COUNTIF($D83:$D86,$A$3))</f>
        <v>0</v>
      </c>
      <c r="BM86" s="73" t="n">
        <f aca="false">IF($E86="","",COUNTIF($E83:$E86,BJ$21)+COUNTIF($E83:$E86,$A$3))</f>
        <v>0</v>
      </c>
      <c r="BN86" s="92" t="n">
        <f aca="false">IF($F86="","",COUNTIF($F83:$F86,BJ$21)+COUNTIF($F83:$F86,$A$3))</f>
        <v>1</v>
      </c>
      <c r="BP86" s="91" t="n">
        <f aca="false">IF($B86="","",COUNTIF($B83:$B86,BP$21)+COUNTIF($B83:$B86,$A$3))</f>
        <v>0</v>
      </c>
      <c r="BQ86" s="73" t="n">
        <f aca="false">IF($C86="","",COUNTIF($C83:$C86,BP$21)+COUNTIF($C83:$C86,$A$3))</f>
        <v>0</v>
      </c>
      <c r="BR86" s="73" t="n">
        <f aca="false">IF($D86="","",COUNTIF($D83:$D86,BP$21)+COUNTIF($D83:$D86,$A$3))</f>
        <v>1</v>
      </c>
      <c r="BS86" s="73" t="n">
        <f aca="false">IF($E86="","",COUNTIF($E83:$E86,BP$21)+COUNTIF($E83:$E86,$A$3))</f>
        <v>0</v>
      </c>
      <c r="BT86" s="92" t="n">
        <f aca="false">IF($F86="","",COUNTIF($F83:$F86,BP$21)+COUNTIF($F83:$F86,$A$3))</f>
        <v>0</v>
      </c>
    </row>
    <row r="87" customFormat="false" ht="15" hidden="false" customHeight="false" outlineLevel="0" collapsed="false">
      <c r="A87" s="13" t="n">
        <v>65</v>
      </c>
      <c r="B87" s="116" t="str">
        <f aca="false">IF('Game Info'!Q70="","",'Game Info'!Q70)</f>
        <v>Q</v>
      </c>
      <c r="C87" s="116" t="str">
        <f aca="false">IF('Game Info'!R70="","",'Game Info'!R70)</f>
        <v>SYM4</v>
      </c>
      <c r="D87" s="116" t="str">
        <f aca="false">IF('Game Info'!S70="","",'Game Info'!S70)</f>
        <v>Q</v>
      </c>
      <c r="E87" s="116" t="n">
        <f aca="false">IF('Game Info'!T70="","",'Game Info'!T70)</f>
        <v>10</v>
      </c>
      <c r="F87" s="117" t="str">
        <f aca="false">IF('Game Info'!U70="","",'Game Info'!U70)</f>
        <v>SYM4</v>
      </c>
      <c r="H87" s="91" t="n">
        <f aca="false">IF($B87="","",COUNTIF($B84:$B87,H$21)+COUNTIF($B84:$B87,$A$3))</f>
        <v>1</v>
      </c>
      <c r="I87" s="73" t="n">
        <f aca="false">IF($C87="","",COUNTIF($C84:$C87,H$21)+COUNTIF($C84:$C87,$A$3))</f>
        <v>0</v>
      </c>
      <c r="J87" s="73" t="n">
        <f aca="false">IF($D87="","",COUNTIF($D84:$D87,H$21)+COUNTIF($D84:$D87,$A$3))</f>
        <v>1</v>
      </c>
      <c r="K87" s="73" t="n">
        <f aca="false">IF($E87="","",COUNTIF($E84:$E87,H$21)+COUNTIF($E84:$E87,$A$3))</f>
        <v>1</v>
      </c>
      <c r="L87" s="92" t="n">
        <f aca="false">IF($F87="","",COUNTIF($F84:$F87,H$21)+COUNTIF($F84:$F87,$A$3))</f>
        <v>0</v>
      </c>
      <c r="N87" s="91" t="n">
        <f aca="false">IF($B87="","",COUNTIF($B84:$B87,N$21)+COUNTIF($B84:$B87,$A$3))</f>
        <v>1</v>
      </c>
      <c r="O87" s="73" t="n">
        <f aca="false">IF($C87="","",COUNTIF($C84:$C87,N$21)+COUNTIF($C84:$C87,$A$3))</f>
        <v>0</v>
      </c>
      <c r="P87" s="73" t="n">
        <f aca="false">IF($D87="","",COUNTIF($D84:$D87,N$21)+COUNTIF($D84:$D87,$A$3))</f>
        <v>1</v>
      </c>
      <c r="Q87" s="73" t="n">
        <f aca="false">IF($E87="","",COUNTIF($E84:$E87,N$21)+COUNTIF($E84:$E87,$A$3))</f>
        <v>0</v>
      </c>
      <c r="R87" s="92" t="n">
        <f aca="false">IF($F87="","",COUNTIF($F84:$F87,N$21)+COUNTIF($F84:$F87,$A$3))</f>
        <v>2</v>
      </c>
      <c r="T87" s="91" t="n">
        <f aca="false">IF($B87="","",COUNTIF($B84:$B87,T$21)+COUNTIF($B84:$B87,$A$3))</f>
        <v>0</v>
      </c>
      <c r="U87" s="73" t="n">
        <f aca="false">IF($C87="","",COUNTIF($C84:$C87,T$21)+COUNTIF($C84:$C87,$A$3))</f>
        <v>1</v>
      </c>
      <c r="V87" s="73" t="n">
        <f aca="false">IF($D87="","",COUNTIF($D84:$D87,T$21)+COUNTIF($D84:$D87,$A$3))</f>
        <v>0</v>
      </c>
      <c r="W87" s="73" t="n">
        <f aca="false">IF($E87="","",COUNTIF($E84:$E87,T$21)+COUNTIF($E84:$E87,$A$3))</f>
        <v>0</v>
      </c>
      <c r="X87" s="92" t="n">
        <f aca="false">IF($F87="","",COUNTIF($F84:$F87,T$21)+COUNTIF($F84:$F87,$A$3))</f>
        <v>0</v>
      </c>
      <c r="Z87" s="91" t="n">
        <f aca="false">IF($B87="","",COUNTIF($B84:$B87,Z$21)+COUNTIF($B84:$B87,$A$3))</f>
        <v>0</v>
      </c>
      <c r="AA87" s="73" t="n">
        <f aca="false">IF($C87="","",COUNTIF($C84:$C87,Z$21)+COUNTIF($C84:$C87,$A$3))</f>
        <v>1</v>
      </c>
      <c r="AB87" s="73" t="n">
        <f aca="false">IF($D87="","",COUNTIF($D84:$D87,Z$21)+COUNTIF($D84:$D87,$A$3))</f>
        <v>0</v>
      </c>
      <c r="AC87" s="73" t="n">
        <f aca="false">IF($E87="","",COUNTIF($E84:$E87,Z$21)+COUNTIF($E84:$E87,$A$3))</f>
        <v>0</v>
      </c>
      <c r="AD87" s="92" t="n">
        <f aca="false">IF($F87="","",COUNTIF($F84:$F87,Z$21)+COUNTIF($F84:$F87,$A$3))</f>
        <v>1</v>
      </c>
      <c r="AF87" s="91" t="n">
        <f aca="false">IF($B87="","",COUNTIF($B84:$B87,AF$21)+COUNTIF($B84:$B87,$A$3))</f>
        <v>0</v>
      </c>
      <c r="AG87" s="73" t="n">
        <f aca="false">IF($C87="","",COUNTIF($C84:$C87,AF$21)+COUNTIF($C84:$C87,$A$3))</f>
        <v>0</v>
      </c>
      <c r="AH87" s="73" t="n">
        <f aca="false">IF($D87="","",COUNTIF($D84:$D87,AF$21)+COUNTIF($D84:$D87,$A$3))</f>
        <v>0</v>
      </c>
      <c r="AI87" s="73" t="n">
        <f aca="false">IF($E87="","",COUNTIF($E84:$E87,AF$21)+COUNTIF($E84:$E87,$A$3))</f>
        <v>0</v>
      </c>
      <c r="AJ87" s="92" t="n">
        <f aca="false">IF($F87="","",COUNTIF($F84:$F87,AF$21)+COUNTIF($F84:$F87,$A$3))</f>
        <v>0</v>
      </c>
      <c r="AL87" s="91" t="n">
        <f aca="false">IF($B87="","",COUNTIF($B84:$B87,AL$21)+COUNTIF($B84:$B87,$A$3))</f>
        <v>0</v>
      </c>
      <c r="AM87" s="73" t="n">
        <f aca="false">IF($C87="","",COUNTIF($C84:$C87,AL$21)+COUNTIF($C84:$C87,$A$3))</f>
        <v>1</v>
      </c>
      <c r="AN87" s="73" t="n">
        <f aca="false">IF($D87="","",COUNTIF($D84:$D87,AL$21)+COUNTIF($D84:$D87,$A$3))</f>
        <v>0</v>
      </c>
      <c r="AO87" s="73" t="n">
        <f aca="false">IF($E87="","",COUNTIF($E84:$E87,AL$21)+COUNTIF($E84:$E87,$A$3))</f>
        <v>0</v>
      </c>
      <c r="AP87" s="92" t="n">
        <f aca="false">IF($F87="","",COUNTIF($F84:$F87,AL$21)+COUNTIF($F84:$F87,$A$3))</f>
        <v>0</v>
      </c>
      <c r="AR87" s="91" t="n">
        <f aca="false">IF($B87="","",COUNTIF($B84:$B87,AR$21)+COUNTIF($B84:$B87,$A$3))</f>
        <v>0</v>
      </c>
      <c r="AS87" s="73" t="n">
        <f aca="false">IF($C87="","",COUNTIF($C84:$C87,AR$21)+COUNTIF($C84:$C87,$A$3))</f>
        <v>0</v>
      </c>
      <c r="AT87" s="73" t="n">
        <f aca="false">IF($D87="","",COUNTIF($D84:$D87,AR$21)+COUNTIF($D84:$D87,$A$3))</f>
        <v>1</v>
      </c>
      <c r="AU87" s="73" t="n">
        <f aca="false">IF($E87="","",COUNTIF($E84:$E87,AR$21)+COUNTIF($E84:$E87,$A$3))</f>
        <v>0</v>
      </c>
      <c r="AV87" s="92" t="n">
        <f aca="false">IF($F87="","",COUNTIF($F84:$F87,AR$21)+COUNTIF($F84:$F87,$A$3))</f>
        <v>0</v>
      </c>
      <c r="AX87" s="91" t="n">
        <f aca="false">IF($B87="","",COUNTIF($B84:$B87,AX$21)+COUNTIF($B84:$B87,$A$3))</f>
        <v>1</v>
      </c>
      <c r="AY87" s="73" t="n">
        <f aca="false">IF($C87="","",COUNTIF($C84:$C87,AX$21)+COUNTIF($C84:$C87,$A$3))</f>
        <v>0</v>
      </c>
      <c r="AZ87" s="73" t="n">
        <f aca="false">IF($D87="","",COUNTIF($D84:$D87,AX$21)+COUNTIF($D84:$D87,$A$3))</f>
        <v>1</v>
      </c>
      <c r="BA87" s="73" t="n">
        <f aca="false">IF($E87="","",COUNTIF($E84:$E87,AX$21)+COUNTIF($E84:$E87,$A$3))</f>
        <v>1</v>
      </c>
      <c r="BB87" s="92" t="n">
        <f aca="false">IF($F87="","",COUNTIF($F84:$F87,AX$21)+COUNTIF($F84:$F87,$A$3))</f>
        <v>0</v>
      </c>
      <c r="BD87" s="91" t="n">
        <f aca="false">IF($B87="","",COUNTIF($B84:$B87,BD$21)+COUNTIF($B84:$B87,$A$3))</f>
        <v>1</v>
      </c>
      <c r="BE87" s="73" t="n">
        <f aca="false">IF($C87="","",COUNTIF($C84:$C87,BD$21)+COUNTIF($C84:$C87,$A$3))</f>
        <v>0</v>
      </c>
      <c r="BF87" s="73" t="n">
        <f aca="false">IF($D87="","",COUNTIF($D84:$D87,BD$21)+COUNTIF($D84:$D87,$A$3))</f>
        <v>0</v>
      </c>
      <c r="BG87" s="73" t="n">
        <f aca="false">IF($E87="","",COUNTIF($E84:$E87,BD$21)+COUNTIF($E84:$E87,$A$3))</f>
        <v>0</v>
      </c>
      <c r="BH87" s="92" t="n">
        <f aca="false">IF($F87="","",COUNTIF($F84:$F87,BD$21)+COUNTIF($F84:$F87,$A$3))</f>
        <v>0</v>
      </c>
      <c r="BJ87" s="91" t="n">
        <f aca="false">IF($B87="","",COUNTIF($B84:$B87,BJ$21)+COUNTIF($B84:$B87,$A$3))</f>
        <v>0</v>
      </c>
      <c r="BK87" s="73" t="n">
        <f aca="false">IF($C87="","",COUNTIF($C84:$C87,BJ$21)+COUNTIF($C84:$C87,$A$3))</f>
        <v>1</v>
      </c>
      <c r="BL87" s="73" t="n">
        <f aca="false">IF($D87="","",COUNTIF($D84:$D87,BJ$21)+COUNTIF($D84:$D87,$A$3))</f>
        <v>0</v>
      </c>
      <c r="BM87" s="73" t="n">
        <f aca="false">IF($E87="","",COUNTIF($E84:$E87,BJ$21)+COUNTIF($E84:$E87,$A$3))</f>
        <v>1</v>
      </c>
      <c r="BN87" s="92" t="n">
        <f aca="false">IF($F87="","",COUNTIF($F84:$F87,BJ$21)+COUNTIF($F84:$F87,$A$3))</f>
        <v>1</v>
      </c>
      <c r="BP87" s="91" t="n">
        <f aca="false">IF($B87="","",COUNTIF($B84:$B87,BP$21)+COUNTIF($B84:$B87,$A$3))</f>
        <v>0</v>
      </c>
      <c r="BQ87" s="73" t="n">
        <f aca="false">IF($C87="","",COUNTIF($C84:$C87,BP$21)+COUNTIF($C84:$C87,$A$3))</f>
        <v>0</v>
      </c>
      <c r="BR87" s="73" t="n">
        <f aca="false">IF($D87="","",COUNTIF($D84:$D87,BP$21)+COUNTIF($D84:$D87,$A$3))</f>
        <v>0</v>
      </c>
      <c r="BS87" s="73" t="n">
        <f aca="false">IF($E87="","",COUNTIF($E84:$E87,BP$21)+COUNTIF($E84:$E87,$A$3))</f>
        <v>0</v>
      </c>
      <c r="BT87" s="92" t="n">
        <f aca="false">IF($F87="","",COUNTIF($F84:$F87,BP$21)+COUNTIF($F84:$F87,$A$3))</f>
        <v>0</v>
      </c>
    </row>
    <row r="88" customFormat="false" ht="15" hidden="false" customHeight="false" outlineLevel="0" collapsed="false">
      <c r="A88" s="13" t="n">
        <v>66</v>
      </c>
      <c r="B88" s="116" t="str">
        <f aca="false">IF('Game Info'!Q71="","",'Game Info'!Q71)</f>
        <v>SYM3</v>
      </c>
      <c r="C88" s="116" t="str">
        <f aca="false">IF('Game Info'!R71="","",'Game Info'!R71)</f>
        <v>K</v>
      </c>
      <c r="D88" s="116" t="str">
        <f aca="false">IF('Game Info'!S71="","",'Game Info'!S71)</f>
        <v>FG</v>
      </c>
      <c r="E88" s="116" t="str">
        <f aca="false">IF('Game Info'!T71="","",'Game Info'!T71)</f>
        <v>SYM1</v>
      </c>
      <c r="F88" s="117" t="str">
        <f aca="false">IF('Game Info'!U71="","",'Game Info'!U71)</f>
        <v>J</v>
      </c>
      <c r="H88" s="91" t="n">
        <f aca="false">IF($B88="","",COUNTIF($B85:$B88,H$21)+COUNTIF($B85:$B88,$A$3))</f>
        <v>1</v>
      </c>
      <c r="I88" s="73" t="n">
        <f aca="false">IF($C88="","",COUNTIF($C85:$C88,H$21)+COUNTIF($C85:$C88,$A$3))</f>
        <v>0</v>
      </c>
      <c r="J88" s="73" t="n">
        <f aca="false">IF($D88="","",COUNTIF($D85:$D88,H$21)+COUNTIF($D85:$D88,$A$3))</f>
        <v>1</v>
      </c>
      <c r="K88" s="73" t="n">
        <f aca="false">IF($E88="","",COUNTIF($E85:$E88,H$21)+COUNTIF($E85:$E88,$A$3))</f>
        <v>1</v>
      </c>
      <c r="L88" s="92" t="n">
        <f aca="false">IF($F88="","",COUNTIF($F85:$F88,H$21)+COUNTIF($F85:$F88,$A$3))</f>
        <v>0</v>
      </c>
      <c r="N88" s="91" t="n">
        <f aca="false">IF($B88="","",COUNTIF($B85:$B88,N$21)+COUNTIF($B85:$B88,$A$3))</f>
        <v>0</v>
      </c>
      <c r="O88" s="73" t="n">
        <f aca="false">IF($C88="","",COUNTIF($C85:$C88,N$21)+COUNTIF($C85:$C88,$A$3))</f>
        <v>0</v>
      </c>
      <c r="P88" s="73" t="n">
        <f aca="false">IF($D88="","",COUNTIF($D85:$D88,N$21)+COUNTIF($D85:$D88,$A$3))</f>
        <v>0</v>
      </c>
      <c r="Q88" s="73" t="n">
        <f aca="false">IF($E88="","",COUNTIF($E85:$E88,N$21)+COUNTIF($E85:$E88,$A$3))</f>
        <v>0</v>
      </c>
      <c r="R88" s="92" t="n">
        <f aca="false">IF($F88="","",COUNTIF($F85:$F88,N$21)+COUNTIF($F85:$F88,$A$3))</f>
        <v>1</v>
      </c>
      <c r="T88" s="91" t="n">
        <f aca="false">IF($B88="","",COUNTIF($B85:$B88,T$21)+COUNTIF($B85:$B88,$A$3))</f>
        <v>1</v>
      </c>
      <c r="U88" s="73" t="n">
        <f aca="false">IF($C88="","",COUNTIF($C85:$C88,T$21)+COUNTIF($C85:$C88,$A$3))</f>
        <v>1</v>
      </c>
      <c r="V88" s="73" t="n">
        <f aca="false">IF($D88="","",COUNTIF($D85:$D88,T$21)+COUNTIF($D85:$D88,$A$3))</f>
        <v>0</v>
      </c>
      <c r="W88" s="73" t="n">
        <f aca="false">IF($E88="","",COUNTIF($E85:$E88,T$21)+COUNTIF($E85:$E88,$A$3))</f>
        <v>0</v>
      </c>
      <c r="X88" s="92" t="n">
        <f aca="false">IF($F88="","",COUNTIF($F85:$F88,T$21)+COUNTIF($F85:$F88,$A$3))</f>
        <v>0</v>
      </c>
      <c r="Z88" s="91" t="n">
        <f aca="false">IF($B88="","",COUNTIF($B85:$B88,Z$21)+COUNTIF($B85:$B88,$A$3))</f>
        <v>0</v>
      </c>
      <c r="AA88" s="73" t="n">
        <f aca="false">IF($C88="","",COUNTIF($C85:$C88,Z$21)+COUNTIF($C85:$C88,$A$3))</f>
        <v>1</v>
      </c>
      <c r="AB88" s="73" t="n">
        <f aca="false">IF($D88="","",COUNTIF($D85:$D88,Z$21)+COUNTIF($D85:$D88,$A$3))</f>
        <v>0</v>
      </c>
      <c r="AC88" s="73" t="n">
        <f aca="false">IF($E88="","",COUNTIF($E85:$E88,Z$21)+COUNTIF($E85:$E88,$A$3))</f>
        <v>0</v>
      </c>
      <c r="AD88" s="92" t="n">
        <f aca="false">IF($F88="","",COUNTIF($F85:$F88,Z$21)+COUNTIF($F85:$F88,$A$3))</f>
        <v>1</v>
      </c>
      <c r="AF88" s="91" t="n">
        <f aca="false">IF($B88="","",COUNTIF($B85:$B88,AF$21)+COUNTIF($B85:$B88,$A$3))</f>
        <v>0</v>
      </c>
      <c r="AG88" s="73" t="n">
        <f aca="false">IF($C88="","",COUNTIF($C85:$C88,AF$21)+COUNTIF($C85:$C88,$A$3))</f>
        <v>0</v>
      </c>
      <c r="AH88" s="73" t="n">
        <f aca="false">IF($D88="","",COUNTIF($D85:$D88,AF$21)+COUNTIF($D85:$D88,$A$3))</f>
        <v>0</v>
      </c>
      <c r="AI88" s="73" t="n">
        <f aca="false">IF($E88="","",COUNTIF($E85:$E88,AF$21)+COUNTIF($E85:$E88,$A$3))</f>
        <v>0</v>
      </c>
      <c r="AJ88" s="92" t="n">
        <f aca="false">IF($F88="","",COUNTIF($F85:$F88,AF$21)+COUNTIF($F85:$F88,$A$3))</f>
        <v>0</v>
      </c>
      <c r="AL88" s="91" t="n">
        <f aca="false">IF($B88="","",COUNTIF($B85:$B88,AL$21)+COUNTIF($B85:$B88,$A$3))</f>
        <v>0</v>
      </c>
      <c r="AM88" s="73" t="n">
        <f aca="false">IF($C88="","",COUNTIF($C85:$C88,AL$21)+COUNTIF($C85:$C88,$A$3))</f>
        <v>1</v>
      </c>
      <c r="AN88" s="73" t="n">
        <f aca="false">IF($D88="","",COUNTIF($D85:$D88,AL$21)+COUNTIF($D85:$D88,$A$3))</f>
        <v>0</v>
      </c>
      <c r="AO88" s="73" t="n">
        <f aca="false">IF($E88="","",COUNTIF($E85:$E88,AL$21)+COUNTIF($E85:$E88,$A$3))</f>
        <v>0</v>
      </c>
      <c r="AP88" s="92" t="n">
        <f aca="false">IF($F88="","",COUNTIF($F85:$F88,AL$21)+COUNTIF($F85:$F88,$A$3))</f>
        <v>0</v>
      </c>
      <c r="AR88" s="91" t="n">
        <f aca="false">IF($B88="","",COUNTIF($B85:$B88,AR$21)+COUNTIF($B85:$B88,$A$3))</f>
        <v>0</v>
      </c>
      <c r="AS88" s="73" t="n">
        <f aca="false">IF($C88="","",COUNTIF($C85:$C88,AR$21)+COUNTIF($C85:$C88,$A$3))</f>
        <v>1</v>
      </c>
      <c r="AT88" s="73" t="n">
        <f aca="false">IF($D88="","",COUNTIF($D85:$D88,AR$21)+COUNTIF($D85:$D88,$A$3))</f>
        <v>1</v>
      </c>
      <c r="AU88" s="73" t="n">
        <f aca="false">IF($E88="","",COUNTIF($E85:$E88,AR$21)+COUNTIF($E85:$E88,$A$3))</f>
        <v>0</v>
      </c>
      <c r="AV88" s="92" t="n">
        <f aca="false">IF($F88="","",COUNTIF($F85:$F88,AR$21)+COUNTIF($F85:$F88,$A$3))</f>
        <v>0</v>
      </c>
      <c r="AX88" s="91" t="n">
        <f aca="false">IF($B88="","",COUNTIF($B85:$B88,AX$21)+COUNTIF($B85:$B88,$A$3))</f>
        <v>1</v>
      </c>
      <c r="AY88" s="73" t="n">
        <f aca="false">IF($C88="","",COUNTIF($C85:$C88,AX$21)+COUNTIF($C85:$C88,$A$3))</f>
        <v>0</v>
      </c>
      <c r="AZ88" s="73" t="n">
        <f aca="false">IF($D88="","",COUNTIF($D85:$D88,AX$21)+COUNTIF($D85:$D88,$A$3))</f>
        <v>1</v>
      </c>
      <c r="BA88" s="73" t="n">
        <f aca="false">IF($E88="","",COUNTIF($E85:$E88,AX$21)+COUNTIF($E85:$E88,$A$3))</f>
        <v>1</v>
      </c>
      <c r="BB88" s="92" t="n">
        <f aca="false">IF($F88="","",COUNTIF($F85:$F88,AX$21)+COUNTIF($F85:$F88,$A$3))</f>
        <v>0</v>
      </c>
      <c r="BD88" s="91" t="n">
        <f aca="false">IF($B88="","",COUNTIF($B85:$B88,BD$21)+COUNTIF($B85:$B88,$A$3))</f>
        <v>1</v>
      </c>
      <c r="BE88" s="73" t="n">
        <f aca="false">IF($C88="","",COUNTIF($C85:$C88,BD$21)+COUNTIF($C85:$C88,$A$3))</f>
        <v>0</v>
      </c>
      <c r="BF88" s="73" t="n">
        <f aca="false">IF($D88="","",COUNTIF($D85:$D88,BD$21)+COUNTIF($D85:$D88,$A$3))</f>
        <v>0</v>
      </c>
      <c r="BG88" s="73" t="n">
        <f aca="false">IF($E88="","",COUNTIF($E85:$E88,BD$21)+COUNTIF($E85:$E88,$A$3))</f>
        <v>0</v>
      </c>
      <c r="BH88" s="92" t="n">
        <f aca="false">IF($F88="","",COUNTIF($F85:$F88,BD$21)+COUNTIF($F85:$F88,$A$3))</f>
        <v>1</v>
      </c>
      <c r="BJ88" s="91" t="n">
        <f aca="false">IF($B88="","",COUNTIF($B85:$B88,BJ$21)+COUNTIF($B85:$B88,$A$3))</f>
        <v>0</v>
      </c>
      <c r="BK88" s="73" t="n">
        <f aca="false">IF($C88="","",COUNTIF($C85:$C88,BJ$21)+COUNTIF($C85:$C88,$A$3))</f>
        <v>0</v>
      </c>
      <c r="BL88" s="73" t="n">
        <f aca="false">IF($D88="","",COUNTIF($D85:$D88,BJ$21)+COUNTIF($D85:$D88,$A$3))</f>
        <v>0</v>
      </c>
      <c r="BM88" s="73" t="n">
        <f aca="false">IF($E88="","",COUNTIF($E85:$E88,BJ$21)+COUNTIF($E85:$E88,$A$3))</f>
        <v>1</v>
      </c>
      <c r="BN88" s="92" t="n">
        <f aca="false">IF($F88="","",COUNTIF($F85:$F88,BJ$21)+COUNTIF($F85:$F88,$A$3))</f>
        <v>1</v>
      </c>
      <c r="BP88" s="91" t="n">
        <f aca="false">IF($B88="","",COUNTIF($B85:$B88,BP$21)+COUNTIF($B85:$B88,$A$3))</f>
        <v>0</v>
      </c>
      <c r="BQ88" s="73" t="n">
        <f aca="false">IF($C88="","",COUNTIF($C85:$C88,BP$21)+COUNTIF($C85:$C88,$A$3))</f>
        <v>0</v>
      </c>
      <c r="BR88" s="73" t="n">
        <f aca="false">IF($D88="","",COUNTIF($D85:$D88,BP$21)+COUNTIF($D85:$D88,$A$3))</f>
        <v>0</v>
      </c>
      <c r="BS88" s="73" t="n">
        <f aca="false">IF($E88="","",COUNTIF($E85:$E88,BP$21)+COUNTIF($E85:$E88,$A$3))</f>
        <v>0</v>
      </c>
      <c r="BT88" s="92" t="n">
        <f aca="false">IF($F88="","",COUNTIF($F85:$F88,BP$21)+COUNTIF($F85:$F88,$A$3))</f>
        <v>0</v>
      </c>
    </row>
    <row r="89" customFormat="false" ht="15" hidden="false" customHeight="false" outlineLevel="0" collapsed="false">
      <c r="A89" s="13" t="n">
        <v>67</v>
      </c>
      <c r="B89" s="116" t="n">
        <f aca="false">IF('Game Info'!Q72="","",'Game Info'!Q72)</f>
        <v>10</v>
      </c>
      <c r="C89" s="116" t="str">
        <f aca="false">IF('Game Info'!R72="","",'Game Info'!R72)</f>
        <v>SYM2</v>
      </c>
      <c r="D89" s="116" t="n">
        <f aca="false">IF('Game Info'!S72="","",'Game Info'!S72)</f>
        <v>10</v>
      </c>
      <c r="E89" s="116" t="str">
        <f aca="false">IF('Game Info'!T72="","",'Game Info'!T72)</f>
        <v>Q</v>
      </c>
      <c r="F89" s="117" t="str">
        <f aca="false">IF('Game Info'!U72="","",'Game Info'!U72)</f>
        <v>SYM1</v>
      </c>
      <c r="H89" s="91" t="n">
        <f aca="false">IF($B89="","",COUNTIF($B86:$B89,H$21)+COUNTIF($B86:$B89,$A$3))</f>
        <v>1</v>
      </c>
      <c r="I89" s="73" t="n">
        <f aca="false">IF($C89="","",COUNTIF($C86:$C89,H$21)+COUNTIF($C86:$C89,$A$3))</f>
        <v>0</v>
      </c>
      <c r="J89" s="73" t="n">
        <f aca="false">IF($D89="","",COUNTIF($D86:$D89,H$21)+COUNTIF($D86:$D89,$A$3))</f>
        <v>1</v>
      </c>
      <c r="K89" s="73" t="n">
        <f aca="false">IF($E89="","",COUNTIF($E86:$E89,H$21)+COUNTIF($E86:$E89,$A$3))</f>
        <v>1</v>
      </c>
      <c r="L89" s="92" t="n">
        <f aca="false">IF($F89="","",COUNTIF($F86:$F89,H$21)+COUNTIF($F86:$F89,$A$3))</f>
        <v>1</v>
      </c>
      <c r="N89" s="91" t="n">
        <f aca="false">IF($B89="","",COUNTIF($B86:$B89,N$21)+COUNTIF($B86:$B89,$A$3))</f>
        <v>0</v>
      </c>
      <c r="O89" s="73" t="n">
        <f aca="false">IF($C89="","",COUNTIF($C86:$C89,N$21)+COUNTIF($C86:$C89,$A$3))</f>
        <v>1</v>
      </c>
      <c r="P89" s="73" t="n">
        <f aca="false">IF($D89="","",COUNTIF($D86:$D89,N$21)+COUNTIF($D86:$D89,$A$3))</f>
        <v>0</v>
      </c>
      <c r="Q89" s="73" t="n">
        <f aca="false">IF($E89="","",COUNTIF($E86:$E89,N$21)+COUNTIF($E86:$E89,$A$3))</f>
        <v>0</v>
      </c>
      <c r="R89" s="92" t="n">
        <f aca="false">IF($F89="","",COUNTIF($F86:$F89,N$21)+COUNTIF($F86:$F89,$A$3))</f>
        <v>0</v>
      </c>
      <c r="T89" s="91" t="n">
        <f aca="false">IF($B89="","",COUNTIF($B86:$B89,T$21)+COUNTIF($B86:$B89,$A$3))</f>
        <v>1</v>
      </c>
      <c r="U89" s="73" t="n">
        <f aca="false">IF($C89="","",COUNTIF($C86:$C89,T$21)+COUNTIF($C86:$C89,$A$3))</f>
        <v>0</v>
      </c>
      <c r="V89" s="73" t="n">
        <f aca="false">IF($D89="","",COUNTIF($D86:$D89,T$21)+COUNTIF($D86:$D89,$A$3))</f>
        <v>0</v>
      </c>
      <c r="W89" s="73" t="n">
        <f aca="false">IF($E89="","",COUNTIF($E86:$E89,T$21)+COUNTIF($E86:$E89,$A$3))</f>
        <v>0</v>
      </c>
      <c r="X89" s="92" t="n">
        <f aca="false">IF($F89="","",COUNTIF($F86:$F89,T$21)+COUNTIF($F86:$F89,$A$3))</f>
        <v>0</v>
      </c>
      <c r="Z89" s="91" t="n">
        <f aca="false">IF($B89="","",COUNTIF($B86:$B89,Z$21)+COUNTIF($B86:$B89,$A$3))</f>
        <v>0</v>
      </c>
      <c r="AA89" s="73" t="n">
        <f aca="false">IF($C89="","",COUNTIF($C86:$C89,Z$21)+COUNTIF($C86:$C89,$A$3))</f>
        <v>1</v>
      </c>
      <c r="AB89" s="73" t="n">
        <f aca="false">IF($D89="","",COUNTIF($D86:$D89,Z$21)+COUNTIF($D86:$D89,$A$3))</f>
        <v>0</v>
      </c>
      <c r="AC89" s="73" t="n">
        <f aca="false">IF($E89="","",COUNTIF($E86:$E89,Z$21)+COUNTIF($E86:$E89,$A$3))</f>
        <v>0</v>
      </c>
      <c r="AD89" s="92" t="n">
        <f aca="false">IF($F89="","",COUNTIF($F86:$F89,Z$21)+COUNTIF($F86:$F89,$A$3))</f>
        <v>1</v>
      </c>
      <c r="AF89" s="91" t="n">
        <f aca="false">IF($B89="","",COUNTIF($B86:$B89,AF$21)+COUNTIF($B86:$B89,$A$3))</f>
        <v>0</v>
      </c>
      <c r="AG89" s="73" t="n">
        <f aca="false">IF($C89="","",COUNTIF($C86:$C89,AF$21)+COUNTIF($C86:$C89,$A$3))</f>
        <v>0</v>
      </c>
      <c r="AH89" s="73" t="n">
        <f aca="false">IF($D89="","",COUNTIF($D86:$D89,AF$21)+COUNTIF($D86:$D89,$A$3))</f>
        <v>0</v>
      </c>
      <c r="AI89" s="73" t="n">
        <f aca="false">IF($E89="","",COUNTIF($E86:$E89,AF$21)+COUNTIF($E86:$E89,$A$3))</f>
        <v>0</v>
      </c>
      <c r="AJ89" s="92" t="n">
        <f aca="false">IF($F89="","",COUNTIF($F86:$F89,AF$21)+COUNTIF($F86:$F89,$A$3))</f>
        <v>0</v>
      </c>
      <c r="AL89" s="91" t="n">
        <f aca="false">IF($B89="","",COUNTIF($B86:$B89,AL$21)+COUNTIF($B86:$B89,$A$3))</f>
        <v>0</v>
      </c>
      <c r="AM89" s="73" t="n">
        <f aca="false">IF($C89="","",COUNTIF($C86:$C89,AL$21)+COUNTIF($C86:$C89,$A$3))</f>
        <v>1</v>
      </c>
      <c r="AN89" s="73" t="n">
        <f aca="false">IF($D89="","",COUNTIF($D86:$D89,AL$21)+COUNTIF($D86:$D89,$A$3))</f>
        <v>0</v>
      </c>
      <c r="AO89" s="73" t="n">
        <f aca="false">IF($E89="","",COUNTIF($E86:$E89,AL$21)+COUNTIF($E86:$E89,$A$3))</f>
        <v>0</v>
      </c>
      <c r="AP89" s="92" t="n">
        <f aca="false">IF($F89="","",COUNTIF($F86:$F89,AL$21)+COUNTIF($F86:$F89,$A$3))</f>
        <v>0</v>
      </c>
      <c r="AR89" s="91" t="n">
        <f aca="false">IF($B89="","",COUNTIF($B86:$B89,AR$21)+COUNTIF($B86:$B89,$A$3))</f>
        <v>0</v>
      </c>
      <c r="AS89" s="73" t="n">
        <f aca="false">IF($C89="","",COUNTIF($C86:$C89,AR$21)+COUNTIF($C86:$C89,$A$3))</f>
        <v>1</v>
      </c>
      <c r="AT89" s="73" t="n">
        <f aca="false">IF($D89="","",COUNTIF($D86:$D89,AR$21)+COUNTIF($D86:$D89,$A$3))</f>
        <v>0</v>
      </c>
      <c r="AU89" s="73" t="n">
        <f aca="false">IF($E89="","",COUNTIF($E86:$E89,AR$21)+COUNTIF($E86:$E89,$A$3))</f>
        <v>0</v>
      </c>
      <c r="AV89" s="92" t="n">
        <f aca="false">IF($F89="","",COUNTIF($F86:$F89,AR$21)+COUNTIF($F86:$F89,$A$3))</f>
        <v>0</v>
      </c>
      <c r="AX89" s="91" t="n">
        <f aca="false">IF($B89="","",COUNTIF($B86:$B89,AX$21)+COUNTIF($B86:$B89,$A$3))</f>
        <v>1</v>
      </c>
      <c r="AY89" s="73" t="n">
        <f aca="false">IF($C89="","",COUNTIF($C86:$C89,AX$21)+COUNTIF($C86:$C89,$A$3))</f>
        <v>0</v>
      </c>
      <c r="AZ89" s="73" t="n">
        <f aca="false">IF($D89="","",COUNTIF($D86:$D89,AX$21)+COUNTIF($D86:$D89,$A$3))</f>
        <v>1</v>
      </c>
      <c r="BA89" s="73" t="n">
        <f aca="false">IF($E89="","",COUNTIF($E86:$E89,AX$21)+COUNTIF($E86:$E89,$A$3))</f>
        <v>1</v>
      </c>
      <c r="BB89" s="92" t="n">
        <f aca="false">IF($F89="","",COUNTIF($F86:$F89,AX$21)+COUNTIF($F86:$F89,$A$3))</f>
        <v>0</v>
      </c>
      <c r="BD89" s="91" t="n">
        <f aca="false">IF($B89="","",COUNTIF($B86:$B89,BD$21)+COUNTIF($B86:$B89,$A$3))</f>
        <v>0</v>
      </c>
      <c r="BE89" s="73" t="n">
        <f aca="false">IF($C89="","",COUNTIF($C86:$C89,BD$21)+COUNTIF($C86:$C89,$A$3))</f>
        <v>0</v>
      </c>
      <c r="BF89" s="73" t="n">
        <f aca="false">IF($D89="","",COUNTIF($D86:$D89,BD$21)+COUNTIF($D86:$D89,$A$3))</f>
        <v>0</v>
      </c>
      <c r="BG89" s="73" t="n">
        <f aca="false">IF($E89="","",COUNTIF($E86:$E89,BD$21)+COUNTIF($E86:$E89,$A$3))</f>
        <v>0</v>
      </c>
      <c r="BH89" s="92" t="n">
        <f aca="false">IF($F89="","",COUNTIF($F86:$F89,BD$21)+COUNTIF($F86:$F89,$A$3))</f>
        <v>1</v>
      </c>
      <c r="BJ89" s="91" t="n">
        <f aca="false">IF($B89="","",COUNTIF($B86:$B89,BJ$21)+COUNTIF($B86:$B89,$A$3))</f>
        <v>1</v>
      </c>
      <c r="BK89" s="73" t="n">
        <f aca="false">IF($C89="","",COUNTIF($C86:$C89,BJ$21)+COUNTIF($C86:$C89,$A$3))</f>
        <v>0</v>
      </c>
      <c r="BL89" s="73" t="n">
        <f aca="false">IF($D89="","",COUNTIF($D86:$D89,BJ$21)+COUNTIF($D86:$D89,$A$3))</f>
        <v>1</v>
      </c>
      <c r="BM89" s="73" t="n">
        <f aca="false">IF($E89="","",COUNTIF($E86:$E89,BJ$21)+COUNTIF($E86:$E89,$A$3))</f>
        <v>1</v>
      </c>
      <c r="BN89" s="92" t="n">
        <f aca="false">IF($F89="","",COUNTIF($F86:$F89,BJ$21)+COUNTIF($F86:$F89,$A$3))</f>
        <v>1</v>
      </c>
      <c r="BP89" s="91" t="n">
        <f aca="false">IF($B89="","",COUNTIF($B86:$B89,BP$21)+COUNTIF($B86:$B89,$A$3))</f>
        <v>0</v>
      </c>
      <c r="BQ89" s="73" t="n">
        <f aca="false">IF($C89="","",COUNTIF($C86:$C89,BP$21)+COUNTIF($C86:$C89,$A$3))</f>
        <v>0</v>
      </c>
      <c r="BR89" s="73" t="n">
        <f aca="false">IF($D89="","",COUNTIF($D86:$D89,BP$21)+COUNTIF($D86:$D89,$A$3))</f>
        <v>0</v>
      </c>
      <c r="BS89" s="73" t="n">
        <f aca="false">IF($E89="","",COUNTIF($E86:$E89,BP$21)+COUNTIF($E86:$E89,$A$3))</f>
        <v>0</v>
      </c>
      <c r="BT89" s="92" t="n">
        <f aca="false">IF($F89="","",COUNTIF($F86:$F89,BP$21)+COUNTIF($F86:$F89,$A$3))</f>
        <v>0</v>
      </c>
    </row>
    <row r="90" customFormat="false" ht="15" hidden="false" customHeight="false" outlineLevel="0" collapsed="false">
      <c r="A90" s="13" t="n">
        <v>68</v>
      </c>
      <c r="B90" s="116" t="str">
        <f aca="false">IF('Game Info'!Q73="","",'Game Info'!Q73)</f>
        <v>SYM4</v>
      </c>
      <c r="C90" s="116" t="str">
        <f aca="false">IF('Game Info'!R73="","",'Game Info'!R73)</f>
        <v>J</v>
      </c>
      <c r="D90" s="116" t="n">
        <f aca="false">IF('Game Info'!S73="","",'Game Info'!S73)</f>
        <v>9</v>
      </c>
      <c r="E90" s="116" t="str">
        <f aca="false">IF('Game Info'!T73="","",'Game Info'!T73)</f>
        <v>SYM5</v>
      </c>
      <c r="F90" s="117" t="str">
        <f aca="false">IF('Game Info'!U73="","",'Game Info'!U73)</f>
        <v>SYM1</v>
      </c>
      <c r="H90" s="91" t="n">
        <f aca="false">IF($B90="","",COUNTIF($B87:$B90,H$21)+COUNTIF($B87:$B90,$A$3))</f>
        <v>0</v>
      </c>
      <c r="I90" s="73" t="n">
        <f aca="false">IF($C90="","",COUNTIF($C87:$C90,H$21)+COUNTIF($C87:$C90,$A$3))</f>
        <v>0</v>
      </c>
      <c r="J90" s="73" t="n">
        <f aca="false">IF($D90="","",COUNTIF($D87:$D90,H$21)+COUNTIF($D87:$D90,$A$3))</f>
        <v>0</v>
      </c>
      <c r="K90" s="73" t="n">
        <f aca="false">IF($E90="","",COUNTIF($E87:$E90,H$21)+COUNTIF($E87:$E90,$A$3))</f>
        <v>1</v>
      </c>
      <c r="L90" s="92" t="n">
        <f aca="false">IF($F90="","",COUNTIF($F87:$F90,H$21)+COUNTIF($F87:$F90,$A$3))</f>
        <v>2</v>
      </c>
      <c r="N90" s="91" t="n">
        <f aca="false">IF($B90="","",COUNTIF($B87:$B90,N$21)+COUNTIF($B87:$B90,$A$3))</f>
        <v>0</v>
      </c>
      <c r="O90" s="73" t="n">
        <f aca="false">IF($C90="","",COUNTIF($C87:$C90,N$21)+COUNTIF($C87:$C90,$A$3))</f>
        <v>1</v>
      </c>
      <c r="P90" s="73" t="n">
        <f aca="false">IF($D90="","",COUNTIF($D87:$D90,N$21)+COUNTIF($D87:$D90,$A$3))</f>
        <v>0</v>
      </c>
      <c r="Q90" s="73" t="n">
        <f aca="false">IF($E90="","",COUNTIF($E87:$E90,N$21)+COUNTIF($E87:$E90,$A$3))</f>
        <v>0</v>
      </c>
      <c r="R90" s="92" t="n">
        <f aca="false">IF($F90="","",COUNTIF($F87:$F90,N$21)+COUNTIF($F87:$F90,$A$3))</f>
        <v>0</v>
      </c>
      <c r="T90" s="91" t="n">
        <f aca="false">IF($B90="","",COUNTIF($B87:$B90,T$21)+COUNTIF($B87:$B90,$A$3))</f>
        <v>1</v>
      </c>
      <c r="U90" s="73" t="n">
        <f aca="false">IF($C90="","",COUNTIF($C87:$C90,T$21)+COUNTIF($C87:$C90,$A$3))</f>
        <v>0</v>
      </c>
      <c r="V90" s="73" t="n">
        <f aca="false">IF($D90="","",COUNTIF($D87:$D90,T$21)+COUNTIF($D87:$D90,$A$3))</f>
        <v>0</v>
      </c>
      <c r="W90" s="73" t="n">
        <f aca="false">IF($E90="","",COUNTIF($E87:$E90,T$21)+COUNTIF($E87:$E90,$A$3))</f>
        <v>0</v>
      </c>
      <c r="X90" s="92" t="n">
        <f aca="false">IF($F90="","",COUNTIF($F87:$F90,T$21)+COUNTIF($F87:$F90,$A$3))</f>
        <v>0</v>
      </c>
      <c r="Z90" s="91" t="n">
        <f aca="false">IF($B90="","",COUNTIF($B87:$B90,Z$21)+COUNTIF($B87:$B90,$A$3))</f>
        <v>1</v>
      </c>
      <c r="AA90" s="73" t="n">
        <f aca="false">IF($C90="","",COUNTIF($C87:$C90,Z$21)+COUNTIF($C87:$C90,$A$3))</f>
        <v>1</v>
      </c>
      <c r="AB90" s="73" t="n">
        <f aca="false">IF($D90="","",COUNTIF($D87:$D90,Z$21)+COUNTIF($D87:$D90,$A$3))</f>
        <v>0</v>
      </c>
      <c r="AC90" s="73" t="n">
        <f aca="false">IF($E90="","",COUNTIF($E87:$E90,Z$21)+COUNTIF($E87:$E90,$A$3))</f>
        <v>0</v>
      </c>
      <c r="AD90" s="92" t="n">
        <f aca="false">IF($F90="","",COUNTIF($F87:$F90,Z$21)+COUNTIF($F87:$F90,$A$3))</f>
        <v>1</v>
      </c>
      <c r="AF90" s="91" t="n">
        <f aca="false">IF($B90="","",COUNTIF($B87:$B90,AF$21)+COUNTIF($B87:$B90,$A$3))</f>
        <v>0</v>
      </c>
      <c r="AG90" s="73" t="n">
        <f aca="false">IF($C90="","",COUNTIF($C87:$C90,AF$21)+COUNTIF($C87:$C90,$A$3))</f>
        <v>0</v>
      </c>
      <c r="AH90" s="73" t="n">
        <f aca="false">IF($D90="","",COUNTIF($D87:$D90,AF$21)+COUNTIF($D87:$D90,$A$3))</f>
        <v>0</v>
      </c>
      <c r="AI90" s="73" t="n">
        <f aca="false">IF($E90="","",COUNTIF($E87:$E90,AF$21)+COUNTIF($E87:$E90,$A$3))</f>
        <v>1</v>
      </c>
      <c r="AJ90" s="92" t="n">
        <f aca="false">IF($F90="","",COUNTIF($F87:$F90,AF$21)+COUNTIF($F87:$F90,$A$3))</f>
        <v>0</v>
      </c>
      <c r="AL90" s="91" t="n">
        <f aca="false">IF($B90="","",COUNTIF($B87:$B90,AL$21)+COUNTIF($B87:$B90,$A$3))</f>
        <v>0</v>
      </c>
      <c r="AM90" s="73" t="n">
        <f aca="false">IF($C90="","",COUNTIF($C87:$C90,AL$21)+COUNTIF($C87:$C90,$A$3))</f>
        <v>0</v>
      </c>
      <c r="AN90" s="73" t="n">
        <f aca="false">IF($D90="","",COUNTIF($D87:$D90,AL$21)+COUNTIF($D87:$D90,$A$3))</f>
        <v>0</v>
      </c>
      <c r="AO90" s="73" t="n">
        <f aca="false">IF($E90="","",COUNTIF($E87:$E90,AL$21)+COUNTIF($E87:$E90,$A$3))</f>
        <v>0</v>
      </c>
      <c r="AP90" s="92" t="n">
        <f aca="false">IF($F90="","",COUNTIF($F87:$F90,AL$21)+COUNTIF($F87:$F90,$A$3))</f>
        <v>0</v>
      </c>
      <c r="AR90" s="91" t="n">
        <f aca="false">IF($B90="","",COUNTIF($B87:$B90,AR$21)+COUNTIF($B87:$B90,$A$3))</f>
        <v>0</v>
      </c>
      <c r="AS90" s="73" t="n">
        <f aca="false">IF($C90="","",COUNTIF($C87:$C90,AR$21)+COUNTIF($C87:$C90,$A$3))</f>
        <v>1</v>
      </c>
      <c r="AT90" s="73" t="n">
        <f aca="false">IF($D90="","",COUNTIF($D87:$D90,AR$21)+COUNTIF($D87:$D90,$A$3))</f>
        <v>0</v>
      </c>
      <c r="AU90" s="73" t="n">
        <f aca="false">IF($E90="","",COUNTIF($E87:$E90,AR$21)+COUNTIF($E87:$E90,$A$3))</f>
        <v>0</v>
      </c>
      <c r="AV90" s="92" t="n">
        <f aca="false">IF($F90="","",COUNTIF($F87:$F90,AR$21)+COUNTIF($F87:$F90,$A$3))</f>
        <v>0</v>
      </c>
      <c r="AX90" s="91" t="n">
        <f aca="false">IF($B90="","",COUNTIF($B87:$B90,AX$21)+COUNTIF($B87:$B90,$A$3))</f>
        <v>1</v>
      </c>
      <c r="AY90" s="73" t="n">
        <f aca="false">IF($C90="","",COUNTIF($C87:$C90,AX$21)+COUNTIF($C87:$C90,$A$3))</f>
        <v>0</v>
      </c>
      <c r="AZ90" s="73" t="n">
        <f aca="false">IF($D90="","",COUNTIF($D87:$D90,AX$21)+COUNTIF($D87:$D90,$A$3))</f>
        <v>1</v>
      </c>
      <c r="BA90" s="73" t="n">
        <f aca="false">IF($E90="","",COUNTIF($E87:$E90,AX$21)+COUNTIF($E87:$E90,$A$3))</f>
        <v>1</v>
      </c>
      <c r="BB90" s="92" t="n">
        <f aca="false">IF($F90="","",COUNTIF($F87:$F90,AX$21)+COUNTIF($F87:$F90,$A$3))</f>
        <v>0</v>
      </c>
      <c r="BD90" s="91" t="n">
        <f aca="false">IF($B90="","",COUNTIF($B87:$B90,BD$21)+COUNTIF($B87:$B90,$A$3))</f>
        <v>0</v>
      </c>
      <c r="BE90" s="73" t="n">
        <f aca="false">IF($C90="","",COUNTIF($C87:$C90,BD$21)+COUNTIF($C87:$C90,$A$3))</f>
        <v>1</v>
      </c>
      <c r="BF90" s="73" t="n">
        <f aca="false">IF($D90="","",COUNTIF($D87:$D90,BD$21)+COUNTIF($D87:$D90,$A$3))</f>
        <v>0</v>
      </c>
      <c r="BG90" s="73" t="n">
        <f aca="false">IF($E90="","",COUNTIF($E87:$E90,BD$21)+COUNTIF($E87:$E90,$A$3))</f>
        <v>0</v>
      </c>
      <c r="BH90" s="92" t="n">
        <f aca="false">IF($F90="","",COUNTIF($F87:$F90,BD$21)+COUNTIF($F87:$F90,$A$3))</f>
        <v>1</v>
      </c>
      <c r="BJ90" s="91" t="n">
        <f aca="false">IF($B90="","",COUNTIF($B87:$B90,BJ$21)+COUNTIF($B87:$B90,$A$3))</f>
        <v>1</v>
      </c>
      <c r="BK90" s="73" t="n">
        <f aca="false">IF($C90="","",COUNTIF($C87:$C90,BJ$21)+COUNTIF($C87:$C90,$A$3))</f>
        <v>0</v>
      </c>
      <c r="BL90" s="73" t="n">
        <f aca="false">IF($D90="","",COUNTIF($D87:$D90,BJ$21)+COUNTIF($D87:$D90,$A$3))</f>
        <v>1</v>
      </c>
      <c r="BM90" s="73" t="n">
        <f aca="false">IF($E90="","",COUNTIF($E87:$E90,BJ$21)+COUNTIF($E87:$E90,$A$3))</f>
        <v>1</v>
      </c>
      <c r="BN90" s="92" t="n">
        <f aca="false">IF($F90="","",COUNTIF($F87:$F90,BJ$21)+COUNTIF($F87:$F90,$A$3))</f>
        <v>0</v>
      </c>
      <c r="BP90" s="91" t="n">
        <f aca="false">IF($B90="","",COUNTIF($B87:$B90,BP$21)+COUNTIF($B87:$B90,$A$3))</f>
        <v>0</v>
      </c>
      <c r="BQ90" s="73" t="n">
        <f aca="false">IF($C90="","",COUNTIF($C87:$C90,BP$21)+COUNTIF($C87:$C90,$A$3))</f>
        <v>0</v>
      </c>
      <c r="BR90" s="73" t="n">
        <f aca="false">IF($D90="","",COUNTIF($D87:$D90,BP$21)+COUNTIF($D87:$D90,$A$3))</f>
        <v>1</v>
      </c>
      <c r="BS90" s="73" t="n">
        <f aca="false">IF($E90="","",COUNTIF($E87:$E90,BP$21)+COUNTIF($E87:$E90,$A$3))</f>
        <v>0</v>
      </c>
      <c r="BT90" s="92" t="n">
        <f aca="false">IF($F90="","",COUNTIF($F87:$F90,BP$21)+COUNTIF($F87:$F90,$A$3))</f>
        <v>0</v>
      </c>
    </row>
    <row r="91" customFormat="false" ht="15" hidden="false" customHeight="false" outlineLevel="0" collapsed="false">
      <c r="A91" s="13" t="n">
        <v>69</v>
      </c>
      <c r="B91" s="116" t="str">
        <f aca="false">IF('Game Info'!Q74="","",'Game Info'!Q74)</f>
        <v>A</v>
      </c>
      <c r="C91" s="116" t="str">
        <f aca="false">IF('Game Info'!R74="","",'Game Info'!R74)</f>
        <v>SYM5</v>
      </c>
      <c r="D91" s="116" t="str">
        <f aca="false">IF('Game Info'!S74="","",'Game Info'!S74)</f>
        <v>SYM2</v>
      </c>
      <c r="E91" s="116" t="str">
        <f aca="false">IF('Game Info'!T74="","",'Game Info'!T74)</f>
        <v>SYM5</v>
      </c>
      <c r="F91" s="117" t="str">
        <f aca="false">IF('Game Info'!U74="","",'Game Info'!U74)</f>
        <v>SYM1</v>
      </c>
      <c r="H91" s="91" t="n">
        <f aca="false">IF($B91="","",COUNTIF($B88:$B91,H$21)+COUNTIF($B88:$B91,$A$3))</f>
        <v>0</v>
      </c>
      <c r="I91" s="73" t="n">
        <f aca="false">IF($C91="","",COUNTIF($C88:$C91,H$21)+COUNTIF($C88:$C91,$A$3))</f>
        <v>0</v>
      </c>
      <c r="J91" s="73" t="n">
        <f aca="false">IF($D91="","",COUNTIF($D88:$D91,H$21)+COUNTIF($D88:$D91,$A$3))</f>
        <v>0</v>
      </c>
      <c r="K91" s="73" t="n">
        <f aca="false">IF($E91="","",COUNTIF($E88:$E91,H$21)+COUNTIF($E88:$E91,$A$3))</f>
        <v>1</v>
      </c>
      <c r="L91" s="92" t="n">
        <f aca="false">IF($F91="","",COUNTIF($F88:$F91,H$21)+COUNTIF($F88:$F91,$A$3))</f>
        <v>3</v>
      </c>
      <c r="N91" s="91" t="n">
        <f aca="false">IF($B91="","",COUNTIF($B88:$B91,N$21)+COUNTIF($B88:$B91,$A$3))</f>
        <v>0</v>
      </c>
      <c r="O91" s="73" t="n">
        <f aca="false">IF($C91="","",COUNTIF($C88:$C91,N$21)+COUNTIF($C88:$C91,$A$3))</f>
        <v>1</v>
      </c>
      <c r="P91" s="73" t="n">
        <f aca="false">IF($D91="","",COUNTIF($D88:$D91,N$21)+COUNTIF($D88:$D91,$A$3))</f>
        <v>1</v>
      </c>
      <c r="Q91" s="73" t="n">
        <f aca="false">IF($E91="","",COUNTIF($E88:$E91,N$21)+COUNTIF($E88:$E91,$A$3))</f>
        <v>0</v>
      </c>
      <c r="R91" s="92" t="n">
        <f aca="false">IF($F91="","",COUNTIF($F88:$F91,N$21)+COUNTIF($F88:$F91,$A$3))</f>
        <v>0</v>
      </c>
      <c r="T91" s="91" t="n">
        <f aca="false">IF($B91="","",COUNTIF($B88:$B91,T$21)+COUNTIF($B88:$B91,$A$3))</f>
        <v>1</v>
      </c>
      <c r="U91" s="73" t="n">
        <f aca="false">IF($C91="","",COUNTIF($C88:$C91,T$21)+COUNTIF($C88:$C91,$A$3))</f>
        <v>0</v>
      </c>
      <c r="V91" s="73" t="n">
        <f aca="false">IF($D91="","",COUNTIF($D88:$D91,T$21)+COUNTIF($D88:$D91,$A$3))</f>
        <v>0</v>
      </c>
      <c r="W91" s="73" t="n">
        <f aca="false">IF($E91="","",COUNTIF($E88:$E91,T$21)+COUNTIF($E88:$E91,$A$3))</f>
        <v>0</v>
      </c>
      <c r="X91" s="92" t="n">
        <f aca="false">IF($F91="","",COUNTIF($F88:$F91,T$21)+COUNTIF($F88:$F91,$A$3))</f>
        <v>0</v>
      </c>
      <c r="Z91" s="91" t="n">
        <f aca="false">IF($B91="","",COUNTIF($B88:$B91,Z$21)+COUNTIF($B88:$B91,$A$3))</f>
        <v>1</v>
      </c>
      <c r="AA91" s="73" t="n">
        <f aca="false">IF($C91="","",COUNTIF($C88:$C91,Z$21)+COUNTIF($C88:$C91,$A$3))</f>
        <v>0</v>
      </c>
      <c r="AB91" s="73" t="n">
        <f aca="false">IF($D91="","",COUNTIF($D88:$D91,Z$21)+COUNTIF($D88:$D91,$A$3))</f>
        <v>0</v>
      </c>
      <c r="AC91" s="73" t="n">
        <f aca="false">IF($E91="","",COUNTIF($E88:$E91,Z$21)+COUNTIF($E88:$E91,$A$3))</f>
        <v>0</v>
      </c>
      <c r="AD91" s="92" t="n">
        <f aca="false">IF($F91="","",COUNTIF($F88:$F91,Z$21)+COUNTIF($F88:$F91,$A$3))</f>
        <v>0</v>
      </c>
      <c r="AF91" s="91" t="n">
        <f aca="false">IF($B91="","",COUNTIF($B88:$B91,AF$21)+COUNTIF($B88:$B91,$A$3))</f>
        <v>0</v>
      </c>
      <c r="AG91" s="73" t="n">
        <f aca="false">IF($C91="","",COUNTIF($C88:$C91,AF$21)+COUNTIF($C88:$C91,$A$3))</f>
        <v>1</v>
      </c>
      <c r="AH91" s="73" t="n">
        <f aca="false">IF($D91="","",COUNTIF($D88:$D91,AF$21)+COUNTIF($D88:$D91,$A$3))</f>
        <v>0</v>
      </c>
      <c r="AI91" s="73" t="n">
        <f aca="false">IF($E91="","",COUNTIF($E88:$E91,AF$21)+COUNTIF($E88:$E91,$A$3))</f>
        <v>2</v>
      </c>
      <c r="AJ91" s="92" t="n">
        <f aca="false">IF($F91="","",COUNTIF($F88:$F91,AF$21)+COUNTIF($F88:$F91,$A$3))</f>
        <v>0</v>
      </c>
      <c r="AL91" s="91" t="n">
        <f aca="false">IF($B91="","",COUNTIF($B88:$B91,AL$21)+COUNTIF($B88:$B91,$A$3))</f>
        <v>1</v>
      </c>
      <c r="AM91" s="73" t="n">
        <f aca="false">IF($C91="","",COUNTIF($C88:$C91,AL$21)+COUNTIF($C88:$C91,$A$3))</f>
        <v>0</v>
      </c>
      <c r="AN91" s="73" t="n">
        <f aca="false">IF($D91="","",COUNTIF($D88:$D91,AL$21)+COUNTIF($D88:$D91,$A$3))</f>
        <v>0</v>
      </c>
      <c r="AO91" s="73" t="n">
        <f aca="false">IF($E91="","",COUNTIF($E88:$E91,AL$21)+COUNTIF($E88:$E91,$A$3))</f>
        <v>0</v>
      </c>
      <c r="AP91" s="92" t="n">
        <f aca="false">IF($F91="","",COUNTIF($F88:$F91,AL$21)+COUNTIF($F88:$F91,$A$3))</f>
        <v>0</v>
      </c>
      <c r="AR91" s="91" t="n">
        <f aca="false">IF($B91="","",COUNTIF($B88:$B91,AR$21)+COUNTIF($B88:$B91,$A$3))</f>
        <v>0</v>
      </c>
      <c r="AS91" s="73" t="n">
        <f aca="false">IF($C91="","",COUNTIF($C88:$C91,AR$21)+COUNTIF($C88:$C91,$A$3))</f>
        <v>1</v>
      </c>
      <c r="AT91" s="73" t="n">
        <f aca="false">IF($D91="","",COUNTIF($D88:$D91,AR$21)+COUNTIF($D88:$D91,$A$3))</f>
        <v>0</v>
      </c>
      <c r="AU91" s="73" t="n">
        <f aca="false">IF($E91="","",COUNTIF($E88:$E91,AR$21)+COUNTIF($E88:$E91,$A$3))</f>
        <v>0</v>
      </c>
      <c r="AV91" s="92" t="n">
        <f aca="false">IF($F91="","",COUNTIF($F88:$F91,AR$21)+COUNTIF($F88:$F91,$A$3))</f>
        <v>0</v>
      </c>
      <c r="AX91" s="91" t="n">
        <f aca="false">IF($B91="","",COUNTIF($B88:$B91,AX$21)+COUNTIF($B88:$B91,$A$3))</f>
        <v>0</v>
      </c>
      <c r="AY91" s="73" t="n">
        <f aca="false">IF($C91="","",COUNTIF($C88:$C91,AX$21)+COUNTIF($C88:$C91,$A$3))</f>
        <v>0</v>
      </c>
      <c r="AZ91" s="73" t="n">
        <f aca="false">IF($D91="","",COUNTIF($D88:$D91,AX$21)+COUNTIF($D88:$D91,$A$3))</f>
        <v>0</v>
      </c>
      <c r="BA91" s="73" t="n">
        <f aca="false">IF($E91="","",COUNTIF($E88:$E91,AX$21)+COUNTIF($E88:$E91,$A$3))</f>
        <v>1</v>
      </c>
      <c r="BB91" s="92" t="n">
        <f aca="false">IF($F91="","",COUNTIF($F88:$F91,AX$21)+COUNTIF($F88:$F91,$A$3))</f>
        <v>0</v>
      </c>
      <c r="BD91" s="91" t="n">
        <f aca="false">IF($B91="","",COUNTIF($B88:$B91,BD$21)+COUNTIF($B88:$B91,$A$3))</f>
        <v>0</v>
      </c>
      <c r="BE91" s="73" t="n">
        <f aca="false">IF($C91="","",COUNTIF($C88:$C91,BD$21)+COUNTIF($C88:$C91,$A$3))</f>
        <v>1</v>
      </c>
      <c r="BF91" s="73" t="n">
        <f aca="false">IF($D91="","",COUNTIF($D88:$D91,BD$21)+COUNTIF($D88:$D91,$A$3))</f>
        <v>0</v>
      </c>
      <c r="BG91" s="73" t="n">
        <f aca="false">IF($E91="","",COUNTIF($E88:$E91,BD$21)+COUNTIF($E88:$E91,$A$3))</f>
        <v>0</v>
      </c>
      <c r="BH91" s="92" t="n">
        <f aca="false">IF($F91="","",COUNTIF($F88:$F91,BD$21)+COUNTIF($F88:$F91,$A$3))</f>
        <v>1</v>
      </c>
      <c r="BJ91" s="91" t="n">
        <f aca="false">IF($B91="","",COUNTIF($B88:$B91,BJ$21)+COUNTIF($B88:$B91,$A$3))</f>
        <v>1</v>
      </c>
      <c r="BK91" s="73" t="n">
        <f aca="false">IF($C91="","",COUNTIF($C88:$C91,BJ$21)+COUNTIF($C88:$C91,$A$3))</f>
        <v>0</v>
      </c>
      <c r="BL91" s="73" t="n">
        <f aca="false">IF($D91="","",COUNTIF($D88:$D91,BJ$21)+COUNTIF($D88:$D91,$A$3))</f>
        <v>1</v>
      </c>
      <c r="BM91" s="73" t="n">
        <f aca="false">IF($E91="","",COUNTIF($E88:$E91,BJ$21)+COUNTIF($E88:$E91,$A$3))</f>
        <v>0</v>
      </c>
      <c r="BN91" s="92" t="n">
        <f aca="false">IF($F91="","",COUNTIF($F88:$F91,BJ$21)+COUNTIF($F88:$F91,$A$3))</f>
        <v>0</v>
      </c>
      <c r="BP91" s="91" t="n">
        <f aca="false">IF($B91="","",COUNTIF($B88:$B91,BP$21)+COUNTIF($B88:$B91,$A$3))</f>
        <v>0</v>
      </c>
      <c r="BQ91" s="73" t="n">
        <f aca="false">IF($C91="","",COUNTIF($C88:$C91,BP$21)+COUNTIF($C88:$C91,$A$3))</f>
        <v>0</v>
      </c>
      <c r="BR91" s="73" t="n">
        <f aca="false">IF($D91="","",COUNTIF($D88:$D91,BP$21)+COUNTIF($D88:$D91,$A$3))</f>
        <v>1</v>
      </c>
      <c r="BS91" s="73" t="n">
        <f aca="false">IF($E91="","",COUNTIF($E88:$E91,BP$21)+COUNTIF($E88:$E91,$A$3))</f>
        <v>0</v>
      </c>
      <c r="BT91" s="92" t="n">
        <f aca="false">IF($F91="","",COUNTIF($F88:$F91,BP$21)+COUNTIF($F88:$F91,$A$3))</f>
        <v>0</v>
      </c>
    </row>
    <row r="92" customFormat="false" ht="15" hidden="false" customHeight="false" outlineLevel="0" collapsed="false">
      <c r="A92" s="13" t="n">
        <v>70</v>
      </c>
      <c r="B92" s="116" t="str">
        <f aca="false">IF('Game Info'!Q75="","",'Game Info'!Q75)</f>
        <v>FG</v>
      </c>
      <c r="C92" s="116" t="n">
        <f aca="false">IF('Game Info'!R75="","",'Game Info'!R75)</f>
        <v>9</v>
      </c>
      <c r="D92" s="116" t="str">
        <f aca="false">IF('Game Info'!S75="","",'Game Info'!S75)</f>
        <v>SYM1</v>
      </c>
      <c r="E92" s="116" t="n">
        <f aca="false">IF('Game Info'!T75="","",'Game Info'!T75)</f>
        <v>10</v>
      </c>
      <c r="F92" s="117" t="str">
        <f aca="false">IF('Game Info'!U75="","",'Game Info'!U75)</f>
        <v>K</v>
      </c>
      <c r="H92" s="91" t="n">
        <f aca="false">IF($B92="","",COUNTIF($B89:$B92,H$21)+COUNTIF($B89:$B92,$A$3))</f>
        <v>0</v>
      </c>
      <c r="I92" s="73" t="n">
        <f aca="false">IF($C92="","",COUNTIF($C89:$C92,H$21)+COUNTIF($C89:$C92,$A$3))</f>
        <v>0</v>
      </c>
      <c r="J92" s="73" t="n">
        <f aca="false">IF($D92="","",COUNTIF($D89:$D92,H$21)+COUNTIF($D89:$D92,$A$3))</f>
        <v>1</v>
      </c>
      <c r="K92" s="73" t="n">
        <f aca="false">IF($E92="","",COUNTIF($E89:$E92,H$21)+COUNTIF($E89:$E92,$A$3))</f>
        <v>0</v>
      </c>
      <c r="L92" s="92" t="n">
        <f aca="false">IF($F92="","",COUNTIF($F89:$F92,H$21)+COUNTIF($F89:$F92,$A$3))</f>
        <v>3</v>
      </c>
      <c r="N92" s="91" t="n">
        <f aca="false">IF($B92="","",COUNTIF($B89:$B92,N$21)+COUNTIF($B89:$B92,$A$3))</f>
        <v>0</v>
      </c>
      <c r="O92" s="73" t="n">
        <f aca="false">IF($C92="","",COUNTIF($C89:$C92,N$21)+COUNTIF($C89:$C92,$A$3))</f>
        <v>1</v>
      </c>
      <c r="P92" s="73" t="n">
        <f aca="false">IF($D92="","",COUNTIF($D89:$D92,N$21)+COUNTIF($D89:$D92,$A$3))</f>
        <v>1</v>
      </c>
      <c r="Q92" s="73" t="n">
        <f aca="false">IF($E92="","",COUNTIF($E89:$E92,N$21)+COUNTIF($E89:$E92,$A$3))</f>
        <v>0</v>
      </c>
      <c r="R92" s="92" t="n">
        <f aca="false">IF($F92="","",COUNTIF($F89:$F92,N$21)+COUNTIF($F89:$F92,$A$3))</f>
        <v>0</v>
      </c>
      <c r="T92" s="91" t="n">
        <f aca="false">IF($B92="","",COUNTIF($B89:$B92,T$21)+COUNTIF($B89:$B92,$A$3))</f>
        <v>0</v>
      </c>
      <c r="U92" s="73" t="n">
        <f aca="false">IF($C92="","",COUNTIF($C89:$C92,T$21)+COUNTIF($C89:$C92,$A$3))</f>
        <v>0</v>
      </c>
      <c r="V92" s="73" t="n">
        <f aca="false">IF($D92="","",COUNTIF($D89:$D92,T$21)+COUNTIF($D89:$D92,$A$3))</f>
        <v>0</v>
      </c>
      <c r="W92" s="73" t="n">
        <f aca="false">IF($E92="","",COUNTIF($E89:$E92,T$21)+COUNTIF($E89:$E92,$A$3))</f>
        <v>0</v>
      </c>
      <c r="X92" s="92" t="n">
        <f aca="false">IF($F92="","",COUNTIF($F89:$F92,T$21)+COUNTIF($F89:$F92,$A$3))</f>
        <v>0</v>
      </c>
      <c r="Z92" s="91" t="n">
        <f aca="false">IF($B92="","",COUNTIF($B89:$B92,Z$21)+COUNTIF($B89:$B92,$A$3))</f>
        <v>1</v>
      </c>
      <c r="AA92" s="73" t="n">
        <f aca="false">IF($C92="","",COUNTIF($C89:$C92,Z$21)+COUNTIF($C89:$C92,$A$3))</f>
        <v>0</v>
      </c>
      <c r="AB92" s="73" t="n">
        <f aca="false">IF($D92="","",COUNTIF($D89:$D92,Z$21)+COUNTIF($D89:$D92,$A$3))</f>
        <v>0</v>
      </c>
      <c r="AC92" s="73" t="n">
        <f aca="false">IF($E92="","",COUNTIF($E89:$E92,Z$21)+COUNTIF($E89:$E92,$A$3))</f>
        <v>0</v>
      </c>
      <c r="AD92" s="92" t="n">
        <f aca="false">IF($F92="","",COUNTIF($F89:$F92,Z$21)+COUNTIF($F89:$F92,$A$3))</f>
        <v>0</v>
      </c>
      <c r="AF92" s="91" t="n">
        <f aca="false">IF($B92="","",COUNTIF($B89:$B92,AF$21)+COUNTIF($B89:$B92,$A$3))</f>
        <v>0</v>
      </c>
      <c r="AG92" s="73" t="n">
        <f aca="false">IF($C92="","",COUNTIF($C89:$C92,AF$21)+COUNTIF($C89:$C92,$A$3))</f>
        <v>1</v>
      </c>
      <c r="AH92" s="73" t="n">
        <f aca="false">IF($D92="","",COUNTIF($D89:$D92,AF$21)+COUNTIF($D89:$D92,$A$3))</f>
        <v>0</v>
      </c>
      <c r="AI92" s="73" t="n">
        <f aca="false">IF($E92="","",COUNTIF($E89:$E92,AF$21)+COUNTIF($E89:$E92,$A$3))</f>
        <v>2</v>
      </c>
      <c r="AJ92" s="92" t="n">
        <f aca="false">IF($F92="","",COUNTIF($F89:$F92,AF$21)+COUNTIF($F89:$F92,$A$3))</f>
        <v>0</v>
      </c>
      <c r="AL92" s="91" t="n">
        <f aca="false">IF($B92="","",COUNTIF($B89:$B92,AL$21)+COUNTIF($B89:$B92,$A$3))</f>
        <v>1</v>
      </c>
      <c r="AM92" s="73" t="n">
        <f aca="false">IF($C92="","",COUNTIF($C89:$C92,AL$21)+COUNTIF($C89:$C92,$A$3))</f>
        <v>0</v>
      </c>
      <c r="AN92" s="73" t="n">
        <f aca="false">IF($D92="","",COUNTIF($D89:$D92,AL$21)+COUNTIF($D89:$D92,$A$3))</f>
        <v>0</v>
      </c>
      <c r="AO92" s="73" t="n">
        <f aca="false">IF($E92="","",COUNTIF($E89:$E92,AL$21)+COUNTIF($E89:$E92,$A$3))</f>
        <v>0</v>
      </c>
      <c r="AP92" s="92" t="n">
        <f aca="false">IF($F92="","",COUNTIF($F89:$F92,AL$21)+COUNTIF($F89:$F92,$A$3))</f>
        <v>0</v>
      </c>
      <c r="AR92" s="91" t="n">
        <f aca="false">IF($B92="","",COUNTIF($B89:$B92,AR$21)+COUNTIF($B89:$B92,$A$3))</f>
        <v>0</v>
      </c>
      <c r="AS92" s="73" t="n">
        <f aca="false">IF($C92="","",COUNTIF($C89:$C92,AR$21)+COUNTIF($C89:$C92,$A$3))</f>
        <v>0</v>
      </c>
      <c r="AT92" s="73" t="n">
        <f aca="false">IF($D92="","",COUNTIF($D89:$D92,AR$21)+COUNTIF($D89:$D92,$A$3))</f>
        <v>0</v>
      </c>
      <c r="AU92" s="73" t="n">
        <f aca="false">IF($E92="","",COUNTIF($E89:$E92,AR$21)+COUNTIF($E89:$E92,$A$3))</f>
        <v>0</v>
      </c>
      <c r="AV92" s="92" t="n">
        <f aca="false">IF($F92="","",COUNTIF($F89:$F92,AR$21)+COUNTIF($F89:$F92,$A$3))</f>
        <v>1</v>
      </c>
      <c r="AX92" s="91" t="n">
        <f aca="false">IF($B92="","",COUNTIF($B89:$B92,AX$21)+COUNTIF($B89:$B92,$A$3))</f>
        <v>0</v>
      </c>
      <c r="AY92" s="73" t="n">
        <f aca="false">IF($C92="","",COUNTIF($C89:$C92,AX$21)+COUNTIF($C89:$C92,$A$3))</f>
        <v>0</v>
      </c>
      <c r="AZ92" s="73" t="n">
        <f aca="false">IF($D92="","",COUNTIF($D89:$D92,AX$21)+COUNTIF($D89:$D92,$A$3))</f>
        <v>0</v>
      </c>
      <c r="BA92" s="73" t="n">
        <f aca="false">IF($E92="","",COUNTIF($E89:$E92,AX$21)+COUNTIF($E89:$E92,$A$3))</f>
        <v>1</v>
      </c>
      <c r="BB92" s="92" t="n">
        <f aca="false">IF($F92="","",COUNTIF($F89:$F92,AX$21)+COUNTIF($F89:$F92,$A$3))</f>
        <v>0</v>
      </c>
      <c r="BD92" s="91" t="n">
        <f aca="false">IF($B92="","",COUNTIF($B89:$B92,BD$21)+COUNTIF($B89:$B92,$A$3))</f>
        <v>0</v>
      </c>
      <c r="BE92" s="73" t="n">
        <f aca="false">IF($C92="","",COUNTIF($C89:$C92,BD$21)+COUNTIF($C89:$C92,$A$3))</f>
        <v>1</v>
      </c>
      <c r="BF92" s="73" t="n">
        <f aca="false">IF($D92="","",COUNTIF($D89:$D92,BD$21)+COUNTIF($D89:$D92,$A$3))</f>
        <v>0</v>
      </c>
      <c r="BG92" s="73" t="n">
        <f aca="false">IF($E92="","",COUNTIF($E89:$E92,BD$21)+COUNTIF($E89:$E92,$A$3))</f>
        <v>0</v>
      </c>
      <c r="BH92" s="92" t="n">
        <f aca="false">IF($F92="","",COUNTIF($F89:$F92,BD$21)+COUNTIF($F89:$F92,$A$3))</f>
        <v>0</v>
      </c>
      <c r="BJ92" s="91" t="n">
        <f aca="false">IF($B92="","",COUNTIF($B89:$B92,BJ$21)+COUNTIF($B89:$B92,$A$3))</f>
        <v>1</v>
      </c>
      <c r="BK92" s="73" t="n">
        <f aca="false">IF($C92="","",COUNTIF($C89:$C92,BJ$21)+COUNTIF($C89:$C92,$A$3))</f>
        <v>0</v>
      </c>
      <c r="BL92" s="73" t="n">
        <f aca="false">IF($D92="","",COUNTIF($D89:$D92,BJ$21)+COUNTIF($D89:$D92,$A$3))</f>
        <v>1</v>
      </c>
      <c r="BM92" s="73" t="n">
        <f aca="false">IF($E92="","",COUNTIF($E89:$E92,BJ$21)+COUNTIF($E89:$E92,$A$3))</f>
        <v>1</v>
      </c>
      <c r="BN92" s="92" t="n">
        <f aca="false">IF($F92="","",COUNTIF($F89:$F92,BJ$21)+COUNTIF($F89:$F92,$A$3))</f>
        <v>0</v>
      </c>
      <c r="BP92" s="91" t="n">
        <f aca="false">IF($B92="","",COUNTIF($B89:$B92,BP$21)+COUNTIF($B89:$B92,$A$3))</f>
        <v>0</v>
      </c>
      <c r="BQ92" s="73" t="n">
        <f aca="false">IF($C92="","",COUNTIF($C89:$C92,BP$21)+COUNTIF($C89:$C92,$A$3))</f>
        <v>1</v>
      </c>
      <c r="BR92" s="73" t="n">
        <f aca="false">IF($D92="","",COUNTIF($D89:$D92,BP$21)+COUNTIF($D89:$D92,$A$3))</f>
        <v>1</v>
      </c>
      <c r="BS92" s="73" t="n">
        <f aca="false">IF($E92="","",COUNTIF($E89:$E92,BP$21)+COUNTIF($E89:$E92,$A$3))</f>
        <v>0</v>
      </c>
      <c r="BT92" s="92" t="n">
        <f aca="false">IF($F92="","",COUNTIF($F89:$F92,BP$21)+COUNTIF($F89:$F92,$A$3))</f>
        <v>0</v>
      </c>
    </row>
    <row r="93" customFormat="false" ht="15" hidden="false" customHeight="false" outlineLevel="0" collapsed="false">
      <c r="A93" s="13" t="n">
        <v>71</v>
      </c>
      <c r="B93" s="116" t="str">
        <f aca="false">IF('Game Info'!Q76="","",'Game Info'!Q76)</f>
        <v>Q</v>
      </c>
      <c r="C93" s="116" t="str">
        <f aca="false">IF('Game Info'!R76="","",'Game Info'!R76)</f>
        <v>SYM5</v>
      </c>
      <c r="D93" s="116" t="str">
        <f aca="false">IF('Game Info'!S76="","",'Game Info'!S76)</f>
        <v>J</v>
      </c>
      <c r="E93" s="116" t="str">
        <f aca="false">IF('Game Info'!T76="","",'Game Info'!T76)</f>
        <v>A</v>
      </c>
      <c r="F93" s="117" t="n">
        <f aca="false">IF('Game Info'!U76="","",'Game Info'!U76)</f>
        <v>10</v>
      </c>
      <c r="H93" s="91" t="n">
        <f aca="false">IF($B93="","",COUNTIF($B90:$B93,H$21)+COUNTIF($B90:$B93,$A$3))</f>
        <v>0</v>
      </c>
      <c r="I93" s="73" t="n">
        <f aca="false">IF($C93="","",COUNTIF($C90:$C93,H$21)+COUNTIF($C90:$C93,$A$3))</f>
        <v>0</v>
      </c>
      <c r="J93" s="73" t="n">
        <f aca="false">IF($D93="","",COUNTIF($D90:$D93,H$21)+COUNTIF($D90:$D93,$A$3))</f>
        <v>1</v>
      </c>
      <c r="K93" s="73" t="n">
        <f aca="false">IF($E93="","",COUNTIF($E90:$E93,H$21)+COUNTIF($E90:$E93,$A$3))</f>
        <v>0</v>
      </c>
      <c r="L93" s="92" t="n">
        <f aca="false">IF($F93="","",COUNTIF($F90:$F93,H$21)+COUNTIF($F90:$F93,$A$3))</f>
        <v>2</v>
      </c>
      <c r="N93" s="91" t="n">
        <f aca="false">IF($B93="","",COUNTIF($B90:$B93,N$21)+COUNTIF($B90:$B93,$A$3))</f>
        <v>0</v>
      </c>
      <c r="O93" s="73" t="n">
        <f aca="false">IF($C93="","",COUNTIF($C90:$C93,N$21)+COUNTIF($C90:$C93,$A$3))</f>
        <v>0</v>
      </c>
      <c r="P93" s="73" t="n">
        <f aca="false">IF($D93="","",COUNTIF($D90:$D93,N$21)+COUNTIF($D90:$D93,$A$3))</f>
        <v>1</v>
      </c>
      <c r="Q93" s="73" t="n">
        <f aca="false">IF($E93="","",COUNTIF($E90:$E93,N$21)+COUNTIF($E90:$E93,$A$3))</f>
        <v>0</v>
      </c>
      <c r="R93" s="92" t="n">
        <f aca="false">IF($F93="","",COUNTIF($F90:$F93,N$21)+COUNTIF($F90:$F93,$A$3))</f>
        <v>0</v>
      </c>
      <c r="T93" s="91" t="n">
        <f aca="false">IF($B93="","",COUNTIF($B90:$B93,T$21)+COUNTIF($B90:$B93,$A$3))</f>
        <v>0</v>
      </c>
      <c r="U93" s="73" t="n">
        <f aca="false">IF($C93="","",COUNTIF($C90:$C93,T$21)+COUNTIF($C90:$C93,$A$3))</f>
        <v>0</v>
      </c>
      <c r="V93" s="73" t="n">
        <f aca="false">IF($D93="","",COUNTIF($D90:$D93,T$21)+COUNTIF($D90:$D93,$A$3))</f>
        <v>0</v>
      </c>
      <c r="W93" s="73" t="n">
        <f aca="false">IF($E93="","",COUNTIF($E90:$E93,T$21)+COUNTIF($E90:$E93,$A$3))</f>
        <v>0</v>
      </c>
      <c r="X93" s="92" t="n">
        <f aca="false">IF($F93="","",COUNTIF($F90:$F93,T$21)+COUNTIF($F90:$F93,$A$3))</f>
        <v>0</v>
      </c>
      <c r="Z93" s="91" t="n">
        <f aca="false">IF($B93="","",COUNTIF($B90:$B93,Z$21)+COUNTIF($B90:$B93,$A$3))</f>
        <v>1</v>
      </c>
      <c r="AA93" s="73" t="n">
        <f aca="false">IF($C93="","",COUNTIF($C90:$C93,Z$21)+COUNTIF($C90:$C93,$A$3))</f>
        <v>0</v>
      </c>
      <c r="AB93" s="73" t="n">
        <f aca="false">IF($D93="","",COUNTIF($D90:$D93,Z$21)+COUNTIF($D90:$D93,$A$3))</f>
        <v>0</v>
      </c>
      <c r="AC93" s="73" t="n">
        <f aca="false">IF($E93="","",COUNTIF($E90:$E93,Z$21)+COUNTIF($E90:$E93,$A$3))</f>
        <v>0</v>
      </c>
      <c r="AD93" s="92" t="n">
        <f aca="false">IF($F93="","",COUNTIF($F90:$F93,Z$21)+COUNTIF($F90:$F93,$A$3))</f>
        <v>0</v>
      </c>
      <c r="AF93" s="91" t="n">
        <f aca="false">IF($B93="","",COUNTIF($B90:$B93,AF$21)+COUNTIF($B90:$B93,$A$3))</f>
        <v>0</v>
      </c>
      <c r="AG93" s="73" t="n">
        <f aca="false">IF($C93="","",COUNTIF($C90:$C93,AF$21)+COUNTIF($C90:$C93,$A$3))</f>
        <v>2</v>
      </c>
      <c r="AH93" s="73" t="n">
        <f aca="false">IF($D93="","",COUNTIF($D90:$D93,AF$21)+COUNTIF($D90:$D93,$A$3))</f>
        <v>0</v>
      </c>
      <c r="AI93" s="73" t="n">
        <f aca="false">IF($E93="","",COUNTIF($E90:$E93,AF$21)+COUNTIF($E90:$E93,$A$3))</f>
        <v>2</v>
      </c>
      <c r="AJ93" s="92" t="n">
        <f aca="false">IF($F93="","",COUNTIF($F90:$F93,AF$21)+COUNTIF($F90:$F93,$A$3))</f>
        <v>0</v>
      </c>
      <c r="AL93" s="91" t="n">
        <f aca="false">IF($B93="","",COUNTIF($B90:$B93,AL$21)+COUNTIF($B90:$B93,$A$3))</f>
        <v>1</v>
      </c>
      <c r="AM93" s="73" t="n">
        <f aca="false">IF($C93="","",COUNTIF($C90:$C93,AL$21)+COUNTIF($C90:$C93,$A$3))</f>
        <v>0</v>
      </c>
      <c r="AN93" s="73" t="n">
        <f aca="false">IF($D93="","",COUNTIF($D90:$D93,AL$21)+COUNTIF($D90:$D93,$A$3))</f>
        <v>0</v>
      </c>
      <c r="AO93" s="73" t="n">
        <f aca="false">IF($E93="","",COUNTIF($E90:$E93,AL$21)+COUNTIF($E90:$E93,$A$3))</f>
        <v>1</v>
      </c>
      <c r="AP93" s="92" t="n">
        <f aca="false">IF($F93="","",COUNTIF($F90:$F93,AL$21)+COUNTIF($F90:$F93,$A$3))</f>
        <v>0</v>
      </c>
      <c r="AR93" s="91" t="n">
        <f aca="false">IF($B93="","",COUNTIF($B90:$B93,AR$21)+COUNTIF($B90:$B93,$A$3))</f>
        <v>0</v>
      </c>
      <c r="AS93" s="73" t="n">
        <f aca="false">IF($C93="","",COUNTIF($C90:$C93,AR$21)+COUNTIF($C90:$C93,$A$3))</f>
        <v>0</v>
      </c>
      <c r="AT93" s="73" t="n">
        <f aca="false">IF($D93="","",COUNTIF($D90:$D93,AR$21)+COUNTIF($D90:$D93,$A$3))</f>
        <v>0</v>
      </c>
      <c r="AU93" s="73" t="n">
        <f aca="false">IF($E93="","",COUNTIF($E90:$E93,AR$21)+COUNTIF($E90:$E93,$A$3))</f>
        <v>0</v>
      </c>
      <c r="AV93" s="92" t="n">
        <f aca="false">IF($F93="","",COUNTIF($F90:$F93,AR$21)+COUNTIF($F90:$F93,$A$3))</f>
        <v>1</v>
      </c>
      <c r="AX93" s="91" t="n">
        <f aca="false">IF($B93="","",COUNTIF($B90:$B93,AX$21)+COUNTIF($B90:$B93,$A$3))</f>
        <v>1</v>
      </c>
      <c r="AY93" s="73" t="n">
        <f aca="false">IF($C93="","",COUNTIF($C90:$C93,AX$21)+COUNTIF($C90:$C93,$A$3))</f>
        <v>0</v>
      </c>
      <c r="AZ93" s="73" t="n">
        <f aca="false">IF($D93="","",COUNTIF($D90:$D93,AX$21)+COUNTIF($D90:$D93,$A$3))</f>
        <v>0</v>
      </c>
      <c r="BA93" s="73" t="n">
        <f aca="false">IF($E93="","",COUNTIF($E90:$E93,AX$21)+COUNTIF($E90:$E93,$A$3))</f>
        <v>0</v>
      </c>
      <c r="BB93" s="92" t="n">
        <f aca="false">IF($F93="","",COUNTIF($F90:$F93,AX$21)+COUNTIF($F90:$F93,$A$3))</f>
        <v>0</v>
      </c>
      <c r="BD93" s="91" t="n">
        <f aca="false">IF($B93="","",COUNTIF($B90:$B93,BD$21)+COUNTIF($B90:$B93,$A$3))</f>
        <v>0</v>
      </c>
      <c r="BE93" s="73" t="n">
        <f aca="false">IF($C93="","",COUNTIF($C90:$C93,BD$21)+COUNTIF($C90:$C93,$A$3))</f>
        <v>1</v>
      </c>
      <c r="BF93" s="73" t="n">
        <f aca="false">IF($D93="","",COUNTIF($D90:$D93,BD$21)+COUNTIF($D90:$D93,$A$3))</f>
        <v>1</v>
      </c>
      <c r="BG93" s="73" t="n">
        <f aca="false">IF($E93="","",COUNTIF($E90:$E93,BD$21)+COUNTIF($E90:$E93,$A$3))</f>
        <v>0</v>
      </c>
      <c r="BH93" s="92" t="n">
        <f aca="false">IF($F93="","",COUNTIF($F90:$F93,BD$21)+COUNTIF($F90:$F93,$A$3))</f>
        <v>0</v>
      </c>
      <c r="BJ93" s="91" t="n">
        <f aca="false">IF($B93="","",COUNTIF($B90:$B93,BJ$21)+COUNTIF($B90:$B93,$A$3))</f>
        <v>0</v>
      </c>
      <c r="BK93" s="73" t="n">
        <f aca="false">IF($C93="","",COUNTIF($C90:$C93,BJ$21)+COUNTIF($C90:$C93,$A$3))</f>
        <v>0</v>
      </c>
      <c r="BL93" s="73" t="n">
        <f aca="false">IF($D93="","",COUNTIF($D90:$D93,BJ$21)+COUNTIF($D90:$D93,$A$3))</f>
        <v>0</v>
      </c>
      <c r="BM93" s="73" t="n">
        <f aca="false">IF($E93="","",COUNTIF($E90:$E93,BJ$21)+COUNTIF($E90:$E93,$A$3))</f>
        <v>1</v>
      </c>
      <c r="BN93" s="92" t="n">
        <f aca="false">IF($F93="","",COUNTIF($F90:$F93,BJ$21)+COUNTIF($F90:$F93,$A$3))</f>
        <v>1</v>
      </c>
      <c r="BP93" s="91" t="n">
        <f aca="false">IF($B93="","",COUNTIF($B90:$B93,BP$21)+COUNTIF($B90:$B93,$A$3))</f>
        <v>0</v>
      </c>
      <c r="BQ93" s="73" t="n">
        <f aca="false">IF($C93="","",COUNTIF($C90:$C93,BP$21)+COUNTIF($C90:$C93,$A$3))</f>
        <v>1</v>
      </c>
      <c r="BR93" s="73" t="n">
        <f aca="false">IF($D93="","",COUNTIF($D90:$D93,BP$21)+COUNTIF($D90:$D93,$A$3))</f>
        <v>1</v>
      </c>
      <c r="BS93" s="73" t="n">
        <f aca="false">IF($E93="","",COUNTIF($E90:$E93,BP$21)+COUNTIF($E90:$E93,$A$3))</f>
        <v>0</v>
      </c>
      <c r="BT93" s="92" t="n">
        <f aca="false">IF($F93="","",COUNTIF($F90:$F93,BP$21)+COUNTIF($F90:$F93,$A$3))</f>
        <v>0</v>
      </c>
    </row>
    <row r="94" customFormat="false" ht="15" hidden="false" customHeight="false" outlineLevel="0" collapsed="false">
      <c r="A94" s="13" t="n">
        <v>72</v>
      </c>
      <c r="B94" s="116" t="n">
        <f aca="false">IF('Game Info'!Q77="","",'Game Info'!Q77)</f>
        <v>10</v>
      </c>
      <c r="C94" s="116" t="str">
        <f aca="false">IF('Game Info'!R77="","",'Game Info'!R77)</f>
        <v>SYM5</v>
      </c>
      <c r="D94" s="116" t="str">
        <f aca="false">IF('Game Info'!S77="","",'Game Info'!S77)</f>
        <v>SYM5</v>
      </c>
      <c r="E94" s="116" t="str">
        <f aca="false">IF('Game Info'!T77="","",'Game Info'!T77)</f>
        <v>SYM4</v>
      </c>
      <c r="F94" s="117" t="str">
        <f aca="false">IF('Game Info'!U77="","",'Game Info'!U77)</f>
        <v>FG</v>
      </c>
      <c r="H94" s="91" t="n">
        <f aca="false">IF($B94="","",COUNTIF($B91:$B94,H$21)+COUNTIF($B91:$B94,$A$3))</f>
        <v>0</v>
      </c>
      <c r="I94" s="73" t="n">
        <f aca="false">IF($C94="","",COUNTIF($C91:$C94,H$21)+COUNTIF($C91:$C94,$A$3))</f>
        <v>0</v>
      </c>
      <c r="J94" s="73" t="n">
        <f aca="false">IF($D94="","",COUNTIF($D91:$D94,H$21)+COUNTIF($D91:$D94,$A$3))</f>
        <v>1</v>
      </c>
      <c r="K94" s="73" t="n">
        <f aca="false">IF($E94="","",COUNTIF($E91:$E94,H$21)+COUNTIF($E91:$E94,$A$3))</f>
        <v>0</v>
      </c>
      <c r="L94" s="92" t="n">
        <f aca="false">IF($F94="","",COUNTIF($F91:$F94,H$21)+COUNTIF($F91:$F94,$A$3))</f>
        <v>1</v>
      </c>
      <c r="N94" s="91" t="n">
        <f aca="false">IF($B94="","",COUNTIF($B91:$B94,N$21)+COUNTIF($B91:$B94,$A$3))</f>
        <v>0</v>
      </c>
      <c r="O94" s="73" t="n">
        <f aca="false">IF($C94="","",COUNTIF($C91:$C94,N$21)+COUNTIF($C91:$C94,$A$3))</f>
        <v>0</v>
      </c>
      <c r="P94" s="73" t="n">
        <f aca="false">IF($D94="","",COUNTIF($D91:$D94,N$21)+COUNTIF($D91:$D94,$A$3))</f>
        <v>1</v>
      </c>
      <c r="Q94" s="73" t="n">
        <f aca="false">IF($E94="","",COUNTIF($E91:$E94,N$21)+COUNTIF($E91:$E94,$A$3))</f>
        <v>0</v>
      </c>
      <c r="R94" s="92" t="n">
        <f aca="false">IF($F94="","",COUNTIF($F91:$F94,N$21)+COUNTIF($F91:$F94,$A$3))</f>
        <v>0</v>
      </c>
      <c r="T94" s="91" t="n">
        <f aca="false">IF($B94="","",COUNTIF($B91:$B94,T$21)+COUNTIF($B91:$B94,$A$3))</f>
        <v>0</v>
      </c>
      <c r="U94" s="73" t="n">
        <f aca="false">IF($C94="","",COUNTIF($C91:$C94,T$21)+COUNTIF($C91:$C94,$A$3))</f>
        <v>0</v>
      </c>
      <c r="V94" s="73" t="n">
        <f aca="false">IF($D94="","",COUNTIF($D91:$D94,T$21)+COUNTIF($D91:$D94,$A$3))</f>
        <v>0</v>
      </c>
      <c r="W94" s="73" t="n">
        <f aca="false">IF($E94="","",COUNTIF($E91:$E94,T$21)+COUNTIF($E91:$E94,$A$3))</f>
        <v>0</v>
      </c>
      <c r="X94" s="92" t="n">
        <f aca="false">IF($F94="","",COUNTIF($F91:$F94,T$21)+COUNTIF($F91:$F94,$A$3))</f>
        <v>0</v>
      </c>
      <c r="Z94" s="91" t="n">
        <f aca="false">IF($B94="","",COUNTIF($B91:$B94,Z$21)+COUNTIF($B91:$B94,$A$3))</f>
        <v>0</v>
      </c>
      <c r="AA94" s="73" t="n">
        <f aca="false">IF($C94="","",COUNTIF($C91:$C94,Z$21)+COUNTIF($C91:$C94,$A$3))</f>
        <v>0</v>
      </c>
      <c r="AB94" s="73" t="n">
        <f aca="false">IF($D94="","",COUNTIF($D91:$D94,Z$21)+COUNTIF($D91:$D94,$A$3))</f>
        <v>0</v>
      </c>
      <c r="AC94" s="73" t="n">
        <f aca="false">IF($E94="","",COUNTIF($E91:$E94,Z$21)+COUNTIF($E91:$E94,$A$3))</f>
        <v>1</v>
      </c>
      <c r="AD94" s="92" t="n">
        <f aca="false">IF($F94="","",COUNTIF($F91:$F94,Z$21)+COUNTIF($F91:$F94,$A$3))</f>
        <v>0</v>
      </c>
      <c r="AF94" s="91" t="n">
        <f aca="false">IF($B94="","",COUNTIF($B91:$B94,AF$21)+COUNTIF($B91:$B94,$A$3))</f>
        <v>0</v>
      </c>
      <c r="AG94" s="73" t="n">
        <f aca="false">IF($C94="","",COUNTIF($C91:$C94,AF$21)+COUNTIF($C91:$C94,$A$3))</f>
        <v>3</v>
      </c>
      <c r="AH94" s="73" t="n">
        <f aca="false">IF($D94="","",COUNTIF($D91:$D94,AF$21)+COUNTIF($D91:$D94,$A$3))</f>
        <v>1</v>
      </c>
      <c r="AI94" s="73" t="n">
        <f aca="false">IF($E94="","",COUNTIF($E91:$E94,AF$21)+COUNTIF($E91:$E94,$A$3))</f>
        <v>1</v>
      </c>
      <c r="AJ94" s="92" t="n">
        <f aca="false">IF($F94="","",COUNTIF($F91:$F94,AF$21)+COUNTIF($F91:$F94,$A$3))</f>
        <v>0</v>
      </c>
      <c r="AL94" s="91" t="n">
        <f aca="false">IF($B94="","",COUNTIF($B91:$B94,AL$21)+COUNTIF($B91:$B94,$A$3))</f>
        <v>1</v>
      </c>
      <c r="AM94" s="73" t="n">
        <f aca="false">IF($C94="","",COUNTIF($C91:$C94,AL$21)+COUNTIF($C91:$C94,$A$3))</f>
        <v>0</v>
      </c>
      <c r="AN94" s="73" t="n">
        <f aca="false">IF($D94="","",COUNTIF($D91:$D94,AL$21)+COUNTIF($D91:$D94,$A$3))</f>
        <v>0</v>
      </c>
      <c r="AO94" s="73" t="n">
        <f aca="false">IF($E94="","",COUNTIF($E91:$E94,AL$21)+COUNTIF($E91:$E94,$A$3))</f>
        <v>1</v>
      </c>
      <c r="AP94" s="92" t="n">
        <f aca="false">IF($F94="","",COUNTIF($F91:$F94,AL$21)+COUNTIF($F91:$F94,$A$3))</f>
        <v>0</v>
      </c>
      <c r="AR94" s="91" t="n">
        <f aca="false">IF($B94="","",COUNTIF($B91:$B94,AR$21)+COUNTIF($B91:$B94,$A$3))</f>
        <v>0</v>
      </c>
      <c r="AS94" s="73" t="n">
        <f aca="false">IF($C94="","",COUNTIF($C91:$C94,AR$21)+COUNTIF($C91:$C94,$A$3))</f>
        <v>0</v>
      </c>
      <c r="AT94" s="73" t="n">
        <f aca="false">IF($D94="","",COUNTIF($D91:$D94,AR$21)+COUNTIF($D91:$D94,$A$3))</f>
        <v>0</v>
      </c>
      <c r="AU94" s="73" t="n">
        <f aca="false">IF($E94="","",COUNTIF($E91:$E94,AR$21)+COUNTIF($E91:$E94,$A$3))</f>
        <v>0</v>
      </c>
      <c r="AV94" s="92" t="n">
        <f aca="false">IF($F94="","",COUNTIF($F91:$F94,AR$21)+COUNTIF($F91:$F94,$A$3))</f>
        <v>1</v>
      </c>
      <c r="AX94" s="91" t="n">
        <f aca="false">IF($B94="","",COUNTIF($B91:$B94,AX$21)+COUNTIF($B91:$B94,$A$3))</f>
        <v>1</v>
      </c>
      <c r="AY94" s="73" t="n">
        <f aca="false">IF($C94="","",COUNTIF($C91:$C94,AX$21)+COUNTIF($C91:$C94,$A$3))</f>
        <v>0</v>
      </c>
      <c r="AZ94" s="73" t="n">
        <f aca="false">IF($D94="","",COUNTIF($D91:$D94,AX$21)+COUNTIF($D91:$D94,$A$3))</f>
        <v>0</v>
      </c>
      <c r="BA94" s="73" t="n">
        <f aca="false">IF($E94="","",COUNTIF($E91:$E94,AX$21)+COUNTIF($E91:$E94,$A$3))</f>
        <v>0</v>
      </c>
      <c r="BB94" s="92" t="n">
        <f aca="false">IF($F94="","",COUNTIF($F91:$F94,AX$21)+COUNTIF($F91:$F94,$A$3))</f>
        <v>0</v>
      </c>
      <c r="BD94" s="91" t="n">
        <f aca="false">IF($B94="","",COUNTIF($B91:$B94,BD$21)+COUNTIF($B91:$B94,$A$3))</f>
        <v>0</v>
      </c>
      <c r="BE94" s="73" t="n">
        <f aca="false">IF($C94="","",COUNTIF($C91:$C94,BD$21)+COUNTIF($C91:$C94,$A$3))</f>
        <v>0</v>
      </c>
      <c r="BF94" s="73" t="n">
        <f aca="false">IF($D94="","",COUNTIF($D91:$D94,BD$21)+COUNTIF($D91:$D94,$A$3))</f>
        <v>1</v>
      </c>
      <c r="BG94" s="73" t="n">
        <f aca="false">IF($E94="","",COUNTIF($E91:$E94,BD$21)+COUNTIF($E91:$E94,$A$3))</f>
        <v>0</v>
      </c>
      <c r="BH94" s="92" t="n">
        <f aca="false">IF($F94="","",COUNTIF($F91:$F94,BD$21)+COUNTIF($F91:$F94,$A$3))</f>
        <v>0</v>
      </c>
      <c r="BJ94" s="91" t="n">
        <f aca="false">IF($B94="","",COUNTIF($B91:$B94,BJ$21)+COUNTIF($B91:$B94,$A$3))</f>
        <v>1</v>
      </c>
      <c r="BK94" s="73" t="n">
        <f aca="false">IF($C94="","",COUNTIF($C91:$C94,BJ$21)+COUNTIF($C91:$C94,$A$3))</f>
        <v>0</v>
      </c>
      <c r="BL94" s="73" t="n">
        <f aca="false">IF($D94="","",COUNTIF($D91:$D94,BJ$21)+COUNTIF($D91:$D94,$A$3))</f>
        <v>0</v>
      </c>
      <c r="BM94" s="73" t="n">
        <f aca="false">IF($E94="","",COUNTIF($E91:$E94,BJ$21)+COUNTIF($E91:$E94,$A$3))</f>
        <v>1</v>
      </c>
      <c r="BN94" s="92" t="n">
        <f aca="false">IF($F94="","",COUNTIF($F91:$F94,BJ$21)+COUNTIF($F91:$F94,$A$3))</f>
        <v>1</v>
      </c>
      <c r="BP94" s="91" t="n">
        <f aca="false">IF($B94="","",COUNTIF($B91:$B94,BP$21)+COUNTIF($B91:$B94,$A$3))</f>
        <v>0</v>
      </c>
      <c r="BQ94" s="73" t="n">
        <f aca="false">IF($C94="","",COUNTIF($C91:$C94,BP$21)+COUNTIF($C91:$C94,$A$3))</f>
        <v>1</v>
      </c>
      <c r="BR94" s="73" t="n">
        <f aca="false">IF($D94="","",COUNTIF($D91:$D94,BP$21)+COUNTIF($D91:$D94,$A$3))</f>
        <v>0</v>
      </c>
      <c r="BS94" s="73" t="n">
        <f aca="false">IF($E94="","",COUNTIF($E91:$E94,BP$21)+COUNTIF($E91:$E94,$A$3))</f>
        <v>0</v>
      </c>
      <c r="BT94" s="92" t="n">
        <f aca="false">IF($F94="","",COUNTIF($F91:$F94,BP$21)+COUNTIF($F91:$F94,$A$3))</f>
        <v>0</v>
      </c>
    </row>
    <row r="95" customFormat="false" ht="15" hidden="false" customHeight="false" outlineLevel="0" collapsed="false">
      <c r="A95" s="13" t="n">
        <v>73</v>
      </c>
      <c r="B95" s="116" t="str">
        <f aca="false">IF('Game Info'!Q78="","",'Game Info'!Q78)</f>
        <v>SYM5</v>
      </c>
      <c r="C95" s="116" t="str">
        <f aca="false">IF('Game Info'!R78="","",'Game Info'!R78)</f>
        <v>A</v>
      </c>
      <c r="D95" s="116" t="n">
        <f aca="false">IF('Game Info'!S78="","",'Game Info'!S78)</f>
        <v>9</v>
      </c>
      <c r="E95" s="116" t="n">
        <f aca="false">IF('Game Info'!T78="","",'Game Info'!T78)</f>
        <v>9</v>
      </c>
      <c r="F95" s="117" t="str">
        <f aca="false">IF('Game Info'!U78="","",'Game Info'!U78)</f>
        <v>A</v>
      </c>
      <c r="H95" s="91" t="n">
        <f aca="false">IF($B95="","",COUNTIF($B92:$B95,H$21)+COUNTIF($B92:$B95,$A$3))</f>
        <v>0</v>
      </c>
      <c r="I95" s="73" t="n">
        <f aca="false">IF($C95="","",COUNTIF($C92:$C95,H$21)+COUNTIF($C92:$C95,$A$3))</f>
        <v>0</v>
      </c>
      <c r="J95" s="73" t="n">
        <f aca="false">IF($D95="","",COUNTIF($D92:$D95,H$21)+COUNTIF($D92:$D95,$A$3))</f>
        <v>1</v>
      </c>
      <c r="K95" s="73" t="n">
        <f aca="false">IF($E95="","",COUNTIF($E92:$E95,H$21)+COUNTIF($E92:$E95,$A$3))</f>
        <v>0</v>
      </c>
      <c r="L95" s="92" t="n">
        <f aca="false">IF($F95="","",COUNTIF($F92:$F95,H$21)+COUNTIF($F92:$F95,$A$3))</f>
        <v>0</v>
      </c>
      <c r="N95" s="91" t="n">
        <f aca="false">IF($B95="","",COUNTIF($B92:$B95,N$21)+COUNTIF($B92:$B95,$A$3))</f>
        <v>0</v>
      </c>
      <c r="O95" s="73" t="n">
        <f aca="false">IF($C95="","",COUNTIF($C92:$C95,N$21)+COUNTIF($C92:$C95,$A$3))</f>
        <v>0</v>
      </c>
      <c r="P95" s="73" t="n">
        <f aca="false">IF($D95="","",COUNTIF($D92:$D95,N$21)+COUNTIF($D92:$D95,$A$3))</f>
        <v>0</v>
      </c>
      <c r="Q95" s="73" t="n">
        <f aca="false">IF($E95="","",COUNTIF($E92:$E95,N$21)+COUNTIF($E92:$E95,$A$3))</f>
        <v>0</v>
      </c>
      <c r="R95" s="92" t="n">
        <f aca="false">IF($F95="","",COUNTIF($F92:$F95,N$21)+COUNTIF($F92:$F95,$A$3))</f>
        <v>0</v>
      </c>
      <c r="T95" s="91" t="n">
        <f aca="false">IF($B95="","",COUNTIF($B92:$B95,T$21)+COUNTIF($B92:$B95,$A$3))</f>
        <v>0</v>
      </c>
      <c r="U95" s="73" t="n">
        <f aca="false">IF($C95="","",COUNTIF($C92:$C95,T$21)+COUNTIF($C92:$C95,$A$3))</f>
        <v>0</v>
      </c>
      <c r="V95" s="73" t="n">
        <f aca="false">IF($D95="","",COUNTIF($D92:$D95,T$21)+COUNTIF($D92:$D95,$A$3))</f>
        <v>0</v>
      </c>
      <c r="W95" s="73" t="n">
        <f aca="false">IF($E95="","",COUNTIF($E92:$E95,T$21)+COUNTIF($E92:$E95,$A$3))</f>
        <v>0</v>
      </c>
      <c r="X95" s="92" t="n">
        <f aca="false">IF($F95="","",COUNTIF($F92:$F95,T$21)+COUNTIF($F92:$F95,$A$3))</f>
        <v>0</v>
      </c>
      <c r="Z95" s="91" t="n">
        <f aca="false">IF($B95="","",COUNTIF($B92:$B95,Z$21)+COUNTIF($B92:$B95,$A$3))</f>
        <v>0</v>
      </c>
      <c r="AA95" s="73" t="n">
        <f aca="false">IF($C95="","",COUNTIF($C92:$C95,Z$21)+COUNTIF($C92:$C95,$A$3))</f>
        <v>0</v>
      </c>
      <c r="AB95" s="73" t="n">
        <f aca="false">IF($D95="","",COUNTIF($D92:$D95,Z$21)+COUNTIF($D92:$D95,$A$3))</f>
        <v>0</v>
      </c>
      <c r="AC95" s="73" t="n">
        <f aca="false">IF($E95="","",COUNTIF($E92:$E95,Z$21)+COUNTIF($E92:$E95,$A$3))</f>
        <v>1</v>
      </c>
      <c r="AD95" s="92" t="n">
        <f aca="false">IF($F95="","",COUNTIF($F92:$F95,Z$21)+COUNTIF($F92:$F95,$A$3))</f>
        <v>0</v>
      </c>
      <c r="AF95" s="91" t="n">
        <f aca="false">IF($B95="","",COUNTIF($B92:$B95,AF$21)+COUNTIF($B92:$B95,$A$3))</f>
        <v>1</v>
      </c>
      <c r="AG95" s="73" t="n">
        <f aca="false">IF($C95="","",COUNTIF($C92:$C95,AF$21)+COUNTIF($C92:$C95,$A$3))</f>
        <v>2</v>
      </c>
      <c r="AH95" s="73" t="n">
        <f aca="false">IF($D95="","",COUNTIF($D92:$D95,AF$21)+COUNTIF($D92:$D95,$A$3))</f>
        <v>1</v>
      </c>
      <c r="AI95" s="73" t="n">
        <f aca="false">IF($E95="","",COUNTIF($E92:$E95,AF$21)+COUNTIF($E92:$E95,$A$3))</f>
        <v>0</v>
      </c>
      <c r="AJ95" s="92" t="n">
        <f aca="false">IF($F95="","",COUNTIF($F92:$F95,AF$21)+COUNTIF($F92:$F95,$A$3))</f>
        <v>0</v>
      </c>
      <c r="AL95" s="91" t="n">
        <f aca="false">IF($B95="","",COUNTIF($B92:$B95,AL$21)+COUNTIF($B92:$B95,$A$3))</f>
        <v>0</v>
      </c>
      <c r="AM95" s="73" t="n">
        <f aca="false">IF($C95="","",COUNTIF($C92:$C95,AL$21)+COUNTIF($C92:$C95,$A$3))</f>
        <v>1</v>
      </c>
      <c r="AN95" s="73" t="n">
        <f aca="false">IF($D95="","",COUNTIF($D92:$D95,AL$21)+COUNTIF($D92:$D95,$A$3))</f>
        <v>0</v>
      </c>
      <c r="AO95" s="73" t="n">
        <f aca="false">IF($E95="","",COUNTIF($E92:$E95,AL$21)+COUNTIF($E92:$E95,$A$3))</f>
        <v>1</v>
      </c>
      <c r="AP95" s="92" t="n">
        <f aca="false">IF($F95="","",COUNTIF($F92:$F95,AL$21)+COUNTIF($F92:$F95,$A$3))</f>
        <v>1</v>
      </c>
      <c r="AR95" s="91" t="n">
        <f aca="false">IF($B95="","",COUNTIF($B92:$B95,AR$21)+COUNTIF($B92:$B95,$A$3))</f>
        <v>0</v>
      </c>
      <c r="AS95" s="73" t="n">
        <f aca="false">IF($C95="","",COUNTIF($C92:$C95,AR$21)+COUNTIF($C92:$C95,$A$3))</f>
        <v>0</v>
      </c>
      <c r="AT95" s="73" t="n">
        <f aca="false">IF($D95="","",COUNTIF($D92:$D95,AR$21)+COUNTIF($D92:$D95,$A$3))</f>
        <v>0</v>
      </c>
      <c r="AU95" s="73" t="n">
        <f aca="false">IF($E95="","",COUNTIF($E92:$E95,AR$21)+COUNTIF($E92:$E95,$A$3))</f>
        <v>0</v>
      </c>
      <c r="AV95" s="92" t="n">
        <f aca="false">IF($F95="","",COUNTIF($F92:$F95,AR$21)+COUNTIF($F92:$F95,$A$3))</f>
        <v>1</v>
      </c>
      <c r="AX95" s="91" t="n">
        <f aca="false">IF($B95="","",COUNTIF($B92:$B95,AX$21)+COUNTIF($B92:$B95,$A$3))</f>
        <v>1</v>
      </c>
      <c r="AY95" s="73" t="n">
        <f aca="false">IF($C95="","",COUNTIF($C92:$C95,AX$21)+COUNTIF($C92:$C95,$A$3))</f>
        <v>0</v>
      </c>
      <c r="AZ95" s="73" t="n">
        <f aca="false">IF($D95="","",COUNTIF($D92:$D95,AX$21)+COUNTIF($D92:$D95,$A$3))</f>
        <v>0</v>
      </c>
      <c r="BA95" s="73" t="n">
        <f aca="false">IF($E95="","",COUNTIF($E92:$E95,AX$21)+COUNTIF($E92:$E95,$A$3))</f>
        <v>0</v>
      </c>
      <c r="BB95" s="92" t="n">
        <f aca="false">IF($F95="","",COUNTIF($F92:$F95,AX$21)+COUNTIF($F92:$F95,$A$3))</f>
        <v>0</v>
      </c>
      <c r="BD95" s="91" t="n">
        <f aca="false">IF($B95="","",COUNTIF($B92:$B95,BD$21)+COUNTIF($B92:$B95,$A$3))</f>
        <v>0</v>
      </c>
      <c r="BE95" s="73" t="n">
        <f aca="false">IF($C95="","",COUNTIF($C92:$C95,BD$21)+COUNTIF($C92:$C95,$A$3))</f>
        <v>0</v>
      </c>
      <c r="BF95" s="73" t="n">
        <f aca="false">IF($D95="","",COUNTIF($D92:$D95,BD$21)+COUNTIF($D92:$D95,$A$3))</f>
        <v>1</v>
      </c>
      <c r="BG95" s="73" t="n">
        <f aca="false">IF($E95="","",COUNTIF($E92:$E95,BD$21)+COUNTIF($E92:$E95,$A$3))</f>
        <v>0</v>
      </c>
      <c r="BH95" s="92" t="n">
        <f aca="false">IF($F95="","",COUNTIF($F92:$F95,BD$21)+COUNTIF($F92:$F95,$A$3))</f>
        <v>0</v>
      </c>
      <c r="BJ95" s="91" t="n">
        <f aca="false">IF($B95="","",COUNTIF($B92:$B95,BJ$21)+COUNTIF($B92:$B95,$A$3))</f>
        <v>1</v>
      </c>
      <c r="BK95" s="73" t="n">
        <f aca="false">IF($C95="","",COUNTIF($C92:$C95,BJ$21)+COUNTIF($C92:$C95,$A$3))</f>
        <v>0</v>
      </c>
      <c r="BL95" s="73" t="n">
        <f aca="false">IF($D95="","",COUNTIF($D92:$D95,BJ$21)+COUNTIF($D92:$D95,$A$3))</f>
        <v>0</v>
      </c>
      <c r="BM95" s="73" t="n">
        <f aca="false">IF($E95="","",COUNTIF($E92:$E95,BJ$21)+COUNTIF($E92:$E95,$A$3))</f>
        <v>1</v>
      </c>
      <c r="BN95" s="92" t="n">
        <f aca="false">IF($F95="","",COUNTIF($F92:$F95,BJ$21)+COUNTIF($F92:$F95,$A$3))</f>
        <v>1</v>
      </c>
      <c r="BP95" s="91" t="n">
        <f aca="false">IF($B95="","",COUNTIF($B92:$B95,BP$21)+COUNTIF($B92:$B95,$A$3))</f>
        <v>0</v>
      </c>
      <c r="BQ95" s="73" t="n">
        <f aca="false">IF($C95="","",COUNTIF($C92:$C95,BP$21)+COUNTIF($C92:$C95,$A$3))</f>
        <v>1</v>
      </c>
      <c r="BR95" s="73" t="n">
        <f aca="false">IF($D95="","",COUNTIF($D92:$D95,BP$21)+COUNTIF($D92:$D95,$A$3))</f>
        <v>1</v>
      </c>
      <c r="BS95" s="73" t="n">
        <f aca="false">IF($E95="","",COUNTIF($E92:$E95,BP$21)+COUNTIF($E92:$E95,$A$3))</f>
        <v>1</v>
      </c>
      <c r="BT95" s="92" t="n">
        <f aca="false">IF($F95="","",COUNTIF($F92:$F95,BP$21)+COUNTIF($F92:$F95,$A$3))</f>
        <v>0</v>
      </c>
    </row>
    <row r="96" customFormat="false" ht="15" hidden="false" customHeight="false" outlineLevel="0" collapsed="false">
      <c r="A96" s="13" t="n">
        <v>74</v>
      </c>
      <c r="B96" s="116" t="str">
        <f aca="false">IF('Game Info'!Q79="","",'Game Info'!Q79)</f>
        <v>Q</v>
      </c>
      <c r="C96" s="116" t="str">
        <f aca="false">IF('Game Info'!R79="","",'Game Info'!R79)</f>
        <v>K</v>
      </c>
      <c r="D96" s="116" t="str">
        <f aca="false">IF('Game Info'!S79="","",'Game Info'!S79)</f>
        <v>SYM3</v>
      </c>
      <c r="E96" s="116" t="str">
        <f aca="false">IF('Game Info'!T79="","",'Game Info'!T79)</f>
        <v>SYM5</v>
      </c>
      <c r="F96" s="117" t="str">
        <f aca="false">IF('Game Info'!U79="","",'Game Info'!U79)</f>
        <v>SYM2</v>
      </c>
      <c r="H96" s="91" t="n">
        <f aca="false">IF($B96="","",COUNTIF($B93:$B96,H$21)+COUNTIF($B93:$B96,$A$3))</f>
        <v>0</v>
      </c>
      <c r="I96" s="73" t="n">
        <f aca="false">IF($C96="","",COUNTIF($C93:$C96,H$21)+COUNTIF($C93:$C96,$A$3))</f>
        <v>0</v>
      </c>
      <c r="J96" s="73" t="n">
        <f aca="false">IF($D96="","",COUNTIF($D93:$D96,H$21)+COUNTIF($D93:$D96,$A$3))</f>
        <v>0</v>
      </c>
      <c r="K96" s="73" t="n">
        <f aca="false">IF($E96="","",COUNTIF($E93:$E96,H$21)+COUNTIF($E93:$E96,$A$3))</f>
        <v>0</v>
      </c>
      <c r="L96" s="92" t="n">
        <f aca="false">IF($F96="","",COUNTIF($F93:$F96,H$21)+COUNTIF($F93:$F96,$A$3))</f>
        <v>0</v>
      </c>
      <c r="N96" s="91" t="n">
        <f aca="false">IF($B96="","",COUNTIF($B93:$B96,N$21)+COUNTIF($B93:$B96,$A$3))</f>
        <v>0</v>
      </c>
      <c r="O96" s="73" t="n">
        <f aca="false">IF($C96="","",COUNTIF($C93:$C96,N$21)+COUNTIF($C93:$C96,$A$3))</f>
        <v>0</v>
      </c>
      <c r="P96" s="73" t="n">
        <f aca="false">IF($D96="","",COUNTIF($D93:$D96,N$21)+COUNTIF($D93:$D96,$A$3))</f>
        <v>0</v>
      </c>
      <c r="Q96" s="73" t="n">
        <f aca="false">IF($E96="","",COUNTIF($E93:$E96,N$21)+COUNTIF($E93:$E96,$A$3))</f>
        <v>0</v>
      </c>
      <c r="R96" s="92" t="n">
        <f aca="false">IF($F96="","",COUNTIF($F93:$F96,N$21)+COUNTIF($F93:$F96,$A$3))</f>
        <v>1</v>
      </c>
      <c r="T96" s="91" t="n">
        <f aca="false">IF($B96="","",COUNTIF($B93:$B96,T$21)+COUNTIF($B93:$B96,$A$3))</f>
        <v>0</v>
      </c>
      <c r="U96" s="73" t="n">
        <f aca="false">IF($C96="","",COUNTIF($C93:$C96,T$21)+COUNTIF($C93:$C96,$A$3))</f>
        <v>0</v>
      </c>
      <c r="V96" s="73" t="n">
        <f aca="false">IF($D96="","",COUNTIF($D93:$D96,T$21)+COUNTIF($D93:$D96,$A$3))</f>
        <v>1</v>
      </c>
      <c r="W96" s="73" t="n">
        <f aca="false">IF($E96="","",COUNTIF($E93:$E96,T$21)+COUNTIF($E93:$E96,$A$3))</f>
        <v>0</v>
      </c>
      <c r="X96" s="92" t="n">
        <f aca="false">IF($F96="","",COUNTIF($F93:$F96,T$21)+COUNTIF($F93:$F96,$A$3))</f>
        <v>0</v>
      </c>
      <c r="Z96" s="91" t="n">
        <f aca="false">IF($B96="","",COUNTIF($B93:$B96,Z$21)+COUNTIF($B93:$B96,$A$3))</f>
        <v>0</v>
      </c>
      <c r="AA96" s="73" t="n">
        <f aca="false">IF($C96="","",COUNTIF($C93:$C96,Z$21)+COUNTIF($C93:$C96,$A$3))</f>
        <v>0</v>
      </c>
      <c r="AB96" s="73" t="n">
        <f aca="false">IF($D96="","",COUNTIF($D93:$D96,Z$21)+COUNTIF($D93:$D96,$A$3))</f>
        <v>0</v>
      </c>
      <c r="AC96" s="73" t="n">
        <f aca="false">IF($E96="","",COUNTIF($E93:$E96,Z$21)+COUNTIF($E93:$E96,$A$3))</f>
        <v>1</v>
      </c>
      <c r="AD96" s="92" t="n">
        <f aca="false">IF($F96="","",COUNTIF($F93:$F96,Z$21)+COUNTIF($F93:$F96,$A$3))</f>
        <v>0</v>
      </c>
      <c r="AF96" s="91" t="n">
        <f aca="false">IF($B96="","",COUNTIF($B93:$B96,AF$21)+COUNTIF($B93:$B96,$A$3))</f>
        <v>1</v>
      </c>
      <c r="AG96" s="73" t="n">
        <f aca="false">IF($C96="","",COUNTIF($C93:$C96,AF$21)+COUNTIF($C93:$C96,$A$3))</f>
        <v>2</v>
      </c>
      <c r="AH96" s="73" t="n">
        <f aca="false">IF($D96="","",COUNTIF($D93:$D96,AF$21)+COUNTIF($D93:$D96,$A$3))</f>
        <v>1</v>
      </c>
      <c r="AI96" s="73" t="n">
        <f aca="false">IF($E96="","",COUNTIF($E93:$E96,AF$21)+COUNTIF($E93:$E96,$A$3))</f>
        <v>1</v>
      </c>
      <c r="AJ96" s="92" t="n">
        <f aca="false">IF($F96="","",COUNTIF($F93:$F96,AF$21)+COUNTIF($F93:$F96,$A$3))</f>
        <v>0</v>
      </c>
      <c r="AL96" s="91" t="n">
        <f aca="false">IF($B96="","",COUNTIF($B93:$B96,AL$21)+COUNTIF($B93:$B96,$A$3))</f>
        <v>0</v>
      </c>
      <c r="AM96" s="73" t="n">
        <f aca="false">IF($C96="","",COUNTIF($C93:$C96,AL$21)+COUNTIF($C93:$C96,$A$3))</f>
        <v>1</v>
      </c>
      <c r="AN96" s="73" t="n">
        <f aca="false">IF($D96="","",COUNTIF($D93:$D96,AL$21)+COUNTIF($D93:$D96,$A$3))</f>
        <v>0</v>
      </c>
      <c r="AO96" s="73" t="n">
        <f aca="false">IF($E96="","",COUNTIF($E93:$E96,AL$21)+COUNTIF($E93:$E96,$A$3))</f>
        <v>1</v>
      </c>
      <c r="AP96" s="92" t="n">
        <f aca="false">IF($F96="","",COUNTIF($F93:$F96,AL$21)+COUNTIF($F93:$F96,$A$3))</f>
        <v>1</v>
      </c>
      <c r="AR96" s="91" t="n">
        <f aca="false">IF($B96="","",COUNTIF($B93:$B96,AR$21)+COUNTIF($B93:$B96,$A$3))</f>
        <v>0</v>
      </c>
      <c r="AS96" s="73" t="n">
        <f aca="false">IF($C96="","",COUNTIF($C93:$C96,AR$21)+COUNTIF($C93:$C96,$A$3))</f>
        <v>1</v>
      </c>
      <c r="AT96" s="73" t="n">
        <f aca="false">IF($D96="","",COUNTIF($D93:$D96,AR$21)+COUNTIF($D93:$D96,$A$3))</f>
        <v>0</v>
      </c>
      <c r="AU96" s="73" t="n">
        <f aca="false">IF($E96="","",COUNTIF($E93:$E96,AR$21)+COUNTIF($E93:$E96,$A$3))</f>
        <v>0</v>
      </c>
      <c r="AV96" s="92" t="n">
        <f aca="false">IF($F96="","",COUNTIF($F93:$F96,AR$21)+COUNTIF($F93:$F96,$A$3))</f>
        <v>0</v>
      </c>
      <c r="AX96" s="91" t="n">
        <f aca="false">IF($B96="","",COUNTIF($B93:$B96,AX$21)+COUNTIF($B93:$B96,$A$3))</f>
        <v>2</v>
      </c>
      <c r="AY96" s="73" t="n">
        <f aca="false">IF($C96="","",COUNTIF($C93:$C96,AX$21)+COUNTIF($C93:$C96,$A$3))</f>
        <v>0</v>
      </c>
      <c r="AZ96" s="73" t="n">
        <f aca="false">IF($D96="","",COUNTIF($D93:$D96,AX$21)+COUNTIF($D93:$D96,$A$3))</f>
        <v>0</v>
      </c>
      <c r="BA96" s="73" t="n">
        <f aca="false">IF($E96="","",COUNTIF($E93:$E96,AX$21)+COUNTIF($E93:$E96,$A$3))</f>
        <v>0</v>
      </c>
      <c r="BB96" s="92" t="n">
        <f aca="false">IF($F96="","",COUNTIF($F93:$F96,AX$21)+COUNTIF($F93:$F96,$A$3))</f>
        <v>0</v>
      </c>
      <c r="BD96" s="91" t="n">
        <f aca="false">IF($B96="","",COUNTIF($B93:$B96,BD$21)+COUNTIF($B93:$B96,$A$3))</f>
        <v>0</v>
      </c>
      <c r="BE96" s="73" t="n">
        <f aca="false">IF($C96="","",COUNTIF($C93:$C96,BD$21)+COUNTIF($C93:$C96,$A$3))</f>
        <v>0</v>
      </c>
      <c r="BF96" s="73" t="n">
        <f aca="false">IF($D96="","",COUNTIF($D93:$D96,BD$21)+COUNTIF($D93:$D96,$A$3))</f>
        <v>1</v>
      </c>
      <c r="BG96" s="73" t="n">
        <f aca="false">IF($E96="","",COUNTIF($E93:$E96,BD$21)+COUNTIF($E93:$E96,$A$3))</f>
        <v>0</v>
      </c>
      <c r="BH96" s="92" t="n">
        <f aca="false">IF($F96="","",COUNTIF($F93:$F96,BD$21)+COUNTIF($F93:$F96,$A$3))</f>
        <v>0</v>
      </c>
      <c r="BJ96" s="91" t="n">
        <f aca="false">IF($B96="","",COUNTIF($B93:$B96,BJ$21)+COUNTIF($B93:$B96,$A$3))</f>
        <v>1</v>
      </c>
      <c r="BK96" s="73" t="n">
        <f aca="false">IF($C96="","",COUNTIF($C93:$C96,BJ$21)+COUNTIF($C93:$C96,$A$3))</f>
        <v>0</v>
      </c>
      <c r="BL96" s="73" t="n">
        <f aca="false">IF($D96="","",COUNTIF($D93:$D96,BJ$21)+COUNTIF($D93:$D96,$A$3))</f>
        <v>0</v>
      </c>
      <c r="BM96" s="73" t="n">
        <f aca="false">IF($E96="","",COUNTIF($E93:$E96,BJ$21)+COUNTIF($E93:$E96,$A$3))</f>
        <v>0</v>
      </c>
      <c r="BN96" s="92" t="n">
        <f aca="false">IF($F96="","",COUNTIF($F93:$F96,BJ$21)+COUNTIF($F93:$F96,$A$3))</f>
        <v>1</v>
      </c>
      <c r="BP96" s="91" t="n">
        <f aca="false">IF($B96="","",COUNTIF($B93:$B96,BP$21)+COUNTIF($B93:$B96,$A$3))</f>
        <v>0</v>
      </c>
      <c r="BQ96" s="73" t="n">
        <f aca="false">IF($C96="","",COUNTIF($C93:$C96,BP$21)+COUNTIF($C93:$C96,$A$3))</f>
        <v>0</v>
      </c>
      <c r="BR96" s="73" t="n">
        <f aca="false">IF($D96="","",COUNTIF($D93:$D96,BP$21)+COUNTIF($D93:$D96,$A$3))</f>
        <v>1</v>
      </c>
      <c r="BS96" s="73" t="n">
        <f aca="false">IF($E96="","",COUNTIF($E93:$E96,BP$21)+COUNTIF($E93:$E96,$A$3))</f>
        <v>1</v>
      </c>
      <c r="BT96" s="92" t="n">
        <f aca="false">IF($F96="","",COUNTIF($F93:$F96,BP$21)+COUNTIF($F93:$F96,$A$3))</f>
        <v>0</v>
      </c>
    </row>
    <row r="97" customFormat="false" ht="15" hidden="false" customHeight="false" outlineLevel="0" collapsed="false">
      <c r="A97" s="13" t="n">
        <v>75</v>
      </c>
      <c r="B97" s="116" t="str">
        <f aca="false">IF('Game Info'!Q80="","",'Game Info'!Q80)</f>
        <v>SYM2</v>
      </c>
      <c r="C97" s="116" t="str">
        <f aca="false">IF('Game Info'!R80="","",'Game Info'!R80)</f>
        <v>SYM3</v>
      </c>
      <c r="D97" s="116" t="str">
        <f aca="false">IF('Game Info'!S80="","",'Game Info'!S80)</f>
        <v>A</v>
      </c>
      <c r="E97" s="116" t="str">
        <f aca="false">IF('Game Info'!T80="","",'Game Info'!T80)</f>
        <v>Q</v>
      </c>
      <c r="F97" s="117" t="str">
        <f aca="false">IF('Game Info'!U80="","",'Game Info'!U80)</f>
        <v>J</v>
      </c>
      <c r="H97" s="91" t="n">
        <f aca="false">IF($B97="","",COUNTIF($B94:$B97,H$21)+COUNTIF($B94:$B97,$A$3))</f>
        <v>0</v>
      </c>
      <c r="I97" s="73" t="n">
        <f aca="false">IF($C97="","",COUNTIF($C94:$C97,H$21)+COUNTIF($C94:$C97,$A$3))</f>
        <v>0</v>
      </c>
      <c r="J97" s="73" t="n">
        <f aca="false">IF($D97="","",COUNTIF($D94:$D97,H$21)+COUNTIF($D94:$D97,$A$3))</f>
        <v>0</v>
      </c>
      <c r="K97" s="73" t="n">
        <f aca="false">IF($E97="","",COUNTIF($E94:$E97,H$21)+COUNTIF($E94:$E97,$A$3))</f>
        <v>0</v>
      </c>
      <c r="L97" s="92" t="n">
        <f aca="false">IF($F97="","",COUNTIF($F94:$F97,H$21)+COUNTIF($F94:$F97,$A$3))</f>
        <v>0</v>
      </c>
      <c r="N97" s="91" t="n">
        <f aca="false">IF($B97="","",COUNTIF($B94:$B97,N$21)+COUNTIF($B94:$B97,$A$3))</f>
        <v>1</v>
      </c>
      <c r="O97" s="73" t="n">
        <f aca="false">IF($C97="","",COUNTIF($C94:$C97,N$21)+COUNTIF($C94:$C97,$A$3))</f>
        <v>0</v>
      </c>
      <c r="P97" s="73" t="n">
        <f aca="false">IF($D97="","",COUNTIF($D94:$D97,N$21)+COUNTIF($D94:$D97,$A$3))</f>
        <v>0</v>
      </c>
      <c r="Q97" s="73" t="n">
        <f aca="false">IF($E97="","",COUNTIF($E94:$E97,N$21)+COUNTIF($E94:$E97,$A$3))</f>
        <v>0</v>
      </c>
      <c r="R97" s="92" t="n">
        <f aca="false">IF($F97="","",COUNTIF($F94:$F97,N$21)+COUNTIF($F94:$F97,$A$3))</f>
        <v>1</v>
      </c>
      <c r="T97" s="91" t="n">
        <f aca="false">IF($B97="","",COUNTIF($B94:$B97,T$21)+COUNTIF($B94:$B97,$A$3))</f>
        <v>0</v>
      </c>
      <c r="U97" s="73" t="n">
        <f aca="false">IF($C97="","",COUNTIF($C94:$C97,T$21)+COUNTIF($C94:$C97,$A$3))</f>
        <v>1</v>
      </c>
      <c r="V97" s="73" t="n">
        <f aca="false">IF($D97="","",COUNTIF($D94:$D97,T$21)+COUNTIF($D94:$D97,$A$3))</f>
        <v>1</v>
      </c>
      <c r="W97" s="73" t="n">
        <f aca="false">IF($E97="","",COUNTIF($E94:$E97,T$21)+COUNTIF($E94:$E97,$A$3))</f>
        <v>0</v>
      </c>
      <c r="X97" s="92" t="n">
        <f aca="false">IF($F97="","",COUNTIF($F94:$F97,T$21)+COUNTIF($F94:$F97,$A$3))</f>
        <v>0</v>
      </c>
      <c r="Z97" s="91" t="n">
        <f aca="false">IF($B97="","",COUNTIF($B94:$B97,Z$21)+COUNTIF($B94:$B97,$A$3))</f>
        <v>0</v>
      </c>
      <c r="AA97" s="73" t="n">
        <f aca="false">IF($C97="","",COUNTIF($C94:$C97,Z$21)+COUNTIF($C94:$C97,$A$3))</f>
        <v>0</v>
      </c>
      <c r="AB97" s="73" t="n">
        <f aca="false">IF($D97="","",COUNTIF($D94:$D97,Z$21)+COUNTIF($D94:$D97,$A$3))</f>
        <v>0</v>
      </c>
      <c r="AC97" s="73" t="n">
        <f aca="false">IF($E97="","",COUNTIF($E94:$E97,Z$21)+COUNTIF($E94:$E97,$A$3))</f>
        <v>1</v>
      </c>
      <c r="AD97" s="92" t="n">
        <f aca="false">IF($F97="","",COUNTIF($F94:$F97,Z$21)+COUNTIF($F94:$F97,$A$3))</f>
        <v>0</v>
      </c>
      <c r="AF97" s="91" t="n">
        <f aca="false">IF($B97="","",COUNTIF($B94:$B97,AF$21)+COUNTIF($B94:$B97,$A$3))</f>
        <v>1</v>
      </c>
      <c r="AG97" s="73" t="n">
        <f aca="false">IF($C97="","",COUNTIF($C94:$C97,AF$21)+COUNTIF($C94:$C97,$A$3))</f>
        <v>1</v>
      </c>
      <c r="AH97" s="73" t="n">
        <f aca="false">IF($D97="","",COUNTIF($D94:$D97,AF$21)+COUNTIF($D94:$D97,$A$3))</f>
        <v>1</v>
      </c>
      <c r="AI97" s="73" t="n">
        <f aca="false">IF($E97="","",COUNTIF($E94:$E97,AF$21)+COUNTIF($E94:$E97,$A$3))</f>
        <v>1</v>
      </c>
      <c r="AJ97" s="92" t="n">
        <f aca="false">IF($F97="","",COUNTIF($F94:$F97,AF$21)+COUNTIF($F94:$F97,$A$3))</f>
        <v>0</v>
      </c>
      <c r="AL97" s="91" t="n">
        <f aca="false">IF($B97="","",COUNTIF($B94:$B97,AL$21)+COUNTIF($B94:$B97,$A$3))</f>
        <v>0</v>
      </c>
      <c r="AM97" s="73" t="n">
        <f aca="false">IF($C97="","",COUNTIF($C94:$C97,AL$21)+COUNTIF($C94:$C97,$A$3))</f>
        <v>1</v>
      </c>
      <c r="AN97" s="73" t="n">
        <f aca="false">IF($D97="","",COUNTIF($D94:$D97,AL$21)+COUNTIF($D94:$D97,$A$3))</f>
        <v>1</v>
      </c>
      <c r="AO97" s="73" t="n">
        <f aca="false">IF($E97="","",COUNTIF($E94:$E97,AL$21)+COUNTIF($E94:$E97,$A$3))</f>
        <v>0</v>
      </c>
      <c r="AP97" s="92" t="n">
        <f aca="false">IF($F97="","",COUNTIF($F94:$F97,AL$21)+COUNTIF($F94:$F97,$A$3))</f>
        <v>1</v>
      </c>
      <c r="AR97" s="91" t="n">
        <f aca="false">IF($B97="","",COUNTIF($B94:$B97,AR$21)+COUNTIF($B94:$B97,$A$3))</f>
        <v>0</v>
      </c>
      <c r="AS97" s="73" t="n">
        <f aca="false">IF($C97="","",COUNTIF($C94:$C97,AR$21)+COUNTIF($C94:$C97,$A$3))</f>
        <v>1</v>
      </c>
      <c r="AT97" s="73" t="n">
        <f aca="false">IF($D97="","",COUNTIF($D94:$D97,AR$21)+COUNTIF($D94:$D97,$A$3))</f>
        <v>0</v>
      </c>
      <c r="AU97" s="73" t="n">
        <f aca="false">IF($E97="","",COUNTIF($E94:$E97,AR$21)+COUNTIF($E94:$E97,$A$3))</f>
        <v>0</v>
      </c>
      <c r="AV97" s="92" t="n">
        <f aca="false">IF($F97="","",COUNTIF($F94:$F97,AR$21)+COUNTIF($F94:$F97,$A$3))</f>
        <v>0</v>
      </c>
      <c r="AX97" s="91" t="n">
        <f aca="false">IF($B97="","",COUNTIF($B94:$B97,AX$21)+COUNTIF($B94:$B97,$A$3))</f>
        <v>1</v>
      </c>
      <c r="AY97" s="73" t="n">
        <f aca="false">IF($C97="","",COUNTIF($C94:$C97,AX$21)+COUNTIF($C94:$C97,$A$3))</f>
        <v>0</v>
      </c>
      <c r="AZ97" s="73" t="n">
        <f aca="false">IF($D97="","",COUNTIF($D94:$D97,AX$21)+COUNTIF($D94:$D97,$A$3))</f>
        <v>0</v>
      </c>
      <c r="BA97" s="73" t="n">
        <f aca="false">IF($E97="","",COUNTIF($E94:$E97,AX$21)+COUNTIF($E94:$E97,$A$3))</f>
        <v>1</v>
      </c>
      <c r="BB97" s="92" t="n">
        <f aca="false">IF($F97="","",COUNTIF($F94:$F97,AX$21)+COUNTIF($F94:$F97,$A$3))</f>
        <v>0</v>
      </c>
      <c r="BD97" s="91" t="n">
        <f aca="false">IF($B97="","",COUNTIF($B94:$B97,BD$21)+COUNTIF($B94:$B97,$A$3))</f>
        <v>0</v>
      </c>
      <c r="BE97" s="73" t="n">
        <f aca="false">IF($C97="","",COUNTIF($C94:$C97,BD$21)+COUNTIF($C94:$C97,$A$3))</f>
        <v>0</v>
      </c>
      <c r="BF97" s="73" t="n">
        <f aca="false">IF($D97="","",COUNTIF($D94:$D97,BD$21)+COUNTIF($D94:$D97,$A$3))</f>
        <v>0</v>
      </c>
      <c r="BG97" s="73" t="n">
        <f aca="false">IF($E97="","",COUNTIF($E94:$E97,BD$21)+COUNTIF($E94:$E97,$A$3))</f>
        <v>0</v>
      </c>
      <c r="BH97" s="92" t="n">
        <f aca="false">IF($F97="","",COUNTIF($F94:$F97,BD$21)+COUNTIF($F94:$F97,$A$3))</f>
        <v>1</v>
      </c>
      <c r="BJ97" s="91" t="n">
        <f aca="false">IF($B97="","",COUNTIF($B94:$B97,BJ$21)+COUNTIF($B94:$B97,$A$3))</f>
        <v>1</v>
      </c>
      <c r="BK97" s="73" t="n">
        <f aca="false">IF($C97="","",COUNTIF($C94:$C97,BJ$21)+COUNTIF($C94:$C97,$A$3))</f>
        <v>0</v>
      </c>
      <c r="BL97" s="73" t="n">
        <f aca="false">IF($D97="","",COUNTIF($D94:$D97,BJ$21)+COUNTIF($D94:$D97,$A$3))</f>
        <v>0</v>
      </c>
      <c r="BM97" s="73" t="n">
        <f aca="false">IF($E97="","",COUNTIF($E94:$E97,BJ$21)+COUNTIF($E94:$E97,$A$3))</f>
        <v>0</v>
      </c>
      <c r="BN97" s="92" t="n">
        <f aca="false">IF($F97="","",COUNTIF($F94:$F97,BJ$21)+COUNTIF($F94:$F97,$A$3))</f>
        <v>0</v>
      </c>
      <c r="BP97" s="91" t="n">
        <f aca="false">IF($B97="","",COUNTIF($B94:$B97,BP$21)+COUNTIF($B94:$B97,$A$3))</f>
        <v>0</v>
      </c>
      <c r="BQ97" s="73" t="n">
        <f aca="false">IF($C97="","",COUNTIF($C94:$C97,BP$21)+COUNTIF($C94:$C97,$A$3))</f>
        <v>0</v>
      </c>
      <c r="BR97" s="73" t="n">
        <f aca="false">IF($D97="","",COUNTIF($D94:$D97,BP$21)+COUNTIF($D94:$D97,$A$3))</f>
        <v>1</v>
      </c>
      <c r="BS97" s="73" t="n">
        <f aca="false">IF($E97="","",COUNTIF($E94:$E97,BP$21)+COUNTIF($E94:$E97,$A$3))</f>
        <v>1</v>
      </c>
      <c r="BT97" s="92" t="n">
        <f aca="false">IF($F97="","",COUNTIF($F94:$F97,BP$21)+COUNTIF($F94:$F97,$A$3))</f>
        <v>0</v>
      </c>
    </row>
    <row r="98" customFormat="false" ht="15" hidden="false" customHeight="false" outlineLevel="0" collapsed="false">
      <c r="A98" s="13" t="n">
        <v>76</v>
      </c>
      <c r="B98" s="116" t="str">
        <f aca="false">IF('Game Info'!Q81="","",'Game Info'!Q81)</f>
        <v>K</v>
      </c>
      <c r="C98" s="116" t="str">
        <f aca="false">IF('Game Info'!R81="","",'Game Info'!R81)</f>
        <v>K</v>
      </c>
      <c r="D98" s="116" t="str">
        <f aca="false">IF('Game Info'!S81="","",'Game Info'!S81)</f>
        <v>SYM4</v>
      </c>
      <c r="E98" s="116" t="str">
        <f aca="false">IF('Game Info'!T81="","",'Game Info'!T81)</f>
        <v>SYM4</v>
      </c>
      <c r="F98" s="117" t="str">
        <f aca="false">IF('Game Info'!U81="","",'Game Info'!U81)</f>
        <v>SYM3</v>
      </c>
      <c r="H98" s="91" t="n">
        <f aca="false">IF($B98="","",COUNTIF($B95:$B98,H$21)+COUNTIF($B95:$B98,$A$3))</f>
        <v>0</v>
      </c>
      <c r="I98" s="73" t="n">
        <f aca="false">IF($C98="","",COUNTIF($C95:$C98,H$21)+COUNTIF($C95:$C98,$A$3))</f>
        <v>0</v>
      </c>
      <c r="J98" s="73" t="n">
        <f aca="false">IF($D98="","",COUNTIF($D95:$D98,H$21)+COUNTIF($D95:$D98,$A$3))</f>
        <v>0</v>
      </c>
      <c r="K98" s="73" t="n">
        <f aca="false">IF($E98="","",COUNTIF($E95:$E98,H$21)+COUNTIF($E95:$E98,$A$3))</f>
        <v>0</v>
      </c>
      <c r="L98" s="92" t="n">
        <f aca="false">IF($F98="","",COUNTIF($F95:$F98,H$21)+COUNTIF($F95:$F98,$A$3))</f>
        <v>0</v>
      </c>
      <c r="N98" s="91" t="n">
        <f aca="false">IF($B98="","",COUNTIF($B95:$B98,N$21)+COUNTIF($B95:$B98,$A$3))</f>
        <v>1</v>
      </c>
      <c r="O98" s="73" t="n">
        <f aca="false">IF($C98="","",COUNTIF($C95:$C98,N$21)+COUNTIF($C95:$C98,$A$3))</f>
        <v>0</v>
      </c>
      <c r="P98" s="73" t="n">
        <f aca="false">IF($D98="","",COUNTIF($D95:$D98,N$21)+COUNTIF($D95:$D98,$A$3))</f>
        <v>0</v>
      </c>
      <c r="Q98" s="73" t="n">
        <f aca="false">IF($E98="","",COUNTIF($E95:$E98,N$21)+COUNTIF($E95:$E98,$A$3))</f>
        <v>0</v>
      </c>
      <c r="R98" s="92" t="n">
        <f aca="false">IF($F98="","",COUNTIF($F95:$F98,N$21)+COUNTIF($F95:$F98,$A$3))</f>
        <v>1</v>
      </c>
      <c r="T98" s="91" t="n">
        <f aca="false">IF($B98="","",COUNTIF($B95:$B98,T$21)+COUNTIF($B95:$B98,$A$3))</f>
        <v>0</v>
      </c>
      <c r="U98" s="73" t="n">
        <f aca="false">IF($C98="","",COUNTIF($C95:$C98,T$21)+COUNTIF($C95:$C98,$A$3))</f>
        <v>1</v>
      </c>
      <c r="V98" s="73" t="n">
        <f aca="false">IF($D98="","",COUNTIF($D95:$D98,T$21)+COUNTIF($D95:$D98,$A$3))</f>
        <v>1</v>
      </c>
      <c r="W98" s="73" t="n">
        <f aca="false">IF($E98="","",COUNTIF($E95:$E98,T$21)+COUNTIF($E95:$E98,$A$3))</f>
        <v>0</v>
      </c>
      <c r="X98" s="92" t="n">
        <f aca="false">IF($F98="","",COUNTIF($F95:$F98,T$21)+COUNTIF($F95:$F98,$A$3))</f>
        <v>1</v>
      </c>
      <c r="Z98" s="91" t="n">
        <f aca="false">IF($B98="","",COUNTIF($B95:$B98,Z$21)+COUNTIF($B95:$B98,$A$3))</f>
        <v>0</v>
      </c>
      <c r="AA98" s="73" t="n">
        <f aca="false">IF($C98="","",COUNTIF($C95:$C98,Z$21)+COUNTIF($C95:$C98,$A$3))</f>
        <v>0</v>
      </c>
      <c r="AB98" s="73" t="n">
        <f aca="false">IF($D98="","",COUNTIF($D95:$D98,Z$21)+COUNTIF($D95:$D98,$A$3))</f>
        <v>1</v>
      </c>
      <c r="AC98" s="73" t="n">
        <f aca="false">IF($E98="","",COUNTIF($E95:$E98,Z$21)+COUNTIF($E95:$E98,$A$3))</f>
        <v>1</v>
      </c>
      <c r="AD98" s="92" t="n">
        <f aca="false">IF($F98="","",COUNTIF($F95:$F98,Z$21)+COUNTIF($F95:$F98,$A$3))</f>
        <v>0</v>
      </c>
      <c r="AF98" s="91" t="n">
        <f aca="false">IF($B98="","",COUNTIF($B95:$B98,AF$21)+COUNTIF($B95:$B98,$A$3))</f>
        <v>1</v>
      </c>
      <c r="AG98" s="73" t="n">
        <f aca="false">IF($C98="","",COUNTIF($C95:$C98,AF$21)+COUNTIF($C95:$C98,$A$3))</f>
        <v>0</v>
      </c>
      <c r="AH98" s="73" t="n">
        <f aca="false">IF($D98="","",COUNTIF($D95:$D98,AF$21)+COUNTIF($D95:$D98,$A$3))</f>
        <v>0</v>
      </c>
      <c r="AI98" s="73" t="n">
        <f aca="false">IF($E98="","",COUNTIF($E95:$E98,AF$21)+COUNTIF($E95:$E98,$A$3))</f>
        <v>1</v>
      </c>
      <c r="AJ98" s="92" t="n">
        <f aca="false">IF($F98="","",COUNTIF($F95:$F98,AF$21)+COUNTIF($F95:$F98,$A$3))</f>
        <v>0</v>
      </c>
      <c r="AL98" s="91" t="n">
        <f aca="false">IF($B98="","",COUNTIF($B95:$B98,AL$21)+COUNTIF($B95:$B98,$A$3))</f>
        <v>0</v>
      </c>
      <c r="AM98" s="73" t="n">
        <f aca="false">IF($C98="","",COUNTIF($C95:$C98,AL$21)+COUNTIF($C95:$C98,$A$3))</f>
        <v>1</v>
      </c>
      <c r="AN98" s="73" t="n">
        <f aca="false">IF($D98="","",COUNTIF($D95:$D98,AL$21)+COUNTIF($D95:$D98,$A$3))</f>
        <v>1</v>
      </c>
      <c r="AO98" s="73" t="n">
        <f aca="false">IF($E98="","",COUNTIF($E95:$E98,AL$21)+COUNTIF($E95:$E98,$A$3))</f>
        <v>0</v>
      </c>
      <c r="AP98" s="92" t="n">
        <f aca="false">IF($F98="","",COUNTIF($F95:$F98,AL$21)+COUNTIF($F95:$F98,$A$3))</f>
        <v>1</v>
      </c>
      <c r="AR98" s="91" t="n">
        <f aca="false">IF($B98="","",COUNTIF($B95:$B98,AR$21)+COUNTIF($B95:$B98,$A$3))</f>
        <v>1</v>
      </c>
      <c r="AS98" s="73" t="n">
        <f aca="false">IF($C98="","",COUNTIF($C95:$C98,AR$21)+COUNTIF($C95:$C98,$A$3))</f>
        <v>2</v>
      </c>
      <c r="AT98" s="73" t="n">
        <f aca="false">IF($D98="","",COUNTIF($D95:$D98,AR$21)+COUNTIF($D95:$D98,$A$3))</f>
        <v>0</v>
      </c>
      <c r="AU98" s="73" t="n">
        <f aca="false">IF($E98="","",COUNTIF($E95:$E98,AR$21)+COUNTIF($E95:$E98,$A$3))</f>
        <v>0</v>
      </c>
      <c r="AV98" s="92" t="n">
        <f aca="false">IF($F98="","",COUNTIF($F95:$F98,AR$21)+COUNTIF($F95:$F98,$A$3))</f>
        <v>0</v>
      </c>
      <c r="AX98" s="91" t="n">
        <f aca="false">IF($B98="","",COUNTIF($B95:$B98,AX$21)+COUNTIF($B95:$B98,$A$3))</f>
        <v>1</v>
      </c>
      <c r="AY98" s="73" t="n">
        <f aca="false">IF($C98="","",COUNTIF($C95:$C98,AX$21)+COUNTIF($C95:$C98,$A$3))</f>
        <v>0</v>
      </c>
      <c r="AZ98" s="73" t="n">
        <f aca="false">IF($D98="","",COUNTIF($D95:$D98,AX$21)+COUNTIF($D95:$D98,$A$3))</f>
        <v>0</v>
      </c>
      <c r="BA98" s="73" t="n">
        <f aca="false">IF($E98="","",COUNTIF($E95:$E98,AX$21)+COUNTIF($E95:$E98,$A$3))</f>
        <v>1</v>
      </c>
      <c r="BB98" s="92" t="n">
        <f aca="false">IF($F98="","",COUNTIF($F95:$F98,AX$21)+COUNTIF($F95:$F98,$A$3))</f>
        <v>0</v>
      </c>
      <c r="BD98" s="91" t="n">
        <f aca="false">IF($B98="","",COUNTIF($B95:$B98,BD$21)+COUNTIF($B95:$B98,$A$3))</f>
        <v>0</v>
      </c>
      <c r="BE98" s="73" t="n">
        <f aca="false">IF($C98="","",COUNTIF($C95:$C98,BD$21)+COUNTIF($C95:$C98,$A$3))</f>
        <v>0</v>
      </c>
      <c r="BF98" s="73" t="n">
        <f aca="false">IF($D98="","",COUNTIF($D95:$D98,BD$21)+COUNTIF($D95:$D98,$A$3))</f>
        <v>0</v>
      </c>
      <c r="BG98" s="73" t="n">
        <f aca="false">IF($E98="","",COUNTIF($E95:$E98,BD$21)+COUNTIF($E95:$E98,$A$3))</f>
        <v>0</v>
      </c>
      <c r="BH98" s="92" t="n">
        <f aca="false">IF($F98="","",COUNTIF($F95:$F98,BD$21)+COUNTIF($F95:$F98,$A$3))</f>
        <v>1</v>
      </c>
      <c r="BJ98" s="91" t="n">
        <f aca="false">IF($B98="","",COUNTIF($B95:$B98,BJ$21)+COUNTIF($B95:$B98,$A$3))</f>
        <v>0</v>
      </c>
      <c r="BK98" s="73" t="n">
        <f aca="false">IF($C98="","",COUNTIF($C95:$C98,BJ$21)+COUNTIF($C95:$C98,$A$3))</f>
        <v>0</v>
      </c>
      <c r="BL98" s="73" t="n">
        <f aca="false">IF($D98="","",COUNTIF($D95:$D98,BJ$21)+COUNTIF($D95:$D98,$A$3))</f>
        <v>0</v>
      </c>
      <c r="BM98" s="73" t="n">
        <f aca="false">IF($E98="","",COUNTIF($E95:$E98,BJ$21)+COUNTIF($E95:$E98,$A$3))</f>
        <v>0</v>
      </c>
      <c r="BN98" s="92" t="n">
        <f aca="false">IF($F98="","",COUNTIF($F95:$F98,BJ$21)+COUNTIF($F95:$F98,$A$3))</f>
        <v>0</v>
      </c>
      <c r="BP98" s="91" t="n">
        <f aca="false">IF($B98="","",COUNTIF($B95:$B98,BP$21)+COUNTIF($B95:$B98,$A$3))</f>
        <v>0</v>
      </c>
      <c r="BQ98" s="73" t="n">
        <f aca="false">IF($C98="","",COUNTIF($C95:$C98,BP$21)+COUNTIF($C95:$C98,$A$3))</f>
        <v>0</v>
      </c>
      <c r="BR98" s="73" t="n">
        <f aca="false">IF($D98="","",COUNTIF($D95:$D98,BP$21)+COUNTIF($D95:$D98,$A$3))</f>
        <v>1</v>
      </c>
      <c r="BS98" s="73" t="n">
        <f aca="false">IF($E98="","",COUNTIF($E95:$E98,BP$21)+COUNTIF($E95:$E98,$A$3))</f>
        <v>1</v>
      </c>
      <c r="BT98" s="92" t="n">
        <f aca="false">IF($F98="","",COUNTIF($F95:$F98,BP$21)+COUNTIF($F95:$F98,$A$3))</f>
        <v>0</v>
      </c>
    </row>
    <row r="99" customFormat="false" ht="15" hidden="false" customHeight="false" outlineLevel="0" collapsed="false">
      <c r="A99" s="13" t="n">
        <v>77</v>
      </c>
      <c r="B99" s="116" t="str">
        <f aca="false">IF('Game Info'!Q82="","",'Game Info'!Q82)</f>
        <v>SYM1</v>
      </c>
      <c r="C99" s="116" t="str">
        <f aca="false">IF('Game Info'!R82="","",'Game Info'!R82)</f>
        <v>SYM2</v>
      </c>
      <c r="D99" s="116" t="str">
        <f aca="false">IF('Game Info'!S82="","",'Game Info'!S82)</f>
        <v>Q</v>
      </c>
      <c r="E99" s="116" t="str">
        <f aca="false">IF('Game Info'!T82="","",'Game Info'!T82)</f>
        <v>SYM5</v>
      </c>
      <c r="F99" s="117" t="n">
        <f aca="false">IF('Game Info'!U82="","",'Game Info'!U82)</f>
        <v>9</v>
      </c>
      <c r="H99" s="91" t="n">
        <f aca="false">IF($B99="","",COUNTIF($B96:$B99,H$21)+COUNTIF($B96:$B99,$A$3))</f>
        <v>1</v>
      </c>
      <c r="I99" s="73" t="n">
        <f aca="false">IF($C99="","",COUNTIF($C96:$C99,H$21)+COUNTIF($C96:$C99,$A$3))</f>
        <v>0</v>
      </c>
      <c r="J99" s="73" t="n">
        <f aca="false">IF($D99="","",COUNTIF($D96:$D99,H$21)+COUNTIF($D96:$D99,$A$3))</f>
        <v>0</v>
      </c>
      <c r="K99" s="73" t="n">
        <f aca="false">IF($E99="","",COUNTIF($E96:$E99,H$21)+COUNTIF($E96:$E99,$A$3))</f>
        <v>0</v>
      </c>
      <c r="L99" s="92" t="n">
        <f aca="false">IF($F99="","",COUNTIF($F96:$F99,H$21)+COUNTIF($F96:$F99,$A$3))</f>
        <v>0</v>
      </c>
      <c r="N99" s="91" t="n">
        <f aca="false">IF($B99="","",COUNTIF($B96:$B99,N$21)+COUNTIF($B96:$B99,$A$3))</f>
        <v>1</v>
      </c>
      <c r="O99" s="73" t="n">
        <f aca="false">IF($C99="","",COUNTIF($C96:$C99,N$21)+COUNTIF($C96:$C99,$A$3))</f>
        <v>1</v>
      </c>
      <c r="P99" s="73" t="n">
        <f aca="false">IF($D99="","",COUNTIF($D96:$D99,N$21)+COUNTIF($D96:$D99,$A$3))</f>
        <v>0</v>
      </c>
      <c r="Q99" s="73" t="n">
        <f aca="false">IF($E99="","",COUNTIF($E96:$E99,N$21)+COUNTIF($E96:$E99,$A$3))</f>
        <v>0</v>
      </c>
      <c r="R99" s="92" t="n">
        <f aca="false">IF($F99="","",COUNTIF($F96:$F99,N$21)+COUNTIF($F96:$F99,$A$3))</f>
        <v>1</v>
      </c>
      <c r="T99" s="91" t="n">
        <f aca="false">IF($B99="","",COUNTIF($B96:$B99,T$21)+COUNTIF($B96:$B99,$A$3))</f>
        <v>0</v>
      </c>
      <c r="U99" s="73" t="n">
        <f aca="false">IF($C99="","",COUNTIF($C96:$C99,T$21)+COUNTIF($C96:$C99,$A$3))</f>
        <v>1</v>
      </c>
      <c r="V99" s="73" t="n">
        <f aca="false">IF($D99="","",COUNTIF($D96:$D99,T$21)+COUNTIF($D96:$D99,$A$3))</f>
        <v>1</v>
      </c>
      <c r="W99" s="73" t="n">
        <f aca="false">IF($E99="","",COUNTIF($E96:$E99,T$21)+COUNTIF($E96:$E99,$A$3))</f>
        <v>0</v>
      </c>
      <c r="X99" s="92" t="n">
        <f aca="false">IF($F99="","",COUNTIF($F96:$F99,T$21)+COUNTIF($F96:$F99,$A$3))</f>
        <v>1</v>
      </c>
      <c r="Z99" s="91" t="n">
        <f aca="false">IF($B99="","",COUNTIF($B96:$B99,Z$21)+COUNTIF($B96:$B99,$A$3))</f>
        <v>0</v>
      </c>
      <c r="AA99" s="73" t="n">
        <f aca="false">IF($C99="","",COUNTIF($C96:$C99,Z$21)+COUNTIF($C96:$C99,$A$3))</f>
        <v>0</v>
      </c>
      <c r="AB99" s="73" t="n">
        <f aca="false">IF($D99="","",COUNTIF($D96:$D99,Z$21)+COUNTIF($D96:$D99,$A$3))</f>
        <v>1</v>
      </c>
      <c r="AC99" s="73" t="n">
        <f aca="false">IF($E99="","",COUNTIF($E96:$E99,Z$21)+COUNTIF($E96:$E99,$A$3))</f>
        <v>1</v>
      </c>
      <c r="AD99" s="92" t="n">
        <f aca="false">IF($F99="","",COUNTIF($F96:$F99,Z$21)+COUNTIF($F96:$F99,$A$3))</f>
        <v>0</v>
      </c>
      <c r="AF99" s="91" t="n">
        <f aca="false">IF($B99="","",COUNTIF($B96:$B99,AF$21)+COUNTIF($B96:$B99,$A$3))</f>
        <v>0</v>
      </c>
      <c r="AG99" s="73" t="n">
        <f aca="false">IF($C99="","",COUNTIF($C96:$C99,AF$21)+COUNTIF($C96:$C99,$A$3))</f>
        <v>0</v>
      </c>
      <c r="AH99" s="73" t="n">
        <f aca="false">IF($D99="","",COUNTIF($D96:$D99,AF$21)+COUNTIF($D96:$D99,$A$3))</f>
        <v>0</v>
      </c>
      <c r="AI99" s="73" t="n">
        <f aca="false">IF($E99="","",COUNTIF($E96:$E99,AF$21)+COUNTIF($E96:$E99,$A$3))</f>
        <v>2</v>
      </c>
      <c r="AJ99" s="92" t="n">
        <f aca="false">IF($F99="","",COUNTIF($F96:$F99,AF$21)+COUNTIF($F96:$F99,$A$3))</f>
        <v>0</v>
      </c>
      <c r="AL99" s="91" t="n">
        <f aca="false">IF($B99="","",COUNTIF($B96:$B99,AL$21)+COUNTIF($B96:$B99,$A$3))</f>
        <v>0</v>
      </c>
      <c r="AM99" s="73" t="n">
        <f aca="false">IF($C99="","",COUNTIF($C96:$C99,AL$21)+COUNTIF($C96:$C99,$A$3))</f>
        <v>0</v>
      </c>
      <c r="AN99" s="73" t="n">
        <f aca="false">IF($D99="","",COUNTIF($D96:$D99,AL$21)+COUNTIF($D96:$D99,$A$3))</f>
        <v>1</v>
      </c>
      <c r="AO99" s="73" t="n">
        <f aca="false">IF($E99="","",COUNTIF($E96:$E99,AL$21)+COUNTIF($E96:$E99,$A$3))</f>
        <v>0</v>
      </c>
      <c r="AP99" s="92" t="n">
        <f aca="false">IF($F99="","",COUNTIF($F96:$F99,AL$21)+COUNTIF($F96:$F99,$A$3))</f>
        <v>0</v>
      </c>
      <c r="AR99" s="91" t="n">
        <f aca="false">IF($B99="","",COUNTIF($B96:$B99,AR$21)+COUNTIF($B96:$B99,$A$3))</f>
        <v>1</v>
      </c>
      <c r="AS99" s="73" t="n">
        <f aca="false">IF($C99="","",COUNTIF($C96:$C99,AR$21)+COUNTIF($C96:$C99,$A$3))</f>
        <v>2</v>
      </c>
      <c r="AT99" s="73" t="n">
        <f aca="false">IF($D99="","",COUNTIF($D96:$D99,AR$21)+COUNTIF($D96:$D99,$A$3))</f>
        <v>0</v>
      </c>
      <c r="AU99" s="73" t="n">
        <f aca="false">IF($E99="","",COUNTIF($E96:$E99,AR$21)+COUNTIF($E96:$E99,$A$3))</f>
        <v>0</v>
      </c>
      <c r="AV99" s="92" t="n">
        <f aca="false">IF($F99="","",COUNTIF($F96:$F99,AR$21)+COUNTIF($F96:$F99,$A$3))</f>
        <v>0</v>
      </c>
      <c r="AX99" s="91" t="n">
        <f aca="false">IF($B99="","",COUNTIF($B96:$B99,AX$21)+COUNTIF($B96:$B99,$A$3))</f>
        <v>1</v>
      </c>
      <c r="AY99" s="73" t="n">
        <f aca="false">IF($C99="","",COUNTIF($C96:$C99,AX$21)+COUNTIF($C96:$C99,$A$3))</f>
        <v>0</v>
      </c>
      <c r="AZ99" s="73" t="n">
        <f aca="false">IF($D99="","",COUNTIF($D96:$D99,AX$21)+COUNTIF($D96:$D99,$A$3))</f>
        <v>1</v>
      </c>
      <c r="BA99" s="73" t="n">
        <f aca="false">IF($E99="","",COUNTIF($E96:$E99,AX$21)+COUNTIF($E96:$E99,$A$3))</f>
        <v>1</v>
      </c>
      <c r="BB99" s="92" t="n">
        <f aca="false">IF($F99="","",COUNTIF($F96:$F99,AX$21)+COUNTIF($F96:$F99,$A$3))</f>
        <v>0</v>
      </c>
      <c r="BD99" s="91" t="n">
        <f aca="false">IF($B99="","",COUNTIF($B96:$B99,BD$21)+COUNTIF($B96:$B99,$A$3))</f>
        <v>0</v>
      </c>
      <c r="BE99" s="73" t="n">
        <f aca="false">IF($C99="","",COUNTIF($C96:$C99,BD$21)+COUNTIF($C96:$C99,$A$3))</f>
        <v>0</v>
      </c>
      <c r="BF99" s="73" t="n">
        <f aca="false">IF($D99="","",COUNTIF($D96:$D99,BD$21)+COUNTIF($D96:$D99,$A$3))</f>
        <v>0</v>
      </c>
      <c r="BG99" s="73" t="n">
        <f aca="false">IF($E99="","",COUNTIF($E96:$E99,BD$21)+COUNTIF($E96:$E99,$A$3))</f>
        <v>0</v>
      </c>
      <c r="BH99" s="92" t="n">
        <f aca="false">IF($F99="","",COUNTIF($F96:$F99,BD$21)+COUNTIF($F96:$F99,$A$3))</f>
        <v>1</v>
      </c>
      <c r="BJ99" s="91" t="n">
        <f aca="false">IF($B99="","",COUNTIF($B96:$B99,BJ$21)+COUNTIF($B96:$B99,$A$3))</f>
        <v>0</v>
      </c>
      <c r="BK99" s="73" t="n">
        <f aca="false">IF($C99="","",COUNTIF($C96:$C99,BJ$21)+COUNTIF($C96:$C99,$A$3))</f>
        <v>0</v>
      </c>
      <c r="BL99" s="73" t="n">
        <f aca="false">IF($D99="","",COUNTIF($D96:$D99,BJ$21)+COUNTIF($D96:$D99,$A$3))</f>
        <v>0</v>
      </c>
      <c r="BM99" s="73" t="n">
        <f aca="false">IF($E99="","",COUNTIF($E96:$E99,BJ$21)+COUNTIF($E96:$E99,$A$3))</f>
        <v>0</v>
      </c>
      <c r="BN99" s="92" t="n">
        <f aca="false">IF($F99="","",COUNTIF($F96:$F99,BJ$21)+COUNTIF($F96:$F99,$A$3))</f>
        <v>0</v>
      </c>
      <c r="BP99" s="91" t="n">
        <f aca="false">IF($B99="","",COUNTIF($B96:$B99,BP$21)+COUNTIF($B96:$B99,$A$3))</f>
        <v>0</v>
      </c>
      <c r="BQ99" s="73" t="n">
        <f aca="false">IF($C99="","",COUNTIF($C96:$C99,BP$21)+COUNTIF($C96:$C99,$A$3))</f>
        <v>0</v>
      </c>
      <c r="BR99" s="73" t="n">
        <f aca="false">IF($D99="","",COUNTIF($D96:$D99,BP$21)+COUNTIF($D96:$D99,$A$3))</f>
        <v>0</v>
      </c>
      <c r="BS99" s="73" t="n">
        <f aca="false">IF($E99="","",COUNTIF($E96:$E99,BP$21)+COUNTIF($E96:$E99,$A$3))</f>
        <v>0</v>
      </c>
      <c r="BT99" s="92" t="n">
        <f aca="false">IF($F99="","",COUNTIF($F96:$F99,BP$21)+COUNTIF($F96:$F99,$A$3))</f>
        <v>1</v>
      </c>
    </row>
    <row r="100" customFormat="false" ht="15" hidden="false" customHeight="false" outlineLevel="0" collapsed="false">
      <c r="A100" s="13" t="n">
        <v>78</v>
      </c>
      <c r="B100" s="116" t="n">
        <f aca="false">IF('Game Info'!Q83="","",'Game Info'!Q83)</f>
        <v>10</v>
      </c>
      <c r="C100" s="116" t="str">
        <f aca="false">IF('Game Info'!R83="","",'Game Info'!R83)</f>
        <v>J</v>
      </c>
      <c r="D100" s="116" t="str">
        <f aca="false">IF('Game Info'!S83="","",'Game Info'!S83)</f>
        <v>SYM5</v>
      </c>
      <c r="E100" s="116" t="str">
        <f aca="false">IF('Game Info'!T83="","",'Game Info'!T83)</f>
        <v>K</v>
      </c>
      <c r="F100" s="117" t="str">
        <f aca="false">IF('Game Info'!U83="","",'Game Info'!U83)</f>
        <v>SYM1</v>
      </c>
      <c r="H100" s="91" t="n">
        <f aca="false">IF($B100="","",COUNTIF($B97:$B100,H$21)+COUNTIF($B97:$B100,$A$3))</f>
        <v>1</v>
      </c>
      <c r="I100" s="73" t="n">
        <f aca="false">IF($C100="","",COUNTIF($C97:$C100,H$21)+COUNTIF($C97:$C100,$A$3))</f>
        <v>0</v>
      </c>
      <c r="J100" s="73" t="n">
        <f aca="false">IF($D100="","",COUNTIF($D97:$D100,H$21)+COUNTIF($D97:$D100,$A$3))</f>
        <v>0</v>
      </c>
      <c r="K100" s="73" t="n">
        <f aca="false">IF($E100="","",COUNTIF($E97:$E100,H$21)+COUNTIF($E97:$E100,$A$3))</f>
        <v>0</v>
      </c>
      <c r="L100" s="92" t="n">
        <f aca="false">IF($F100="","",COUNTIF($F97:$F100,H$21)+COUNTIF($F97:$F100,$A$3))</f>
        <v>1</v>
      </c>
      <c r="N100" s="91" t="n">
        <f aca="false">IF($B100="","",COUNTIF($B97:$B100,N$21)+COUNTIF($B97:$B100,$A$3))</f>
        <v>1</v>
      </c>
      <c r="O100" s="73" t="n">
        <f aca="false">IF($C100="","",COUNTIF($C97:$C100,N$21)+COUNTIF($C97:$C100,$A$3))</f>
        <v>1</v>
      </c>
      <c r="P100" s="73" t="n">
        <f aca="false">IF($D100="","",COUNTIF($D97:$D100,N$21)+COUNTIF($D97:$D100,$A$3))</f>
        <v>0</v>
      </c>
      <c r="Q100" s="73" t="n">
        <f aca="false">IF($E100="","",COUNTIF($E97:$E100,N$21)+COUNTIF($E97:$E100,$A$3))</f>
        <v>0</v>
      </c>
      <c r="R100" s="92" t="n">
        <f aca="false">IF($F100="","",COUNTIF($F97:$F100,N$21)+COUNTIF($F97:$F100,$A$3))</f>
        <v>0</v>
      </c>
      <c r="T100" s="91" t="n">
        <f aca="false">IF($B100="","",COUNTIF($B97:$B100,T$21)+COUNTIF($B97:$B100,$A$3))</f>
        <v>0</v>
      </c>
      <c r="U100" s="73" t="n">
        <f aca="false">IF($C100="","",COUNTIF($C97:$C100,T$21)+COUNTIF($C97:$C100,$A$3))</f>
        <v>1</v>
      </c>
      <c r="V100" s="73" t="n">
        <f aca="false">IF($D100="","",COUNTIF($D97:$D100,T$21)+COUNTIF($D97:$D100,$A$3))</f>
        <v>0</v>
      </c>
      <c r="W100" s="73" t="n">
        <f aca="false">IF($E100="","",COUNTIF($E97:$E100,T$21)+COUNTIF($E97:$E100,$A$3))</f>
        <v>0</v>
      </c>
      <c r="X100" s="92" t="n">
        <f aca="false">IF($F100="","",COUNTIF($F97:$F100,T$21)+COUNTIF($F97:$F100,$A$3))</f>
        <v>1</v>
      </c>
      <c r="Z100" s="91" t="n">
        <f aca="false">IF($B100="","",COUNTIF($B97:$B100,Z$21)+COUNTIF($B97:$B100,$A$3))</f>
        <v>0</v>
      </c>
      <c r="AA100" s="73" t="n">
        <f aca="false">IF($C100="","",COUNTIF($C97:$C100,Z$21)+COUNTIF($C97:$C100,$A$3))</f>
        <v>0</v>
      </c>
      <c r="AB100" s="73" t="n">
        <f aca="false">IF($D100="","",COUNTIF($D97:$D100,Z$21)+COUNTIF($D97:$D100,$A$3))</f>
        <v>1</v>
      </c>
      <c r="AC100" s="73" t="n">
        <f aca="false">IF($E100="","",COUNTIF($E97:$E100,Z$21)+COUNTIF($E97:$E100,$A$3))</f>
        <v>1</v>
      </c>
      <c r="AD100" s="92" t="n">
        <f aca="false">IF($F100="","",COUNTIF($F97:$F100,Z$21)+COUNTIF($F97:$F100,$A$3))</f>
        <v>0</v>
      </c>
      <c r="AF100" s="91" t="n">
        <f aca="false">IF($B100="","",COUNTIF($B97:$B100,AF$21)+COUNTIF($B97:$B100,$A$3))</f>
        <v>0</v>
      </c>
      <c r="AG100" s="73" t="n">
        <f aca="false">IF($C100="","",COUNTIF($C97:$C100,AF$21)+COUNTIF($C97:$C100,$A$3))</f>
        <v>0</v>
      </c>
      <c r="AH100" s="73" t="n">
        <f aca="false">IF($D100="","",COUNTIF($D97:$D100,AF$21)+COUNTIF($D97:$D100,$A$3))</f>
        <v>1</v>
      </c>
      <c r="AI100" s="73" t="n">
        <f aca="false">IF($E100="","",COUNTIF($E97:$E100,AF$21)+COUNTIF($E97:$E100,$A$3))</f>
        <v>1</v>
      </c>
      <c r="AJ100" s="92" t="n">
        <f aca="false">IF($F100="","",COUNTIF($F97:$F100,AF$21)+COUNTIF($F97:$F100,$A$3))</f>
        <v>0</v>
      </c>
      <c r="AL100" s="91" t="n">
        <f aca="false">IF($B100="","",COUNTIF($B97:$B100,AL$21)+COUNTIF($B97:$B100,$A$3))</f>
        <v>0</v>
      </c>
      <c r="AM100" s="73" t="n">
        <f aca="false">IF($C100="","",COUNTIF($C97:$C100,AL$21)+COUNTIF($C97:$C100,$A$3))</f>
        <v>0</v>
      </c>
      <c r="AN100" s="73" t="n">
        <f aca="false">IF($D100="","",COUNTIF($D97:$D100,AL$21)+COUNTIF($D97:$D100,$A$3))</f>
        <v>1</v>
      </c>
      <c r="AO100" s="73" t="n">
        <f aca="false">IF($E100="","",COUNTIF($E97:$E100,AL$21)+COUNTIF($E97:$E100,$A$3))</f>
        <v>0</v>
      </c>
      <c r="AP100" s="92" t="n">
        <f aca="false">IF($F100="","",COUNTIF($F97:$F100,AL$21)+COUNTIF($F97:$F100,$A$3))</f>
        <v>0</v>
      </c>
      <c r="AR100" s="91" t="n">
        <f aca="false">IF($B100="","",COUNTIF($B97:$B100,AR$21)+COUNTIF($B97:$B100,$A$3))</f>
        <v>1</v>
      </c>
      <c r="AS100" s="73" t="n">
        <f aca="false">IF($C100="","",COUNTIF($C97:$C100,AR$21)+COUNTIF($C97:$C100,$A$3))</f>
        <v>1</v>
      </c>
      <c r="AT100" s="73" t="n">
        <f aca="false">IF($D100="","",COUNTIF($D97:$D100,AR$21)+COUNTIF($D97:$D100,$A$3))</f>
        <v>0</v>
      </c>
      <c r="AU100" s="73" t="n">
        <f aca="false">IF($E100="","",COUNTIF($E97:$E100,AR$21)+COUNTIF($E97:$E100,$A$3))</f>
        <v>1</v>
      </c>
      <c r="AV100" s="92" t="n">
        <f aca="false">IF($F100="","",COUNTIF($F97:$F100,AR$21)+COUNTIF($F97:$F100,$A$3))</f>
        <v>0</v>
      </c>
      <c r="AX100" s="91" t="n">
        <f aca="false">IF($B100="","",COUNTIF($B97:$B100,AX$21)+COUNTIF($B97:$B100,$A$3))</f>
        <v>0</v>
      </c>
      <c r="AY100" s="73" t="n">
        <f aca="false">IF($C100="","",COUNTIF($C97:$C100,AX$21)+COUNTIF($C97:$C100,$A$3))</f>
        <v>0</v>
      </c>
      <c r="AZ100" s="73" t="n">
        <f aca="false">IF($D100="","",COUNTIF($D97:$D100,AX$21)+COUNTIF($D97:$D100,$A$3))</f>
        <v>1</v>
      </c>
      <c r="BA100" s="73" t="n">
        <f aca="false">IF($E100="","",COUNTIF($E97:$E100,AX$21)+COUNTIF($E97:$E100,$A$3))</f>
        <v>1</v>
      </c>
      <c r="BB100" s="92" t="n">
        <f aca="false">IF($F100="","",COUNTIF($F97:$F100,AX$21)+COUNTIF($F97:$F100,$A$3))</f>
        <v>0</v>
      </c>
      <c r="BD100" s="91" t="n">
        <f aca="false">IF($B100="","",COUNTIF($B97:$B100,BD$21)+COUNTIF($B97:$B100,$A$3))</f>
        <v>0</v>
      </c>
      <c r="BE100" s="73" t="n">
        <f aca="false">IF($C100="","",COUNTIF($C97:$C100,BD$21)+COUNTIF($C97:$C100,$A$3))</f>
        <v>1</v>
      </c>
      <c r="BF100" s="73" t="n">
        <f aca="false">IF($D100="","",COUNTIF($D97:$D100,BD$21)+COUNTIF($D97:$D100,$A$3))</f>
        <v>0</v>
      </c>
      <c r="BG100" s="73" t="n">
        <f aca="false">IF($E100="","",COUNTIF($E97:$E100,BD$21)+COUNTIF($E97:$E100,$A$3))</f>
        <v>0</v>
      </c>
      <c r="BH100" s="92" t="n">
        <f aca="false">IF($F100="","",COUNTIF($F97:$F100,BD$21)+COUNTIF($F97:$F100,$A$3))</f>
        <v>1</v>
      </c>
      <c r="BJ100" s="91" t="n">
        <f aca="false">IF($B100="","",COUNTIF($B97:$B100,BJ$21)+COUNTIF($B97:$B100,$A$3))</f>
        <v>1</v>
      </c>
      <c r="BK100" s="73" t="n">
        <f aca="false">IF($C100="","",COUNTIF($C97:$C100,BJ$21)+COUNTIF($C97:$C100,$A$3))</f>
        <v>0</v>
      </c>
      <c r="BL100" s="73" t="n">
        <f aca="false">IF($D100="","",COUNTIF($D97:$D100,BJ$21)+COUNTIF($D97:$D100,$A$3))</f>
        <v>0</v>
      </c>
      <c r="BM100" s="73" t="n">
        <f aca="false">IF($E100="","",COUNTIF($E97:$E100,BJ$21)+COUNTIF($E97:$E100,$A$3))</f>
        <v>0</v>
      </c>
      <c r="BN100" s="92" t="n">
        <f aca="false">IF($F100="","",COUNTIF($F97:$F100,BJ$21)+COUNTIF($F97:$F100,$A$3))</f>
        <v>0</v>
      </c>
      <c r="BP100" s="91" t="n">
        <f aca="false">IF($B100="","",COUNTIF($B97:$B100,BP$21)+COUNTIF($B97:$B100,$A$3))</f>
        <v>0</v>
      </c>
      <c r="BQ100" s="73" t="n">
        <f aca="false">IF($C100="","",COUNTIF($C97:$C100,BP$21)+COUNTIF($C97:$C100,$A$3))</f>
        <v>0</v>
      </c>
      <c r="BR100" s="73" t="n">
        <f aca="false">IF($D100="","",COUNTIF($D97:$D100,BP$21)+COUNTIF($D97:$D100,$A$3))</f>
        <v>0</v>
      </c>
      <c r="BS100" s="73" t="n">
        <f aca="false">IF($E100="","",COUNTIF($E97:$E100,BP$21)+COUNTIF($E97:$E100,$A$3))</f>
        <v>0</v>
      </c>
      <c r="BT100" s="92" t="n">
        <f aca="false">IF($F100="","",COUNTIF($F97:$F100,BP$21)+COUNTIF($F97:$F100,$A$3))</f>
        <v>1</v>
      </c>
    </row>
    <row r="101" customFormat="false" ht="15" hidden="false" customHeight="false" outlineLevel="0" collapsed="false">
      <c r="A101" s="13" t="n">
        <v>79</v>
      </c>
      <c r="B101" s="116" t="str">
        <f aca="false">IF('Game Info'!Q84="","",'Game Info'!Q84)</f>
        <v>SYM4</v>
      </c>
      <c r="C101" s="116" t="str">
        <f aca="false">IF('Game Info'!R84="","",'Game Info'!R84)</f>
        <v>SYM5</v>
      </c>
      <c r="D101" s="116" t="n">
        <f aca="false">IF('Game Info'!S84="","",'Game Info'!S84)</f>
        <v>10</v>
      </c>
      <c r="E101" s="116" t="str">
        <f aca="false">IF('Game Info'!T84="","",'Game Info'!T84)</f>
        <v>Q</v>
      </c>
      <c r="F101" s="117" t="str">
        <f aca="false">IF('Game Info'!U84="","",'Game Info'!U84)</f>
        <v>Q</v>
      </c>
      <c r="H101" s="91" t="n">
        <f aca="false">IF($B101="","",COUNTIF($B98:$B101,H$21)+COUNTIF($B98:$B101,$A$3))</f>
        <v>1</v>
      </c>
      <c r="I101" s="73" t="n">
        <f aca="false">IF($C101="","",COUNTIF($C98:$C101,H$21)+COUNTIF($C98:$C101,$A$3))</f>
        <v>0</v>
      </c>
      <c r="J101" s="73" t="n">
        <f aca="false">IF($D101="","",COUNTIF($D98:$D101,H$21)+COUNTIF($D98:$D101,$A$3))</f>
        <v>0</v>
      </c>
      <c r="K101" s="73" t="n">
        <f aca="false">IF($E101="","",COUNTIF($E98:$E101,H$21)+COUNTIF($E98:$E101,$A$3))</f>
        <v>0</v>
      </c>
      <c r="L101" s="92" t="n">
        <f aca="false">IF($F101="","",COUNTIF($F98:$F101,H$21)+COUNTIF($F98:$F101,$A$3))</f>
        <v>1</v>
      </c>
      <c r="N101" s="91" t="n">
        <f aca="false">IF($B101="","",COUNTIF($B98:$B101,N$21)+COUNTIF($B98:$B101,$A$3))</f>
        <v>0</v>
      </c>
      <c r="O101" s="73" t="n">
        <f aca="false">IF($C101="","",COUNTIF($C98:$C101,N$21)+COUNTIF($C98:$C101,$A$3))</f>
        <v>1</v>
      </c>
      <c r="P101" s="73" t="n">
        <f aca="false">IF($D101="","",COUNTIF($D98:$D101,N$21)+COUNTIF($D98:$D101,$A$3))</f>
        <v>0</v>
      </c>
      <c r="Q101" s="73" t="n">
        <f aca="false">IF($E101="","",COUNTIF($E98:$E101,N$21)+COUNTIF($E98:$E101,$A$3))</f>
        <v>0</v>
      </c>
      <c r="R101" s="92" t="n">
        <f aca="false">IF($F101="","",COUNTIF($F98:$F101,N$21)+COUNTIF($F98:$F101,$A$3))</f>
        <v>0</v>
      </c>
      <c r="T101" s="91" t="n">
        <f aca="false">IF($B101="","",COUNTIF($B98:$B101,T$21)+COUNTIF($B98:$B101,$A$3))</f>
        <v>0</v>
      </c>
      <c r="U101" s="73" t="n">
        <f aca="false">IF($C101="","",COUNTIF($C98:$C101,T$21)+COUNTIF($C98:$C101,$A$3))</f>
        <v>0</v>
      </c>
      <c r="V101" s="73" t="n">
        <f aca="false">IF($D101="","",COUNTIF($D98:$D101,T$21)+COUNTIF($D98:$D101,$A$3))</f>
        <v>0</v>
      </c>
      <c r="W101" s="73" t="n">
        <f aca="false">IF($E101="","",COUNTIF($E98:$E101,T$21)+COUNTIF($E98:$E101,$A$3))</f>
        <v>0</v>
      </c>
      <c r="X101" s="92" t="n">
        <f aca="false">IF($F101="","",COUNTIF($F98:$F101,T$21)+COUNTIF($F98:$F101,$A$3))</f>
        <v>1</v>
      </c>
      <c r="Z101" s="91" t="n">
        <f aca="false">IF($B101="","",COUNTIF($B98:$B101,Z$21)+COUNTIF($B98:$B101,$A$3))</f>
        <v>1</v>
      </c>
      <c r="AA101" s="73" t="n">
        <f aca="false">IF($C101="","",COUNTIF($C98:$C101,Z$21)+COUNTIF($C98:$C101,$A$3))</f>
        <v>0</v>
      </c>
      <c r="AB101" s="73" t="n">
        <f aca="false">IF($D101="","",COUNTIF($D98:$D101,Z$21)+COUNTIF($D98:$D101,$A$3))</f>
        <v>1</v>
      </c>
      <c r="AC101" s="73" t="n">
        <f aca="false">IF($E101="","",COUNTIF($E98:$E101,Z$21)+COUNTIF($E98:$E101,$A$3))</f>
        <v>1</v>
      </c>
      <c r="AD101" s="92" t="n">
        <f aca="false">IF($F101="","",COUNTIF($F98:$F101,Z$21)+COUNTIF($F98:$F101,$A$3))</f>
        <v>0</v>
      </c>
      <c r="AF101" s="91" t="n">
        <f aca="false">IF($B101="","",COUNTIF($B98:$B101,AF$21)+COUNTIF($B98:$B101,$A$3))</f>
        <v>0</v>
      </c>
      <c r="AG101" s="73" t="n">
        <f aca="false">IF($C101="","",COUNTIF($C98:$C101,AF$21)+COUNTIF($C98:$C101,$A$3))</f>
        <v>1</v>
      </c>
      <c r="AH101" s="73" t="n">
        <f aca="false">IF($D101="","",COUNTIF($D98:$D101,AF$21)+COUNTIF($D98:$D101,$A$3))</f>
        <v>1</v>
      </c>
      <c r="AI101" s="73" t="n">
        <f aca="false">IF($E101="","",COUNTIF($E98:$E101,AF$21)+COUNTIF($E98:$E101,$A$3))</f>
        <v>1</v>
      </c>
      <c r="AJ101" s="92" t="n">
        <f aca="false">IF($F101="","",COUNTIF($F98:$F101,AF$21)+COUNTIF($F98:$F101,$A$3))</f>
        <v>0</v>
      </c>
      <c r="AL101" s="91" t="n">
        <f aca="false">IF($B101="","",COUNTIF($B98:$B101,AL$21)+COUNTIF($B98:$B101,$A$3))</f>
        <v>0</v>
      </c>
      <c r="AM101" s="73" t="n">
        <f aca="false">IF($C101="","",COUNTIF($C98:$C101,AL$21)+COUNTIF($C98:$C101,$A$3))</f>
        <v>0</v>
      </c>
      <c r="AN101" s="73" t="n">
        <f aca="false">IF($D101="","",COUNTIF($D98:$D101,AL$21)+COUNTIF($D98:$D101,$A$3))</f>
        <v>0</v>
      </c>
      <c r="AO101" s="73" t="n">
        <f aca="false">IF($E101="","",COUNTIF($E98:$E101,AL$21)+COUNTIF($E98:$E101,$A$3))</f>
        <v>0</v>
      </c>
      <c r="AP101" s="92" t="n">
        <f aca="false">IF($F101="","",COUNTIF($F98:$F101,AL$21)+COUNTIF($F98:$F101,$A$3))</f>
        <v>0</v>
      </c>
      <c r="AR101" s="91" t="n">
        <f aca="false">IF($B101="","",COUNTIF($B98:$B101,AR$21)+COUNTIF($B98:$B101,$A$3))</f>
        <v>1</v>
      </c>
      <c r="AS101" s="73" t="n">
        <f aca="false">IF($C101="","",COUNTIF($C98:$C101,AR$21)+COUNTIF($C98:$C101,$A$3))</f>
        <v>1</v>
      </c>
      <c r="AT101" s="73" t="n">
        <f aca="false">IF($D101="","",COUNTIF($D98:$D101,AR$21)+COUNTIF($D98:$D101,$A$3))</f>
        <v>0</v>
      </c>
      <c r="AU101" s="73" t="n">
        <f aca="false">IF($E101="","",COUNTIF($E98:$E101,AR$21)+COUNTIF($E98:$E101,$A$3))</f>
        <v>1</v>
      </c>
      <c r="AV101" s="92" t="n">
        <f aca="false">IF($F101="","",COUNTIF($F98:$F101,AR$21)+COUNTIF($F98:$F101,$A$3))</f>
        <v>0</v>
      </c>
      <c r="AX101" s="91" t="n">
        <f aca="false">IF($B101="","",COUNTIF($B98:$B101,AX$21)+COUNTIF($B98:$B101,$A$3))</f>
        <v>0</v>
      </c>
      <c r="AY101" s="73" t="n">
        <f aca="false">IF($C101="","",COUNTIF($C98:$C101,AX$21)+COUNTIF($C98:$C101,$A$3))</f>
        <v>0</v>
      </c>
      <c r="AZ101" s="73" t="n">
        <f aca="false">IF($D101="","",COUNTIF($D98:$D101,AX$21)+COUNTIF($D98:$D101,$A$3))</f>
        <v>1</v>
      </c>
      <c r="BA101" s="73" t="n">
        <f aca="false">IF($E101="","",COUNTIF($E98:$E101,AX$21)+COUNTIF($E98:$E101,$A$3))</f>
        <v>1</v>
      </c>
      <c r="BB101" s="92" t="n">
        <f aca="false">IF($F101="","",COUNTIF($F98:$F101,AX$21)+COUNTIF($F98:$F101,$A$3))</f>
        <v>1</v>
      </c>
      <c r="BD101" s="91" t="n">
        <f aca="false">IF($B101="","",COUNTIF($B98:$B101,BD$21)+COUNTIF($B98:$B101,$A$3))</f>
        <v>0</v>
      </c>
      <c r="BE101" s="73" t="n">
        <f aca="false">IF($C101="","",COUNTIF($C98:$C101,BD$21)+COUNTIF($C98:$C101,$A$3))</f>
        <v>1</v>
      </c>
      <c r="BF101" s="73" t="n">
        <f aca="false">IF($D101="","",COUNTIF($D98:$D101,BD$21)+COUNTIF($D98:$D101,$A$3))</f>
        <v>0</v>
      </c>
      <c r="BG101" s="73" t="n">
        <f aca="false">IF($E101="","",COUNTIF($E98:$E101,BD$21)+COUNTIF($E98:$E101,$A$3))</f>
        <v>0</v>
      </c>
      <c r="BH101" s="92" t="n">
        <f aca="false">IF($F101="","",COUNTIF($F98:$F101,BD$21)+COUNTIF($F98:$F101,$A$3))</f>
        <v>0</v>
      </c>
      <c r="BJ101" s="91" t="n">
        <f aca="false">IF($B101="","",COUNTIF($B98:$B101,BJ$21)+COUNTIF($B98:$B101,$A$3))</f>
        <v>1</v>
      </c>
      <c r="BK101" s="73" t="n">
        <f aca="false">IF($C101="","",COUNTIF($C98:$C101,BJ$21)+COUNTIF($C98:$C101,$A$3))</f>
        <v>0</v>
      </c>
      <c r="BL101" s="73" t="n">
        <f aca="false">IF($D101="","",COUNTIF($D98:$D101,BJ$21)+COUNTIF($D98:$D101,$A$3))</f>
        <v>1</v>
      </c>
      <c r="BM101" s="73" t="n">
        <f aca="false">IF($E101="","",COUNTIF($E98:$E101,BJ$21)+COUNTIF($E98:$E101,$A$3))</f>
        <v>0</v>
      </c>
      <c r="BN101" s="92" t="n">
        <f aca="false">IF($F101="","",COUNTIF($F98:$F101,BJ$21)+COUNTIF($F98:$F101,$A$3))</f>
        <v>0</v>
      </c>
      <c r="BP101" s="91" t="n">
        <f aca="false">IF($B101="","",COUNTIF($B98:$B101,BP$21)+COUNTIF($B98:$B101,$A$3))</f>
        <v>0</v>
      </c>
      <c r="BQ101" s="73" t="n">
        <f aca="false">IF($C101="","",COUNTIF($C98:$C101,BP$21)+COUNTIF($C98:$C101,$A$3))</f>
        <v>0</v>
      </c>
      <c r="BR101" s="73" t="n">
        <f aca="false">IF($D101="","",COUNTIF($D98:$D101,BP$21)+COUNTIF($D98:$D101,$A$3))</f>
        <v>0</v>
      </c>
      <c r="BS101" s="73" t="n">
        <f aca="false">IF($E101="","",COUNTIF($E98:$E101,BP$21)+COUNTIF($E98:$E101,$A$3))</f>
        <v>0</v>
      </c>
      <c r="BT101" s="92" t="n">
        <f aca="false">IF($F101="","",COUNTIF($F98:$F101,BP$21)+COUNTIF($F98:$F101,$A$3))</f>
        <v>1</v>
      </c>
    </row>
    <row r="102" customFormat="false" ht="15" hidden="false" customHeight="false" outlineLevel="0" collapsed="false">
      <c r="A102" s="13" t="n">
        <v>80</v>
      </c>
      <c r="B102" s="116" t="str">
        <f aca="false">IF('Game Info'!Q85="","",'Game Info'!Q85)</f>
        <v>A</v>
      </c>
      <c r="C102" s="116" t="str">
        <f aca="false">IF('Game Info'!R85="","",'Game Info'!R85)</f>
        <v>WILD</v>
      </c>
      <c r="D102" s="116" t="str">
        <f aca="false">IF('Game Info'!S85="","",'Game Info'!S85)</f>
        <v>SYM4</v>
      </c>
      <c r="E102" s="116" t="str">
        <f aca="false">IF('Game Info'!T85="","",'Game Info'!T85)</f>
        <v>SYM3</v>
      </c>
      <c r="F102" s="117" t="n">
        <f aca="false">IF('Game Info'!U85="","",'Game Info'!U85)</f>
        <v>9</v>
      </c>
      <c r="H102" s="91" t="n">
        <f aca="false">IF($B102="","",COUNTIF($B99:$B102,H$21)+COUNTIF($B99:$B102,$A$3))</f>
        <v>1</v>
      </c>
      <c r="I102" s="73" t="n">
        <f aca="false">IF($C102="","",COUNTIF($C99:$C102,H$21)+COUNTIF($C99:$C102,$A$3))</f>
        <v>1</v>
      </c>
      <c r="J102" s="73" t="n">
        <f aca="false">IF($D102="","",COUNTIF($D99:$D102,H$21)+COUNTIF($D99:$D102,$A$3))</f>
        <v>0</v>
      </c>
      <c r="K102" s="73" t="n">
        <f aca="false">IF($E102="","",COUNTIF($E99:$E102,H$21)+COUNTIF($E99:$E102,$A$3))</f>
        <v>0</v>
      </c>
      <c r="L102" s="92" t="n">
        <f aca="false">IF($F102="","",COUNTIF($F99:$F102,H$21)+COUNTIF($F99:$F102,$A$3))</f>
        <v>1</v>
      </c>
      <c r="N102" s="91" t="n">
        <f aca="false">IF($B102="","",COUNTIF($B99:$B102,N$21)+COUNTIF($B99:$B102,$A$3))</f>
        <v>0</v>
      </c>
      <c r="O102" s="73" t="n">
        <f aca="false">IF($C102="","",COUNTIF($C99:$C102,N$21)+COUNTIF($C99:$C102,$A$3))</f>
        <v>2</v>
      </c>
      <c r="P102" s="73" t="n">
        <f aca="false">IF($D102="","",COUNTIF($D99:$D102,N$21)+COUNTIF($D99:$D102,$A$3))</f>
        <v>0</v>
      </c>
      <c r="Q102" s="73" t="n">
        <f aca="false">IF($E102="","",COUNTIF($E99:$E102,N$21)+COUNTIF($E99:$E102,$A$3))</f>
        <v>0</v>
      </c>
      <c r="R102" s="92" t="n">
        <f aca="false">IF($F102="","",COUNTIF($F99:$F102,N$21)+COUNTIF($F99:$F102,$A$3))</f>
        <v>0</v>
      </c>
      <c r="T102" s="91" t="n">
        <f aca="false">IF($B102="","",COUNTIF($B99:$B102,T$21)+COUNTIF($B99:$B102,$A$3))</f>
        <v>0</v>
      </c>
      <c r="U102" s="73" t="n">
        <f aca="false">IF($C102="","",COUNTIF($C99:$C102,T$21)+COUNTIF($C99:$C102,$A$3))</f>
        <v>1</v>
      </c>
      <c r="V102" s="73" t="n">
        <f aca="false">IF($D102="","",COUNTIF($D99:$D102,T$21)+COUNTIF($D99:$D102,$A$3))</f>
        <v>0</v>
      </c>
      <c r="W102" s="73" t="n">
        <f aca="false">IF($E102="","",COUNTIF($E99:$E102,T$21)+COUNTIF($E99:$E102,$A$3))</f>
        <v>1</v>
      </c>
      <c r="X102" s="92" t="n">
        <f aca="false">IF($F102="","",COUNTIF($F99:$F102,T$21)+COUNTIF($F99:$F102,$A$3))</f>
        <v>0</v>
      </c>
      <c r="Z102" s="91" t="n">
        <f aca="false">IF($B102="","",COUNTIF($B99:$B102,Z$21)+COUNTIF($B99:$B102,$A$3))</f>
        <v>1</v>
      </c>
      <c r="AA102" s="73" t="n">
        <f aca="false">IF($C102="","",COUNTIF($C99:$C102,Z$21)+COUNTIF($C99:$C102,$A$3))</f>
        <v>1</v>
      </c>
      <c r="AB102" s="73" t="n">
        <f aca="false">IF($D102="","",COUNTIF($D99:$D102,Z$21)+COUNTIF($D99:$D102,$A$3))</f>
        <v>1</v>
      </c>
      <c r="AC102" s="73" t="n">
        <f aca="false">IF($E102="","",COUNTIF($E99:$E102,Z$21)+COUNTIF($E99:$E102,$A$3))</f>
        <v>0</v>
      </c>
      <c r="AD102" s="92" t="n">
        <f aca="false">IF($F102="","",COUNTIF($F99:$F102,Z$21)+COUNTIF($F99:$F102,$A$3))</f>
        <v>0</v>
      </c>
      <c r="AF102" s="91" t="n">
        <f aca="false">IF($B102="","",COUNTIF($B99:$B102,AF$21)+COUNTIF($B99:$B102,$A$3))</f>
        <v>0</v>
      </c>
      <c r="AG102" s="73" t="n">
        <f aca="false">IF($C102="","",COUNTIF($C99:$C102,AF$21)+COUNTIF($C99:$C102,$A$3))</f>
        <v>2</v>
      </c>
      <c r="AH102" s="73" t="n">
        <f aca="false">IF($D102="","",COUNTIF($D99:$D102,AF$21)+COUNTIF($D99:$D102,$A$3))</f>
        <v>1</v>
      </c>
      <c r="AI102" s="73" t="n">
        <f aca="false">IF($E102="","",COUNTIF($E99:$E102,AF$21)+COUNTIF($E99:$E102,$A$3))</f>
        <v>1</v>
      </c>
      <c r="AJ102" s="92" t="n">
        <f aca="false">IF($F102="","",COUNTIF($F99:$F102,AF$21)+COUNTIF($F99:$F102,$A$3))</f>
        <v>0</v>
      </c>
      <c r="AL102" s="91" t="n">
        <f aca="false">IF($B102="","",COUNTIF($B99:$B102,AL$21)+COUNTIF($B99:$B102,$A$3))</f>
        <v>1</v>
      </c>
      <c r="AM102" s="73" t="n">
        <f aca="false">IF($C102="","",COUNTIF($C99:$C102,AL$21)+COUNTIF($C99:$C102,$A$3))</f>
        <v>1</v>
      </c>
      <c r="AN102" s="73" t="n">
        <f aca="false">IF($D102="","",COUNTIF($D99:$D102,AL$21)+COUNTIF($D99:$D102,$A$3))</f>
        <v>0</v>
      </c>
      <c r="AO102" s="73" t="n">
        <f aca="false">IF($E102="","",COUNTIF($E99:$E102,AL$21)+COUNTIF($E99:$E102,$A$3))</f>
        <v>0</v>
      </c>
      <c r="AP102" s="92" t="n">
        <f aca="false">IF($F102="","",COUNTIF($F99:$F102,AL$21)+COUNTIF($F99:$F102,$A$3))</f>
        <v>0</v>
      </c>
      <c r="AR102" s="91" t="n">
        <f aca="false">IF($B102="","",COUNTIF($B99:$B102,AR$21)+COUNTIF($B99:$B102,$A$3))</f>
        <v>0</v>
      </c>
      <c r="AS102" s="73" t="n">
        <f aca="false">IF($C102="","",COUNTIF($C99:$C102,AR$21)+COUNTIF($C99:$C102,$A$3))</f>
        <v>1</v>
      </c>
      <c r="AT102" s="73" t="n">
        <f aca="false">IF($D102="","",COUNTIF($D99:$D102,AR$21)+COUNTIF($D99:$D102,$A$3))</f>
        <v>0</v>
      </c>
      <c r="AU102" s="73" t="n">
        <f aca="false">IF($E102="","",COUNTIF($E99:$E102,AR$21)+COUNTIF($E99:$E102,$A$3))</f>
        <v>1</v>
      </c>
      <c r="AV102" s="92" t="n">
        <f aca="false">IF($F102="","",COUNTIF($F99:$F102,AR$21)+COUNTIF($F99:$F102,$A$3))</f>
        <v>0</v>
      </c>
      <c r="AX102" s="91" t="n">
        <f aca="false">IF($B102="","",COUNTIF($B99:$B102,AX$21)+COUNTIF($B99:$B102,$A$3))</f>
        <v>0</v>
      </c>
      <c r="AY102" s="73" t="n">
        <f aca="false">IF($C102="","",COUNTIF($C99:$C102,AX$21)+COUNTIF($C99:$C102,$A$3))</f>
        <v>1</v>
      </c>
      <c r="AZ102" s="73" t="n">
        <f aca="false">IF($D102="","",COUNTIF($D99:$D102,AX$21)+COUNTIF($D99:$D102,$A$3))</f>
        <v>1</v>
      </c>
      <c r="BA102" s="73" t="n">
        <f aca="false">IF($E102="","",COUNTIF($E99:$E102,AX$21)+COUNTIF($E99:$E102,$A$3))</f>
        <v>1</v>
      </c>
      <c r="BB102" s="92" t="n">
        <f aca="false">IF($F102="","",COUNTIF($F99:$F102,AX$21)+COUNTIF($F99:$F102,$A$3))</f>
        <v>1</v>
      </c>
      <c r="BD102" s="91" t="n">
        <f aca="false">IF($B102="","",COUNTIF($B99:$B102,BD$21)+COUNTIF($B99:$B102,$A$3))</f>
        <v>0</v>
      </c>
      <c r="BE102" s="73" t="n">
        <f aca="false">IF($C102="","",COUNTIF($C99:$C102,BD$21)+COUNTIF($C99:$C102,$A$3))</f>
        <v>2</v>
      </c>
      <c r="BF102" s="73" t="n">
        <f aca="false">IF($D102="","",COUNTIF($D99:$D102,BD$21)+COUNTIF($D99:$D102,$A$3))</f>
        <v>0</v>
      </c>
      <c r="BG102" s="73" t="n">
        <f aca="false">IF($E102="","",COUNTIF($E99:$E102,BD$21)+COUNTIF($E99:$E102,$A$3))</f>
        <v>0</v>
      </c>
      <c r="BH102" s="92" t="n">
        <f aca="false">IF($F102="","",COUNTIF($F99:$F102,BD$21)+COUNTIF($F99:$F102,$A$3))</f>
        <v>0</v>
      </c>
      <c r="BJ102" s="91" t="n">
        <f aca="false">IF($B102="","",COUNTIF($B99:$B102,BJ$21)+COUNTIF($B99:$B102,$A$3))</f>
        <v>1</v>
      </c>
      <c r="BK102" s="73" t="n">
        <f aca="false">IF($C102="","",COUNTIF($C99:$C102,BJ$21)+COUNTIF($C99:$C102,$A$3))</f>
        <v>1</v>
      </c>
      <c r="BL102" s="73" t="n">
        <f aca="false">IF($D102="","",COUNTIF($D99:$D102,BJ$21)+COUNTIF($D99:$D102,$A$3))</f>
        <v>1</v>
      </c>
      <c r="BM102" s="73" t="n">
        <f aca="false">IF($E102="","",COUNTIF($E99:$E102,BJ$21)+COUNTIF($E99:$E102,$A$3))</f>
        <v>0</v>
      </c>
      <c r="BN102" s="92" t="n">
        <f aca="false">IF($F102="","",COUNTIF($F99:$F102,BJ$21)+COUNTIF($F99:$F102,$A$3))</f>
        <v>0</v>
      </c>
      <c r="BP102" s="91" t="n">
        <f aca="false">IF($B102="","",COUNTIF($B99:$B102,BP$21)+COUNTIF($B99:$B102,$A$3))</f>
        <v>0</v>
      </c>
      <c r="BQ102" s="73" t="n">
        <f aca="false">IF($C102="","",COUNTIF($C99:$C102,BP$21)+COUNTIF($C99:$C102,$A$3))</f>
        <v>1</v>
      </c>
      <c r="BR102" s="73" t="n">
        <f aca="false">IF($D102="","",COUNTIF($D99:$D102,BP$21)+COUNTIF($D99:$D102,$A$3))</f>
        <v>0</v>
      </c>
      <c r="BS102" s="73" t="n">
        <f aca="false">IF($E102="","",COUNTIF($E99:$E102,BP$21)+COUNTIF($E99:$E102,$A$3))</f>
        <v>0</v>
      </c>
      <c r="BT102" s="92" t="n">
        <f aca="false">IF($F102="","",COUNTIF($F99:$F102,BP$21)+COUNTIF($F99:$F102,$A$3))</f>
        <v>2</v>
      </c>
    </row>
    <row r="103" customFormat="false" ht="15" hidden="false" customHeight="false" outlineLevel="0" collapsed="false">
      <c r="A103" s="13" t="n">
        <v>81</v>
      </c>
      <c r="B103" s="116" t="str">
        <f aca="false">IF('Game Info'!Q86="","",'Game Info'!Q86)</f>
        <v>Q</v>
      </c>
      <c r="C103" s="116" t="n">
        <f aca="false">IF('Game Info'!R86="","",'Game Info'!R86)</f>
        <v>10</v>
      </c>
      <c r="D103" s="116" t="str">
        <f aca="false">IF('Game Info'!S86="","",'Game Info'!S86)</f>
        <v>Q</v>
      </c>
      <c r="E103" s="116" t="n">
        <f aca="false">IF('Game Info'!T86="","",'Game Info'!T86)</f>
        <v>10</v>
      </c>
      <c r="F103" s="117" t="str">
        <f aca="false">IF('Game Info'!U86="","",'Game Info'!U86)</f>
        <v>SYM5</v>
      </c>
      <c r="H103" s="91" t="n">
        <f aca="false">IF($B103="","",COUNTIF($B100:$B103,H$21)+COUNTIF($B100:$B103,$A$3))</f>
        <v>0</v>
      </c>
      <c r="I103" s="73" t="n">
        <f aca="false">IF($C103="","",COUNTIF($C100:$C103,H$21)+COUNTIF($C100:$C103,$A$3))</f>
        <v>1</v>
      </c>
      <c r="J103" s="73" t="n">
        <f aca="false">IF($D103="","",COUNTIF($D100:$D103,H$21)+COUNTIF($D100:$D103,$A$3))</f>
        <v>0</v>
      </c>
      <c r="K103" s="73" t="n">
        <f aca="false">IF($E103="","",COUNTIF($E100:$E103,H$21)+COUNTIF($E100:$E103,$A$3))</f>
        <v>0</v>
      </c>
      <c r="L103" s="92" t="n">
        <f aca="false">IF($F103="","",COUNTIF($F100:$F103,H$21)+COUNTIF($F100:$F103,$A$3))</f>
        <v>1</v>
      </c>
      <c r="N103" s="91" t="n">
        <f aca="false">IF($B103="","",COUNTIF($B100:$B103,N$21)+COUNTIF($B100:$B103,$A$3))</f>
        <v>0</v>
      </c>
      <c r="O103" s="73" t="n">
        <f aca="false">IF($C103="","",COUNTIF($C100:$C103,N$21)+COUNTIF($C100:$C103,$A$3))</f>
        <v>1</v>
      </c>
      <c r="P103" s="73" t="n">
        <f aca="false">IF($D103="","",COUNTIF($D100:$D103,N$21)+COUNTIF($D100:$D103,$A$3))</f>
        <v>0</v>
      </c>
      <c r="Q103" s="73" t="n">
        <f aca="false">IF($E103="","",COUNTIF($E100:$E103,N$21)+COUNTIF($E100:$E103,$A$3))</f>
        <v>0</v>
      </c>
      <c r="R103" s="92" t="n">
        <f aca="false">IF($F103="","",COUNTIF($F100:$F103,N$21)+COUNTIF($F100:$F103,$A$3))</f>
        <v>0</v>
      </c>
      <c r="T103" s="91" t="n">
        <f aca="false">IF($B103="","",COUNTIF($B100:$B103,T$21)+COUNTIF($B100:$B103,$A$3))</f>
        <v>0</v>
      </c>
      <c r="U103" s="73" t="n">
        <f aca="false">IF($C103="","",COUNTIF($C100:$C103,T$21)+COUNTIF($C100:$C103,$A$3))</f>
        <v>1</v>
      </c>
      <c r="V103" s="73" t="n">
        <f aca="false">IF($D103="","",COUNTIF($D100:$D103,T$21)+COUNTIF($D100:$D103,$A$3))</f>
        <v>0</v>
      </c>
      <c r="W103" s="73" t="n">
        <f aca="false">IF($E103="","",COUNTIF($E100:$E103,T$21)+COUNTIF($E100:$E103,$A$3))</f>
        <v>1</v>
      </c>
      <c r="X103" s="92" t="n">
        <f aca="false">IF($F103="","",COUNTIF($F100:$F103,T$21)+COUNTIF($F100:$F103,$A$3))</f>
        <v>0</v>
      </c>
      <c r="Z103" s="91" t="n">
        <f aca="false">IF($B103="","",COUNTIF($B100:$B103,Z$21)+COUNTIF($B100:$B103,$A$3))</f>
        <v>1</v>
      </c>
      <c r="AA103" s="73" t="n">
        <f aca="false">IF($C103="","",COUNTIF($C100:$C103,Z$21)+COUNTIF($C100:$C103,$A$3))</f>
        <v>1</v>
      </c>
      <c r="AB103" s="73" t="n">
        <f aca="false">IF($D103="","",COUNTIF($D100:$D103,Z$21)+COUNTIF($D100:$D103,$A$3))</f>
        <v>1</v>
      </c>
      <c r="AC103" s="73" t="n">
        <f aca="false">IF($E103="","",COUNTIF($E100:$E103,Z$21)+COUNTIF($E100:$E103,$A$3))</f>
        <v>0</v>
      </c>
      <c r="AD103" s="92" t="n">
        <f aca="false">IF($F103="","",COUNTIF($F100:$F103,Z$21)+COUNTIF($F100:$F103,$A$3))</f>
        <v>0</v>
      </c>
      <c r="AF103" s="91" t="n">
        <f aca="false">IF($B103="","",COUNTIF($B100:$B103,AF$21)+COUNTIF($B100:$B103,$A$3))</f>
        <v>0</v>
      </c>
      <c r="AG103" s="73" t="n">
        <f aca="false">IF($C103="","",COUNTIF($C100:$C103,AF$21)+COUNTIF($C100:$C103,$A$3))</f>
        <v>2</v>
      </c>
      <c r="AH103" s="73" t="n">
        <f aca="false">IF($D103="","",COUNTIF($D100:$D103,AF$21)+COUNTIF($D100:$D103,$A$3))</f>
        <v>1</v>
      </c>
      <c r="AI103" s="73" t="n">
        <f aca="false">IF($E103="","",COUNTIF($E100:$E103,AF$21)+COUNTIF($E100:$E103,$A$3))</f>
        <v>0</v>
      </c>
      <c r="AJ103" s="92" t="n">
        <f aca="false">IF($F103="","",COUNTIF($F100:$F103,AF$21)+COUNTIF($F100:$F103,$A$3))</f>
        <v>1</v>
      </c>
      <c r="AL103" s="91" t="n">
        <f aca="false">IF($B103="","",COUNTIF($B100:$B103,AL$21)+COUNTIF($B100:$B103,$A$3))</f>
        <v>1</v>
      </c>
      <c r="AM103" s="73" t="n">
        <f aca="false">IF($C103="","",COUNTIF($C100:$C103,AL$21)+COUNTIF($C100:$C103,$A$3))</f>
        <v>1</v>
      </c>
      <c r="AN103" s="73" t="n">
        <f aca="false">IF($D103="","",COUNTIF($D100:$D103,AL$21)+COUNTIF($D100:$D103,$A$3))</f>
        <v>0</v>
      </c>
      <c r="AO103" s="73" t="n">
        <f aca="false">IF($E103="","",COUNTIF($E100:$E103,AL$21)+COUNTIF($E100:$E103,$A$3))</f>
        <v>0</v>
      </c>
      <c r="AP103" s="92" t="n">
        <f aca="false">IF($F103="","",COUNTIF($F100:$F103,AL$21)+COUNTIF($F100:$F103,$A$3))</f>
        <v>0</v>
      </c>
      <c r="AR103" s="91" t="n">
        <f aca="false">IF($B103="","",COUNTIF($B100:$B103,AR$21)+COUNTIF($B100:$B103,$A$3))</f>
        <v>0</v>
      </c>
      <c r="AS103" s="73" t="n">
        <f aca="false">IF($C103="","",COUNTIF($C100:$C103,AR$21)+COUNTIF($C100:$C103,$A$3))</f>
        <v>1</v>
      </c>
      <c r="AT103" s="73" t="n">
        <f aca="false">IF($D103="","",COUNTIF($D100:$D103,AR$21)+COUNTIF($D100:$D103,$A$3))</f>
        <v>0</v>
      </c>
      <c r="AU103" s="73" t="n">
        <f aca="false">IF($E103="","",COUNTIF($E100:$E103,AR$21)+COUNTIF($E100:$E103,$A$3))</f>
        <v>1</v>
      </c>
      <c r="AV103" s="92" t="n">
        <f aca="false">IF($F103="","",COUNTIF($F100:$F103,AR$21)+COUNTIF($F100:$F103,$A$3))</f>
        <v>0</v>
      </c>
      <c r="AX103" s="91" t="n">
        <f aca="false">IF($B103="","",COUNTIF($B100:$B103,AX$21)+COUNTIF($B100:$B103,$A$3))</f>
        <v>1</v>
      </c>
      <c r="AY103" s="73" t="n">
        <f aca="false">IF($C103="","",COUNTIF($C100:$C103,AX$21)+COUNTIF($C100:$C103,$A$3))</f>
        <v>1</v>
      </c>
      <c r="AZ103" s="73" t="n">
        <f aca="false">IF($D103="","",COUNTIF($D100:$D103,AX$21)+COUNTIF($D100:$D103,$A$3))</f>
        <v>1</v>
      </c>
      <c r="BA103" s="73" t="n">
        <f aca="false">IF($E103="","",COUNTIF($E100:$E103,AX$21)+COUNTIF($E100:$E103,$A$3))</f>
        <v>1</v>
      </c>
      <c r="BB103" s="92" t="n">
        <f aca="false">IF($F103="","",COUNTIF($F100:$F103,AX$21)+COUNTIF($F100:$F103,$A$3))</f>
        <v>1</v>
      </c>
      <c r="BD103" s="91" t="n">
        <f aca="false">IF($B103="","",COUNTIF($B100:$B103,BD$21)+COUNTIF($B100:$B103,$A$3))</f>
        <v>0</v>
      </c>
      <c r="BE103" s="73" t="n">
        <f aca="false">IF($C103="","",COUNTIF($C100:$C103,BD$21)+COUNTIF($C100:$C103,$A$3))</f>
        <v>2</v>
      </c>
      <c r="BF103" s="73" t="n">
        <f aca="false">IF($D103="","",COUNTIF($D100:$D103,BD$21)+COUNTIF($D100:$D103,$A$3))</f>
        <v>0</v>
      </c>
      <c r="BG103" s="73" t="n">
        <f aca="false">IF($E103="","",COUNTIF($E100:$E103,BD$21)+COUNTIF($E100:$E103,$A$3))</f>
        <v>0</v>
      </c>
      <c r="BH103" s="92" t="n">
        <f aca="false">IF($F103="","",COUNTIF($F100:$F103,BD$21)+COUNTIF($F100:$F103,$A$3))</f>
        <v>0</v>
      </c>
      <c r="BJ103" s="91" t="n">
        <f aca="false">IF($B103="","",COUNTIF($B100:$B103,BJ$21)+COUNTIF($B100:$B103,$A$3))</f>
        <v>1</v>
      </c>
      <c r="BK103" s="73" t="n">
        <f aca="false">IF($C103="","",COUNTIF($C100:$C103,BJ$21)+COUNTIF($C100:$C103,$A$3))</f>
        <v>2</v>
      </c>
      <c r="BL103" s="73" t="n">
        <f aca="false">IF($D103="","",COUNTIF($D100:$D103,BJ$21)+COUNTIF($D100:$D103,$A$3))</f>
        <v>1</v>
      </c>
      <c r="BM103" s="73" t="n">
        <f aca="false">IF($E103="","",COUNTIF($E100:$E103,BJ$21)+COUNTIF($E100:$E103,$A$3))</f>
        <v>1</v>
      </c>
      <c r="BN103" s="92" t="n">
        <f aca="false">IF($F103="","",COUNTIF($F100:$F103,BJ$21)+COUNTIF($F100:$F103,$A$3))</f>
        <v>0</v>
      </c>
      <c r="BP103" s="91" t="n">
        <f aca="false">IF($B103="","",COUNTIF($B100:$B103,BP$21)+COUNTIF($B100:$B103,$A$3))</f>
        <v>0</v>
      </c>
      <c r="BQ103" s="73" t="n">
        <f aca="false">IF($C103="","",COUNTIF($C100:$C103,BP$21)+COUNTIF($C100:$C103,$A$3))</f>
        <v>1</v>
      </c>
      <c r="BR103" s="73" t="n">
        <f aca="false">IF($D103="","",COUNTIF($D100:$D103,BP$21)+COUNTIF($D100:$D103,$A$3))</f>
        <v>0</v>
      </c>
      <c r="BS103" s="73" t="n">
        <f aca="false">IF($E103="","",COUNTIF($E100:$E103,BP$21)+COUNTIF($E100:$E103,$A$3))</f>
        <v>0</v>
      </c>
      <c r="BT103" s="92" t="n">
        <f aca="false">IF($F103="","",COUNTIF($F100:$F103,BP$21)+COUNTIF($F100:$F103,$A$3))</f>
        <v>1</v>
      </c>
    </row>
    <row r="104" customFormat="false" ht="15" hidden="false" customHeight="false" outlineLevel="0" collapsed="false">
      <c r="A104" s="13" t="n">
        <v>82</v>
      </c>
      <c r="B104" s="116" t="str">
        <f aca="false">IF('Game Info'!Q87="","",'Game Info'!Q87)</f>
        <v>SYM1</v>
      </c>
      <c r="C104" s="116" t="str">
        <f aca="false">IF('Game Info'!R87="","",'Game Info'!R87)</f>
        <v>SYM2</v>
      </c>
      <c r="D104" s="116" t="str">
        <f aca="false">IF('Game Info'!S87="","",'Game Info'!S87)</f>
        <v>SYM3</v>
      </c>
      <c r="E104" s="116" t="str">
        <f aca="false">IF('Game Info'!T87="","",'Game Info'!T87)</f>
        <v>WILD</v>
      </c>
      <c r="F104" s="117" t="str">
        <f aca="false">IF('Game Info'!U87="","",'Game Info'!U87)</f>
        <v>SYM5</v>
      </c>
      <c r="H104" s="91" t="n">
        <f aca="false">IF($B104="","",COUNTIF($B101:$B104,H$21)+COUNTIF($B101:$B104,$A$3))</f>
        <v>1</v>
      </c>
      <c r="I104" s="73" t="n">
        <f aca="false">IF($C104="","",COUNTIF($C101:$C104,H$21)+COUNTIF($C101:$C104,$A$3))</f>
        <v>1</v>
      </c>
      <c r="J104" s="73" t="n">
        <f aca="false">IF($D104="","",COUNTIF($D101:$D104,H$21)+COUNTIF($D101:$D104,$A$3))</f>
        <v>0</v>
      </c>
      <c r="K104" s="73" t="n">
        <f aca="false">IF($E104="","",COUNTIF($E101:$E104,H$21)+COUNTIF($E101:$E104,$A$3))</f>
        <v>1</v>
      </c>
      <c r="L104" s="92" t="n">
        <f aca="false">IF($F104="","",COUNTIF($F101:$F104,H$21)+COUNTIF($F101:$F104,$A$3))</f>
        <v>0</v>
      </c>
      <c r="N104" s="91" t="n">
        <f aca="false">IF($B104="","",COUNTIF($B101:$B104,N$21)+COUNTIF($B101:$B104,$A$3))</f>
        <v>0</v>
      </c>
      <c r="O104" s="73" t="n">
        <f aca="false">IF($C104="","",COUNTIF($C101:$C104,N$21)+COUNTIF($C101:$C104,$A$3))</f>
        <v>2</v>
      </c>
      <c r="P104" s="73" t="n">
        <f aca="false">IF($D104="","",COUNTIF($D101:$D104,N$21)+COUNTIF($D101:$D104,$A$3))</f>
        <v>0</v>
      </c>
      <c r="Q104" s="73" t="n">
        <f aca="false">IF($E104="","",COUNTIF($E101:$E104,N$21)+COUNTIF($E101:$E104,$A$3))</f>
        <v>1</v>
      </c>
      <c r="R104" s="92" t="n">
        <f aca="false">IF($F104="","",COUNTIF($F101:$F104,N$21)+COUNTIF($F101:$F104,$A$3))</f>
        <v>0</v>
      </c>
      <c r="T104" s="91" t="n">
        <f aca="false">IF($B104="","",COUNTIF($B101:$B104,T$21)+COUNTIF($B101:$B104,$A$3))</f>
        <v>0</v>
      </c>
      <c r="U104" s="73" t="n">
        <f aca="false">IF($C104="","",COUNTIF($C101:$C104,T$21)+COUNTIF($C101:$C104,$A$3))</f>
        <v>1</v>
      </c>
      <c r="V104" s="73" t="n">
        <f aca="false">IF($D104="","",COUNTIF($D101:$D104,T$21)+COUNTIF($D101:$D104,$A$3))</f>
        <v>1</v>
      </c>
      <c r="W104" s="73" t="n">
        <f aca="false">IF($E104="","",COUNTIF($E101:$E104,T$21)+COUNTIF($E101:$E104,$A$3))</f>
        <v>2</v>
      </c>
      <c r="X104" s="92" t="n">
        <f aca="false">IF($F104="","",COUNTIF($F101:$F104,T$21)+COUNTIF($F101:$F104,$A$3))</f>
        <v>0</v>
      </c>
      <c r="Z104" s="91" t="n">
        <f aca="false">IF($B104="","",COUNTIF($B101:$B104,Z$21)+COUNTIF($B101:$B104,$A$3))</f>
        <v>1</v>
      </c>
      <c r="AA104" s="73" t="n">
        <f aca="false">IF($C104="","",COUNTIF($C101:$C104,Z$21)+COUNTIF($C101:$C104,$A$3))</f>
        <v>1</v>
      </c>
      <c r="AB104" s="73" t="n">
        <f aca="false">IF($D104="","",COUNTIF($D101:$D104,Z$21)+COUNTIF($D101:$D104,$A$3))</f>
        <v>1</v>
      </c>
      <c r="AC104" s="73" t="n">
        <f aca="false">IF($E104="","",COUNTIF($E101:$E104,Z$21)+COUNTIF($E101:$E104,$A$3))</f>
        <v>1</v>
      </c>
      <c r="AD104" s="92" t="n">
        <f aca="false">IF($F104="","",COUNTIF($F101:$F104,Z$21)+COUNTIF($F101:$F104,$A$3))</f>
        <v>0</v>
      </c>
      <c r="AF104" s="91" t="n">
        <f aca="false">IF($B104="","",COUNTIF($B101:$B104,AF$21)+COUNTIF($B101:$B104,$A$3))</f>
        <v>0</v>
      </c>
      <c r="AG104" s="73" t="n">
        <f aca="false">IF($C104="","",COUNTIF($C101:$C104,AF$21)+COUNTIF($C101:$C104,$A$3))</f>
        <v>2</v>
      </c>
      <c r="AH104" s="73" t="n">
        <f aca="false">IF($D104="","",COUNTIF($D101:$D104,AF$21)+COUNTIF($D101:$D104,$A$3))</f>
        <v>0</v>
      </c>
      <c r="AI104" s="73" t="n">
        <f aca="false">IF($E104="","",COUNTIF($E101:$E104,AF$21)+COUNTIF($E101:$E104,$A$3))</f>
        <v>1</v>
      </c>
      <c r="AJ104" s="92" t="n">
        <f aca="false">IF($F104="","",COUNTIF($F101:$F104,AF$21)+COUNTIF($F101:$F104,$A$3))</f>
        <v>2</v>
      </c>
      <c r="AL104" s="91" t="n">
        <f aca="false">IF($B104="","",COUNTIF($B101:$B104,AL$21)+COUNTIF($B101:$B104,$A$3))</f>
        <v>1</v>
      </c>
      <c r="AM104" s="73" t="n">
        <f aca="false">IF($C104="","",COUNTIF($C101:$C104,AL$21)+COUNTIF($C101:$C104,$A$3))</f>
        <v>1</v>
      </c>
      <c r="AN104" s="73" t="n">
        <f aca="false">IF($D104="","",COUNTIF($D101:$D104,AL$21)+COUNTIF($D101:$D104,$A$3))</f>
        <v>0</v>
      </c>
      <c r="AO104" s="73" t="n">
        <f aca="false">IF($E104="","",COUNTIF($E101:$E104,AL$21)+COUNTIF($E101:$E104,$A$3))</f>
        <v>1</v>
      </c>
      <c r="AP104" s="92" t="n">
        <f aca="false">IF($F104="","",COUNTIF($F101:$F104,AL$21)+COUNTIF($F101:$F104,$A$3))</f>
        <v>0</v>
      </c>
      <c r="AR104" s="91" t="n">
        <f aca="false">IF($B104="","",COUNTIF($B101:$B104,AR$21)+COUNTIF($B101:$B104,$A$3))</f>
        <v>0</v>
      </c>
      <c r="AS104" s="73" t="n">
        <f aca="false">IF($C104="","",COUNTIF($C101:$C104,AR$21)+COUNTIF($C101:$C104,$A$3))</f>
        <v>1</v>
      </c>
      <c r="AT104" s="73" t="n">
        <f aca="false">IF($D104="","",COUNTIF($D101:$D104,AR$21)+COUNTIF($D101:$D104,$A$3))</f>
        <v>0</v>
      </c>
      <c r="AU104" s="73" t="n">
        <f aca="false">IF($E104="","",COUNTIF($E101:$E104,AR$21)+COUNTIF($E101:$E104,$A$3))</f>
        <v>1</v>
      </c>
      <c r="AV104" s="92" t="n">
        <f aca="false">IF($F104="","",COUNTIF($F101:$F104,AR$21)+COUNTIF($F101:$F104,$A$3))</f>
        <v>0</v>
      </c>
      <c r="AX104" s="91" t="n">
        <f aca="false">IF($B104="","",COUNTIF($B101:$B104,AX$21)+COUNTIF($B101:$B104,$A$3))</f>
        <v>1</v>
      </c>
      <c r="AY104" s="73" t="n">
        <f aca="false">IF($C104="","",COUNTIF($C101:$C104,AX$21)+COUNTIF($C101:$C104,$A$3))</f>
        <v>1</v>
      </c>
      <c r="AZ104" s="73" t="n">
        <f aca="false">IF($D104="","",COUNTIF($D101:$D104,AX$21)+COUNTIF($D101:$D104,$A$3))</f>
        <v>1</v>
      </c>
      <c r="BA104" s="73" t="n">
        <f aca="false">IF($E104="","",COUNTIF($E101:$E104,AX$21)+COUNTIF($E101:$E104,$A$3))</f>
        <v>2</v>
      </c>
      <c r="BB104" s="92" t="n">
        <f aca="false">IF($F104="","",COUNTIF($F101:$F104,AX$21)+COUNTIF($F101:$F104,$A$3))</f>
        <v>1</v>
      </c>
      <c r="BD104" s="91" t="n">
        <f aca="false">IF($B104="","",COUNTIF($B101:$B104,BD$21)+COUNTIF($B101:$B104,$A$3))</f>
        <v>0</v>
      </c>
      <c r="BE104" s="73" t="n">
        <f aca="false">IF($C104="","",COUNTIF($C101:$C104,BD$21)+COUNTIF($C101:$C104,$A$3))</f>
        <v>1</v>
      </c>
      <c r="BF104" s="73" t="n">
        <f aca="false">IF($D104="","",COUNTIF($D101:$D104,BD$21)+COUNTIF($D101:$D104,$A$3))</f>
        <v>0</v>
      </c>
      <c r="BG104" s="73" t="n">
        <f aca="false">IF($E104="","",COUNTIF($E101:$E104,BD$21)+COUNTIF($E101:$E104,$A$3))</f>
        <v>1</v>
      </c>
      <c r="BH104" s="92" t="n">
        <f aca="false">IF($F104="","",COUNTIF($F101:$F104,BD$21)+COUNTIF($F101:$F104,$A$3))</f>
        <v>0</v>
      </c>
      <c r="BJ104" s="91" t="n">
        <f aca="false">IF($B104="","",COUNTIF($B101:$B104,BJ$21)+COUNTIF($B101:$B104,$A$3))</f>
        <v>0</v>
      </c>
      <c r="BK104" s="73" t="n">
        <f aca="false">IF($C104="","",COUNTIF($C101:$C104,BJ$21)+COUNTIF($C101:$C104,$A$3))</f>
        <v>2</v>
      </c>
      <c r="BL104" s="73" t="n">
        <f aca="false">IF($D104="","",COUNTIF($D101:$D104,BJ$21)+COUNTIF($D101:$D104,$A$3))</f>
        <v>1</v>
      </c>
      <c r="BM104" s="73" t="n">
        <f aca="false">IF($E104="","",COUNTIF($E101:$E104,BJ$21)+COUNTIF($E101:$E104,$A$3))</f>
        <v>2</v>
      </c>
      <c r="BN104" s="92" t="n">
        <f aca="false">IF($F104="","",COUNTIF($F101:$F104,BJ$21)+COUNTIF($F101:$F104,$A$3))</f>
        <v>0</v>
      </c>
      <c r="BP104" s="91" t="n">
        <f aca="false">IF($B104="","",COUNTIF($B101:$B104,BP$21)+COUNTIF($B101:$B104,$A$3))</f>
        <v>0</v>
      </c>
      <c r="BQ104" s="73" t="n">
        <f aca="false">IF($C104="","",COUNTIF($C101:$C104,BP$21)+COUNTIF($C101:$C104,$A$3))</f>
        <v>1</v>
      </c>
      <c r="BR104" s="73" t="n">
        <f aca="false">IF($D104="","",COUNTIF($D101:$D104,BP$21)+COUNTIF($D101:$D104,$A$3))</f>
        <v>0</v>
      </c>
      <c r="BS104" s="73" t="n">
        <f aca="false">IF($E104="","",COUNTIF($E101:$E104,BP$21)+COUNTIF($E101:$E104,$A$3))</f>
        <v>1</v>
      </c>
      <c r="BT104" s="92" t="n">
        <f aca="false">IF($F104="","",COUNTIF($F101:$F104,BP$21)+COUNTIF($F101:$F104,$A$3))</f>
        <v>1</v>
      </c>
    </row>
    <row r="105" customFormat="false" ht="15" hidden="false" customHeight="false" outlineLevel="0" collapsed="false">
      <c r="A105" s="13" t="n">
        <v>83</v>
      </c>
      <c r="B105" s="116" t="str">
        <f aca="false">IF('Game Info'!Q88="","",'Game Info'!Q88)</f>
        <v>SYM1</v>
      </c>
      <c r="C105" s="116" t="str">
        <f aca="false">IF('Game Info'!R88="","",'Game Info'!R88)</f>
        <v>J</v>
      </c>
      <c r="D105" s="116" t="n">
        <f aca="false">IF('Game Info'!S88="","",'Game Info'!S88)</f>
        <v>10</v>
      </c>
      <c r="E105" s="116" t="str">
        <f aca="false">IF('Game Info'!T88="","",'Game Info'!T88)</f>
        <v>A</v>
      </c>
      <c r="F105" s="117" t="str">
        <f aca="false">IF('Game Info'!U88="","",'Game Info'!U88)</f>
        <v>SYM5</v>
      </c>
      <c r="H105" s="91" t="n">
        <f aca="false">IF($B105="","",COUNTIF($B102:$B105,H$21)+COUNTIF($B102:$B105,$A$3))</f>
        <v>2</v>
      </c>
      <c r="I105" s="73" t="n">
        <f aca="false">IF($C105="","",COUNTIF($C102:$C105,H$21)+COUNTIF($C102:$C105,$A$3))</f>
        <v>1</v>
      </c>
      <c r="J105" s="73" t="n">
        <f aca="false">IF($D105="","",COUNTIF($D102:$D105,H$21)+COUNTIF($D102:$D105,$A$3))</f>
        <v>0</v>
      </c>
      <c r="K105" s="73" t="n">
        <f aca="false">IF($E105="","",COUNTIF($E102:$E105,H$21)+COUNTIF($E102:$E105,$A$3))</f>
        <v>1</v>
      </c>
      <c r="L105" s="92" t="n">
        <f aca="false">IF($F105="","",COUNTIF($F102:$F105,H$21)+COUNTIF($F102:$F105,$A$3))</f>
        <v>0</v>
      </c>
      <c r="N105" s="91" t="n">
        <f aca="false">IF($B105="","",COUNTIF($B102:$B105,N$21)+COUNTIF($B102:$B105,$A$3))</f>
        <v>0</v>
      </c>
      <c r="O105" s="73" t="n">
        <f aca="false">IF($C105="","",COUNTIF($C102:$C105,N$21)+COUNTIF($C102:$C105,$A$3))</f>
        <v>2</v>
      </c>
      <c r="P105" s="73" t="n">
        <f aca="false">IF($D105="","",COUNTIF($D102:$D105,N$21)+COUNTIF($D102:$D105,$A$3))</f>
        <v>0</v>
      </c>
      <c r="Q105" s="73" t="n">
        <f aca="false">IF($E105="","",COUNTIF($E102:$E105,N$21)+COUNTIF($E102:$E105,$A$3))</f>
        <v>1</v>
      </c>
      <c r="R105" s="92" t="n">
        <f aca="false">IF($F105="","",COUNTIF($F102:$F105,N$21)+COUNTIF($F102:$F105,$A$3))</f>
        <v>0</v>
      </c>
      <c r="T105" s="91" t="n">
        <f aca="false">IF($B105="","",COUNTIF($B102:$B105,T$21)+COUNTIF($B102:$B105,$A$3))</f>
        <v>0</v>
      </c>
      <c r="U105" s="73" t="n">
        <f aca="false">IF($C105="","",COUNTIF($C102:$C105,T$21)+COUNTIF($C102:$C105,$A$3))</f>
        <v>1</v>
      </c>
      <c r="V105" s="73" t="n">
        <f aca="false">IF($D105="","",COUNTIF($D102:$D105,T$21)+COUNTIF($D102:$D105,$A$3))</f>
        <v>1</v>
      </c>
      <c r="W105" s="73" t="n">
        <f aca="false">IF($E105="","",COUNTIF($E102:$E105,T$21)+COUNTIF($E102:$E105,$A$3))</f>
        <v>2</v>
      </c>
      <c r="X105" s="92" t="n">
        <f aca="false">IF($F105="","",COUNTIF($F102:$F105,T$21)+COUNTIF($F102:$F105,$A$3))</f>
        <v>0</v>
      </c>
      <c r="Z105" s="91" t="n">
        <f aca="false">IF($B105="","",COUNTIF($B102:$B105,Z$21)+COUNTIF($B102:$B105,$A$3))</f>
        <v>0</v>
      </c>
      <c r="AA105" s="73" t="n">
        <f aca="false">IF($C105="","",COUNTIF($C102:$C105,Z$21)+COUNTIF($C102:$C105,$A$3))</f>
        <v>1</v>
      </c>
      <c r="AB105" s="73" t="n">
        <f aca="false">IF($D105="","",COUNTIF($D102:$D105,Z$21)+COUNTIF($D102:$D105,$A$3))</f>
        <v>1</v>
      </c>
      <c r="AC105" s="73" t="n">
        <f aca="false">IF($E105="","",COUNTIF($E102:$E105,Z$21)+COUNTIF($E102:$E105,$A$3))</f>
        <v>1</v>
      </c>
      <c r="AD105" s="92" t="n">
        <f aca="false">IF($F105="","",COUNTIF($F102:$F105,Z$21)+COUNTIF($F102:$F105,$A$3))</f>
        <v>0</v>
      </c>
      <c r="AF105" s="91" t="n">
        <f aca="false">IF($B105="","",COUNTIF($B102:$B105,AF$21)+COUNTIF($B102:$B105,$A$3))</f>
        <v>0</v>
      </c>
      <c r="AG105" s="73" t="n">
        <f aca="false">IF($C105="","",COUNTIF($C102:$C105,AF$21)+COUNTIF($C102:$C105,$A$3))</f>
        <v>1</v>
      </c>
      <c r="AH105" s="73" t="n">
        <f aca="false">IF($D105="","",COUNTIF($D102:$D105,AF$21)+COUNTIF($D102:$D105,$A$3))</f>
        <v>0</v>
      </c>
      <c r="AI105" s="73" t="n">
        <f aca="false">IF($E105="","",COUNTIF($E102:$E105,AF$21)+COUNTIF($E102:$E105,$A$3))</f>
        <v>1</v>
      </c>
      <c r="AJ105" s="92" t="n">
        <f aca="false">IF($F105="","",COUNTIF($F102:$F105,AF$21)+COUNTIF($F102:$F105,$A$3))</f>
        <v>3</v>
      </c>
      <c r="AL105" s="91" t="n">
        <f aca="false">IF($B105="","",COUNTIF($B102:$B105,AL$21)+COUNTIF($B102:$B105,$A$3))</f>
        <v>1</v>
      </c>
      <c r="AM105" s="73" t="n">
        <f aca="false">IF($C105="","",COUNTIF($C102:$C105,AL$21)+COUNTIF($C102:$C105,$A$3))</f>
        <v>1</v>
      </c>
      <c r="AN105" s="73" t="n">
        <f aca="false">IF($D105="","",COUNTIF($D102:$D105,AL$21)+COUNTIF($D102:$D105,$A$3))</f>
        <v>0</v>
      </c>
      <c r="AO105" s="73" t="n">
        <f aca="false">IF($E105="","",COUNTIF($E102:$E105,AL$21)+COUNTIF($E102:$E105,$A$3))</f>
        <v>2</v>
      </c>
      <c r="AP105" s="92" t="n">
        <f aca="false">IF($F105="","",COUNTIF($F102:$F105,AL$21)+COUNTIF($F102:$F105,$A$3))</f>
        <v>0</v>
      </c>
      <c r="AR105" s="91" t="n">
        <f aca="false">IF($B105="","",COUNTIF($B102:$B105,AR$21)+COUNTIF($B102:$B105,$A$3))</f>
        <v>0</v>
      </c>
      <c r="AS105" s="73" t="n">
        <f aca="false">IF($C105="","",COUNTIF($C102:$C105,AR$21)+COUNTIF($C102:$C105,$A$3))</f>
        <v>1</v>
      </c>
      <c r="AT105" s="73" t="n">
        <f aca="false">IF($D105="","",COUNTIF($D102:$D105,AR$21)+COUNTIF($D102:$D105,$A$3))</f>
        <v>0</v>
      </c>
      <c r="AU105" s="73" t="n">
        <f aca="false">IF($E105="","",COUNTIF($E102:$E105,AR$21)+COUNTIF($E102:$E105,$A$3))</f>
        <v>1</v>
      </c>
      <c r="AV105" s="92" t="n">
        <f aca="false">IF($F105="","",COUNTIF($F102:$F105,AR$21)+COUNTIF($F102:$F105,$A$3))</f>
        <v>0</v>
      </c>
      <c r="AX105" s="91" t="n">
        <f aca="false">IF($B105="","",COUNTIF($B102:$B105,AX$21)+COUNTIF($B102:$B105,$A$3))</f>
        <v>1</v>
      </c>
      <c r="AY105" s="73" t="n">
        <f aca="false">IF($C105="","",COUNTIF($C102:$C105,AX$21)+COUNTIF($C102:$C105,$A$3))</f>
        <v>1</v>
      </c>
      <c r="AZ105" s="73" t="n">
        <f aca="false">IF($D105="","",COUNTIF($D102:$D105,AX$21)+COUNTIF($D102:$D105,$A$3))</f>
        <v>1</v>
      </c>
      <c r="BA105" s="73" t="n">
        <f aca="false">IF($E105="","",COUNTIF($E102:$E105,AX$21)+COUNTIF($E102:$E105,$A$3))</f>
        <v>1</v>
      </c>
      <c r="BB105" s="92" t="n">
        <f aca="false">IF($F105="","",COUNTIF($F102:$F105,AX$21)+COUNTIF($F102:$F105,$A$3))</f>
        <v>0</v>
      </c>
      <c r="BD105" s="91" t="n">
        <f aca="false">IF($B105="","",COUNTIF($B102:$B105,BD$21)+COUNTIF($B102:$B105,$A$3))</f>
        <v>0</v>
      </c>
      <c r="BE105" s="73" t="n">
        <f aca="false">IF($C105="","",COUNTIF($C102:$C105,BD$21)+COUNTIF($C102:$C105,$A$3))</f>
        <v>2</v>
      </c>
      <c r="BF105" s="73" t="n">
        <f aca="false">IF($D105="","",COUNTIF($D102:$D105,BD$21)+COUNTIF($D102:$D105,$A$3))</f>
        <v>0</v>
      </c>
      <c r="BG105" s="73" t="n">
        <f aca="false">IF($E105="","",COUNTIF($E102:$E105,BD$21)+COUNTIF($E102:$E105,$A$3))</f>
        <v>1</v>
      </c>
      <c r="BH105" s="92" t="n">
        <f aca="false">IF($F105="","",COUNTIF($F102:$F105,BD$21)+COUNTIF($F102:$F105,$A$3))</f>
        <v>0</v>
      </c>
      <c r="BJ105" s="91" t="n">
        <f aca="false">IF($B105="","",COUNTIF($B102:$B105,BJ$21)+COUNTIF($B102:$B105,$A$3))</f>
        <v>0</v>
      </c>
      <c r="BK105" s="73" t="n">
        <f aca="false">IF($C105="","",COUNTIF($C102:$C105,BJ$21)+COUNTIF($C102:$C105,$A$3))</f>
        <v>2</v>
      </c>
      <c r="BL105" s="73" t="n">
        <f aca="false">IF($D105="","",COUNTIF($D102:$D105,BJ$21)+COUNTIF($D102:$D105,$A$3))</f>
        <v>1</v>
      </c>
      <c r="BM105" s="73" t="n">
        <f aca="false">IF($E105="","",COUNTIF($E102:$E105,BJ$21)+COUNTIF($E102:$E105,$A$3))</f>
        <v>2</v>
      </c>
      <c r="BN105" s="92" t="n">
        <f aca="false">IF($F105="","",COUNTIF($F102:$F105,BJ$21)+COUNTIF($F102:$F105,$A$3))</f>
        <v>0</v>
      </c>
      <c r="BP105" s="91" t="n">
        <f aca="false">IF($B105="","",COUNTIF($B102:$B105,BP$21)+COUNTIF($B102:$B105,$A$3))</f>
        <v>0</v>
      </c>
      <c r="BQ105" s="73" t="n">
        <f aca="false">IF($C105="","",COUNTIF($C102:$C105,BP$21)+COUNTIF($C102:$C105,$A$3))</f>
        <v>1</v>
      </c>
      <c r="BR105" s="73" t="n">
        <f aca="false">IF($D105="","",COUNTIF($D102:$D105,BP$21)+COUNTIF($D102:$D105,$A$3))</f>
        <v>0</v>
      </c>
      <c r="BS105" s="73" t="n">
        <f aca="false">IF($E105="","",COUNTIF($E102:$E105,BP$21)+COUNTIF($E102:$E105,$A$3))</f>
        <v>1</v>
      </c>
      <c r="BT105" s="92" t="n">
        <f aca="false">IF($F105="","",COUNTIF($F102:$F105,BP$21)+COUNTIF($F102:$F105,$A$3))</f>
        <v>1</v>
      </c>
    </row>
    <row r="106" customFormat="false" ht="15" hidden="false" customHeight="false" outlineLevel="0" collapsed="false">
      <c r="A106" s="13" t="n">
        <v>84</v>
      </c>
      <c r="B106" s="116" t="str">
        <f aca="false">IF('Game Info'!Q89="","",'Game Info'!Q89)</f>
        <v>SYM3</v>
      </c>
      <c r="C106" s="116" t="str">
        <f aca="false">IF('Game Info'!R89="","",'Game Info'!R89)</f>
        <v>SYM1</v>
      </c>
      <c r="D106" s="116" t="str">
        <f aca="false">IF('Game Info'!S89="","",'Game Info'!S89)</f>
        <v>SYM5</v>
      </c>
      <c r="E106" s="116" t="str">
        <f aca="false">IF('Game Info'!T89="","",'Game Info'!T89)</f>
        <v>SYM4</v>
      </c>
      <c r="F106" s="117" t="str">
        <f aca="false">IF('Game Info'!U89="","",'Game Info'!U89)</f>
        <v>Q</v>
      </c>
      <c r="H106" s="91" t="n">
        <f aca="false">IF($B106="","",COUNTIF($B103:$B106,H$21)+COUNTIF($B103:$B106,$A$3))</f>
        <v>2</v>
      </c>
      <c r="I106" s="73" t="n">
        <f aca="false">IF($C106="","",COUNTIF($C103:$C106,H$21)+COUNTIF($C103:$C106,$A$3))</f>
        <v>1</v>
      </c>
      <c r="J106" s="73" t="n">
        <f aca="false">IF($D106="","",COUNTIF($D103:$D106,H$21)+COUNTIF($D103:$D106,$A$3))</f>
        <v>0</v>
      </c>
      <c r="K106" s="73" t="n">
        <f aca="false">IF($E106="","",COUNTIF($E103:$E106,H$21)+COUNTIF($E103:$E106,$A$3))</f>
        <v>1</v>
      </c>
      <c r="L106" s="92" t="n">
        <f aca="false">IF($F106="","",COUNTIF($F103:$F106,H$21)+COUNTIF($F103:$F106,$A$3))</f>
        <v>0</v>
      </c>
      <c r="N106" s="91" t="n">
        <f aca="false">IF($B106="","",COUNTIF($B103:$B106,N$21)+COUNTIF($B103:$B106,$A$3))</f>
        <v>0</v>
      </c>
      <c r="O106" s="73" t="n">
        <f aca="false">IF($C106="","",COUNTIF($C103:$C106,N$21)+COUNTIF($C103:$C106,$A$3))</f>
        <v>1</v>
      </c>
      <c r="P106" s="73" t="n">
        <f aca="false">IF($D106="","",COUNTIF($D103:$D106,N$21)+COUNTIF($D103:$D106,$A$3))</f>
        <v>0</v>
      </c>
      <c r="Q106" s="73" t="n">
        <f aca="false">IF($E106="","",COUNTIF($E103:$E106,N$21)+COUNTIF($E103:$E106,$A$3))</f>
        <v>1</v>
      </c>
      <c r="R106" s="92" t="n">
        <f aca="false">IF($F106="","",COUNTIF($F103:$F106,N$21)+COUNTIF($F103:$F106,$A$3))</f>
        <v>0</v>
      </c>
      <c r="T106" s="91" t="n">
        <f aca="false">IF($B106="","",COUNTIF($B103:$B106,T$21)+COUNTIF($B103:$B106,$A$3))</f>
        <v>1</v>
      </c>
      <c r="U106" s="73" t="n">
        <f aca="false">IF($C106="","",COUNTIF($C103:$C106,T$21)+COUNTIF($C103:$C106,$A$3))</f>
        <v>0</v>
      </c>
      <c r="V106" s="73" t="n">
        <f aca="false">IF($D106="","",COUNTIF($D103:$D106,T$21)+COUNTIF($D103:$D106,$A$3))</f>
        <v>1</v>
      </c>
      <c r="W106" s="73" t="n">
        <f aca="false">IF($E106="","",COUNTIF($E103:$E106,T$21)+COUNTIF($E103:$E106,$A$3))</f>
        <v>1</v>
      </c>
      <c r="X106" s="92" t="n">
        <f aca="false">IF($F106="","",COUNTIF($F103:$F106,T$21)+COUNTIF($F103:$F106,$A$3))</f>
        <v>0</v>
      </c>
      <c r="Z106" s="91" t="n">
        <f aca="false">IF($B106="","",COUNTIF($B103:$B106,Z$21)+COUNTIF($B103:$B106,$A$3))</f>
        <v>0</v>
      </c>
      <c r="AA106" s="73" t="n">
        <f aca="false">IF($C106="","",COUNTIF($C103:$C106,Z$21)+COUNTIF($C103:$C106,$A$3))</f>
        <v>0</v>
      </c>
      <c r="AB106" s="73" t="n">
        <f aca="false">IF($D106="","",COUNTIF($D103:$D106,Z$21)+COUNTIF($D103:$D106,$A$3))</f>
        <v>0</v>
      </c>
      <c r="AC106" s="73" t="n">
        <f aca="false">IF($E106="","",COUNTIF($E103:$E106,Z$21)+COUNTIF($E103:$E106,$A$3))</f>
        <v>2</v>
      </c>
      <c r="AD106" s="92" t="n">
        <f aca="false">IF($F106="","",COUNTIF($F103:$F106,Z$21)+COUNTIF($F103:$F106,$A$3))</f>
        <v>0</v>
      </c>
      <c r="AF106" s="91" t="n">
        <f aca="false">IF($B106="","",COUNTIF($B103:$B106,AF$21)+COUNTIF($B103:$B106,$A$3))</f>
        <v>0</v>
      </c>
      <c r="AG106" s="73" t="n">
        <f aca="false">IF($C106="","",COUNTIF($C103:$C106,AF$21)+COUNTIF($C103:$C106,$A$3))</f>
        <v>0</v>
      </c>
      <c r="AH106" s="73" t="n">
        <f aca="false">IF($D106="","",COUNTIF($D103:$D106,AF$21)+COUNTIF($D103:$D106,$A$3))</f>
        <v>1</v>
      </c>
      <c r="AI106" s="73" t="n">
        <f aca="false">IF($E106="","",COUNTIF($E103:$E106,AF$21)+COUNTIF($E103:$E106,$A$3))</f>
        <v>1</v>
      </c>
      <c r="AJ106" s="92" t="n">
        <f aca="false">IF($F106="","",COUNTIF($F103:$F106,AF$21)+COUNTIF($F103:$F106,$A$3))</f>
        <v>3</v>
      </c>
      <c r="AL106" s="91" t="n">
        <f aca="false">IF($B106="","",COUNTIF($B103:$B106,AL$21)+COUNTIF($B103:$B106,$A$3))</f>
        <v>0</v>
      </c>
      <c r="AM106" s="73" t="n">
        <f aca="false">IF($C106="","",COUNTIF($C103:$C106,AL$21)+COUNTIF($C103:$C106,$A$3))</f>
        <v>0</v>
      </c>
      <c r="AN106" s="73" t="n">
        <f aca="false">IF($D106="","",COUNTIF($D103:$D106,AL$21)+COUNTIF($D103:$D106,$A$3))</f>
        <v>0</v>
      </c>
      <c r="AO106" s="73" t="n">
        <f aca="false">IF($E106="","",COUNTIF($E103:$E106,AL$21)+COUNTIF($E103:$E106,$A$3))</f>
        <v>2</v>
      </c>
      <c r="AP106" s="92" t="n">
        <f aca="false">IF($F106="","",COUNTIF($F103:$F106,AL$21)+COUNTIF($F103:$F106,$A$3))</f>
        <v>0</v>
      </c>
      <c r="AR106" s="91" t="n">
        <f aca="false">IF($B106="","",COUNTIF($B103:$B106,AR$21)+COUNTIF($B103:$B106,$A$3))</f>
        <v>0</v>
      </c>
      <c r="AS106" s="73" t="n">
        <f aca="false">IF($C106="","",COUNTIF($C103:$C106,AR$21)+COUNTIF($C103:$C106,$A$3))</f>
        <v>0</v>
      </c>
      <c r="AT106" s="73" t="n">
        <f aca="false">IF($D106="","",COUNTIF($D103:$D106,AR$21)+COUNTIF($D103:$D106,$A$3))</f>
        <v>0</v>
      </c>
      <c r="AU106" s="73" t="n">
        <f aca="false">IF($E106="","",COUNTIF($E103:$E106,AR$21)+COUNTIF($E103:$E106,$A$3))</f>
        <v>1</v>
      </c>
      <c r="AV106" s="92" t="n">
        <f aca="false">IF($F106="","",COUNTIF($F103:$F106,AR$21)+COUNTIF($F103:$F106,$A$3))</f>
        <v>0</v>
      </c>
      <c r="AX106" s="91" t="n">
        <f aca="false">IF($B106="","",COUNTIF($B103:$B106,AX$21)+COUNTIF($B103:$B106,$A$3))</f>
        <v>1</v>
      </c>
      <c r="AY106" s="73" t="n">
        <f aca="false">IF($C106="","",COUNTIF($C103:$C106,AX$21)+COUNTIF($C103:$C106,$A$3))</f>
        <v>0</v>
      </c>
      <c r="AZ106" s="73" t="n">
        <f aca="false">IF($D106="","",COUNTIF($D103:$D106,AX$21)+COUNTIF($D103:$D106,$A$3))</f>
        <v>1</v>
      </c>
      <c r="BA106" s="73" t="n">
        <f aca="false">IF($E106="","",COUNTIF($E103:$E106,AX$21)+COUNTIF($E103:$E106,$A$3))</f>
        <v>1</v>
      </c>
      <c r="BB106" s="92" t="n">
        <f aca="false">IF($F106="","",COUNTIF($F103:$F106,AX$21)+COUNTIF($F103:$F106,$A$3))</f>
        <v>1</v>
      </c>
      <c r="BD106" s="91" t="n">
        <f aca="false">IF($B106="","",COUNTIF($B103:$B106,BD$21)+COUNTIF($B103:$B106,$A$3))</f>
        <v>0</v>
      </c>
      <c r="BE106" s="73" t="n">
        <f aca="false">IF($C106="","",COUNTIF($C103:$C106,BD$21)+COUNTIF($C103:$C106,$A$3))</f>
        <v>1</v>
      </c>
      <c r="BF106" s="73" t="n">
        <f aca="false">IF($D106="","",COUNTIF($D103:$D106,BD$21)+COUNTIF($D103:$D106,$A$3))</f>
        <v>0</v>
      </c>
      <c r="BG106" s="73" t="n">
        <f aca="false">IF($E106="","",COUNTIF($E103:$E106,BD$21)+COUNTIF($E103:$E106,$A$3))</f>
        <v>1</v>
      </c>
      <c r="BH106" s="92" t="n">
        <f aca="false">IF($F106="","",COUNTIF($F103:$F106,BD$21)+COUNTIF($F103:$F106,$A$3))</f>
        <v>0</v>
      </c>
      <c r="BJ106" s="91" t="n">
        <f aca="false">IF($B106="","",COUNTIF($B103:$B106,BJ$21)+COUNTIF($B103:$B106,$A$3))</f>
        <v>0</v>
      </c>
      <c r="BK106" s="73" t="n">
        <f aca="false">IF($C106="","",COUNTIF($C103:$C106,BJ$21)+COUNTIF($C103:$C106,$A$3))</f>
        <v>1</v>
      </c>
      <c r="BL106" s="73" t="n">
        <f aca="false">IF($D106="","",COUNTIF($D103:$D106,BJ$21)+COUNTIF($D103:$D106,$A$3))</f>
        <v>1</v>
      </c>
      <c r="BM106" s="73" t="n">
        <f aca="false">IF($E106="","",COUNTIF($E103:$E106,BJ$21)+COUNTIF($E103:$E106,$A$3))</f>
        <v>2</v>
      </c>
      <c r="BN106" s="92" t="n">
        <f aca="false">IF($F106="","",COUNTIF($F103:$F106,BJ$21)+COUNTIF($F103:$F106,$A$3))</f>
        <v>0</v>
      </c>
      <c r="BP106" s="91" t="n">
        <f aca="false">IF($B106="","",COUNTIF($B103:$B106,BP$21)+COUNTIF($B103:$B106,$A$3))</f>
        <v>0</v>
      </c>
      <c r="BQ106" s="73" t="n">
        <f aca="false">IF($C106="","",COUNTIF($C103:$C106,BP$21)+COUNTIF($C103:$C106,$A$3))</f>
        <v>0</v>
      </c>
      <c r="BR106" s="73" t="n">
        <f aca="false">IF($D106="","",COUNTIF($D103:$D106,BP$21)+COUNTIF($D103:$D106,$A$3))</f>
        <v>0</v>
      </c>
      <c r="BS106" s="73" t="n">
        <f aca="false">IF($E106="","",COUNTIF($E103:$E106,BP$21)+COUNTIF($E103:$E106,$A$3))</f>
        <v>1</v>
      </c>
      <c r="BT106" s="92" t="n">
        <f aca="false">IF($F106="","",COUNTIF($F103:$F106,BP$21)+COUNTIF($F103:$F106,$A$3))</f>
        <v>0</v>
      </c>
    </row>
    <row r="107" customFormat="false" ht="15" hidden="false" customHeight="false" outlineLevel="0" collapsed="false">
      <c r="A107" s="13" t="n">
        <v>85</v>
      </c>
      <c r="B107" s="116" t="str">
        <f aca="false">IF('Game Info'!Q90="","",'Game Info'!Q90)</f>
        <v>J</v>
      </c>
      <c r="C107" s="116" t="str">
        <f aca="false">IF('Game Info'!R90="","",'Game Info'!R90)</f>
        <v>A</v>
      </c>
      <c r="D107" s="116" t="str">
        <f aca="false">IF('Game Info'!S90="","",'Game Info'!S90)</f>
        <v>K</v>
      </c>
      <c r="E107" s="116" t="n">
        <f aca="false">IF('Game Info'!T90="","",'Game Info'!T90)</f>
        <v>9</v>
      </c>
      <c r="F107" s="117" t="str">
        <f aca="false">IF('Game Info'!U90="","",'Game Info'!U90)</f>
        <v>SYM1</v>
      </c>
      <c r="H107" s="91" t="n">
        <f aca="false">IF($B107="","",COUNTIF($B104:$B107,H$21)+COUNTIF($B104:$B107,$A$3))</f>
        <v>2</v>
      </c>
      <c r="I107" s="73" t="n">
        <f aca="false">IF($C107="","",COUNTIF($C104:$C107,H$21)+COUNTIF($C104:$C107,$A$3))</f>
        <v>1</v>
      </c>
      <c r="J107" s="73" t="n">
        <f aca="false">IF($D107="","",COUNTIF($D104:$D107,H$21)+COUNTIF($D104:$D107,$A$3))</f>
        <v>0</v>
      </c>
      <c r="K107" s="73" t="n">
        <f aca="false">IF($E107="","",COUNTIF($E104:$E107,H$21)+COUNTIF($E104:$E107,$A$3))</f>
        <v>1</v>
      </c>
      <c r="L107" s="92" t="n">
        <f aca="false">IF($F107="","",COUNTIF($F104:$F107,H$21)+COUNTIF($F104:$F107,$A$3))</f>
        <v>1</v>
      </c>
      <c r="N107" s="91" t="n">
        <f aca="false">IF($B107="","",COUNTIF($B104:$B107,N$21)+COUNTIF($B104:$B107,$A$3))</f>
        <v>0</v>
      </c>
      <c r="O107" s="73" t="n">
        <f aca="false">IF($C107="","",COUNTIF($C104:$C107,N$21)+COUNTIF($C104:$C107,$A$3))</f>
        <v>1</v>
      </c>
      <c r="P107" s="73" t="n">
        <f aca="false">IF($D107="","",COUNTIF($D104:$D107,N$21)+COUNTIF($D104:$D107,$A$3))</f>
        <v>0</v>
      </c>
      <c r="Q107" s="73" t="n">
        <f aca="false">IF($E107="","",COUNTIF($E104:$E107,N$21)+COUNTIF($E104:$E107,$A$3))</f>
        <v>1</v>
      </c>
      <c r="R107" s="92" t="n">
        <f aca="false">IF($F107="","",COUNTIF($F104:$F107,N$21)+COUNTIF($F104:$F107,$A$3))</f>
        <v>0</v>
      </c>
      <c r="T107" s="91" t="n">
        <f aca="false">IF($B107="","",COUNTIF($B104:$B107,T$21)+COUNTIF($B104:$B107,$A$3))</f>
        <v>1</v>
      </c>
      <c r="U107" s="73" t="n">
        <f aca="false">IF($C107="","",COUNTIF($C104:$C107,T$21)+COUNTIF($C104:$C107,$A$3))</f>
        <v>0</v>
      </c>
      <c r="V107" s="73" t="n">
        <f aca="false">IF($D107="","",COUNTIF($D104:$D107,T$21)+COUNTIF($D104:$D107,$A$3))</f>
        <v>1</v>
      </c>
      <c r="W107" s="73" t="n">
        <f aca="false">IF($E107="","",COUNTIF($E104:$E107,T$21)+COUNTIF($E104:$E107,$A$3))</f>
        <v>1</v>
      </c>
      <c r="X107" s="92" t="n">
        <f aca="false">IF($F107="","",COUNTIF($F104:$F107,T$21)+COUNTIF($F104:$F107,$A$3))</f>
        <v>0</v>
      </c>
      <c r="Z107" s="91" t="n">
        <f aca="false">IF($B107="","",COUNTIF($B104:$B107,Z$21)+COUNTIF($B104:$B107,$A$3))</f>
        <v>0</v>
      </c>
      <c r="AA107" s="73" t="n">
        <f aca="false">IF($C107="","",COUNTIF($C104:$C107,Z$21)+COUNTIF($C104:$C107,$A$3))</f>
        <v>0</v>
      </c>
      <c r="AB107" s="73" t="n">
        <f aca="false">IF($D107="","",COUNTIF($D104:$D107,Z$21)+COUNTIF($D104:$D107,$A$3))</f>
        <v>0</v>
      </c>
      <c r="AC107" s="73" t="n">
        <f aca="false">IF($E107="","",COUNTIF($E104:$E107,Z$21)+COUNTIF($E104:$E107,$A$3))</f>
        <v>2</v>
      </c>
      <c r="AD107" s="92" t="n">
        <f aca="false">IF($F107="","",COUNTIF($F104:$F107,Z$21)+COUNTIF($F104:$F107,$A$3))</f>
        <v>0</v>
      </c>
      <c r="AF107" s="91" t="n">
        <f aca="false">IF($B107="","",COUNTIF($B104:$B107,AF$21)+COUNTIF($B104:$B107,$A$3))</f>
        <v>0</v>
      </c>
      <c r="AG107" s="73" t="n">
        <f aca="false">IF($C107="","",COUNTIF($C104:$C107,AF$21)+COUNTIF($C104:$C107,$A$3))</f>
        <v>0</v>
      </c>
      <c r="AH107" s="73" t="n">
        <f aca="false">IF($D107="","",COUNTIF($D104:$D107,AF$21)+COUNTIF($D104:$D107,$A$3))</f>
        <v>1</v>
      </c>
      <c r="AI107" s="73" t="n">
        <f aca="false">IF($E107="","",COUNTIF($E104:$E107,AF$21)+COUNTIF($E104:$E107,$A$3))</f>
        <v>1</v>
      </c>
      <c r="AJ107" s="92" t="n">
        <f aca="false">IF($F107="","",COUNTIF($F104:$F107,AF$21)+COUNTIF($F104:$F107,$A$3))</f>
        <v>2</v>
      </c>
      <c r="AL107" s="91" t="n">
        <f aca="false">IF($B107="","",COUNTIF($B104:$B107,AL$21)+COUNTIF($B104:$B107,$A$3))</f>
        <v>0</v>
      </c>
      <c r="AM107" s="73" t="n">
        <f aca="false">IF($C107="","",COUNTIF($C104:$C107,AL$21)+COUNTIF($C104:$C107,$A$3))</f>
        <v>1</v>
      </c>
      <c r="AN107" s="73" t="n">
        <f aca="false">IF($D107="","",COUNTIF($D104:$D107,AL$21)+COUNTIF($D104:$D107,$A$3))</f>
        <v>0</v>
      </c>
      <c r="AO107" s="73" t="n">
        <f aca="false">IF($E107="","",COUNTIF($E104:$E107,AL$21)+COUNTIF($E104:$E107,$A$3))</f>
        <v>2</v>
      </c>
      <c r="AP107" s="92" t="n">
        <f aca="false">IF($F107="","",COUNTIF($F104:$F107,AL$21)+COUNTIF($F104:$F107,$A$3))</f>
        <v>0</v>
      </c>
      <c r="AR107" s="91" t="n">
        <f aca="false">IF($B107="","",COUNTIF($B104:$B107,AR$21)+COUNTIF($B104:$B107,$A$3))</f>
        <v>0</v>
      </c>
      <c r="AS107" s="73" t="n">
        <f aca="false">IF($C107="","",COUNTIF($C104:$C107,AR$21)+COUNTIF($C104:$C107,$A$3))</f>
        <v>0</v>
      </c>
      <c r="AT107" s="73" t="n">
        <f aca="false">IF($D107="","",COUNTIF($D104:$D107,AR$21)+COUNTIF($D104:$D107,$A$3))</f>
        <v>1</v>
      </c>
      <c r="AU107" s="73" t="n">
        <f aca="false">IF($E107="","",COUNTIF($E104:$E107,AR$21)+COUNTIF($E104:$E107,$A$3))</f>
        <v>1</v>
      </c>
      <c r="AV107" s="92" t="n">
        <f aca="false">IF($F107="","",COUNTIF($F104:$F107,AR$21)+COUNTIF($F104:$F107,$A$3))</f>
        <v>0</v>
      </c>
      <c r="AX107" s="91" t="n">
        <f aca="false">IF($B107="","",COUNTIF($B104:$B107,AX$21)+COUNTIF($B104:$B107,$A$3))</f>
        <v>0</v>
      </c>
      <c r="AY107" s="73" t="n">
        <f aca="false">IF($C107="","",COUNTIF($C104:$C107,AX$21)+COUNTIF($C104:$C107,$A$3))</f>
        <v>0</v>
      </c>
      <c r="AZ107" s="73" t="n">
        <f aca="false">IF($D107="","",COUNTIF($D104:$D107,AX$21)+COUNTIF($D104:$D107,$A$3))</f>
        <v>0</v>
      </c>
      <c r="BA107" s="73" t="n">
        <f aca="false">IF($E107="","",COUNTIF($E104:$E107,AX$21)+COUNTIF($E104:$E107,$A$3))</f>
        <v>1</v>
      </c>
      <c r="BB107" s="92" t="n">
        <f aca="false">IF($F107="","",COUNTIF($F104:$F107,AX$21)+COUNTIF($F104:$F107,$A$3))</f>
        <v>1</v>
      </c>
      <c r="BD107" s="91" t="n">
        <f aca="false">IF($B107="","",COUNTIF($B104:$B107,BD$21)+COUNTIF($B104:$B107,$A$3))</f>
        <v>1</v>
      </c>
      <c r="BE107" s="73" t="n">
        <f aca="false">IF($C107="","",COUNTIF($C104:$C107,BD$21)+COUNTIF($C104:$C107,$A$3))</f>
        <v>1</v>
      </c>
      <c r="BF107" s="73" t="n">
        <f aca="false">IF($D107="","",COUNTIF($D104:$D107,BD$21)+COUNTIF($D104:$D107,$A$3))</f>
        <v>0</v>
      </c>
      <c r="BG107" s="73" t="n">
        <f aca="false">IF($E107="","",COUNTIF($E104:$E107,BD$21)+COUNTIF($E104:$E107,$A$3))</f>
        <v>1</v>
      </c>
      <c r="BH107" s="92" t="n">
        <f aca="false">IF($F107="","",COUNTIF($F104:$F107,BD$21)+COUNTIF($F104:$F107,$A$3))</f>
        <v>0</v>
      </c>
      <c r="BJ107" s="91" t="n">
        <f aca="false">IF($B107="","",COUNTIF($B104:$B107,BJ$21)+COUNTIF($B104:$B107,$A$3))</f>
        <v>0</v>
      </c>
      <c r="BK107" s="73" t="n">
        <f aca="false">IF($C107="","",COUNTIF($C104:$C107,BJ$21)+COUNTIF($C104:$C107,$A$3))</f>
        <v>0</v>
      </c>
      <c r="BL107" s="73" t="n">
        <f aca="false">IF($D107="","",COUNTIF($D104:$D107,BJ$21)+COUNTIF($D104:$D107,$A$3))</f>
        <v>1</v>
      </c>
      <c r="BM107" s="73" t="n">
        <f aca="false">IF($E107="","",COUNTIF($E104:$E107,BJ$21)+COUNTIF($E104:$E107,$A$3))</f>
        <v>1</v>
      </c>
      <c r="BN107" s="92" t="n">
        <f aca="false">IF($F107="","",COUNTIF($F104:$F107,BJ$21)+COUNTIF($F104:$F107,$A$3))</f>
        <v>0</v>
      </c>
      <c r="BP107" s="91" t="n">
        <f aca="false">IF($B107="","",COUNTIF($B104:$B107,BP$21)+COUNTIF($B104:$B107,$A$3))</f>
        <v>0</v>
      </c>
      <c r="BQ107" s="73" t="n">
        <f aca="false">IF($C107="","",COUNTIF($C104:$C107,BP$21)+COUNTIF($C104:$C107,$A$3))</f>
        <v>0</v>
      </c>
      <c r="BR107" s="73" t="n">
        <f aca="false">IF($D107="","",COUNTIF($D104:$D107,BP$21)+COUNTIF($D104:$D107,$A$3))</f>
        <v>0</v>
      </c>
      <c r="BS107" s="73" t="n">
        <f aca="false">IF($E107="","",COUNTIF($E104:$E107,BP$21)+COUNTIF($E104:$E107,$A$3))</f>
        <v>2</v>
      </c>
      <c r="BT107" s="92" t="n">
        <f aca="false">IF($F107="","",COUNTIF($F104:$F107,BP$21)+COUNTIF($F104:$F107,$A$3))</f>
        <v>0</v>
      </c>
    </row>
    <row r="108" customFormat="false" ht="15" hidden="false" customHeight="false" outlineLevel="0" collapsed="false">
      <c r="A108" s="13" t="n">
        <v>86</v>
      </c>
      <c r="B108" s="116" t="n">
        <f aca="false">IF('Game Info'!Q91="","",'Game Info'!Q91)</f>
        <v>10</v>
      </c>
      <c r="C108" s="116" t="str">
        <f aca="false">IF('Game Info'!R91="","",'Game Info'!R91)</f>
        <v>Q</v>
      </c>
      <c r="D108" s="116" t="str">
        <f aca="false">IF('Game Info'!S91="","",'Game Info'!S91)</f>
        <v>A</v>
      </c>
      <c r="E108" s="116" t="str">
        <f aca="false">IF('Game Info'!T91="","",'Game Info'!T91)</f>
        <v>SYM1</v>
      </c>
      <c r="F108" s="117" t="str">
        <f aca="false">IF('Game Info'!U91="","",'Game Info'!U91)</f>
        <v>K</v>
      </c>
      <c r="H108" s="91" t="n">
        <f aca="false">IF($B108="","",COUNTIF($B105:$B108,H$21)+COUNTIF($B105:$B108,$A$3))</f>
        <v>1</v>
      </c>
      <c r="I108" s="73" t="n">
        <f aca="false">IF($C108="","",COUNTIF($C105:$C108,H$21)+COUNTIF($C105:$C108,$A$3))</f>
        <v>1</v>
      </c>
      <c r="J108" s="73" t="n">
        <f aca="false">IF($D108="","",COUNTIF($D105:$D108,H$21)+COUNTIF($D105:$D108,$A$3))</f>
        <v>0</v>
      </c>
      <c r="K108" s="73" t="n">
        <f aca="false">IF($E108="","",COUNTIF($E105:$E108,H$21)+COUNTIF($E105:$E108,$A$3))</f>
        <v>1</v>
      </c>
      <c r="L108" s="92" t="n">
        <f aca="false">IF($F108="","",COUNTIF($F105:$F108,H$21)+COUNTIF($F105:$F108,$A$3))</f>
        <v>1</v>
      </c>
      <c r="N108" s="91" t="n">
        <f aca="false">IF($B108="","",COUNTIF($B105:$B108,N$21)+COUNTIF($B105:$B108,$A$3))</f>
        <v>0</v>
      </c>
      <c r="O108" s="73" t="n">
        <f aca="false">IF($C108="","",COUNTIF($C105:$C108,N$21)+COUNTIF($C105:$C108,$A$3))</f>
        <v>0</v>
      </c>
      <c r="P108" s="73" t="n">
        <f aca="false">IF($D108="","",COUNTIF($D105:$D108,N$21)+COUNTIF($D105:$D108,$A$3))</f>
        <v>0</v>
      </c>
      <c r="Q108" s="73" t="n">
        <f aca="false">IF($E108="","",COUNTIF($E105:$E108,N$21)+COUNTIF($E105:$E108,$A$3))</f>
        <v>0</v>
      </c>
      <c r="R108" s="92" t="n">
        <f aca="false">IF($F108="","",COUNTIF($F105:$F108,N$21)+COUNTIF($F105:$F108,$A$3))</f>
        <v>0</v>
      </c>
      <c r="T108" s="91" t="n">
        <f aca="false">IF($B108="","",COUNTIF($B105:$B108,T$21)+COUNTIF($B105:$B108,$A$3))</f>
        <v>1</v>
      </c>
      <c r="U108" s="73" t="n">
        <f aca="false">IF($C108="","",COUNTIF($C105:$C108,T$21)+COUNTIF($C105:$C108,$A$3))</f>
        <v>0</v>
      </c>
      <c r="V108" s="73" t="n">
        <f aca="false">IF($D108="","",COUNTIF($D105:$D108,T$21)+COUNTIF($D105:$D108,$A$3))</f>
        <v>0</v>
      </c>
      <c r="W108" s="73" t="n">
        <f aca="false">IF($E108="","",COUNTIF($E105:$E108,T$21)+COUNTIF($E105:$E108,$A$3))</f>
        <v>0</v>
      </c>
      <c r="X108" s="92" t="n">
        <f aca="false">IF($F108="","",COUNTIF($F105:$F108,T$21)+COUNTIF($F105:$F108,$A$3))</f>
        <v>0</v>
      </c>
      <c r="Z108" s="91" t="n">
        <f aca="false">IF($B108="","",COUNTIF($B105:$B108,Z$21)+COUNTIF($B105:$B108,$A$3))</f>
        <v>0</v>
      </c>
      <c r="AA108" s="73" t="n">
        <f aca="false">IF($C108="","",COUNTIF($C105:$C108,Z$21)+COUNTIF($C105:$C108,$A$3))</f>
        <v>0</v>
      </c>
      <c r="AB108" s="73" t="n">
        <f aca="false">IF($D108="","",COUNTIF($D105:$D108,Z$21)+COUNTIF($D105:$D108,$A$3))</f>
        <v>0</v>
      </c>
      <c r="AC108" s="73" t="n">
        <f aca="false">IF($E108="","",COUNTIF($E105:$E108,Z$21)+COUNTIF($E105:$E108,$A$3))</f>
        <v>1</v>
      </c>
      <c r="AD108" s="92" t="n">
        <f aca="false">IF($F108="","",COUNTIF($F105:$F108,Z$21)+COUNTIF($F105:$F108,$A$3))</f>
        <v>0</v>
      </c>
      <c r="AF108" s="91" t="n">
        <f aca="false">IF($B108="","",COUNTIF($B105:$B108,AF$21)+COUNTIF($B105:$B108,$A$3))</f>
        <v>0</v>
      </c>
      <c r="AG108" s="73" t="n">
        <f aca="false">IF($C108="","",COUNTIF($C105:$C108,AF$21)+COUNTIF($C105:$C108,$A$3))</f>
        <v>0</v>
      </c>
      <c r="AH108" s="73" t="n">
        <f aca="false">IF($D108="","",COUNTIF($D105:$D108,AF$21)+COUNTIF($D105:$D108,$A$3))</f>
        <v>1</v>
      </c>
      <c r="AI108" s="73" t="n">
        <f aca="false">IF($E108="","",COUNTIF($E105:$E108,AF$21)+COUNTIF($E105:$E108,$A$3))</f>
        <v>0</v>
      </c>
      <c r="AJ108" s="92" t="n">
        <f aca="false">IF($F108="","",COUNTIF($F105:$F108,AF$21)+COUNTIF($F105:$F108,$A$3))</f>
        <v>1</v>
      </c>
      <c r="AL108" s="91" t="n">
        <f aca="false">IF($B108="","",COUNTIF($B105:$B108,AL$21)+COUNTIF($B105:$B108,$A$3))</f>
        <v>0</v>
      </c>
      <c r="AM108" s="73" t="n">
        <f aca="false">IF($C108="","",COUNTIF($C105:$C108,AL$21)+COUNTIF($C105:$C108,$A$3))</f>
        <v>1</v>
      </c>
      <c r="AN108" s="73" t="n">
        <f aca="false">IF($D108="","",COUNTIF($D105:$D108,AL$21)+COUNTIF($D105:$D108,$A$3))</f>
        <v>1</v>
      </c>
      <c r="AO108" s="73" t="n">
        <f aca="false">IF($E108="","",COUNTIF($E105:$E108,AL$21)+COUNTIF($E105:$E108,$A$3))</f>
        <v>1</v>
      </c>
      <c r="AP108" s="92" t="n">
        <f aca="false">IF($F108="","",COUNTIF($F105:$F108,AL$21)+COUNTIF($F105:$F108,$A$3))</f>
        <v>0</v>
      </c>
      <c r="AR108" s="91" t="n">
        <f aca="false">IF($B108="","",COUNTIF($B105:$B108,AR$21)+COUNTIF($B105:$B108,$A$3))</f>
        <v>0</v>
      </c>
      <c r="AS108" s="73" t="n">
        <f aca="false">IF($C108="","",COUNTIF($C105:$C108,AR$21)+COUNTIF($C105:$C108,$A$3))</f>
        <v>0</v>
      </c>
      <c r="AT108" s="73" t="n">
        <f aca="false">IF($D108="","",COUNTIF($D105:$D108,AR$21)+COUNTIF($D105:$D108,$A$3))</f>
        <v>1</v>
      </c>
      <c r="AU108" s="73" t="n">
        <f aca="false">IF($E108="","",COUNTIF($E105:$E108,AR$21)+COUNTIF($E105:$E108,$A$3))</f>
        <v>0</v>
      </c>
      <c r="AV108" s="92" t="n">
        <f aca="false">IF($F108="","",COUNTIF($F105:$F108,AR$21)+COUNTIF($F105:$F108,$A$3))</f>
        <v>1</v>
      </c>
      <c r="AX108" s="91" t="n">
        <f aca="false">IF($B108="","",COUNTIF($B105:$B108,AX$21)+COUNTIF($B105:$B108,$A$3))</f>
        <v>0</v>
      </c>
      <c r="AY108" s="73" t="n">
        <f aca="false">IF($C108="","",COUNTIF($C105:$C108,AX$21)+COUNTIF($C105:$C108,$A$3))</f>
        <v>1</v>
      </c>
      <c r="AZ108" s="73" t="n">
        <f aca="false">IF($D108="","",COUNTIF($D105:$D108,AX$21)+COUNTIF($D105:$D108,$A$3))</f>
        <v>0</v>
      </c>
      <c r="BA108" s="73" t="n">
        <f aca="false">IF($E108="","",COUNTIF($E105:$E108,AX$21)+COUNTIF($E105:$E108,$A$3))</f>
        <v>0</v>
      </c>
      <c r="BB108" s="92" t="n">
        <f aca="false">IF($F108="","",COUNTIF($F105:$F108,AX$21)+COUNTIF($F105:$F108,$A$3))</f>
        <v>1</v>
      </c>
      <c r="BD108" s="91" t="n">
        <f aca="false">IF($B108="","",COUNTIF($B105:$B108,BD$21)+COUNTIF($B105:$B108,$A$3))</f>
        <v>1</v>
      </c>
      <c r="BE108" s="73" t="n">
        <f aca="false">IF($C108="","",COUNTIF($C105:$C108,BD$21)+COUNTIF($C105:$C108,$A$3))</f>
        <v>1</v>
      </c>
      <c r="BF108" s="73" t="n">
        <f aca="false">IF($D108="","",COUNTIF($D105:$D108,BD$21)+COUNTIF($D105:$D108,$A$3))</f>
        <v>0</v>
      </c>
      <c r="BG108" s="73" t="n">
        <f aca="false">IF($E108="","",COUNTIF($E105:$E108,BD$21)+COUNTIF($E105:$E108,$A$3))</f>
        <v>0</v>
      </c>
      <c r="BH108" s="92" t="n">
        <f aca="false">IF($F108="","",COUNTIF($F105:$F108,BD$21)+COUNTIF($F105:$F108,$A$3))</f>
        <v>0</v>
      </c>
      <c r="BJ108" s="91" t="n">
        <f aca="false">IF($B108="","",COUNTIF($B105:$B108,BJ$21)+COUNTIF($B105:$B108,$A$3))</f>
        <v>1</v>
      </c>
      <c r="BK108" s="73" t="n">
        <f aca="false">IF($C108="","",COUNTIF($C105:$C108,BJ$21)+COUNTIF($C105:$C108,$A$3))</f>
        <v>0</v>
      </c>
      <c r="BL108" s="73" t="n">
        <f aca="false">IF($D108="","",COUNTIF($D105:$D108,BJ$21)+COUNTIF($D105:$D108,$A$3))</f>
        <v>1</v>
      </c>
      <c r="BM108" s="73" t="n">
        <f aca="false">IF($E108="","",COUNTIF($E105:$E108,BJ$21)+COUNTIF($E105:$E108,$A$3))</f>
        <v>0</v>
      </c>
      <c r="BN108" s="92" t="n">
        <f aca="false">IF($F108="","",COUNTIF($F105:$F108,BJ$21)+COUNTIF($F105:$F108,$A$3))</f>
        <v>0</v>
      </c>
      <c r="BP108" s="91" t="n">
        <f aca="false">IF($B108="","",COUNTIF($B105:$B108,BP$21)+COUNTIF($B105:$B108,$A$3))</f>
        <v>0</v>
      </c>
      <c r="BQ108" s="73" t="n">
        <f aca="false">IF($C108="","",COUNTIF($C105:$C108,BP$21)+COUNTIF($C105:$C108,$A$3))</f>
        <v>0</v>
      </c>
      <c r="BR108" s="73" t="n">
        <f aca="false">IF($D108="","",COUNTIF($D105:$D108,BP$21)+COUNTIF($D105:$D108,$A$3))</f>
        <v>0</v>
      </c>
      <c r="BS108" s="73" t="n">
        <f aca="false">IF($E108="","",COUNTIF($E105:$E108,BP$21)+COUNTIF($E105:$E108,$A$3))</f>
        <v>1</v>
      </c>
      <c r="BT108" s="92" t="n">
        <f aca="false">IF($F108="","",COUNTIF($F105:$F108,BP$21)+COUNTIF($F105:$F108,$A$3))</f>
        <v>0</v>
      </c>
    </row>
    <row r="109" customFormat="false" ht="15" hidden="false" customHeight="false" outlineLevel="0" collapsed="false">
      <c r="A109" s="13" t="n">
        <v>87</v>
      </c>
      <c r="B109" s="116" t="str">
        <f aca="false">IF('Game Info'!Q92="","",'Game Info'!Q92)</f>
        <v>SYM2</v>
      </c>
      <c r="C109" s="116" t="str">
        <f aca="false">IF('Game Info'!R92="","",'Game Info'!R92)</f>
        <v>SYM5</v>
      </c>
      <c r="D109" s="116" t="str">
        <f aca="false">IF('Game Info'!S92="","",'Game Info'!S92)</f>
        <v>J</v>
      </c>
      <c r="E109" s="116" t="str">
        <f aca="false">IF('Game Info'!T92="","",'Game Info'!T92)</f>
        <v/>
      </c>
      <c r="F109" s="117" t="str">
        <f aca="false">IF('Game Info'!U92="","",'Game Info'!U92)</f>
        <v>Q</v>
      </c>
      <c r="H109" s="91" t="n">
        <f aca="false">IF($B109="","",COUNTIF($B106:$B109,H$21)+COUNTIF($B106:$B109,$A$3))</f>
        <v>0</v>
      </c>
      <c r="I109" s="73" t="n">
        <f aca="false">IF($C109="","",COUNTIF($C106:$C109,H$21)+COUNTIF($C106:$C109,$A$3))</f>
        <v>1</v>
      </c>
      <c r="J109" s="73" t="n">
        <f aca="false">IF($D109="","",COUNTIF($D106:$D109,H$21)+COUNTIF($D106:$D109,$A$3))</f>
        <v>0</v>
      </c>
      <c r="K109" s="73" t="str">
        <f aca="false">IF($E109="","",COUNTIF($E106:$E109,H$21)+COUNTIF($E106:$E109,$A$3))</f>
        <v/>
      </c>
      <c r="L109" s="92" t="n">
        <f aca="false">IF($F109="","",COUNTIF($F106:$F109,H$21)+COUNTIF($F106:$F109,$A$3))</f>
        <v>1</v>
      </c>
      <c r="N109" s="91" t="n">
        <f aca="false">IF($B109="","",COUNTIF($B106:$B109,N$21)+COUNTIF($B106:$B109,$A$3))</f>
        <v>1</v>
      </c>
      <c r="O109" s="73" t="n">
        <f aca="false">IF($C109="","",COUNTIF($C106:$C109,N$21)+COUNTIF($C106:$C109,$A$3))</f>
        <v>0</v>
      </c>
      <c r="P109" s="73" t="n">
        <f aca="false">IF($D109="","",COUNTIF($D106:$D109,N$21)+COUNTIF($D106:$D109,$A$3))</f>
        <v>0</v>
      </c>
      <c r="Q109" s="73" t="str">
        <f aca="false">IF($E109="","",COUNTIF($E106:$E109,N$21)+COUNTIF($E106:$E109,$A$3))</f>
        <v/>
      </c>
      <c r="R109" s="92" t="n">
        <f aca="false">IF($F109="","",COUNTIF($F106:$F109,N$21)+COUNTIF($F106:$F109,$A$3))</f>
        <v>0</v>
      </c>
      <c r="T109" s="91" t="n">
        <f aca="false">IF($B109="","",COUNTIF($B106:$B109,T$21)+COUNTIF($B106:$B109,$A$3))</f>
        <v>1</v>
      </c>
      <c r="U109" s="73" t="n">
        <f aca="false">IF($C109="","",COUNTIF($C106:$C109,T$21)+COUNTIF($C106:$C109,$A$3))</f>
        <v>0</v>
      </c>
      <c r="V109" s="73" t="n">
        <f aca="false">IF($D109="","",COUNTIF($D106:$D109,T$21)+COUNTIF($D106:$D109,$A$3))</f>
        <v>0</v>
      </c>
      <c r="W109" s="73" t="str">
        <f aca="false">IF($E109="","",COUNTIF($E106:$E109,T$21)+COUNTIF($E106:$E109,$A$3))</f>
        <v/>
      </c>
      <c r="X109" s="92" t="n">
        <f aca="false">IF($F109="","",COUNTIF($F106:$F109,T$21)+COUNTIF($F106:$F109,$A$3))</f>
        <v>0</v>
      </c>
      <c r="Z109" s="91" t="n">
        <f aca="false">IF($B109="","",COUNTIF($B106:$B109,Z$21)+COUNTIF($B106:$B109,$A$3))</f>
        <v>0</v>
      </c>
      <c r="AA109" s="73" t="n">
        <f aca="false">IF($C109="","",COUNTIF($C106:$C109,Z$21)+COUNTIF($C106:$C109,$A$3))</f>
        <v>0</v>
      </c>
      <c r="AB109" s="73" t="n">
        <f aca="false">IF($D109="","",COUNTIF($D106:$D109,Z$21)+COUNTIF($D106:$D109,$A$3))</f>
        <v>0</v>
      </c>
      <c r="AC109" s="73" t="str">
        <f aca="false">IF($E109="","",COUNTIF($E106:$E109,Z$21)+COUNTIF($E106:$E109,$A$3))</f>
        <v/>
      </c>
      <c r="AD109" s="92" t="n">
        <f aca="false">IF($F109="","",COUNTIF($F106:$F109,Z$21)+COUNTIF($F106:$F109,$A$3))</f>
        <v>0</v>
      </c>
      <c r="AF109" s="91" t="n">
        <f aca="false">IF($B109="","",COUNTIF($B106:$B109,AF$21)+COUNTIF($B106:$B109,$A$3))</f>
        <v>0</v>
      </c>
      <c r="AG109" s="73" t="n">
        <f aca="false">IF($C109="","",COUNTIF($C106:$C109,AF$21)+COUNTIF($C106:$C109,$A$3))</f>
        <v>1</v>
      </c>
      <c r="AH109" s="73" t="n">
        <f aca="false">IF($D109="","",COUNTIF($D106:$D109,AF$21)+COUNTIF($D106:$D109,$A$3))</f>
        <v>1</v>
      </c>
      <c r="AI109" s="73" t="str">
        <f aca="false">IF($E109="","",COUNTIF($E106:$E109,AF$21)+COUNTIF($E106:$E109,$A$3))</f>
        <v/>
      </c>
      <c r="AJ109" s="92" t="n">
        <f aca="false">IF($F109="","",COUNTIF($F106:$F109,AF$21)+COUNTIF($F106:$F109,$A$3))</f>
        <v>0</v>
      </c>
      <c r="AL109" s="91" t="n">
        <f aca="false">IF($B109="","",COUNTIF($B106:$B109,AL$21)+COUNTIF($B106:$B109,$A$3))</f>
        <v>0</v>
      </c>
      <c r="AM109" s="73" t="n">
        <f aca="false">IF($C109="","",COUNTIF($C106:$C109,AL$21)+COUNTIF($C106:$C109,$A$3))</f>
        <v>1</v>
      </c>
      <c r="AN109" s="73" t="n">
        <f aca="false">IF($D109="","",COUNTIF($D106:$D109,AL$21)+COUNTIF($D106:$D109,$A$3))</f>
        <v>1</v>
      </c>
      <c r="AO109" s="73" t="str">
        <f aca="false">IF($E109="","",COUNTIF($E106:$E109,AL$21)+COUNTIF($E106:$E109,$A$3))</f>
        <v/>
      </c>
      <c r="AP109" s="92" t="n">
        <f aca="false">IF($F109="","",COUNTIF($F106:$F109,AL$21)+COUNTIF($F106:$F109,$A$3))</f>
        <v>0</v>
      </c>
      <c r="AR109" s="91" t="n">
        <f aca="false">IF($B109="","",COUNTIF($B106:$B109,AR$21)+COUNTIF($B106:$B109,$A$3))</f>
        <v>0</v>
      </c>
      <c r="AS109" s="73" t="n">
        <f aca="false">IF($C109="","",COUNTIF($C106:$C109,AR$21)+COUNTIF($C106:$C109,$A$3))</f>
        <v>0</v>
      </c>
      <c r="AT109" s="73" t="n">
        <f aca="false">IF($D109="","",COUNTIF($D106:$D109,AR$21)+COUNTIF($D106:$D109,$A$3))</f>
        <v>1</v>
      </c>
      <c r="AU109" s="73" t="str">
        <f aca="false">IF($E109="","",COUNTIF($E106:$E109,AR$21)+COUNTIF($E106:$E109,$A$3))</f>
        <v/>
      </c>
      <c r="AV109" s="92" t="n">
        <f aca="false">IF($F109="","",COUNTIF($F106:$F109,AR$21)+COUNTIF($F106:$F109,$A$3))</f>
        <v>1</v>
      </c>
      <c r="AX109" s="91" t="n">
        <f aca="false">IF($B109="","",COUNTIF($B106:$B109,AX$21)+COUNTIF($B106:$B109,$A$3))</f>
        <v>0</v>
      </c>
      <c r="AY109" s="73" t="n">
        <f aca="false">IF($C109="","",COUNTIF($C106:$C109,AX$21)+COUNTIF($C106:$C109,$A$3))</f>
        <v>1</v>
      </c>
      <c r="AZ109" s="73" t="n">
        <f aca="false">IF($D109="","",COUNTIF($D106:$D109,AX$21)+COUNTIF($D106:$D109,$A$3))</f>
        <v>0</v>
      </c>
      <c r="BA109" s="73" t="str">
        <f aca="false">IF($E109="","",COUNTIF($E106:$E109,AX$21)+COUNTIF($E106:$E109,$A$3))</f>
        <v/>
      </c>
      <c r="BB109" s="92" t="n">
        <f aca="false">IF($F109="","",COUNTIF($F106:$F109,AX$21)+COUNTIF($F106:$F109,$A$3))</f>
        <v>2</v>
      </c>
      <c r="BD109" s="91" t="n">
        <f aca="false">IF($B109="","",COUNTIF($B106:$B109,BD$21)+COUNTIF($B106:$B109,$A$3))</f>
        <v>1</v>
      </c>
      <c r="BE109" s="73" t="n">
        <f aca="false">IF($C109="","",COUNTIF($C106:$C109,BD$21)+COUNTIF($C106:$C109,$A$3))</f>
        <v>0</v>
      </c>
      <c r="BF109" s="73" t="n">
        <f aca="false">IF($D109="","",COUNTIF($D106:$D109,BD$21)+COUNTIF($D106:$D109,$A$3))</f>
        <v>1</v>
      </c>
      <c r="BG109" s="73" t="str">
        <f aca="false">IF($E109="","",COUNTIF($E106:$E109,BD$21)+COUNTIF($E106:$E109,$A$3))</f>
        <v/>
      </c>
      <c r="BH109" s="92" t="n">
        <f aca="false">IF($F109="","",COUNTIF($F106:$F109,BD$21)+COUNTIF($F106:$F109,$A$3))</f>
        <v>0</v>
      </c>
      <c r="BJ109" s="91" t="n">
        <f aca="false">IF($B109="","",COUNTIF($B106:$B109,BJ$21)+COUNTIF($B106:$B109,$A$3))</f>
        <v>1</v>
      </c>
      <c r="BK109" s="73" t="n">
        <f aca="false">IF($C109="","",COUNTIF($C106:$C109,BJ$21)+COUNTIF($C106:$C109,$A$3))</f>
        <v>0</v>
      </c>
      <c r="BL109" s="73" t="n">
        <f aca="false">IF($D109="","",COUNTIF($D106:$D109,BJ$21)+COUNTIF($D106:$D109,$A$3))</f>
        <v>0</v>
      </c>
      <c r="BM109" s="73" t="str">
        <f aca="false">IF($E109="","",COUNTIF($E106:$E109,BJ$21)+COUNTIF($E106:$E109,$A$3))</f>
        <v/>
      </c>
      <c r="BN109" s="92" t="n">
        <f aca="false">IF($F109="","",COUNTIF($F106:$F109,BJ$21)+COUNTIF($F106:$F109,$A$3))</f>
        <v>0</v>
      </c>
      <c r="BP109" s="91" t="n">
        <f aca="false">IF($B109="","",COUNTIF($B106:$B109,BP$21)+COUNTIF($B106:$B109,$A$3))</f>
        <v>0</v>
      </c>
      <c r="BQ109" s="73" t="n">
        <f aca="false">IF($C109="","",COUNTIF($C106:$C109,BP$21)+COUNTIF($C106:$C109,$A$3))</f>
        <v>0</v>
      </c>
      <c r="BR109" s="73" t="n">
        <f aca="false">IF($D109="","",COUNTIF($D106:$D109,BP$21)+COUNTIF($D106:$D109,$A$3))</f>
        <v>0</v>
      </c>
      <c r="BS109" s="73" t="str">
        <f aca="false">IF($E109="","",COUNTIF($E106:$E109,BP$21)+COUNTIF($E106:$E109,$A$3))</f>
        <v/>
      </c>
      <c r="BT109" s="92" t="n">
        <f aca="false">IF($F109="","",COUNTIF($F106:$F109,BP$21)+COUNTIF($F106:$F109,$A$3))</f>
        <v>0</v>
      </c>
    </row>
    <row r="110" customFormat="false" ht="15" hidden="false" customHeight="false" outlineLevel="0" collapsed="false">
      <c r="A110" s="13" t="n">
        <v>88</v>
      </c>
      <c r="B110" s="116" t="n">
        <f aca="false">IF('Game Info'!Q93="","",'Game Info'!Q93)</f>
        <v>9</v>
      </c>
      <c r="C110" s="116" t="str">
        <f aca="false">IF('Game Info'!R93="","",'Game Info'!R93)</f>
        <v>K</v>
      </c>
      <c r="D110" s="116" t="str">
        <f aca="false">IF('Game Info'!S93="","",'Game Info'!S93)</f>
        <v>SYM1</v>
      </c>
      <c r="E110" s="116" t="str">
        <f aca="false">IF('Game Info'!T93="","",'Game Info'!T93)</f>
        <v/>
      </c>
      <c r="F110" s="117" t="str">
        <f aca="false">IF('Game Info'!U93="","",'Game Info'!U93)</f>
        <v>SYM4</v>
      </c>
      <c r="H110" s="91" t="n">
        <f aca="false">IF($B110="","",COUNTIF($B107:$B110,H$21)+COUNTIF($B107:$B110,$A$3))</f>
        <v>0</v>
      </c>
      <c r="I110" s="73" t="n">
        <f aca="false">IF($C110="","",COUNTIF($C107:$C110,H$21)+COUNTIF($C107:$C110,$A$3))</f>
        <v>0</v>
      </c>
      <c r="J110" s="73" t="n">
        <f aca="false">IF($D110="","",COUNTIF($D107:$D110,H$21)+COUNTIF($D107:$D110,$A$3))</f>
        <v>1</v>
      </c>
      <c r="K110" s="73" t="str">
        <f aca="false">IF($E110="","",COUNTIF($E107:$E110,H$21)+COUNTIF($E107:$E110,$A$3))</f>
        <v/>
      </c>
      <c r="L110" s="92" t="n">
        <f aca="false">IF($F110="","",COUNTIF($F107:$F110,H$21)+COUNTIF($F107:$F110,$A$3))</f>
        <v>1</v>
      </c>
      <c r="N110" s="91" t="n">
        <f aca="false">IF($B110="","",COUNTIF($B107:$B110,N$21)+COUNTIF($B107:$B110,$A$3))</f>
        <v>1</v>
      </c>
      <c r="O110" s="73" t="n">
        <f aca="false">IF($C110="","",COUNTIF($C107:$C110,N$21)+COUNTIF($C107:$C110,$A$3))</f>
        <v>0</v>
      </c>
      <c r="P110" s="73" t="n">
        <f aca="false">IF($D110="","",COUNTIF($D107:$D110,N$21)+COUNTIF($D107:$D110,$A$3))</f>
        <v>0</v>
      </c>
      <c r="Q110" s="73" t="str">
        <f aca="false">IF($E110="","",COUNTIF($E107:$E110,N$21)+COUNTIF($E107:$E110,$A$3))</f>
        <v/>
      </c>
      <c r="R110" s="92" t="n">
        <f aca="false">IF($F110="","",COUNTIF($F107:$F110,N$21)+COUNTIF($F107:$F110,$A$3))</f>
        <v>0</v>
      </c>
      <c r="T110" s="91" t="n">
        <f aca="false">IF($B110="","",COUNTIF($B107:$B110,T$21)+COUNTIF($B107:$B110,$A$3))</f>
        <v>0</v>
      </c>
      <c r="U110" s="73" t="n">
        <f aca="false">IF($C110="","",COUNTIF($C107:$C110,T$21)+COUNTIF($C107:$C110,$A$3))</f>
        <v>0</v>
      </c>
      <c r="V110" s="73" t="n">
        <f aca="false">IF($D110="","",COUNTIF($D107:$D110,T$21)+COUNTIF($D107:$D110,$A$3))</f>
        <v>0</v>
      </c>
      <c r="W110" s="73" t="str">
        <f aca="false">IF($E110="","",COUNTIF($E107:$E110,T$21)+COUNTIF($E107:$E110,$A$3))</f>
        <v/>
      </c>
      <c r="X110" s="92" t="n">
        <f aca="false">IF($F110="","",COUNTIF($F107:$F110,T$21)+COUNTIF($F107:$F110,$A$3))</f>
        <v>0</v>
      </c>
      <c r="Z110" s="91" t="n">
        <f aca="false">IF($B110="","",COUNTIF($B107:$B110,Z$21)+COUNTIF($B107:$B110,$A$3))</f>
        <v>0</v>
      </c>
      <c r="AA110" s="73" t="n">
        <f aca="false">IF($C110="","",COUNTIF($C107:$C110,Z$21)+COUNTIF($C107:$C110,$A$3))</f>
        <v>0</v>
      </c>
      <c r="AB110" s="73" t="n">
        <f aca="false">IF($D110="","",COUNTIF($D107:$D110,Z$21)+COUNTIF($D107:$D110,$A$3))</f>
        <v>0</v>
      </c>
      <c r="AC110" s="73" t="str">
        <f aca="false">IF($E110="","",COUNTIF($E107:$E110,Z$21)+COUNTIF($E107:$E110,$A$3))</f>
        <v/>
      </c>
      <c r="AD110" s="92" t="n">
        <f aca="false">IF($F110="","",COUNTIF($F107:$F110,Z$21)+COUNTIF($F107:$F110,$A$3))</f>
        <v>1</v>
      </c>
      <c r="AF110" s="91" t="n">
        <f aca="false">IF($B110="","",COUNTIF($B107:$B110,AF$21)+COUNTIF($B107:$B110,$A$3))</f>
        <v>0</v>
      </c>
      <c r="AG110" s="73" t="n">
        <f aca="false">IF($C110="","",COUNTIF($C107:$C110,AF$21)+COUNTIF($C107:$C110,$A$3))</f>
        <v>1</v>
      </c>
      <c r="AH110" s="73" t="n">
        <f aca="false">IF($D110="","",COUNTIF($D107:$D110,AF$21)+COUNTIF($D107:$D110,$A$3))</f>
        <v>0</v>
      </c>
      <c r="AI110" s="73" t="str">
        <f aca="false">IF($E110="","",COUNTIF($E107:$E110,AF$21)+COUNTIF($E107:$E110,$A$3))</f>
        <v/>
      </c>
      <c r="AJ110" s="92" t="n">
        <f aca="false">IF($F110="","",COUNTIF($F107:$F110,AF$21)+COUNTIF($F107:$F110,$A$3))</f>
        <v>0</v>
      </c>
      <c r="AL110" s="91" t="n">
        <f aca="false">IF($B110="","",COUNTIF($B107:$B110,AL$21)+COUNTIF($B107:$B110,$A$3))</f>
        <v>0</v>
      </c>
      <c r="AM110" s="73" t="n">
        <f aca="false">IF($C110="","",COUNTIF($C107:$C110,AL$21)+COUNTIF($C107:$C110,$A$3))</f>
        <v>1</v>
      </c>
      <c r="AN110" s="73" t="n">
        <f aca="false">IF($D110="","",COUNTIF($D107:$D110,AL$21)+COUNTIF($D107:$D110,$A$3))</f>
        <v>1</v>
      </c>
      <c r="AO110" s="73" t="str">
        <f aca="false">IF($E110="","",COUNTIF($E107:$E110,AL$21)+COUNTIF($E107:$E110,$A$3))</f>
        <v/>
      </c>
      <c r="AP110" s="92" t="n">
        <f aca="false">IF($F110="","",COUNTIF($F107:$F110,AL$21)+COUNTIF($F107:$F110,$A$3))</f>
        <v>0</v>
      </c>
      <c r="AR110" s="91" t="n">
        <f aca="false">IF($B110="","",COUNTIF($B107:$B110,AR$21)+COUNTIF($B107:$B110,$A$3))</f>
        <v>0</v>
      </c>
      <c r="AS110" s="73" t="n">
        <f aca="false">IF($C110="","",COUNTIF($C107:$C110,AR$21)+COUNTIF($C107:$C110,$A$3))</f>
        <v>1</v>
      </c>
      <c r="AT110" s="73" t="n">
        <f aca="false">IF($D110="","",COUNTIF($D107:$D110,AR$21)+COUNTIF($D107:$D110,$A$3))</f>
        <v>1</v>
      </c>
      <c r="AU110" s="73" t="str">
        <f aca="false">IF($E110="","",COUNTIF($E107:$E110,AR$21)+COUNTIF($E107:$E110,$A$3))</f>
        <v/>
      </c>
      <c r="AV110" s="92" t="n">
        <f aca="false">IF($F110="","",COUNTIF($F107:$F110,AR$21)+COUNTIF($F107:$F110,$A$3))</f>
        <v>1</v>
      </c>
      <c r="AX110" s="91" t="n">
        <f aca="false">IF($B110="","",COUNTIF($B107:$B110,AX$21)+COUNTIF($B107:$B110,$A$3))</f>
        <v>0</v>
      </c>
      <c r="AY110" s="73" t="n">
        <f aca="false">IF($C110="","",COUNTIF($C107:$C110,AX$21)+COUNTIF($C107:$C110,$A$3))</f>
        <v>1</v>
      </c>
      <c r="AZ110" s="73" t="n">
        <f aca="false">IF($D110="","",COUNTIF($D107:$D110,AX$21)+COUNTIF($D107:$D110,$A$3))</f>
        <v>0</v>
      </c>
      <c r="BA110" s="73" t="str">
        <f aca="false">IF($E110="","",COUNTIF($E107:$E110,AX$21)+COUNTIF($E107:$E110,$A$3))</f>
        <v/>
      </c>
      <c r="BB110" s="92" t="n">
        <f aca="false">IF($F110="","",COUNTIF($F107:$F110,AX$21)+COUNTIF($F107:$F110,$A$3))</f>
        <v>1</v>
      </c>
      <c r="BD110" s="91" t="n">
        <f aca="false">IF($B110="","",COUNTIF($B107:$B110,BD$21)+COUNTIF($B107:$B110,$A$3))</f>
        <v>1</v>
      </c>
      <c r="BE110" s="73" t="n">
        <f aca="false">IF($C110="","",COUNTIF($C107:$C110,BD$21)+COUNTIF($C107:$C110,$A$3))</f>
        <v>0</v>
      </c>
      <c r="BF110" s="73" t="n">
        <f aca="false">IF($D110="","",COUNTIF($D107:$D110,BD$21)+COUNTIF($D107:$D110,$A$3))</f>
        <v>1</v>
      </c>
      <c r="BG110" s="73" t="str">
        <f aca="false">IF($E110="","",COUNTIF($E107:$E110,BD$21)+COUNTIF($E107:$E110,$A$3))</f>
        <v/>
      </c>
      <c r="BH110" s="92" t="n">
        <f aca="false">IF($F110="","",COUNTIF($F107:$F110,BD$21)+COUNTIF($F107:$F110,$A$3))</f>
        <v>0</v>
      </c>
      <c r="BJ110" s="91" t="n">
        <f aca="false">IF($B110="","",COUNTIF($B107:$B110,BJ$21)+COUNTIF($B107:$B110,$A$3))</f>
        <v>1</v>
      </c>
      <c r="BK110" s="73" t="n">
        <f aca="false">IF($C110="","",COUNTIF($C107:$C110,BJ$21)+COUNTIF($C107:$C110,$A$3))</f>
        <v>0</v>
      </c>
      <c r="BL110" s="73" t="n">
        <f aca="false">IF($D110="","",COUNTIF($D107:$D110,BJ$21)+COUNTIF($D107:$D110,$A$3))</f>
        <v>0</v>
      </c>
      <c r="BM110" s="73" t="str">
        <f aca="false">IF($E110="","",COUNTIF($E107:$E110,BJ$21)+COUNTIF($E107:$E110,$A$3))</f>
        <v/>
      </c>
      <c r="BN110" s="92" t="n">
        <f aca="false">IF($F110="","",COUNTIF($F107:$F110,BJ$21)+COUNTIF($F107:$F110,$A$3))</f>
        <v>0</v>
      </c>
      <c r="BP110" s="91" t="n">
        <f aca="false">IF($B110="","",COUNTIF($B107:$B110,BP$21)+COUNTIF($B107:$B110,$A$3))</f>
        <v>1</v>
      </c>
      <c r="BQ110" s="73" t="n">
        <f aca="false">IF($C110="","",COUNTIF($C107:$C110,BP$21)+COUNTIF($C107:$C110,$A$3))</f>
        <v>0</v>
      </c>
      <c r="BR110" s="73" t="n">
        <f aca="false">IF($D110="","",COUNTIF($D107:$D110,BP$21)+COUNTIF($D107:$D110,$A$3))</f>
        <v>0</v>
      </c>
      <c r="BS110" s="73" t="str">
        <f aca="false">IF($E110="","",COUNTIF($E107:$E110,BP$21)+COUNTIF($E107:$E110,$A$3))</f>
        <v/>
      </c>
      <c r="BT110" s="92" t="n">
        <f aca="false">IF($F110="","",COUNTIF($F107:$F110,BP$21)+COUNTIF($F107:$F110,$A$3))</f>
        <v>0</v>
      </c>
    </row>
    <row r="111" customFormat="false" ht="15" hidden="false" customHeight="false" outlineLevel="0" collapsed="false">
      <c r="A111" s="13" t="n">
        <v>89</v>
      </c>
      <c r="B111" s="116" t="str">
        <f aca="false">IF('Game Info'!Q94="","",'Game Info'!Q94)</f>
        <v>SYM3</v>
      </c>
      <c r="C111" s="116" t="str">
        <f aca="false">IF('Game Info'!R94="","",'Game Info'!R94)</f>
        <v>SYM5</v>
      </c>
      <c r="D111" s="116" t="str">
        <f aca="false">IF('Game Info'!S94="","",'Game Info'!S94)</f>
        <v>Q</v>
      </c>
      <c r="E111" s="116" t="str">
        <f aca="false">IF('Game Info'!T94="","",'Game Info'!T94)</f>
        <v/>
      </c>
      <c r="F111" s="117" t="str">
        <f aca="false">IF('Game Info'!U94="","",'Game Info'!U94)</f>
        <v>K</v>
      </c>
      <c r="H111" s="91" t="n">
        <f aca="false">IF($B111="","",COUNTIF($B108:$B111,H$21)+COUNTIF($B108:$B111,$A$3))</f>
        <v>0</v>
      </c>
      <c r="I111" s="73" t="n">
        <f aca="false">IF($C111="","",COUNTIF($C108:$C111,H$21)+COUNTIF($C108:$C111,$A$3))</f>
        <v>0</v>
      </c>
      <c r="J111" s="73" t="n">
        <f aca="false">IF($D111="","",COUNTIF($D108:$D111,H$21)+COUNTIF($D108:$D111,$A$3))</f>
        <v>1</v>
      </c>
      <c r="K111" s="73" t="str">
        <f aca="false">IF($E111="","",COUNTIF($E108:$E111,H$21)+COUNTIF($E108:$E111,$A$3))</f>
        <v/>
      </c>
      <c r="L111" s="92" t="n">
        <f aca="false">IF($F111="","",COUNTIF($F108:$F111,H$21)+COUNTIF($F108:$F111,$A$3))</f>
        <v>0</v>
      </c>
      <c r="N111" s="91" t="n">
        <f aca="false">IF($B111="","",COUNTIF($B108:$B111,N$21)+COUNTIF($B108:$B111,$A$3))</f>
        <v>1</v>
      </c>
      <c r="O111" s="73" t="n">
        <f aca="false">IF($C111="","",COUNTIF($C108:$C111,N$21)+COUNTIF($C108:$C111,$A$3))</f>
        <v>0</v>
      </c>
      <c r="P111" s="73" t="n">
        <f aca="false">IF($D111="","",COUNTIF($D108:$D111,N$21)+COUNTIF($D108:$D111,$A$3))</f>
        <v>0</v>
      </c>
      <c r="Q111" s="73" t="str">
        <f aca="false">IF($E111="","",COUNTIF($E108:$E111,N$21)+COUNTIF($E108:$E111,$A$3))</f>
        <v/>
      </c>
      <c r="R111" s="92" t="n">
        <f aca="false">IF($F111="","",COUNTIF($F108:$F111,N$21)+COUNTIF($F108:$F111,$A$3))</f>
        <v>0</v>
      </c>
      <c r="T111" s="91" t="n">
        <f aca="false">IF($B111="","",COUNTIF($B108:$B111,T$21)+COUNTIF($B108:$B111,$A$3))</f>
        <v>1</v>
      </c>
      <c r="U111" s="73" t="n">
        <f aca="false">IF($C111="","",COUNTIF($C108:$C111,T$21)+COUNTIF($C108:$C111,$A$3))</f>
        <v>0</v>
      </c>
      <c r="V111" s="73" t="n">
        <f aca="false">IF($D111="","",COUNTIF($D108:$D111,T$21)+COUNTIF($D108:$D111,$A$3))</f>
        <v>0</v>
      </c>
      <c r="W111" s="73" t="str">
        <f aca="false">IF($E111="","",COUNTIF($E108:$E111,T$21)+COUNTIF($E108:$E111,$A$3))</f>
        <v/>
      </c>
      <c r="X111" s="92" t="n">
        <f aca="false">IF($F111="","",COUNTIF($F108:$F111,T$21)+COUNTIF($F108:$F111,$A$3))</f>
        <v>0</v>
      </c>
      <c r="Z111" s="91" t="n">
        <f aca="false">IF($B111="","",COUNTIF($B108:$B111,Z$21)+COUNTIF($B108:$B111,$A$3))</f>
        <v>0</v>
      </c>
      <c r="AA111" s="73" t="n">
        <f aca="false">IF($C111="","",COUNTIF($C108:$C111,Z$21)+COUNTIF($C108:$C111,$A$3))</f>
        <v>0</v>
      </c>
      <c r="AB111" s="73" t="n">
        <f aca="false">IF($D111="","",COUNTIF($D108:$D111,Z$21)+COUNTIF($D108:$D111,$A$3))</f>
        <v>0</v>
      </c>
      <c r="AC111" s="73" t="str">
        <f aca="false">IF($E111="","",COUNTIF($E108:$E111,Z$21)+COUNTIF($E108:$E111,$A$3))</f>
        <v/>
      </c>
      <c r="AD111" s="92" t="n">
        <f aca="false">IF($F111="","",COUNTIF($F108:$F111,Z$21)+COUNTIF($F108:$F111,$A$3))</f>
        <v>1</v>
      </c>
      <c r="AF111" s="91" t="n">
        <f aca="false">IF($B111="","",COUNTIF($B108:$B111,AF$21)+COUNTIF($B108:$B111,$A$3))</f>
        <v>0</v>
      </c>
      <c r="AG111" s="73" t="n">
        <f aca="false">IF($C111="","",COUNTIF($C108:$C111,AF$21)+COUNTIF($C108:$C111,$A$3))</f>
        <v>2</v>
      </c>
      <c r="AH111" s="73" t="n">
        <f aca="false">IF($D111="","",COUNTIF($D108:$D111,AF$21)+COUNTIF($D108:$D111,$A$3))</f>
        <v>0</v>
      </c>
      <c r="AI111" s="73" t="str">
        <f aca="false">IF($E111="","",COUNTIF($E108:$E111,AF$21)+COUNTIF($E108:$E111,$A$3))</f>
        <v/>
      </c>
      <c r="AJ111" s="92" t="n">
        <f aca="false">IF($F111="","",COUNTIF($F108:$F111,AF$21)+COUNTIF($F108:$F111,$A$3))</f>
        <v>0</v>
      </c>
      <c r="AL111" s="91" t="n">
        <f aca="false">IF($B111="","",COUNTIF($B108:$B111,AL$21)+COUNTIF($B108:$B111,$A$3))</f>
        <v>0</v>
      </c>
      <c r="AM111" s="73" t="n">
        <f aca="false">IF($C111="","",COUNTIF($C108:$C111,AL$21)+COUNTIF($C108:$C111,$A$3))</f>
        <v>0</v>
      </c>
      <c r="AN111" s="73" t="n">
        <f aca="false">IF($D111="","",COUNTIF($D108:$D111,AL$21)+COUNTIF($D108:$D111,$A$3))</f>
        <v>1</v>
      </c>
      <c r="AO111" s="73" t="str">
        <f aca="false">IF($E111="","",COUNTIF($E108:$E111,AL$21)+COUNTIF($E108:$E111,$A$3))</f>
        <v/>
      </c>
      <c r="AP111" s="92" t="n">
        <f aca="false">IF($F111="","",COUNTIF($F108:$F111,AL$21)+COUNTIF($F108:$F111,$A$3))</f>
        <v>0</v>
      </c>
      <c r="AR111" s="91" t="n">
        <f aca="false">IF($B111="","",COUNTIF($B108:$B111,AR$21)+COUNTIF($B108:$B111,$A$3))</f>
        <v>0</v>
      </c>
      <c r="AS111" s="73" t="n">
        <f aca="false">IF($C111="","",COUNTIF($C108:$C111,AR$21)+COUNTIF($C108:$C111,$A$3))</f>
        <v>1</v>
      </c>
      <c r="AT111" s="73" t="n">
        <f aca="false">IF($D111="","",COUNTIF($D108:$D111,AR$21)+COUNTIF($D108:$D111,$A$3))</f>
        <v>0</v>
      </c>
      <c r="AU111" s="73" t="str">
        <f aca="false">IF($E111="","",COUNTIF($E108:$E111,AR$21)+COUNTIF($E108:$E111,$A$3))</f>
        <v/>
      </c>
      <c r="AV111" s="92" t="n">
        <f aca="false">IF($F111="","",COUNTIF($F108:$F111,AR$21)+COUNTIF($F108:$F111,$A$3))</f>
        <v>2</v>
      </c>
      <c r="AX111" s="91" t="n">
        <f aca="false">IF($B111="","",COUNTIF($B108:$B111,AX$21)+COUNTIF($B108:$B111,$A$3))</f>
        <v>0</v>
      </c>
      <c r="AY111" s="73" t="n">
        <f aca="false">IF($C111="","",COUNTIF($C108:$C111,AX$21)+COUNTIF($C108:$C111,$A$3))</f>
        <v>1</v>
      </c>
      <c r="AZ111" s="73" t="n">
        <f aca="false">IF($D111="","",COUNTIF($D108:$D111,AX$21)+COUNTIF($D108:$D111,$A$3))</f>
        <v>1</v>
      </c>
      <c r="BA111" s="73" t="str">
        <f aca="false">IF($E111="","",COUNTIF($E108:$E111,AX$21)+COUNTIF($E108:$E111,$A$3))</f>
        <v/>
      </c>
      <c r="BB111" s="92" t="n">
        <f aca="false">IF($F111="","",COUNTIF($F108:$F111,AX$21)+COUNTIF($F108:$F111,$A$3))</f>
        <v>1</v>
      </c>
      <c r="BD111" s="91" t="n">
        <f aca="false">IF($B111="","",COUNTIF($B108:$B111,BD$21)+COUNTIF($B108:$B111,$A$3))</f>
        <v>0</v>
      </c>
      <c r="BE111" s="73" t="n">
        <f aca="false">IF($C111="","",COUNTIF($C108:$C111,BD$21)+COUNTIF($C108:$C111,$A$3))</f>
        <v>0</v>
      </c>
      <c r="BF111" s="73" t="n">
        <f aca="false">IF($D111="","",COUNTIF($D108:$D111,BD$21)+COUNTIF($D108:$D111,$A$3))</f>
        <v>1</v>
      </c>
      <c r="BG111" s="73" t="str">
        <f aca="false">IF($E111="","",COUNTIF($E108:$E111,BD$21)+COUNTIF($E108:$E111,$A$3))</f>
        <v/>
      </c>
      <c r="BH111" s="92" t="n">
        <f aca="false">IF($F111="","",COUNTIF($F108:$F111,BD$21)+COUNTIF($F108:$F111,$A$3))</f>
        <v>0</v>
      </c>
      <c r="BJ111" s="91" t="n">
        <f aca="false">IF($B111="","",COUNTIF($B108:$B111,BJ$21)+COUNTIF($B108:$B111,$A$3))</f>
        <v>1</v>
      </c>
      <c r="BK111" s="73" t="n">
        <f aca="false">IF($C111="","",COUNTIF($C108:$C111,BJ$21)+COUNTIF($C108:$C111,$A$3))</f>
        <v>0</v>
      </c>
      <c r="BL111" s="73" t="n">
        <f aca="false">IF($D111="","",COUNTIF($D108:$D111,BJ$21)+COUNTIF($D108:$D111,$A$3))</f>
        <v>0</v>
      </c>
      <c r="BM111" s="73" t="str">
        <f aca="false">IF($E111="","",COUNTIF($E108:$E111,BJ$21)+COUNTIF($E108:$E111,$A$3))</f>
        <v/>
      </c>
      <c r="BN111" s="92" t="n">
        <f aca="false">IF($F111="","",COUNTIF($F108:$F111,BJ$21)+COUNTIF($F108:$F111,$A$3))</f>
        <v>0</v>
      </c>
      <c r="BP111" s="91" t="n">
        <f aca="false">IF($B111="","",COUNTIF($B108:$B111,BP$21)+COUNTIF($B108:$B111,$A$3))</f>
        <v>1</v>
      </c>
      <c r="BQ111" s="73" t="n">
        <f aca="false">IF($C111="","",COUNTIF($C108:$C111,BP$21)+COUNTIF($C108:$C111,$A$3))</f>
        <v>0</v>
      </c>
      <c r="BR111" s="73" t="n">
        <f aca="false">IF($D111="","",COUNTIF($D108:$D111,BP$21)+COUNTIF($D108:$D111,$A$3))</f>
        <v>0</v>
      </c>
      <c r="BS111" s="73" t="str">
        <f aca="false">IF($E111="","",COUNTIF($E108:$E111,BP$21)+COUNTIF($E108:$E111,$A$3))</f>
        <v/>
      </c>
      <c r="BT111" s="92" t="n">
        <f aca="false">IF($F111="","",COUNTIF($F108:$F111,BP$21)+COUNTIF($F108:$F111,$A$3))</f>
        <v>0</v>
      </c>
    </row>
    <row r="112" customFormat="false" ht="15" hidden="false" customHeight="false" outlineLevel="0" collapsed="false">
      <c r="A112" s="13" t="n">
        <v>90</v>
      </c>
      <c r="B112" s="116" t="str">
        <f aca="false">IF('Game Info'!Q95="","",'Game Info'!Q95)</f>
        <v>Q</v>
      </c>
      <c r="C112" s="116" t="str">
        <f aca="false">IF('Game Info'!R95="","",'Game Info'!R95)</f>
        <v>J</v>
      </c>
      <c r="D112" s="116" t="str">
        <f aca="false">IF('Game Info'!S95="","",'Game Info'!S95)</f>
        <v>SYM3</v>
      </c>
      <c r="E112" s="116" t="str">
        <f aca="false">IF('Game Info'!T95="","",'Game Info'!T95)</f>
        <v/>
      </c>
      <c r="F112" s="117" t="str">
        <f aca="false">IF('Game Info'!U95="","",'Game Info'!U95)</f>
        <v>SYM1</v>
      </c>
      <c r="H112" s="91" t="n">
        <f aca="false">IF($B112="","",COUNTIF($B109:$B112,H$21)+COUNTIF($B109:$B112,$A$3))</f>
        <v>0</v>
      </c>
      <c r="I112" s="73" t="n">
        <f aca="false">IF($C112="","",COUNTIF($C109:$C112,H$21)+COUNTIF($C109:$C112,$A$3))</f>
        <v>0</v>
      </c>
      <c r="J112" s="73" t="n">
        <f aca="false">IF($D112="","",COUNTIF($D109:$D112,H$21)+COUNTIF($D109:$D112,$A$3))</f>
        <v>1</v>
      </c>
      <c r="K112" s="73" t="str">
        <f aca="false">IF($E112="","",COUNTIF($E109:$E112,H$21)+COUNTIF($E109:$E112,$A$3))</f>
        <v/>
      </c>
      <c r="L112" s="92" t="n">
        <f aca="false">IF($F112="","",COUNTIF($F109:$F112,H$21)+COUNTIF($F109:$F112,$A$3))</f>
        <v>1</v>
      </c>
      <c r="N112" s="91" t="n">
        <f aca="false">IF($B112="","",COUNTIF($B109:$B112,N$21)+COUNTIF($B109:$B112,$A$3))</f>
        <v>1</v>
      </c>
      <c r="O112" s="73" t="n">
        <f aca="false">IF($C112="","",COUNTIF($C109:$C112,N$21)+COUNTIF($C109:$C112,$A$3))</f>
        <v>0</v>
      </c>
      <c r="P112" s="73" t="n">
        <f aca="false">IF($D112="","",COUNTIF($D109:$D112,N$21)+COUNTIF($D109:$D112,$A$3))</f>
        <v>0</v>
      </c>
      <c r="Q112" s="73" t="str">
        <f aca="false">IF($E112="","",COUNTIF($E109:$E112,N$21)+COUNTIF($E109:$E112,$A$3))</f>
        <v/>
      </c>
      <c r="R112" s="92" t="n">
        <f aca="false">IF($F112="","",COUNTIF($F109:$F112,N$21)+COUNTIF($F109:$F112,$A$3))</f>
        <v>0</v>
      </c>
      <c r="T112" s="91" t="n">
        <f aca="false">IF($B112="","",COUNTIF($B109:$B112,T$21)+COUNTIF($B109:$B112,$A$3))</f>
        <v>1</v>
      </c>
      <c r="U112" s="73" t="n">
        <f aca="false">IF($C112="","",COUNTIF($C109:$C112,T$21)+COUNTIF($C109:$C112,$A$3))</f>
        <v>0</v>
      </c>
      <c r="V112" s="73" t="n">
        <f aca="false">IF($D112="","",COUNTIF($D109:$D112,T$21)+COUNTIF($D109:$D112,$A$3))</f>
        <v>1</v>
      </c>
      <c r="W112" s="73" t="str">
        <f aca="false">IF($E112="","",COUNTIF($E109:$E112,T$21)+COUNTIF($E109:$E112,$A$3))</f>
        <v/>
      </c>
      <c r="X112" s="92" t="n">
        <f aca="false">IF($F112="","",COUNTIF($F109:$F112,T$21)+COUNTIF($F109:$F112,$A$3))</f>
        <v>0</v>
      </c>
      <c r="Z112" s="91" t="n">
        <f aca="false">IF($B112="","",COUNTIF($B109:$B112,Z$21)+COUNTIF($B109:$B112,$A$3))</f>
        <v>0</v>
      </c>
      <c r="AA112" s="73" t="n">
        <f aca="false">IF($C112="","",COUNTIF($C109:$C112,Z$21)+COUNTIF($C109:$C112,$A$3))</f>
        <v>0</v>
      </c>
      <c r="AB112" s="73" t="n">
        <f aca="false">IF($D112="","",COUNTIF($D109:$D112,Z$21)+COUNTIF($D109:$D112,$A$3))</f>
        <v>0</v>
      </c>
      <c r="AC112" s="73" t="str">
        <f aca="false">IF($E112="","",COUNTIF($E109:$E112,Z$21)+COUNTIF($E109:$E112,$A$3))</f>
        <v/>
      </c>
      <c r="AD112" s="92" t="n">
        <f aca="false">IF($F112="","",COUNTIF($F109:$F112,Z$21)+COUNTIF($F109:$F112,$A$3))</f>
        <v>1</v>
      </c>
      <c r="AF112" s="91" t="n">
        <f aca="false">IF($B112="","",COUNTIF($B109:$B112,AF$21)+COUNTIF($B109:$B112,$A$3))</f>
        <v>0</v>
      </c>
      <c r="AG112" s="73" t="n">
        <f aca="false">IF($C112="","",COUNTIF($C109:$C112,AF$21)+COUNTIF($C109:$C112,$A$3))</f>
        <v>2</v>
      </c>
      <c r="AH112" s="73" t="n">
        <f aca="false">IF($D112="","",COUNTIF($D109:$D112,AF$21)+COUNTIF($D109:$D112,$A$3))</f>
        <v>0</v>
      </c>
      <c r="AI112" s="73" t="str">
        <f aca="false">IF($E112="","",COUNTIF($E109:$E112,AF$21)+COUNTIF($E109:$E112,$A$3))</f>
        <v/>
      </c>
      <c r="AJ112" s="92" t="n">
        <f aca="false">IF($F112="","",COUNTIF($F109:$F112,AF$21)+COUNTIF($F109:$F112,$A$3))</f>
        <v>0</v>
      </c>
      <c r="AL112" s="91" t="n">
        <f aca="false">IF($B112="","",COUNTIF($B109:$B112,AL$21)+COUNTIF($B109:$B112,$A$3))</f>
        <v>0</v>
      </c>
      <c r="AM112" s="73" t="n">
        <f aca="false">IF($C112="","",COUNTIF($C109:$C112,AL$21)+COUNTIF($C109:$C112,$A$3))</f>
        <v>0</v>
      </c>
      <c r="AN112" s="73" t="n">
        <f aca="false">IF($D112="","",COUNTIF($D109:$D112,AL$21)+COUNTIF($D109:$D112,$A$3))</f>
        <v>0</v>
      </c>
      <c r="AO112" s="73" t="str">
        <f aca="false">IF($E112="","",COUNTIF($E109:$E112,AL$21)+COUNTIF($E109:$E112,$A$3))</f>
        <v/>
      </c>
      <c r="AP112" s="92" t="n">
        <f aca="false">IF($F112="","",COUNTIF($F109:$F112,AL$21)+COUNTIF($F109:$F112,$A$3))</f>
        <v>0</v>
      </c>
      <c r="AR112" s="91" t="n">
        <f aca="false">IF($B112="","",COUNTIF($B109:$B112,AR$21)+COUNTIF($B109:$B112,$A$3))</f>
        <v>0</v>
      </c>
      <c r="AS112" s="73" t="n">
        <f aca="false">IF($C112="","",COUNTIF($C109:$C112,AR$21)+COUNTIF($C109:$C112,$A$3))</f>
        <v>1</v>
      </c>
      <c r="AT112" s="73" t="n">
        <f aca="false">IF($D112="","",COUNTIF($D109:$D112,AR$21)+COUNTIF($D109:$D112,$A$3))</f>
        <v>0</v>
      </c>
      <c r="AU112" s="73" t="str">
        <f aca="false">IF($E112="","",COUNTIF($E109:$E112,AR$21)+COUNTIF($E109:$E112,$A$3))</f>
        <v/>
      </c>
      <c r="AV112" s="92" t="n">
        <f aca="false">IF($F112="","",COUNTIF($F109:$F112,AR$21)+COUNTIF($F109:$F112,$A$3))</f>
        <v>1</v>
      </c>
      <c r="AX112" s="91" t="n">
        <f aca="false">IF($B112="","",COUNTIF($B109:$B112,AX$21)+COUNTIF($B109:$B112,$A$3))</f>
        <v>1</v>
      </c>
      <c r="AY112" s="73" t="n">
        <f aca="false">IF($C112="","",COUNTIF($C109:$C112,AX$21)+COUNTIF($C109:$C112,$A$3))</f>
        <v>0</v>
      </c>
      <c r="AZ112" s="73" t="n">
        <f aca="false">IF($D112="","",COUNTIF($D109:$D112,AX$21)+COUNTIF($D109:$D112,$A$3))</f>
        <v>1</v>
      </c>
      <c r="BA112" s="73" t="str">
        <f aca="false">IF($E112="","",COUNTIF($E109:$E112,AX$21)+COUNTIF($E109:$E112,$A$3))</f>
        <v/>
      </c>
      <c r="BB112" s="92" t="n">
        <f aca="false">IF($F112="","",COUNTIF($F109:$F112,AX$21)+COUNTIF($F109:$F112,$A$3))</f>
        <v>1</v>
      </c>
      <c r="BD112" s="91" t="n">
        <f aca="false">IF($B112="","",COUNTIF($B109:$B112,BD$21)+COUNTIF($B109:$B112,$A$3))</f>
        <v>0</v>
      </c>
      <c r="BE112" s="73" t="n">
        <f aca="false">IF($C112="","",COUNTIF($C109:$C112,BD$21)+COUNTIF($C109:$C112,$A$3))</f>
        <v>1</v>
      </c>
      <c r="BF112" s="73" t="n">
        <f aca="false">IF($D112="","",COUNTIF($D109:$D112,BD$21)+COUNTIF($D109:$D112,$A$3))</f>
        <v>1</v>
      </c>
      <c r="BG112" s="73" t="str">
        <f aca="false">IF($E112="","",COUNTIF($E109:$E112,BD$21)+COUNTIF($E109:$E112,$A$3))</f>
        <v/>
      </c>
      <c r="BH112" s="92" t="n">
        <f aca="false">IF($F112="","",COUNTIF($F109:$F112,BD$21)+COUNTIF($F109:$F112,$A$3))</f>
        <v>0</v>
      </c>
      <c r="BJ112" s="91" t="n">
        <f aca="false">IF($B112="","",COUNTIF($B109:$B112,BJ$21)+COUNTIF($B109:$B112,$A$3))</f>
        <v>0</v>
      </c>
      <c r="BK112" s="73" t="n">
        <f aca="false">IF($C112="","",COUNTIF($C109:$C112,BJ$21)+COUNTIF($C109:$C112,$A$3))</f>
        <v>0</v>
      </c>
      <c r="BL112" s="73" t="n">
        <f aca="false">IF($D112="","",COUNTIF($D109:$D112,BJ$21)+COUNTIF($D109:$D112,$A$3))</f>
        <v>0</v>
      </c>
      <c r="BM112" s="73" t="str">
        <f aca="false">IF($E112="","",COUNTIF($E109:$E112,BJ$21)+COUNTIF($E109:$E112,$A$3))</f>
        <v/>
      </c>
      <c r="BN112" s="92" t="n">
        <f aca="false">IF($F112="","",COUNTIF($F109:$F112,BJ$21)+COUNTIF($F109:$F112,$A$3))</f>
        <v>0</v>
      </c>
      <c r="BP112" s="91" t="n">
        <f aca="false">IF($B112="","",COUNTIF($B109:$B112,BP$21)+COUNTIF($B109:$B112,$A$3))</f>
        <v>1</v>
      </c>
      <c r="BQ112" s="73" t="n">
        <f aca="false">IF($C112="","",COUNTIF($C109:$C112,BP$21)+COUNTIF($C109:$C112,$A$3))</f>
        <v>0</v>
      </c>
      <c r="BR112" s="73" t="n">
        <f aca="false">IF($D112="","",COUNTIF($D109:$D112,BP$21)+COUNTIF($D109:$D112,$A$3))</f>
        <v>0</v>
      </c>
      <c r="BS112" s="73" t="str">
        <f aca="false">IF($E112="","",COUNTIF($E109:$E112,BP$21)+COUNTIF($E109:$E112,$A$3))</f>
        <v/>
      </c>
      <c r="BT112" s="92" t="n">
        <f aca="false">IF($F112="","",COUNTIF($F109:$F112,BP$21)+COUNTIF($F109:$F112,$A$3))</f>
        <v>0</v>
      </c>
    </row>
    <row r="113" customFormat="false" ht="15" hidden="false" customHeight="false" outlineLevel="0" collapsed="false">
      <c r="A113" s="13" t="n">
        <v>91</v>
      </c>
      <c r="B113" s="116" t="str">
        <f aca="false">IF('Game Info'!Q96="","",'Game Info'!Q96)</f>
        <v>SYM1</v>
      </c>
      <c r="C113" s="116" t="n">
        <f aca="false">IF('Game Info'!R96="","",'Game Info'!R96)</f>
        <v>9</v>
      </c>
      <c r="D113" s="116" t="str">
        <f aca="false">IF('Game Info'!S96="","",'Game Info'!S96)</f>
        <v>A</v>
      </c>
      <c r="E113" s="116" t="str">
        <f aca="false">IF('Game Info'!T96="","",'Game Info'!T96)</f>
        <v/>
      </c>
      <c r="F113" s="117" t="n">
        <f aca="false">IF('Game Info'!U96="","",'Game Info'!U96)</f>
        <v>10</v>
      </c>
      <c r="H113" s="91" t="n">
        <f aca="false">IF($B113="","",COUNTIF($B110:$B113,H$21)+COUNTIF($B110:$B113,$A$3))</f>
        <v>1</v>
      </c>
      <c r="I113" s="73" t="n">
        <f aca="false">IF($C113="","",COUNTIF($C110:$C113,H$21)+COUNTIF($C110:$C113,$A$3))</f>
        <v>0</v>
      </c>
      <c r="J113" s="73" t="n">
        <f aca="false">IF($D113="","",COUNTIF($D110:$D113,H$21)+COUNTIF($D110:$D113,$A$3))</f>
        <v>1</v>
      </c>
      <c r="K113" s="73" t="str">
        <f aca="false">IF($E113="","",COUNTIF($E110:$E113,H$21)+COUNTIF($E110:$E113,$A$3))</f>
        <v/>
      </c>
      <c r="L113" s="92" t="n">
        <f aca="false">IF($F113="","",COUNTIF($F110:$F113,H$21)+COUNTIF($F110:$F113,$A$3))</f>
        <v>1</v>
      </c>
      <c r="N113" s="91" t="n">
        <f aca="false">IF($B113="","",COUNTIF($B110:$B113,N$21)+COUNTIF($B110:$B113,$A$3))</f>
        <v>0</v>
      </c>
      <c r="O113" s="73" t="n">
        <f aca="false">IF($C113="","",COUNTIF($C110:$C113,N$21)+COUNTIF($C110:$C113,$A$3))</f>
        <v>0</v>
      </c>
      <c r="P113" s="73" t="n">
        <f aca="false">IF($D113="","",COUNTIF($D110:$D113,N$21)+COUNTIF($D110:$D113,$A$3))</f>
        <v>0</v>
      </c>
      <c r="Q113" s="73" t="str">
        <f aca="false">IF($E113="","",COUNTIF($E110:$E113,N$21)+COUNTIF($E110:$E113,$A$3))</f>
        <v/>
      </c>
      <c r="R113" s="92" t="n">
        <f aca="false">IF($F113="","",COUNTIF($F110:$F113,N$21)+COUNTIF($F110:$F113,$A$3))</f>
        <v>0</v>
      </c>
      <c r="T113" s="91" t="n">
        <f aca="false">IF($B113="","",COUNTIF($B110:$B113,T$21)+COUNTIF($B110:$B113,$A$3))</f>
        <v>1</v>
      </c>
      <c r="U113" s="73" t="n">
        <f aca="false">IF($C113="","",COUNTIF($C110:$C113,T$21)+COUNTIF($C110:$C113,$A$3))</f>
        <v>0</v>
      </c>
      <c r="V113" s="73" t="n">
        <f aca="false">IF($D113="","",COUNTIF($D110:$D113,T$21)+COUNTIF($D110:$D113,$A$3))</f>
        <v>1</v>
      </c>
      <c r="W113" s="73" t="str">
        <f aca="false">IF($E113="","",COUNTIF($E110:$E113,T$21)+COUNTIF($E110:$E113,$A$3))</f>
        <v/>
      </c>
      <c r="X113" s="92" t="n">
        <f aca="false">IF($F113="","",COUNTIF($F110:$F113,T$21)+COUNTIF($F110:$F113,$A$3))</f>
        <v>0</v>
      </c>
      <c r="Z113" s="91" t="n">
        <f aca="false">IF($B113="","",COUNTIF($B110:$B113,Z$21)+COUNTIF($B110:$B113,$A$3))</f>
        <v>0</v>
      </c>
      <c r="AA113" s="73" t="n">
        <f aca="false">IF($C113="","",COUNTIF($C110:$C113,Z$21)+COUNTIF($C110:$C113,$A$3))</f>
        <v>0</v>
      </c>
      <c r="AB113" s="73" t="n">
        <f aca="false">IF($D113="","",COUNTIF($D110:$D113,Z$21)+COUNTIF($D110:$D113,$A$3))</f>
        <v>0</v>
      </c>
      <c r="AC113" s="73" t="str">
        <f aca="false">IF($E113="","",COUNTIF($E110:$E113,Z$21)+COUNTIF($E110:$E113,$A$3))</f>
        <v/>
      </c>
      <c r="AD113" s="92" t="n">
        <f aca="false">IF($F113="","",COUNTIF($F110:$F113,Z$21)+COUNTIF($F110:$F113,$A$3))</f>
        <v>1</v>
      </c>
      <c r="AF113" s="91" t="n">
        <f aca="false">IF($B113="","",COUNTIF($B110:$B113,AF$21)+COUNTIF($B110:$B113,$A$3))</f>
        <v>0</v>
      </c>
      <c r="AG113" s="73" t="n">
        <f aca="false">IF($C113="","",COUNTIF($C110:$C113,AF$21)+COUNTIF($C110:$C113,$A$3))</f>
        <v>1</v>
      </c>
      <c r="AH113" s="73" t="n">
        <f aca="false">IF($D113="","",COUNTIF($D110:$D113,AF$21)+COUNTIF($D110:$D113,$A$3))</f>
        <v>0</v>
      </c>
      <c r="AI113" s="73" t="str">
        <f aca="false">IF($E113="","",COUNTIF($E110:$E113,AF$21)+COUNTIF($E110:$E113,$A$3))</f>
        <v/>
      </c>
      <c r="AJ113" s="92" t="n">
        <f aca="false">IF($F113="","",COUNTIF($F110:$F113,AF$21)+COUNTIF($F110:$F113,$A$3))</f>
        <v>0</v>
      </c>
      <c r="AL113" s="91" t="n">
        <f aca="false">IF($B113="","",COUNTIF($B110:$B113,AL$21)+COUNTIF($B110:$B113,$A$3))</f>
        <v>0</v>
      </c>
      <c r="AM113" s="73" t="n">
        <f aca="false">IF($C113="","",COUNTIF($C110:$C113,AL$21)+COUNTIF($C110:$C113,$A$3))</f>
        <v>0</v>
      </c>
      <c r="AN113" s="73" t="n">
        <f aca="false">IF($D113="","",COUNTIF($D110:$D113,AL$21)+COUNTIF($D110:$D113,$A$3))</f>
        <v>1</v>
      </c>
      <c r="AO113" s="73" t="str">
        <f aca="false">IF($E113="","",COUNTIF($E110:$E113,AL$21)+COUNTIF($E110:$E113,$A$3))</f>
        <v/>
      </c>
      <c r="AP113" s="92" t="n">
        <f aca="false">IF($F113="","",COUNTIF($F110:$F113,AL$21)+COUNTIF($F110:$F113,$A$3))</f>
        <v>0</v>
      </c>
      <c r="AR113" s="91" t="n">
        <f aca="false">IF($B113="","",COUNTIF($B110:$B113,AR$21)+COUNTIF($B110:$B113,$A$3))</f>
        <v>0</v>
      </c>
      <c r="AS113" s="73" t="n">
        <f aca="false">IF($C113="","",COUNTIF($C110:$C113,AR$21)+COUNTIF($C110:$C113,$A$3))</f>
        <v>1</v>
      </c>
      <c r="AT113" s="73" t="n">
        <f aca="false">IF($D113="","",COUNTIF($D110:$D113,AR$21)+COUNTIF($D110:$D113,$A$3))</f>
        <v>0</v>
      </c>
      <c r="AU113" s="73" t="str">
        <f aca="false">IF($E113="","",COUNTIF($E110:$E113,AR$21)+COUNTIF($E110:$E113,$A$3))</f>
        <v/>
      </c>
      <c r="AV113" s="92" t="n">
        <f aca="false">IF($F113="","",COUNTIF($F110:$F113,AR$21)+COUNTIF($F110:$F113,$A$3))</f>
        <v>1</v>
      </c>
      <c r="AX113" s="91" t="n">
        <f aca="false">IF($B113="","",COUNTIF($B110:$B113,AX$21)+COUNTIF($B110:$B113,$A$3))</f>
        <v>1</v>
      </c>
      <c r="AY113" s="73" t="n">
        <f aca="false">IF($C113="","",COUNTIF($C110:$C113,AX$21)+COUNTIF($C110:$C113,$A$3))</f>
        <v>0</v>
      </c>
      <c r="AZ113" s="73" t="n">
        <f aca="false">IF($D113="","",COUNTIF($D110:$D113,AX$21)+COUNTIF($D110:$D113,$A$3))</f>
        <v>1</v>
      </c>
      <c r="BA113" s="73" t="str">
        <f aca="false">IF($E113="","",COUNTIF($E110:$E113,AX$21)+COUNTIF($E110:$E113,$A$3))</f>
        <v/>
      </c>
      <c r="BB113" s="92" t="n">
        <f aca="false">IF($F113="","",COUNTIF($F110:$F113,AX$21)+COUNTIF($F110:$F113,$A$3))</f>
        <v>0</v>
      </c>
      <c r="BD113" s="91" t="n">
        <f aca="false">IF($B113="","",COUNTIF($B110:$B113,BD$21)+COUNTIF($B110:$B113,$A$3))</f>
        <v>0</v>
      </c>
      <c r="BE113" s="73" t="n">
        <f aca="false">IF($C113="","",COUNTIF($C110:$C113,BD$21)+COUNTIF($C110:$C113,$A$3))</f>
        <v>1</v>
      </c>
      <c r="BF113" s="73" t="n">
        <f aca="false">IF($D113="","",COUNTIF($D110:$D113,BD$21)+COUNTIF($D110:$D113,$A$3))</f>
        <v>0</v>
      </c>
      <c r="BG113" s="73" t="str">
        <f aca="false">IF($E113="","",COUNTIF($E110:$E113,BD$21)+COUNTIF($E110:$E113,$A$3))</f>
        <v/>
      </c>
      <c r="BH113" s="92" t="n">
        <f aca="false">IF($F113="","",COUNTIF($F110:$F113,BD$21)+COUNTIF($F110:$F113,$A$3))</f>
        <v>0</v>
      </c>
      <c r="BJ113" s="91" t="n">
        <f aca="false">IF($B113="","",COUNTIF($B110:$B113,BJ$21)+COUNTIF($B110:$B113,$A$3))</f>
        <v>0</v>
      </c>
      <c r="BK113" s="73" t="n">
        <f aca="false">IF($C113="","",COUNTIF($C110:$C113,BJ$21)+COUNTIF($C110:$C113,$A$3))</f>
        <v>0</v>
      </c>
      <c r="BL113" s="73" t="n">
        <f aca="false">IF($D113="","",COUNTIF($D110:$D113,BJ$21)+COUNTIF($D110:$D113,$A$3))</f>
        <v>0</v>
      </c>
      <c r="BM113" s="73" t="str">
        <f aca="false">IF($E113="","",COUNTIF($E110:$E113,BJ$21)+COUNTIF($E110:$E113,$A$3))</f>
        <v/>
      </c>
      <c r="BN113" s="92" t="n">
        <f aca="false">IF($F113="","",COUNTIF($F110:$F113,BJ$21)+COUNTIF($F110:$F113,$A$3))</f>
        <v>1</v>
      </c>
      <c r="BP113" s="91" t="n">
        <f aca="false">IF($B113="","",COUNTIF($B110:$B113,BP$21)+COUNTIF($B110:$B113,$A$3))</f>
        <v>1</v>
      </c>
      <c r="BQ113" s="73" t="n">
        <f aca="false">IF($C113="","",COUNTIF($C110:$C113,BP$21)+COUNTIF($C110:$C113,$A$3))</f>
        <v>1</v>
      </c>
      <c r="BR113" s="73" t="n">
        <f aca="false">IF($D113="","",COUNTIF($D110:$D113,BP$21)+COUNTIF($D110:$D113,$A$3))</f>
        <v>0</v>
      </c>
      <c r="BS113" s="73" t="str">
        <f aca="false">IF($E113="","",COUNTIF($E110:$E113,BP$21)+COUNTIF($E110:$E113,$A$3))</f>
        <v/>
      </c>
      <c r="BT113" s="92" t="n">
        <f aca="false">IF($F113="","",COUNTIF($F110:$F113,BP$21)+COUNTIF($F110:$F113,$A$3))</f>
        <v>0</v>
      </c>
    </row>
    <row r="114" customFormat="false" ht="15" hidden="false" customHeight="false" outlineLevel="0" collapsed="false">
      <c r="A114" s="13" t="n">
        <v>92</v>
      </c>
      <c r="B114" s="116" t="n">
        <f aca="false">IF('Game Info'!Q97="","",'Game Info'!Q97)</f>
        <v>10</v>
      </c>
      <c r="C114" s="116" t="n">
        <f aca="false">IF('Game Info'!R97="","",'Game Info'!R97)</f>
        <v>10</v>
      </c>
      <c r="D114" s="116" t="str">
        <f aca="false">IF('Game Info'!S97="","",'Game Info'!S97)</f>
        <v>SYM5</v>
      </c>
      <c r="E114" s="116" t="str">
        <f aca="false">IF('Game Info'!T97="","",'Game Info'!T97)</f>
        <v/>
      </c>
      <c r="F114" s="117" t="str">
        <f aca="false">IF('Game Info'!U97="","",'Game Info'!U97)</f>
        <v>SYM3</v>
      </c>
      <c r="H114" s="91" t="n">
        <f aca="false">IF($B114="","",COUNTIF($B111:$B114,H$21)+COUNTIF($B111:$B114,$A$3))</f>
        <v>1</v>
      </c>
      <c r="I114" s="73" t="n">
        <f aca="false">IF($C114="","",COUNTIF($C111:$C114,H$21)+COUNTIF($C111:$C114,$A$3))</f>
        <v>0</v>
      </c>
      <c r="J114" s="73" t="n">
        <f aca="false">IF($D114="","",COUNTIF($D111:$D114,H$21)+COUNTIF($D111:$D114,$A$3))</f>
        <v>0</v>
      </c>
      <c r="K114" s="73" t="str">
        <f aca="false">IF($E114="","",COUNTIF($E111:$E114,H$21)+COUNTIF($E111:$E114,$A$3))</f>
        <v/>
      </c>
      <c r="L114" s="92" t="n">
        <f aca="false">IF($F114="","",COUNTIF($F111:$F114,H$21)+COUNTIF($F111:$F114,$A$3))</f>
        <v>1</v>
      </c>
      <c r="N114" s="91" t="n">
        <f aca="false">IF($B114="","",COUNTIF($B111:$B114,N$21)+COUNTIF($B111:$B114,$A$3))</f>
        <v>0</v>
      </c>
      <c r="O114" s="73" t="n">
        <f aca="false">IF($C114="","",COUNTIF($C111:$C114,N$21)+COUNTIF($C111:$C114,$A$3))</f>
        <v>0</v>
      </c>
      <c r="P114" s="73" t="n">
        <f aca="false">IF($D114="","",COUNTIF($D111:$D114,N$21)+COUNTIF($D111:$D114,$A$3))</f>
        <v>0</v>
      </c>
      <c r="Q114" s="73" t="str">
        <f aca="false">IF($E114="","",COUNTIF($E111:$E114,N$21)+COUNTIF($E111:$E114,$A$3))</f>
        <v/>
      </c>
      <c r="R114" s="92" t="n">
        <f aca="false">IF($F114="","",COUNTIF($F111:$F114,N$21)+COUNTIF($F111:$F114,$A$3))</f>
        <v>0</v>
      </c>
      <c r="T114" s="91" t="n">
        <f aca="false">IF($B114="","",COUNTIF($B111:$B114,T$21)+COUNTIF($B111:$B114,$A$3))</f>
        <v>1</v>
      </c>
      <c r="U114" s="73" t="n">
        <f aca="false">IF($C114="","",COUNTIF($C111:$C114,T$21)+COUNTIF($C111:$C114,$A$3))</f>
        <v>0</v>
      </c>
      <c r="V114" s="73" t="n">
        <f aca="false">IF($D114="","",COUNTIF($D111:$D114,T$21)+COUNTIF($D111:$D114,$A$3))</f>
        <v>1</v>
      </c>
      <c r="W114" s="73" t="str">
        <f aca="false">IF($E114="","",COUNTIF($E111:$E114,T$21)+COUNTIF($E111:$E114,$A$3))</f>
        <v/>
      </c>
      <c r="X114" s="92" t="n">
        <f aca="false">IF($F114="","",COUNTIF($F111:$F114,T$21)+COUNTIF($F111:$F114,$A$3))</f>
        <v>1</v>
      </c>
      <c r="Z114" s="91" t="n">
        <f aca="false">IF($B114="","",COUNTIF($B111:$B114,Z$21)+COUNTIF($B111:$B114,$A$3))</f>
        <v>0</v>
      </c>
      <c r="AA114" s="73" t="n">
        <f aca="false">IF($C114="","",COUNTIF($C111:$C114,Z$21)+COUNTIF($C111:$C114,$A$3))</f>
        <v>0</v>
      </c>
      <c r="AB114" s="73" t="n">
        <f aca="false">IF($D114="","",COUNTIF($D111:$D114,Z$21)+COUNTIF($D111:$D114,$A$3))</f>
        <v>0</v>
      </c>
      <c r="AC114" s="73" t="str">
        <f aca="false">IF($E114="","",COUNTIF($E111:$E114,Z$21)+COUNTIF($E111:$E114,$A$3))</f>
        <v/>
      </c>
      <c r="AD114" s="92" t="n">
        <f aca="false">IF($F114="","",COUNTIF($F111:$F114,Z$21)+COUNTIF($F111:$F114,$A$3))</f>
        <v>0</v>
      </c>
      <c r="AF114" s="91" t="n">
        <f aca="false">IF($B114="","",COUNTIF($B111:$B114,AF$21)+COUNTIF($B111:$B114,$A$3))</f>
        <v>0</v>
      </c>
      <c r="AG114" s="73" t="n">
        <f aca="false">IF($C114="","",COUNTIF($C111:$C114,AF$21)+COUNTIF($C111:$C114,$A$3))</f>
        <v>1</v>
      </c>
      <c r="AH114" s="73" t="n">
        <f aca="false">IF($D114="","",COUNTIF($D111:$D114,AF$21)+COUNTIF($D111:$D114,$A$3))</f>
        <v>1</v>
      </c>
      <c r="AI114" s="73" t="str">
        <f aca="false">IF($E114="","",COUNTIF($E111:$E114,AF$21)+COUNTIF($E111:$E114,$A$3))</f>
        <v/>
      </c>
      <c r="AJ114" s="92" t="n">
        <f aca="false">IF($F114="","",COUNTIF($F111:$F114,AF$21)+COUNTIF($F111:$F114,$A$3))</f>
        <v>0</v>
      </c>
      <c r="AL114" s="91" t="n">
        <f aca="false">IF($B114="","",COUNTIF($B111:$B114,AL$21)+COUNTIF($B111:$B114,$A$3))</f>
        <v>0</v>
      </c>
      <c r="AM114" s="73" t="n">
        <f aca="false">IF($C114="","",COUNTIF($C111:$C114,AL$21)+COUNTIF($C111:$C114,$A$3))</f>
        <v>0</v>
      </c>
      <c r="AN114" s="73" t="n">
        <f aca="false">IF($D114="","",COUNTIF($D111:$D114,AL$21)+COUNTIF($D111:$D114,$A$3))</f>
        <v>1</v>
      </c>
      <c r="AO114" s="73" t="str">
        <f aca="false">IF($E114="","",COUNTIF($E111:$E114,AL$21)+COUNTIF($E111:$E114,$A$3))</f>
        <v/>
      </c>
      <c r="AP114" s="92" t="n">
        <f aca="false">IF($F114="","",COUNTIF($F111:$F114,AL$21)+COUNTIF($F111:$F114,$A$3))</f>
        <v>0</v>
      </c>
      <c r="AR114" s="91" t="n">
        <f aca="false">IF($B114="","",COUNTIF($B111:$B114,AR$21)+COUNTIF($B111:$B114,$A$3))</f>
        <v>0</v>
      </c>
      <c r="AS114" s="73" t="n">
        <f aca="false">IF($C114="","",COUNTIF($C111:$C114,AR$21)+COUNTIF($C111:$C114,$A$3))</f>
        <v>0</v>
      </c>
      <c r="AT114" s="73" t="n">
        <f aca="false">IF($D114="","",COUNTIF($D111:$D114,AR$21)+COUNTIF($D111:$D114,$A$3))</f>
        <v>0</v>
      </c>
      <c r="AU114" s="73" t="str">
        <f aca="false">IF($E114="","",COUNTIF($E111:$E114,AR$21)+COUNTIF($E111:$E114,$A$3))</f>
        <v/>
      </c>
      <c r="AV114" s="92" t="n">
        <f aca="false">IF($F114="","",COUNTIF($F111:$F114,AR$21)+COUNTIF($F111:$F114,$A$3))</f>
        <v>1</v>
      </c>
      <c r="AX114" s="91" t="n">
        <f aca="false">IF($B114="","",COUNTIF($B111:$B114,AX$21)+COUNTIF($B111:$B114,$A$3))</f>
        <v>1</v>
      </c>
      <c r="AY114" s="73" t="n">
        <f aca="false">IF($C114="","",COUNTIF($C111:$C114,AX$21)+COUNTIF($C111:$C114,$A$3))</f>
        <v>0</v>
      </c>
      <c r="AZ114" s="73" t="n">
        <f aca="false">IF($D114="","",COUNTIF($D111:$D114,AX$21)+COUNTIF($D111:$D114,$A$3))</f>
        <v>1</v>
      </c>
      <c r="BA114" s="73" t="str">
        <f aca="false">IF($E114="","",COUNTIF($E111:$E114,AX$21)+COUNTIF($E111:$E114,$A$3))</f>
        <v/>
      </c>
      <c r="BB114" s="92" t="n">
        <f aca="false">IF($F114="","",COUNTIF($F111:$F114,AX$21)+COUNTIF($F111:$F114,$A$3))</f>
        <v>0</v>
      </c>
      <c r="BD114" s="91" t="n">
        <f aca="false">IF($B114="","",COUNTIF($B111:$B114,BD$21)+COUNTIF($B111:$B114,$A$3))</f>
        <v>0</v>
      </c>
      <c r="BE114" s="73" t="n">
        <f aca="false">IF($C114="","",COUNTIF($C111:$C114,BD$21)+COUNTIF($C111:$C114,$A$3))</f>
        <v>1</v>
      </c>
      <c r="BF114" s="73" t="n">
        <f aca="false">IF($D114="","",COUNTIF($D111:$D114,BD$21)+COUNTIF($D111:$D114,$A$3))</f>
        <v>0</v>
      </c>
      <c r="BG114" s="73" t="str">
        <f aca="false">IF($E114="","",COUNTIF($E111:$E114,BD$21)+COUNTIF($E111:$E114,$A$3))</f>
        <v/>
      </c>
      <c r="BH114" s="92" t="n">
        <f aca="false">IF($F114="","",COUNTIF($F111:$F114,BD$21)+COUNTIF($F111:$F114,$A$3))</f>
        <v>0</v>
      </c>
      <c r="BJ114" s="91" t="n">
        <f aca="false">IF($B114="","",COUNTIF($B111:$B114,BJ$21)+COUNTIF($B111:$B114,$A$3))</f>
        <v>1</v>
      </c>
      <c r="BK114" s="73" t="n">
        <f aca="false">IF($C114="","",COUNTIF($C111:$C114,BJ$21)+COUNTIF($C111:$C114,$A$3))</f>
        <v>1</v>
      </c>
      <c r="BL114" s="73" t="n">
        <f aca="false">IF($D114="","",COUNTIF($D111:$D114,BJ$21)+COUNTIF($D111:$D114,$A$3))</f>
        <v>0</v>
      </c>
      <c r="BM114" s="73" t="str">
        <f aca="false">IF($E114="","",COUNTIF($E111:$E114,BJ$21)+COUNTIF($E111:$E114,$A$3))</f>
        <v/>
      </c>
      <c r="BN114" s="92" t="n">
        <f aca="false">IF($F114="","",COUNTIF($F111:$F114,BJ$21)+COUNTIF($F111:$F114,$A$3))</f>
        <v>1</v>
      </c>
      <c r="BP114" s="91" t="n">
        <f aca="false">IF($B114="","",COUNTIF($B111:$B114,BP$21)+COUNTIF($B111:$B114,$A$3))</f>
        <v>0</v>
      </c>
      <c r="BQ114" s="73" t="n">
        <f aca="false">IF($C114="","",COUNTIF($C111:$C114,BP$21)+COUNTIF($C111:$C114,$A$3))</f>
        <v>1</v>
      </c>
      <c r="BR114" s="73" t="n">
        <f aca="false">IF($D114="","",COUNTIF($D111:$D114,BP$21)+COUNTIF($D111:$D114,$A$3))</f>
        <v>0</v>
      </c>
      <c r="BS114" s="73" t="str">
        <f aca="false">IF($E114="","",COUNTIF($E111:$E114,BP$21)+COUNTIF($E111:$E114,$A$3))</f>
        <v/>
      </c>
      <c r="BT114" s="92" t="n">
        <f aca="false">IF($F114="","",COUNTIF($F111:$F114,BP$21)+COUNTIF($F111:$F114,$A$3))</f>
        <v>0</v>
      </c>
    </row>
    <row r="115" customFormat="false" ht="15" hidden="false" customHeight="false" outlineLevel="0" collapsed="false">
      <c r="A115" s="13" t="n">
        <v>93</v>
      </c>
      <c r="B115" s="116" t="str">
        <f aca="false">IF('Game Info'!Q98="","",'Game Info'!Q98)</f>
        <v>SYM3</v>
      </c>
      <c r="C115" s="116" t="str">
        <f aca="false">IF('Game Info'!R98="","",'Game Info'!R98)</f>
        <v>SYM2</v>
      </c>
      <c r="D115" s="116" t="str">
        <f aca="false">IF('Game Info'!S98="","",'Game Info'!S98)</f>
        <v>Q</v>
      </c>
      <c r="E115" s="116" t="str">
        <f aca="false">IF('Game Info'!T98="","",'Game Info'!T98)</f>
        <v/>
      </c>
      <c r="F115" s="117" t="str">
        <f aca="false">IF('Game Info'!U98="","",'Game Info'!U98)</f>
        <v>Q</v>
      </c>
      <c r="H115" s="91" t="n">
        <f aca="false">IF($B115="","",COUNTIF($B112:$B115,H$21)+COUNTIF($B112:$B115,$A$3))</f>
        <v>1</v>
      </c>
      <c r="I115" s="73" t="n">
        <f aca="false">IF($C115="","",COUNTIF($C112:$C115,H$21)+COUNTIF($C112:$C115,$A$3))</f>
        <v>0</v>
      </c>
      <c r="J115" s="73" t="n">
        <f aca="false">IF($D115="","",COUNTIF($D112:$D115,H$21)+COUNTIF($D112:$D115,$A$3))</f>
        <v>0</v>
      </c>
      <c r="K115" s="73" t="str">
        <f aca="false">IF($E115="","",COUNTIF($E112:$E115,H$21)+COUNTIF($E112:$E115,$A$3))</f>
        <v/>
      </c>
      <c r="L115" s="92" t="n">
        <f aca="false">IF($F115="","",COUNTIF($F112:$F115,H$21)+COUNTIF($F112:$F115,$A$3))</f>
        <v>1</v>
      </c>
      <c r="N115" s="91" t="n">
        <f aca="false">IF($B115="","",COUNTIF($B112:$B115,N$21)+COUNTIF($B112:$B115,$A$3))</f>
        <v>0</v>
      </c>
      <c r="O115" s="73" t="n">
        <f aca="false">IF($C115="","",COUNTIF($C112:$C115,N$21)+COUNTIF($C112:$C115,$A$3))</f>
        <v>1</v>
      </c>
      <c r="P115" s="73" t="n">
        <f aca="false">IF($D115="","",COUNTIF($D112:$D115,N$21)+COUNTIF($D112:$D115,$A$3))</f>
        <v>0</v>
      </c>
      <c r="Q115" s="73" t="str">
        <f aca="false">IF($E115="","",COUNTIF($E112:$E115,N$21)+COUNTIF($E112:$E115,$A$3))</f>
        <v/>
      </c>
      <c r="R115" s="92" t="n">
        <f aca="false">IF($F115="","",COUNTIF($F112:$F115,N$21)+COUNTIF($F112:$F115,$A$3))</f>
        <v>0</v>
      </c>
      <c r="T115" s="91" t="n">
        <f aca="false">IF($B115="","",COUNTIF($B112:$B115,T$21)+COUNTIF($B112:$B115,$A$3))</f>
        <v>1</v>
      </c>
      <c r="U115" s="73" t="n">
        <f aca="false">IF($C115="","",COUNTIF($C112:$C115,T$21)+COUNTIF($C112:$C115,$A$3))</f>
        <v>0</v>
      </c>
      <c r="V115" s="73" t="n">
        <f aca="false">IF($D115="","",COUNTIF($D112:$D115,T$21)+COUNTIF($D112:$D115,$A$3))</f>
        <v>1</v>
      </c>
      <c r="W115" s="73" t="str">
        <f aca="false">IF($E115="","",COUNTIF($E112:$E115,T$21)+COUNTIF($E112:$E115,$A$3))</f>
        <v/>
      </c>
      <c r="X115" s="92" t="n">
        <f aca="false">IF($F115="","",COUNTIF($F112:$F115,T$21)+COUNTIF($F112:$F115,$A$3))</f>
        <v>1</v>
      </c>
      <c r="Z115" s="91" t="n">
        <f aca="false">IF($B115="","",COUNTIF($B112:$B115,Z$21)+COUNTIF($B112:$B115,$A$3))</f>
        <v>0</v>
      </c>
      <c r="AA115" s="73" t="n">
        <f aca="false">IF($C115="","",COUNTIF($C112:$C115,Z$21)+COUNTIF($C112:$C115,$A$3))</f>
        <v>0</v>
      </c>
      <c r="AB115" s="73" t="n">
        <f aca="false">IF($D115="","",COUNTIF($D112:$D115,Z$21)+COUNTIF($D112:$D115,$A$3))</f>
        <v>0</v>
      </c>
      <c r="AC115" s="73" t="str">
        <f aca="false">IF($E115="","",COUNTIF($E112:$E115,Z$21)+COUNTIF($E112:$E115,$A$3))</f>
        <v/>
      </c>
      <c r="AD115" s="92" t="n">
        <f aca="false">IF($F115="","",COUNTIF($F112:$F115,Z$21)+COUNTIF($F112:$F115,$A$3))</f>
        <v>0</v>
      </c>
      <c r="AF115" s="91" t="n">
        <f aca="false">IF($B115="","",COUNTIF($B112:$B115,AF$21)+COUNTIF($B112:$B115,$A$3))</f>
        <v>0</v>
      </c>
      <c r="AG115" s="73" t="n">
        <f aca="false">IF($C115="","",COUNTIF($C112:$C115,AF$21)+COUNTIF($C112:$C115,$A$3))</f>
        <v>0</v>
      </c>
      <c r="AH115" s="73" t="n">
        <f aca="false">IF($D115="","",COUNTIF($D112:$D115,AF$21)+COUNTIF($D112:$D115,$A$3))</f>
        <v>1</v>
      </c>
      <c r="AI115" s="73" t="str">
        <f aca="false">IF($E115="","",COUNTIF($E112:$E115,AF$21)+COUNTIF($E112:$E115,$A$3))</f>
        <v/>
      </c>
      <c r="AJ115" s="92" t="n">
        <f aca="false">IF($F115="","",COUNTIF($F112:$F115,AF$21)+COUNTIF($F112:$F115,$A$3))</f>
        <v>0</v>
      </c>
      <c r="AL115" s="91" t="n">
        <f aca="false">IF($B115="","",COUNTIF($B112:$B115,AL$21)+COUNTIF($B112:$B115,$A$3))</f>
        <v>0</v>
      </c>
      <c r="AM115" s="73" t="n">
        <f aca="false">IF($C115="","",COUNTIF($C112:$C115,AL$21)+COUNTIF($C112:$C115,$A$3))</f>
        <v>0</v>
      </c>
      <c r="AN115" s="73" t="n">
        <f aca="false">IF($D115="","",COUNTIF($D112:$D115,AL$21)+COUNTIF($D112:$D115,$A$3))</f>
        <v>1</v>
      </c>
      <c r="AO115" s="73" t="str">
        <f aca="false">IF($E115="","",COUNTIF($E112:$E115,AL$21)+COUNTIF($E112:$E115,$A$3))</f>
        <v/>
      </c>
      <c r="AP115" s="92" t="n">
        <f aca="false">IF($F115="","",COUNTIF($F112:$F115,AL$21)+COUNTIF($F112:$F115,$A$3))</f>
        <v>0</v>
      </c>
      <c r="AR115" s="91" t="n">
        <f aca="false">IF($B115="","",COUNTIF($B112:$B115,AR$21)+COUNTIF($B112:$B115,$A$3))</f>
        <v>0</v>
      </c>
      <c r="AS115" s="73" t="n">
        <f aca="false">IF($C115="","",COUNTIF($C112:$C115,AR$21)+COUNTIF($C112:$C115,$A$3))</f>
        <v>0</v>
      </c>
      <c r="AT115" s="73" t="n">
        <f aca="false">IF($D115="","",COUNTIF($D112:$D115,AR$21)+COUNTIF($D112:$D115,$A$3))</f>
        <v>0</v>
      </c>
      <c r="AU115" s="73" t="str">
        <f aca="false">IF($E115="","",COUNTIF($E112:$E115,AR$21)+COUNTIF($E112:$E115,$A$3))</f>
        <v/>
      </c>
      <c r="AV115" s="92" t="n">
        <f aca="false">IF($F115="","",COUNTIF($F112:$F115,AR$21)+COUNTIF($F112:$F115,$A$3))</f>
        <v>0</v>
      </c>
      <c r="AX115" s="91" t="n">
        <f aca="false">IF($B115="","",COUNTIF($B112:$B115,AX$21)+COUNTIF($B112:$B115,$A$3))</f>
        <v>1</v>
      </c>
      <c r="AY115" s="73" t="n">
        <f aca="false">IF($C115="","",COUNTIF($C112:$C115,AX$21)+COUNTIF($C112:$C115,$A$3))</f>
        <v>0</v>
      </c>
      <c r="AZ115" s="73" t="n">
        <f aca="false">IF($D115="","",COUNTIF($D112:$D115,AX$21)+COUNTIF($D112:$D115,$A$3))</f>
        <v>1</v>
      </c>
      <c r="BA115" s="73" t="str">
        <f aca="false">IF($E115="","",COUNTIF($E112:$E115,AX$21)+COUNTIF($E112:$E115,$A$3))</f>
        <v/>
      </c>
      <c r="BB115" s="92" t="n">
        <f aca="false">IF($F115="","",COUNTIF($F112:$F115,AX$21)+COUNTIF($F112:$F115,$A$3))</f>
        <v>1</v>
      </c>
      <c r="BD115" s="91" t="n">
        <f aca="false">IF($B115="","",COUNTIF($B112:$B115,BD$21)+COUNTIF($B112:$B115,$A$3))</f>
        <v>0</v>
      </c>
      <c r="BE115" s="73" t="n">
        <f aca="false">IF($C115="","",COUNTIF($C112:$C115,BD$21)+COUNTIF($C112:$C115,$A$3))</f>
        <v>1</v>
      </c>
      <c r="BF115" s="73" t="n">
        <f aca="false">IF($D115="","",COUNTIF($D112:$D115,BD$21)+COUNTIF($D112:$D115,$A$3))</f>
        <v>0</v>
      </c>
      <c r="BG115" s="73" t="str">
        <f aca="false">IF($E115="","",COUNTIF($E112:$E115,BD$21)+COUNTIF($E112:$E115,$A$3))</f>
        <v/>
      </c>
      <c r="BH115" s="92" t="n">
        <f aca="false">IF($F115="","",COUNTIF($F112:$F115,BD$21)+COUNTIF($F112:$F115,$A$3))</f>
        <v>0</v>
      </c>
      <c r="BJ115" s="91" t="n">
        <f aca="false">IF($B115="","",COUNTIF($B112:$B115,BJ$21)+COUNTIF($B112:$B115,$A$3))</f>
        <v>1</v>
      </c>
      <c r="BK115" s="73" t="n">
        <f aca="false">IF($C115="","",COUNTIF($C112:$C115,BJ$21)+COUNTIF($C112:$C115,$A$3))</f>
        <v>1</v>
      </c>
      <c r="BL115" s="73" t="n">
        <f aca="false">IF($D115="","",COUNTIF($D112:$D115,BJ$21)+COUNTIF($D112:$D115,$A$3))</f>
        <v>0</v>
      </c>
      <c r="BM115" s="73" t="str">
        <f aca="false">IF($E115="","",COUNTIF($E112:$E115,BJ$21)+COUNTIF($E112:$E115,$A$3))</f>
        <v/>
      </c>
      <c r="BN115" s="92" t="n">
        <f aca="false">IF($F115="","",COUNTIF($F112:$F115,BJ$21)+COUNTIF($F112:$F115,$A$3))</f>
        <v>1</v>
      </c>
      <c r="BP115" s="91" t="n">
        <f aca="false">IF($B115="","",COUNTIF($B112:$B115,BP$21)+COUNTIF($B112:$B115,$A$3))</f>
        <v>0</v>
      </c>
      <c r="BQ115" s="73" t="n">
        <f aca="false">IF($C115="","",COUNTIF($C112:$C115,BP$21)+COUNTIF($C112:$C115,$A$3))</f>
        <v>1</v>
      </c>
      <c r="BR115" s="73" t="n">
        <f aca="false">IF($D115="","",COUNTIF($D112:$D115,BP$21)+COUNTIF($D112:$D115,$A$3))</f>
        <v>0</v>
      </c>
      <c r="BS115" s="73" t="str">
        <f aca="false">IF($E115="","",COUNTIF($E112:$E115,BP$21)+COUNTIF($E112:$E115,$A$3))</f>
        <v/>
      </c>
      <c r="BT115" s="92" t="n">
        <f aca="false">IF($F115="","",COUNTIF($F112:$F115,BP$21)+COUNTIF($F112:$F115,$A$3))</f>
        <v>0</v>
      </c>
    </row>
    <row r="116" customFormat="false" ht="15" hidden="false" customHeight="false" outlineLevel="0" collapsed="false">
      <c r="A116" s="13" t="n">
        <v>94</v>
      </c>
      <c r="B116" s="116" t="n">
        <f aca="false">IF('Game Info'!Q99="","",'Game Info'!Q99)</f>
        <v>9</v>
      </c>
      <c r="C116" s="116" t="str">
        <f aca="false">IF('Game Info'!R99="","",'Game Info'!R99)</f>
        <v>J</v>
      </c>
      <c r="D116" s="116" t="str">
        <f aca="false">IF('Game Info'!S99="","",'Game Info'!S99)</f>
        <v>SYM3</v>
      </c>
      <c r="E116" s="116" t="str">
        <f aca="false">IF('Game Info'!T99="","",'Game Info'!T99)</f>
        <v/>
      </c>
      <c r="F116" s="117" t="str">
        <f aca="false">IF('Game Info'!U99="","",'Game Info'!U99)</f>
        <v>A</v>
      </c>
      <c r="H116" s="91" t="n">
        <f aca="false">IF($B116="","",COUNTIF($B113:$B116,H$21)+COUNTIF($B113:$B116,$A$3))</f>
        <v>1</v>
      </c>
      <c r="I116" s="73" t="n">
        <f aca="false">IF($C116="","",COUNTIF($C113:$C116,H$21)+COUNTIF($C113:$C116,$A$3))</f>
        <v>0</v>
      </c>
      <c r="J116" s="73" t="n">
        <f aca="false">IF($D116="","",COUNTIF($D113:$D116,H$21)+COUNTIF($D113:$D116,$A$3))</f>
        <v>0</v>
      </c>
      <c r="K116" s="73" t="str">
        <f aca="false">IF($E116="","",COUNTIF($E113:$E116,H$21)+COUNTIF($E113:$E116,$A$3))</f>
        <v/>
      </c>
      <c r="L116" s="92" t="n">
        <f aca="false">IF($F116="","",COUNTIF($F113:$F116,H$21)+COUNTIF($F113:$F116,$A$3))</f>
        <v>0</v>
      </c>
      <c r="N116" s="91" t="n">
        <f aca="false">IF($B116="","",COUNTIF($B113:$B116,N$21)+COUNTIF($B113:$B116,$A$3))</f>
        <v>0</v>
      </c>
      <c r="O116" s="73" t="n">
        <f aca="false">IF($C116="","",COUNTIF($C113:$C116,N$21)+COUNTIF($C113:$C116,$A$3))</f>
        <v>1</v>
      </c>
      <c r="P116" s="73" t="n">
        <f aca="false">IF($D116="","",COUNTIF($D113:$D116,N$21)+COUNTIF($D113:$D116,$A$3))</f>
        <v>0</v>
      </c>
      <c r="Q116" s="73" t="str">
        <f aca="false">IF($E116="","",COUNTIF($E113:$E116,N$21)+COUNTIF($E113:$E116,$A$3))</f>
        <v/>
      </c>
      <c r="R116" s="92" t="n">
        <f aca="false">IF($F116="","",COUNTIF($F113:$F116,N$21)+COUNTIF($F113:$F116,$A$3))</f>
        <v>0</v>
      </c>
      <c r="T116" s="91" t="n">
        <f aca="false">IF($B116="","",COUNTIF($B113:$B116,T$21)+COUNTIF($B113:$B116,$A$3))</f>
        <v>1</v>
      </c>
      <c r="U116" s="73" t="n">
        <f aca="false">IF($C116="","",COUNTIF($C113:$C116,T$21)+COUNTIF($C113:$C116,$A$3))</f>
        <v>0</v>
      </c>
      <c r="V116" s="73" t="n">
        <f aca="false">IF($D116="","",COUNTIF($D113:$D116,T$21)+COUNTIF($D113:$D116,$A$3))</f>
        <v>1</v>
      </c>
      <c r="W116" s="73" t="str">
        <f aca="false">IF($E116="","",COUNTIF($E113:$E116,T$21)+COUNTIF($E113:$E116,$A$3))</f>
        <v/>
      </c>
      <c r="X116" s="92" t="n">
        <f aca="false">IF($F116="","",COUNTIF($F113:$F116,T$21)+COUNTIF($F113:$F116,$A$3))</f>
        <v>1</v>
      </c>
      <c r="Z116" s="91" t="n">
        <f aca="false">IF($B116="","",COUNTIF($B113:$B116,Z$21)+COUNTIF($B113:$B116,$A$3))</f>
        <v>0</v>
      </c>
      <c r="AA116" s="73" t="n">
        <f aca="false">IF($C116="","",COUNTIF($C113:$C116,Z$21)+COUNTIF($C113:$C116,$A$3))</f>
        <v>0</v>
      </c>
      <c r="AB116" s="73" t="n">
        <f aca="false">IF($D116="","",COUNTIF($D113:$D116,Z$21)+COUNTIF($D113:$D116,$A$3))</f>
        <v>0</v>
      </c>
      <c r="AC116" s="73" t="str">
        <f aca="false">IF($E116="","",COUNTIF($E113:$E116,Z$21)+COUNTIF($E113:$E116,$A$3))</f>
        <v/>
      </c>
      <c r="AD116" s="92" t="n">
        <f aca="false">IF($F116="","",COUNTIF($F113:$F116,Z$21)+COUNTIF($F113:$F116,$A$3))</f>
        <v>0</v>
      </c>
      <c r="AF116" s="91" t="n">
        <f aca="false">IF($B116="","",COUNTIF($B113:$B116,AF$21)+COUNTIF($B113:$B116,$A$3))</f>
        <v>0</v>
      </c>
      <c r="AG116" s="73" t="n">
        <f aca="false">IF($C116="","",COUNTIF($C113:$C116,AF$21)+COUNTIF($C113:$C116,$A$3))</f>
        <v>0</v>
      </c>
      <c r="AH116" s="73" t="n">
        <f aca="false">IF($D116="","",COUNTIF($D113:$D116,AF$21)+COUNTIF($D113:$D116,$A$3))</f>
        <v>1</v>
      </c>
      <c r="AI116" s="73" t="str">
        <f aca="false">IF($E116="","",COUNTIF($E113:$E116,AF$21)+COUNTIF($E113:$E116,$A$3))</f>
        <v/>
      </c>
      <c r="AJ116" s="92" t="n">
        <f aca="false">IF($F116="","",COUNTIF($F113:$F116,AF$21)+COUNTIF($F113:$F116,$A$3))</f>
        <v>0</v>
      </c>
      <c r="AL116" s="91" t="n">
        <f aca="false">IF($B116="","",COUNTIF($B113:$B116,AL$21)+COUNTIF($B113:$B116,$A$3))</f>
        <v>0</v>
      </c>
      <c r="AM116" s="73" t="n">
        <f aca="false">IF($C116="","",COUNTIF($C113:$C116,AL$21)+COUNTIF($C113:$C116,$A$3))</f>
        <v>0</v>
      </c>
      <c r="AN116" s="73" t="n">
        <f aca="false">IF($D116="","",COUNTIF($D113:$D116,AL$21)+COUNTIF($D113:$D116,$A$3))</f>
        <v>1</v>
      </c>
      <c r="AO116" s="73" t="str">
        <f aca="false">IF($E116="","",COUNTIF($E113:$E116,AL$21)+COUNTIF($E113:$E116,$A$3))</f>
        <v/>
      </c>
      <c r="AP116" s="92" t="n">
        <f aca="false">IF($F116="","",COUNTIF($F113:$F116,AL$21)+COUNTIF($F113:$F116,$A$3))</f>
        <v>1</v>
      </c>
      <c r="AR116" s="91" t="n">
        <f aca="false">IF($B116="","",COUNTIF($B113:$B116,AR$21)+COUNTIF($B113:$B116,$A$3))</f>
        <v>0</v>
      </c>
      <c r="AS116" s="73" t="n">
        <f aca="false">IF($C116="","",COUNTIF($C113:$C116,AR$21)+COUNTIF($C113:$C116,$A$3))</f>
        <v>0</v>
      </c>
      <c r="AT116" s="73" t="n">
        <f aca="false">IF($D116="","",COUNTIF($D113:$D116,AR$21)+COUNTIF($D113:$D116,$A$3))</f>
        <v>0</v>
      </c>
      <c r="AU116" s="73" t="str">
        <f aca="false">IF($E116="","",COUNTIF($E113:$E116,AR$21)+COUNTIF($E113:$E116,$A$3))</f>
        <v/>
      </c>
      <c r="AV116" s="92" t="n">
        <f aca="false">IF($F116="","",COUNTIF($F113:$F116,AR$21)+COUNTIF($F113:$F116,$A$3))</f>
        <v>0</v>
      </c>
      <c r="AX116" s="91" t="n">
        <f aca="false">IF($B116="","",COUNTIF($B113:$B116,AX$21)+COUNTIF($B113:$B116,$A$3))</f>
        <v>0</v>
      </c>
      <c r="AY116" s="73" t="n">
        <f aca="false">IF($C116="","",COUNTIF($C113:$C116,AX$21)+COUNTIF($C113:$C116,$A$3))</f>
        <v>0</v>
      </c>
      <c r="AZ116" s="73" t="n">
        <f aca="false">IF($D116="","",COUNTIF($D113:$D116,AX$21)+COUNTIF($D113:$D116,$A$3))</f>
        <v>1</v>
      </c>
      <c r="BA116" s="73" t="str">
        <f aca="false">IF($E116="","",COUNTIF($E113:$E116,AX$21)+COUNTIF($E113:$E116,$A$3))</f>
        <v/>
      </c>
      <c r="BB116" s="92" t="n">
        <f aca="false">IF($F116="","",COUNTIF($F113:$F116,AX$21)+COUNTIF($F113:$F116,$A$3))</f>
        <v>1</v>
      </c>
      <c r="BD116" s="91" t="n">
        <f aca="false">IF($B116="","",COUNTIF($B113:$B116,BD$21)+COUNTIF($B113:$B116,$A$3))</f>
        <v>0</v>
      </c>
      <c r="BE116" s="73" t="n">
        <f aca="false">IF($C116="","",COUNTIF($C113:$C116,BD$21)+COUNTIF($C113:$C116,$A$3))</f>
        <v>1</v>
      </c>
      <c r="BF116" s="73" t="n">
        <f aca="false">IF($D116="","",COUNTIF($D113:$D116,BD$21)+COUNTIF($D113:$D116,$A$3))</f>
        <v>0</v>
      </c>
      <c r="BG116" s="73" t="str">
        <f aca="false">IF($E116="","",COUNTIF($E113:$E116,BD$21)+COUNTIF($E113:$E116,$A$3))</f>
        <v/>
      </c>
      <c r="BH116" s="92" t="n">
        <f aca="false">IF($F116="","",COUNTIF($F113:$F116,BD$21)+COUNTIF($F113:$F116,$A$3))</f>
        <v>0</v>
      </c>
      <c r="BJ116" s="91" t="n">
        <f aca="false">IF($B116="","",COUNTIF($B113:$B116,BJ$21)+COUNTIF($B113:$B116,$A$3))</f>
        <v>1</v>
      </c>
      <c r="BK116" s="73" t="n">
        <f aca="false">IF($C116="","",COUNTIF($C113:$C116,BJ$21)+COUNTIF($C113:$C116,$A$3))</f>
        <v>1</v>
      </c>
      <c r="BL116" s="73" t="n">
        <f aca="false">IF($D116="","",COUNTIF($D113:$D116,BJ$21)+COUNTIF($D113:$D116,$A$3))</f>
        <v>0</v>
      </c>
      <c r="BM116" s="73" t="str">
        <f aca="false">IF($E116="","",COUNTIF($E113:$E116,BJ$21)+COUNTIF($E113:$E116,$A$3))</f>
        <v/>
      </c>
      <c r="BN116" s="92" t="n">
        <f aca="false">IF($F116="","",COUNTIF($F113:$F116,BJ$21)+COUNTIF($F113:$F116,$A$3))</f>
        <v>1</v>
      </c>
      <c r="BP116" s="91" t="n">
        <f aca="false">IF($B116="","",COUNTIF($B113:$B116,BP$21)+COUNTIF($B113:$B116,$A$3))</f>
        <v>1</v>
      </c>
      <c r="BQ116" s="73" t="n">
        <f aca="false">IF($C116="","",COUNTIF($C113:$C116,BP$21)+COUNTIF($C113:$C116,$A$3))</f>
        <v>1</v>
      </c>
      <c r="BR116" s="73" t="n">
        <f aca="false">IF($D116="","",COUNTIF($D113:$D116,BP$21)+COUNTIF($D113:$D116,$A$3))</f>
        <v>0</v>
      </c>
      <c r="BS116" s="73" t="str">
        <f aca="false">IF($E116="","",COUNTIF($E113:$E116,BP$21)+COUNTIF($E113:$E116,$A$3))</f>
        <v/>
      </c>
      <c r="BT116" s="92" t="n">
        <f aca="false">IF($F116="","",COUNTIF($F113:$F116,BP$21)+COUNTIF($F113:$F116,$A$3))</f>
        <v>0</v>
      </c>
    </row>
    <row r="117" customFormat="false" ht="15" hidden="false" customHeight="false" outlineLevel="0" collapsed="false">
      <c r="A117" s="13" t="n">
        <v>95</v>
      </c>
      <c r="B117" s="116" t="str">
        <f aca="false">IF('Game Info'!Q100="","",'Game Info'!Q100)</f>
        <v>SYM2</v>
      </c>
      <c r="C117" s="116" t="str">
        <f aca="false">IF('Game Info'!R100="","",'Game Info'!R100)</f>
        <v>K</v>
      </c>
      <c r="D117" s="116" t="n">
        <f aca="false">IF('Game Info'!S100="","",'Game Info'!S100)</f>
        <v>10</v>
      </c>
      <c r="E117" s="116" t="str">
        <f aca="false">IF('Game Info'!T100="","",'Game Info'!T100)</f>
        <v/>
      </c>
      <c r="F117" s="117" t="str">
        <f aca="false">IF('Game Info'!U100="","",'Game Info'!U100)</f>
        <v>SYM4</v>
      </c>
      <c r="H117" s="91" t="n">
        <f aca="false">IF($B117="","",COUNTIF($B114:$B117,H$21)+COUNTIF($B114:$B117,$A$3))</f>
        <v>0</v>
      </c>
      <c r="I117" s="73" t="n">
        <f aca="false">IF($C117="","",COUNTIF($C114:$C117,H$21)+COUNTIF($C114:$C117,$A$3))</f>
        <v>0</v>
      </c>
      <c r="J117" s="73" t="n">
        <f aca="false">IF($D117="","",COUNTIF($D114:$D117,H$21)+COUNTIF($D114:$D117,$A$3))</f>
        <v>0</v>
      </c>
      <c r="K117" s="73" t="str">
        <f aca="false">IF($E117="","",COUNTIF($E114:$E117,H$21)+COUNTIF($E114:$E117,$A$3))</f>
        <v/>
      </c>
      <c r="L117" s="92" t="n">
        <f aca="false">IF($F117="","",COUNTIF($F114:$F117,H$21)+COUNTIF($F114:$F117,$A$3))</f>
        <v>0</v>
      </c>
      <c r="N117" s="91" t="n">
        <f aca="false">IF($B117="","",COUNTIF($B114:$B117,N$21)+COUNTIF($B114:$B117,$A$3))</f>
        <v>1</v>
      </c>
      <c r="O117" s="73" t="n">
        <f aca="false">IF($C117="","",COUNTIF($C114:$C117,N$21)+COUNTIF($C114:$C117,$A$3))</f>
        <v>1</v>
      </c>
      <c r="P117" s="73" t="n">
        <f aca="false">IF($D117="","",COUNTIF($D114:$D117,N$21)+COUNTIF($D114:$D117,$A$3))</f>
        <v>0</v>
      </c>
      <c r="Q117" s="73" t="str">
        <f aca="false">IF($E117="","",COUNTIF($E114:$E117,N$21)+COUNTIF($E114:$E117,$A$3))</f>
        <v/>
      </c>
      <c r="R117" s="92" t="n">
        <f aca="false">IF($F117="","",COUNTIF($F114:$F117,N$21)+COUNTIF($F114:$F117,$A$3))</f>
        <v>0</v>
      </c>
      <c r="T117" s="91" t="n">
        <f aca="false">IF($B117="","",COUNTIF($B114:$B117,T$21)+COUNTIF($B114:$B117,$A$3))</f>
        <v>1</v>
      </c>
      <c r="U117" s="73" t="n">
        <f aca="false">IF($C117="","",COUNTIF($C114:$C117,T$21)+COUNTIF($C114:$C117,$A$3))</f>
        <v>0</v>
      </c>
      <c r="V117" s="73" t="n">
        <f aca="false">IF($D117="","",COUNTIF($D114:$D117,T$21)+COUNTIF($D114:$D117,$A$3))</f>
        <v>1</v>
      </c>
      <c r="W117" s="73" t="str">
        <f aca="false">IF($E117="","",COUNTIF($E114:$E117,T$21)+COUNTIF($E114:$E117,$A$3))</f>
        <v/>
      </c>
      <c r="X117" s="92" t="n">
        <f aca="false">IF($F117="","",COUNTIF($F114:$F117,T$21)+COUNTIF($F114:$F117,$A$3))</f>
        <v>1</v>
      </c>
      <c r="Z117" s="91" t="n">
        <f aca="false">IF($B117="","",COUNTIF($B114:$B117,Z$21)+COUNTIF($B114:$B117,$A$3))</f>
        <v>0</v>
      </c>
      <c r="AA117" s="73" t="n">
        <f aca="false">IF($C117="","",COUNTIF($C114:$C117,Z$21)+COUNTIF($C114:$C117,$A$3))</f>
        <v>0</v>
      </c>
      <c r="AB117" s="73" t="n">
        <f aca="false">IF($D117="","",COUNTIF($D114:$D117,Z$21)+COUNTIF($D114:$D117,$A$3))</f>
        <v>0</v>
      </c>
      <c r="AC117" s="73" t="str">
        <f aca="false">IF($E117="","",COUNTIF($E114:$E117,Z$21)+COUNTIF($E114:$E117,$A$3))</f>
        <v/>
      </c>
      <c r="AD117" s="92" t="n">
        <f aca="false">IF($F117="","",COUNTIF($F114:$F117,Z$21)+COUNTIF($F114:$F117,$A$3))</f>
        <v>1</v>
      </c>
      <c r="AF117" s="91" t="n">
        <f aca="false">IF($B117="","",COUNTIF($B114:$B117,AF$21)+COUNTIF($B114:$B117,$A$3))</f>
        <v>0</v>
      </c>
      <c r="AG117" s="73" t="n">
        <f aca="false">IF($C117="","",COUNTIF($C114:$C117,AF$21)+COUNTIF($C114:$C117,$A$3))</f>
        <v>0</v>
      </c>
      <c r="AH117" s="73" t="n">
        <f aca="false">IF($D117="","",COUNTIF($D114:$D117,AF$21)+COUNTIF($D114:$D117,$A$3))</f>
        <v>1</v>
      </c>
      <c r="AI117" s="73" t="str">
        <f aca="false">IF($E117="","",COUNTIF($E114:$E117,AF$21)+COUNTIF($E114:$E117,$A$3))</f>
        <v/>
      </c>
      <c r="AJ117" s="92" t="n">
        <f aca="false">IF($F117="","",COUNTIF($F114:$F117,AF$21)+COUNTIF($F114:$F117,$A$3))</f>
        <v>0</v>
      </c>
      <c r="AL117" s="91" t="n">
        <f aca="false">IF($B117="","",COUNTIF($B114:$B117,AL$21)+COUNTIF($B114:$B117,$A$3))</f>
        <v>0</v>
      </c>
      <c r="AM117" s="73" t="n">
        <f aca="false">IF($C117="","",COUNTIF($C114:$C117,AL$21)+COUNTIF($C114:$C117,$A$3))</f>
        <v>0</v>
      </c>
      <c r="AN117" s="73" t="n">
        <f aca="false">IF($D117="","",COUNTIF($D114:$D117,AL$21)+COUNTIF($D114:$D117,$A$3))</f>
        <v>0</v>
      </c>
      <c r="AO117" s="73" t="str">
        <f aca="false">IF($E117="","",COUNTIF($E114:$E117,AL$21)+COUNTIF($E114:$E117,$A$3))</f>
        <v/>
      </c>
      <c r="AP117" s="92" t="n">
        <f aca="false">IF($F117="","",COUNTIF($F114:$F117,AL$21)+COUNTIF($F114:$F117,$A$3))</f>
        <v>1</v>
      </c>
      <c r="AR117" s="91" t="n">
        <f aca="false">IF($B117="","",COUNTIF($B114:$B117,AR$21)+COUNTIF($B114:$B117,$A$3))</f>
        <v>0</v>
      </c>
      <c r="AS117" s="73" t="n">
        <f aca="false">IF($C117="","",COUNTIF($C114:$C117,AR$21)+COUNTIF($C114:$C117,$A$3))</f>
        <v>1</v>
      </c>
      <c r="AT117" s="73" t="n">
        <f aca="false">IF($D117="","",COUNTIF($D114:$D117,AR$21)+COUNTIF($D114:$D117,$A$3))</f>
        <v>0</v>
      </c>
      <c r="AU117" s="73" t="str">
        <f aca="false">IF($E117="","",COUNTIF($E114:$E117,AR$21)+COUNTIF($E114:$E117,$A$3))</f>
        <v/>
      </c>
      <c r="AV117" s="92" t="n">
        <f aca="false">IF($F117="","",COUNTIF($F114:$F117,AR$21)+COUNTIF($F114:$F117,$A$3))</f>
        <v>0</v>
      </c>
      <c r="AX117" s="91" t="n">
        <f aca="false">IF($B117="","",COUNTIF($B114:$B117,AX$21)+COUNTIF($B114:$B117,$A$3))</f>
        <v>0</v>
      </c>
      <c r="AY117" s="73" t="n">
        <f aca="false">IF($C117="","",COUNTIF($C114:$C117,AX$21)+COUNTIF($C114:$C117,$A$3))</f>
        <v>0</v>
      </c>
      <c r="AZ117" s="73" t="n">
        <f aca="false">IF($D117="","",COUNTIF($D114:$D117,AX$21)+COUNTIF($D114:$D117,$A$3))</f>
        <v>1</v>
      </c>
      <c r="BA117" s="73" t="str">
        <f aca="false">IF($E117="","",COUNTIF($E114:$E117,AX$21)+COUNTIF($E114:$E117,$A$3))</f>
        <v/>
      </c>
      <c r="BB117" s="92" t="n">
        <f aca="false">IF($F117="","",COUNTIF($F114:$F117,AX$21)+COUNTIF($F114:$F117,$A$3))</f>
        <v>1</v>
      </c>
      <c r="BD117" s="91" t="n">
        <f aca="false">IF($B117="","",COUNTIF($B114:$B117,BD$21)+COUNTIF($B114:$B117,$A$3))</f>
        <v>0</v>
      </c>
      <c r="BE117" s="73" t="n">
        <f aca="false">IF($C117="","",COUNTIF($C114:$C117,BD$21)+COUNTIF($C114:$C117,$A$3))</f>
        <v>1</v>
      </c>
      <c r="BF117" s="73" t="n">
        <f aca="false">IF($D117="","",COUNTIF($D114:$D117,BD$21)+COUNTIF($D114:$D117,$A$3))</f>
        <v>0</v>
      </c>
      <c r="BG117" s="73" t="str">
        <f aca="false">IF($E117="","",COUNTIF($E114:$E117,BD$21)+COUNTIF($E114:$E117,$A$3))</f>
        <v/>
      </c>
      <c r="BH117" s="92" t="n">
        <f aca="false">IF($F117="","",COUNTIF($F114:$F117,BD$21)+COUNTIF($F114:$F117,$A$3))</f>
        <v>0</v>
      </c>
      <c r="BJ117" s="91" t="n">
        <f aca="false">IF($B117="","",COUNTIF($B114:$B117,BJ$21)+COUNTIF($B114:$B117,$A$3))</f>
        <v>1</v>
      </c>
      <c r="BK117" s="73" t="n">
        <f aca="false">IF($C117="","",COUNTIF($C114:$C117,BJ$21)+COUNTIF($C114:$C117,$A$3))</f>
        <v>1</v>
      </c>
      <c r="BL117" s="73" t="n">
        <f aca="false">IF($D117="","",COUNTIF($D114:$D117,BJ$21)+COUNTIF($D114:$D117,$A$3))</f>
        <v>1</v>
      </c>
      <c r="BM117" s="73" t="str">
        <f aca="false">IF($E117="","",COUNTIF($E114:$E117,BJ$21)+COUNTIF($E114:$E117,$A$3))</f>
        <v/>
      </c>
      <c r="BN117" s="92" t="n">
        <f aca="false">IF($F117="","",COUNTIF($F114:$F117,BJ$21)+COUNTIF($F114:$F117,$A$3))</f>
        <v>0</v>
      </c>
      <c r="BP117" s="91" t="n">
        <f aca="false">IF($B117="","",COUNTIF($B114:$B117,BP$21)+COUNTIF($B114:$B117,$A$3))</f>
        <v>1</v>
      </c>
      <c r="BQ117" s="73" t="n">
        <f aca="false">IF($C117="","",COUNTIF($C114:$C117,BP$21)+COUNTIF($C114:$C117,$A$3))</f>
        <v>0</v>
      </c>
      <c r="BR117" s="73" t="n">
        <f aca="false">IF($D117="","",COUNTIF($D114:$D117,BP$21)+COUNTIF($D114:$D117,$A$3))</f>
        <v>0</v>
      </c>
      <c r="BS117" s="73" t="str">
        <f aca="false">IF($E117="","",COUNTIF($E114:$E117,BP$21)+COUNTIF($E114:$E117,$A$3))</f>
        <v/>
      </c>
      <c r="BT117" s="92" t="n">
        <f aca="false">IF($F117="","",COUNTIF($F114:$F117,BP$21)+COUNTIF($F114:$F117,$A$3))</f>
        <v>0</v>
      </c>
    </row>
    <row r="118" customFormat="false" ht="15" hidden="false" customHeight="false" outlineLevel="0" collapsed="false">
      <c r="A118" s="13" t="n">
        <v>96</v>
      </c>
      <c r="B118" s="116" t="str">
        <f aca="false">IF('Game Info'!Q101="","",'Game Info'!Q101)</f>
        <v>K</v>
      </c>
      <c r="C118" s="116" t="str">
        <f aca="false">IF('Game Info'!R101="","",'Game Info'!R101)</f>
        <v>FG</v>
      </c>
      <c r="D118" s="116" t="str">
        <f aca="false">IF('Game Info'!S101="","",'Game Info'!S101)</f>
        <v>SYM4</v>
      </c>
      <c r="E118" s="116" t="str">
        <f aca="false">IF('Game Info'!T101="","",'Game Info'!T101)</f>
        <v/>
      </c>
      <c r="F118" s="117" t="str">
        <f aca="false">IF('Game Info'!U101="","",'Game Info'!U101)</f>
        <v>K</v>
      </c>
      <c r="H118" s="91" t="n">
        <f aca="false">IF($B118="","",COUNTIF($B115:$B118,H$21)+COUNTIF($B115:$B118,$A$3))</f>
        <v>0</v>
      </c>
      <c r="I118" s="73" t="n">
        <f aca="false">IF($C118="","",COUNTIF($C115:$C118,H$21)+COUNTIF($C115:$C118,$A$3))</f>
        <v>0</v>
      </c>
      <c r="J118" s="73" t="n">
        <f aca="false">IF($D118="","",COUNTIF($D115:$D118,H$21)+COUNTIF($D115:$D118,$A$3))</f>
        <v>0</v>
      </c>
      <c r="K118" s="73" t="str">
        <f aca="false">IF($E118="","",COUNTIF($E115:$E118,H$21)+COUNTIF($E115:$E118,$A$3))</f>
        <v/>
      </c>
      <c r="L118" s="92" t="n">
        <f aca="false">IF($F118="","",COUNTIF($F115:$F118,H$21)+COUNTIF($F115:$F118,$A$3))</f>
        <v>0</v>
      </c>
      <c r="N118" s="91" t="n">
        <f aca="false">IF($B118="","",COUNTIF($B115:$B118,N$21)+COUNTIF($B115:$B118,$A$3))</f>
        <v>1</v>
      </c>
      <c r="O118" s="73" t="n">
        <f aca="false">IF($C118="","",COUNTIF($C115:$C118,N$21)+COUNTIF($C115:$C118,$A$3))</f>
        <v>1</v>
      </c>
      <c r="P118" s="73" t="n">
        <f aca="false">IF($D118="","",COUNTIF($D115:$D118,N$21)+COUNTIF($D115:$D118,$A$3))</f>
        <v>0</v>
      </c>
      <c r="Q118" s="73" t="str">
        <f aca="false">IF($E118="","",COUNTIF($E115:$E118,N$21)+COUNTIF($E115:$E118,$A$3))</f>
        <v/>
      </c>
      <c r="R118" s="92" t="n">
        <f aca="false">IF($F118="","",COUNTIF($F115:$F118,N$21)+COUNTIF($F115:$F118,$A$3))</f>
        <v>0</v>
      </c>
      <c r="T118" s="91" t="n">
        <f aca="false">IF($B118="","",COUNTIF($B115:$B118,T$21)+COUNTIF($B115:$B118,$A$3))</f>
        <v>1</v>
      </c>
      <c r="U118" s="73" t="n">
        <f aca="false">IF($C118="","",COUNTIF($C115:$C118,T$21)+COUNTIF($C115:$C118,$A$3))</f>
        <v>0</v>
      </c>
      <c r="V118" s="73" t="n">
        <f aca="false">IF($D118="","",COUNTIF($D115:$D118,T$21)+COUNTIF($D115:$D118,$A$3))</f>
        <v>1</v>
      </c>
      <c r="W118" s="73" t="str">
        <f aca="false">IF($E118="","",COUNTIF($E115:$E118,T$21)+COUNTIF($E115:$E118,$A$3))</f>
        <v/>
      </c>
      <c r="X118" s="92" t="n">
        <f aca="false">IF($F118="","",COUNTIF($F115:$F118,T$21)+COUNTIF($F115:$F118,$A$3))</f>
        <v>0</v>
      </c>
      <c r="Z118" s="91" t="n">
        <f aca="false">IF($B118="","",COUNTIF($B115:$B118,Z$21)+COUNTIF($B115:$B118,$A$3))</f>
        <v>0</v>
      </c>
      <c r="AA118" s="73" t="n">
        <f aca="false">IF($C118="","",COUNTIF($C115:$C118,Z$21)+COUNTIF($C115:$C118,$A$3))</f>
        <v>0</v>
      </c>
      <c r="AB118" s="73" t="n">
        <f aca="false">IF($D118="","",COUNTIF($D115:$D118,Z$21)+COUNTIF($D115:$D118,$A$3))</f>
        <v>1</v>
      </c>
      <c r="AC118" s="73" t="str">
        <f aca="false">IF($E118="","",COUNTIF($E115:$E118,Z$21)+COUNTIF($E115:$E118,$A$3))</f>
        <v/>
      </c>
      <c r="AD118" s="92" t="n">
        <f aca="false">IF($F118="","",COUNTIF($F115:$F118,Z$21)+COUNTIF($F115:$F118,$A$3))</f>
        <v>1</v>
      </c>
      <c r="AF118" s="91" t="n">
        <f aca="false">IF($B118="","",COUNTIF($B115:$B118,AF$21)+COUNTIF($B115:$B118,$A$3))</f>
        <v>0</v>
      </c>
      <c r="AG118" s="73" t="n">
        <f aca="false">IF($C118="","",COUNTIF($C115:$C118,AF$21)+COUNTIF($C115:$C118,$A$3))</f>
        <v>0</v>
      </c>
      <c r="AH118" s="73" t="n">
        <f aca="false">IF($D118="","",COUNTIF($D115:$D118,AF$21)+COUNTIF($D115:$D118,$A$3))</f>
        <v>0</v>
      </c>
      <c r="AI118" s="73" t="str">
        <f aca="false">IF($E118="","",COUNTIF($E115:$E118,AF$21)+COUNTIF($E115:$E118,$A$3))</f>
        <v/>
      </c>
      <c r="AJ118" s="92" t="n">
        <f aca="false">IF($F118="","",COUNTIF($F115:$F118,AF$21)+COUNTIF($F115:$F118,$A$3))</f>
        <v>0</v>
      </c>
      <c r="AL118" s="91" t="n">
        <f aca="false">IF($B118="","",COUNTIF($B115:$B118,AL$21)+COUNTIF($B115:$B118,$A$3))</f>
        <v>0</v>
      </c>
      <c r="AM118" s="73" t="n">
        <f aca="false">IF($C118="","",COUNTIF($C115:$C118,AL$21)+COUNTIF($C115:$C118,$A$3))</f>
        <v>0</v>
      </c>
      <c r="AN118" s="73" t="n">
        <f aca="false">IF($D118="","",COUNTIF($D115:$D118,AL$21)+COUNTIF($D115:$D118,$A$3))</f>
        <v>0</v>
      </c>
      <c r="AO118" s="73" t="str">
        <f aca="false">IF($E118="","",COUNTIF($E115:$E118,AL$21)+COUNTIF($E115:$E118,$A$3))</f>
        <v/>
      </c>
      <c r="AP118" s="92" t="n">
        <f aca="false">IF($F118="","",COUNTIF($F115:$F118,AL$21)+COUNTIF($F115:$F118,$A$3))</f>
        <v>1</v>
      </c>
      <c r="AR118" s="91" t="n">
        <f aca="false">IF($B118="","",COUNTIF($B115:$B118,AR$21)+COUNTIF($B115:$B118,$A$3))</f>
        <v>1</v>
      </c>
      <c r="AS118" s="73" t="n">
        <f aca="false">IF($C118="","",COUNTIF($C115:$C118,AR$21)+COUNTIF($C115:$C118,$A$3))</f>
        <v>1</v>
      </c>
      <c r="AT118" s="73" t="n">
        <f aca="false">IF($D118="","",COUNTIF($D115:$D118,AR$21)+COUNTIF($D115:$D118,$A$3))</f>
        <v>0</v>
      </c>
      <c r="AU118" s="73" t="str">
        <f aca="false">IF($E118="","",COUNTIF($E115:$E118,AR$21)+COUNTIF($E115:$E118,$A$3))</f>
        <v/>
      </c>
      <c r="AV118" s="92" t="n">
        <f aca="false">IF($F118="","",COUNTIF($F115:$F118,AR$21)+COUNTIF($F115:$F118,$A$3))</f>
        <v>1</v>
      </c>
      <c r="AX118" s="91" t="n">
        <f aca="false">IF($B118="","",COUNTIF($B115:$B118,AX$21)+COUNTIF($B115:$B118,$A$3))</f>
        <v>0</v>
      </c>
      <c r="AY118" s="73" t="n">
        <f aca="false">IF($C118="","",COUNTIF($C115:$C118,AX$21)+COUNTIF($C115:$C118,$A$3))</f>
        <v>0</v>
      </c>
      <c r="AZ118" s="73" t="n">
        <f aca="false">IF($D118="","",COUNTIF($D115:$D118,AX$21)+COUNTIF($D115:$D118,$A$3))</f>
        <v>1</v>
      </c>
      <c r="BA118" s="73" t="str">
        <f aca="false">IF($E118="","",COUNTIF($E115:$E118,AX$21)+COUNTIF($E115:$E118,$A$3))</f>
        <v/>
      </c>
      <c r="BB118" s="92" t="n">
        <f aca="false">IF($F118="","",COUNTIF($F115:$F118,AX$21)+COUNTIF($F115:$F118,$A$3))</f>
        <v>1</v>
      </c>
      <c r="BD118" s="91" t="n">
        <f aca="false">IF($B118="","",COUNTIF($B115:$B118,BD$21)+COUNTIF($B115:$B118,$A$3))</f>
        <v>0</v>
      </c>
      <c r="BE118" s="73" t="n">
        <f aca="false">IF($C118="","",COUNTIF($C115:$C118,BD$21)+COUNTIF($C115:$C118,$A$3))</f>
        <v>1</v>
      </c>
      <c r="BF118" s="73" t="n">
        <f aca="false">IF($D118="","",COUNTIF($D115:$D118,BD$21)+COUNTIF($D115:$D118,$A$3))</f>
        <v>0</v>
      </c>
      <c r="BG118" s="73" t="str">
        <f aca="false">IF($E118="","",COUNTIF($E115:$E118,BD$21)+COUNTIF($E115:$E118,$A$3))</f>
        <v/>
      </c>
      <c r="BH118" s="92" t="n">
        <f aca="false">IF($F118="","",COUNTIF($F115:$F118,BD$21)+COUNTIF($F115:$F118,$A$3))</f>
        <v>0</v>
      </c>
      <c r="BJ118" s="91" t="n">
        <f aca="false">IF($B118="","",COUNTIF($B115:$B118,BJ$21)+COUNTIF($B115:$B118,$A$3))</f>
        <v>0</v>
      </c>
      <c r="BK118" s="73" t="n">
        <f aca="false">IF($C118="","",COUNTIF($C115:$C118,BJ$21)+COUNTIF($C115:$C118,$A$3))</f>
        <v>0</v>
      </c>
      <c r="BL118" s="73" t="n">
        <f aca="false">IF($D118="","",COUNTIF($D115:$D118,BJ$21)+COUNTIF($D115:$D118,$A$3))</f>
        <v>1</v>
      </c>
      <c r="BM118" s="73" t="str">
        <f aca="false">IF($E118="","",COUNTIF($E115:$E118,BJ$21)+COUNTIF($E115:$E118,$A$3))</f>
        <v/>
      </c>
      <c r="BN118" s="92" t="n">
        <f aca="false">IF($F118="","",COUNTIF($F115:$F118,BJ$21)+COUNTIF($F115:$F118,$A$3))</f>
        <v>0</v>
      </c>
      <c r="BP118" s="91" t="n">
        <f aca="false">IF($B118="","",COUNTIF($B115:$B118,BP$21)+COUNTIF($B115:$B118,$A$3))</f>
        <v>1</v>
      </c>
      <c r="BQ118" s="73" t="n">
        <f aca="false">IF($C118="","",COUNTIF($C115:$C118,BP$21)+COUNTIF($C115:$C118,$A$3))</f>
        <v>0</v>
      </c>
      <c r="BR118" s="73" t="n">
        <f aca="false">IF($D118="","",COUNTIF($D115:$D118,BP$21)+COUNTIF($D115:$D118,$A$3))</f>
        <v>0</v>
      </c>
      <c r="BS118" s="73" t="str">
        <f aca="false">IF($E118="","",COUNTIF($E115:$E118,BP$21)+COUNTIF($E115:$E118,$A$3))</f>
        <v/>
      </c>
      <c r="BT118" s="92" t="n">
        <f aca="false">IF($F118="","",COUNTIF($F115:$F118,BP$21)+COUNTIF($F115:$F118,$A$3))</f>
        <v>0</v>
      </c>
    </row>
    <row r="119" customFormat="false" ht="15" hidden="false" customHeight="false" outlineLevel="0" collapsed="false">
      <c r="A119" s="13" t="n">
        <v>97</v>
      </c>
      <c r="B119" s="116" t="str">
        <f aca="false">IF('Game Info'!Q102="","",'Game Info'!Q102)</f>
        <v>SYM3</v>
      </c>
      <c r="C119" s="116" t="str">
        <f aca="false">IF('Game Info'!R102="","",'Game Info'!R102)</f>
        <v>J</v>
      </c>
      <c r="D119" s="116" t="str">
        <f aca="false">IF('Game Info'!S102="","",'Game Info'!S102)</f>
        <v>Q</v>
      </c>
      <c r="E119" s="116" t="str">
        <f aca="false">IF('Game Info'!T102="","",'Game Info'!T102)</f>
        <v/>
      </c>
      <c r="F119" s="117" t="str">
        <f aca="false">IF('Game Info'!U102="","",'Game Info'!U102)</f>
        <v>SYM1</v>
      </c>
      <c r="H119" s="91" t="n">
        <f aca="false">IF($B119="","",COUNTIF($B116:$B119,H$21)+COUNTIF($B116:$B119,$A$3))</f>
        <v>0</v>
      </c>
      <c r="I119" s="73" t="n">
        <f aca="false">IF($C119="","",COUNTIF($C116:$C119,H$21)+COUNTIF($C116:$C119,$A$3))</f>
        <v>0</v>
      </c>
      <c r="J119" s="73" t="n">
        <f aca="false">IF($D119="","",COUNTIF($D116:$D119,H$21)+COUNTIF($D116:$D119,$A$3))</f>
        <v>0</v>
      </c>
      <c r="K119" s="73" t="str">
        <f aca="false">IF($E119="","",COUNTIF($E116:$E119,H$21)+COUNTIF($E116:$E119,$A$3))</f>
        <v/>
      </c>
      <c r="L119" s="92" t="n">
        <f aca="false">IF($F119="","",COUNTIF($F116:$F119,H$21)+COUNTIF($F116:$F119,$A$3))</f>
        <v>1</v>
      </c>
      <c r="N119" s="91" t="n">
        <f aca="false">IF($B119="","",COUNTIF($B116:$B119,N$21)+COUNTIF($B116:$B119,$A$3))</f>
        <v>1</v>
      </c>
      <c r="O119" s="73" t="n">
        <f aca="false">IF($C119="","",COUNTIF($C116:$C119,N$21)+COUNTIF($C116:$C119,$A$3))</f>
        <v>0</v>
      </c>
      <c r="P119" s="73" t="n">
        <f aca="false">IF($D119="","",COUNTIF($D116:$D119,N$21)+COUNTIF($D116:$D119,$A$3))</f>
        <v>0</v>
      </c>
      <c r="Q119" s="73" t="str">
        <f aca="false">IF($E119="","",COUNTIF($E116:$E119,N$21)+COUNTIF($E116:$E119,$A$3))</f>
        <v/>
      </c>
      <c r="R119" s="92" t="n">
        <f aca="false">IF($F119="","",COUNTIF($F116:$F119,N$21)+COUNTIF($F116:$F119,$A$3))</f>
        <v>0</v>
      </c>
      <c r="T119" s="91" t="n">
        <f aca="false">IF($B119="","",COUNTIF($B116:$B119,T$21)+COUNTIF($B116:$B119,$A$3))</f>
        <v>1</v>
      </c>
      <c r="U119" s="73" t="n">
        <f aca="false">IF($C119="","",COUNTIF($C116:$C119,T$21)+COUNTIF($C116:$C119,$A$3))</f>
        <v>0</v>
      </c>
      <c r="V119" s="73" t="n">
        <f aca="false">IF($D119="","",COUNTIF($D116:$D119,T$21)+COUNTIF($D116:$D119,$A$3))</f>
        <v>1</v>
      </c>
      <c r="W119" s="73" t="str">
        <f aca="false">IF($E119="","",COUNTIF($E116:$E119,T$21)+COUNTIF($E116:$E119,$A$3))</f>
        <v/>
      </c>
      <c r="X119" s="92" t="n">
        <f aca="false">IF($F119="","",COUNTIF($F116:$F119,T$21)+COUNTIF($F116:$F119,$A$3))</f>
        <v>0</v>
      </c>
      <c r="Z119" s="91" t="n">
        <f aca="false">IF($B119="","",COUNTIF($B116:$B119,Z$21)+COUNTIF($B116:$B119,$A$3))</f>
        <v>0</v>
      </c>
      <c r="AA119" s="73" t="n">
        <f aca="false">IF($C119="","",COUNTIF($C116:$C119,Z$21)+COUNTIF($C116:$C119,$A$3))</f>
        <v>0</v>
      </c>
      <c r="AB119" s="73" t="n">
        <f aca="false">IF($D119="","",COUNTIF($D116:$D119,Z$21)+COUNTIF($D116:$D119,$A$3))</f>
        <v>1</v>
      </c>
      <c r="AC119" s="73" t="str">
        <f aca="false">IF($E119="","",COUNTIF($E116:$E119,Z$21)+COUNTIF($E116:$E119,$A$3))</f>
        <v/>
      </c>
      <c r="AD119" s="92" t="n">
        <f aca="false">IF($F119="","",COUNTIF($F116:$F119,Z$21)+COUNTIF($F116:$F119,$A$3))</f>
        <v>1</v>
      </c>
      <c r="AF119" s="91" t="n">
        <f aca="false">IF($B119="","",COUNTIF($B116:$B119,AF$21)+COUNTIF($B116:$B119,$A$3))</f>
        <v>0</v>
      </c>
      <c r="AG119" s="73" t="n">
        <f aca="false">IF($C119="","",COUNTIF($C116:$C119,AF$21)+COUNTIF($C116:$C119,$A$3))</f>
        <v>0</v>
      </c>
      <c r="AH119" s="73" t="n">
        <f aca="false">IF($D119="","",COUNTIF($D116:$D119,AF$21)+COUNTIF($D116:$D119,$A$3))</f>
        <v>0</v>
      </c>
      <c r="AI119" s="73" t="str">
        <f aca="false">IF($E119="","",COUNTIF($E116:$E119,AF$21)+COUNTIF($E116:$E119,$A$3))</f>
        <v/>
      </c>
      <c r="AJ119" s="92" t="n">
        <f aca="false">IF($F119="","",COUNTIF($F116:$F119,AF$21)+COUNTIF($F116:$F119,$A$3))</f>
        <v>0</v>
      </c>
      <c r="AL119" s="91" t="n">
        <f aca="false">IF($B119="","",COUNTIF($B116:$B119,AL$21)+COUNTIF($B116:$B119,$A$3))</f>
        <v>0</v>
      </c>
      <c r="AM119" s="73" t="n">
        <f aca="false">IF($C119="","",COUNTIF($C116:$C119,AL$21)+COUNTIF($C116:$C119,$A$3))</f>
        <v>0</v>
      </c>
      <c r="AN119" s="73" t="n">
        <f aca="false">IF($D119="","",COUNTIF($D116:$D119,AL$21)+COUNTIF($D116:$D119,$A$3))</f>
        <v>0</v>
      </c>
      <c r="AO119" s="73" t="str">
        <f aca="false">IF($E119="","",COUNTIF($E116:$E119,AL$21)+COUNTIF($E116:$E119,$A$3))</f>
        <v/>
      </c>
      <c r="AP119" s="92" t="n">
        <f aca="false">IF($F119="","",COUNTIF($F116:$F119,AL$21)+COUNTIF($F116:$F119,$A$3))</f>
        <v>1</v>
      </c>
      <c r="AR119" s="91" t="n">
        <f aca="false">IF($B119="","",COUNTIF($B116:$B119,AR$21)+COUNTIF($B116:$B119,$A$3))</f>
        <v>1</v>
      </c>
      <c r="AS119" s="73" t="n">
        <f aca="false">IF($C119="","",COUNTIF($C116:$C119,AR$21)+COUNTIF($C116:$C119,$A$3))</f>
        <v>1</v>
      </c>
      <c r="AT119" s="73" t="n">
        <f aca="false">IF($D119="","",COUNTIF($D116:$D119,AR$21)+COUNTIF($D116:$D119,$A$3))</f>
        <v>0</v>
      </c>
      <c r="AU119" s="73" t="str">
        <f aca="false">IF($E119="","",COUNTIF($E116:$E119,AR$21)+COUNTIF($E116:$E119,$A$3))</f>
        <v/>
      </c>
      <c r="AV119" s="92" t="n">
        <f aca="false">IF($F119="","",COUNTIF($F116:$F119,AR$21)+COUNTIF($F116:$F119,$A$3))</f>
        <v>1</v>
      </c>
      <c r="AX119" s="91" t="n">
        <f aca="false">IF($B119="","",COUNTIF($B116:$B119,AX$21)+COUNTIF($B116:$B119,$A$3))</f>
        <v>0</v>
      </c>
      <c r="AY119" s="73" t="n">
        <f aca="false">IF($C119="","",COUNTIF($C116:$C119,AX$21)+COUNTIF($C116:$C119,$A$3))</f>
        <v>0</v>
      </c>
      <c r="AZ119" s="73" t="n">
        <f aca="false">IF($D119="","",COUNTIF($D116:$D119,AX$21)+COUNTIF($D116:$D119,$A$3))</f>
        <v>1</v>
      </c>
      <c r="BA119" s="73" t="str">
        <f aca="false">IF($E119="","",COUNTIF($E116:$E119,AX$21)+COUNTIF($E116:$E119,$A$3))</f>
        <v/>
      </c>
      <c r="BB119" s="92" t="n">
        <f aca="false">IF($F119="","",COUNTIF($F116:$F119,AX$21)+COUNTIF($F116:$F119,$A$3))</f>
        <v>0</v>
      </c>
      <c r="BD119" s="91" t="n">
        <f aca="false">IF($B119="","",COUNTIF($B116:$B119,BD$21)+COUNTIF($B116:$B119,$A$3))</f>
        <v>0</v>
      </c>
      <c r="BE119" s="73" t="n">
        <f aca="false">IF($C119="","",COUNTIF($C116:$C119,BD$21)+COUNTIF($C116:$C119,$A$3))</f>
        <v>2</v>
      </c>
      <c r="BF119" s="73" t="n">
        <f aca="false">IF($D119="","",COUNTIF($D116:$D119,BD$21)+COUNTIF($D116:$D119,$A$3))</f>
        <v>0</v>
      </c>
      <c r="BG119" s="73" t="str">
        <f aca="false">IF($E119="","",COUNTIF($E116:$E119,BD$21)+COUNTIF($E116:$E119,$A$3))</f>
        <v/>
      </c>
      <c r="BH119" s="92" t="n">
        <f aca="false">IF($F119="","",COUNTIF($F116:$F119,BD$21)+COUNTIF($F116:$F119,$A$3))</f>
        <v>0</v>
      </c>
      <c r="BJ119" s="91" t="n">
        <f aca="false">IF($B119="","",COUNTIF($B116:$B119,BJ$21)+COUNTIF($B116:$B119,$A$3))</f>
        <v>0</v>
      </c>
      <c r="BK119" s="73" t="n">
        <f aca="false">IF($C119="","",COUNTIF($C116:$C119,BJ$21)+COUNTIF($C116:$C119,$A$3))</f>
        <v>0</v>
      </c>
      <c r="BL119" s="73" t="n">
        <f aca="false">IF($D119="","",COUNTIF($D116:$D119,BJ$21)+COUNTIF($D116:$D119,$A$3))</f>
        <v>1</v>
      </c>
      <c r="BM119" s="73" t="str">
        <f aca="false">IF($E119="","",COUNTIF($E116:$E119,BJ$21)+COUNTIF($E116:$E119,$A$3))</f>
        <v/>
      </c>
      <c r="BN119" s="92" t="n">
        <f aca="false">IF($F119="","",COUNTIF($F116:$F119,BJ$21)+COUNTIF($F116:$F119,$A$3))</f>
        <v>0</v>
      </c>
      <c r="BP119" s="91" t="n">
        <f aca="false">IF($B119="","",COUNTIF($B116:$B119,BP$21)+COUNTIF($B116:$B119,$A$3))</f>
        <v>1</v>
      </c>
      <c r="BQ119" s="73" t="n">
        <f aca="false">IF($C119="","",COUNTIF($C116:$C119,BP$21)+COUNTIF($C116:$C119,$A$3))</f>
        <v>0</v>
      </c>
      <c r="BR119" s="73" t="n">
        <f aca="false">IF($D119="","",COUNTIF($D116:$D119,BP$21)+COUNTIF($D116:$D119,$A$3))</f>
        <v>0</v>
      </c>
      <c r="BS119" s="73" t="str">
        <f aca="false">IF($E119="","",COUNTIF($E116:$E119,BP$21)+COUNTIF($E116:$E119,$A$3))</f>
        <v/>
      </c>
      <c r="BT119" s="92" t="n">
        <f aca="false">IF($F119="","",COUNTIF($F116:$F119,BP$21)+COUNTIF($F116:$F119,$A$3))</f>
        <v>0</v>
      </c>
    </row>
    <row r="120" customFormat="false" ht="15" hidden="false" customHeight="false" outlineLevel="0" collapsed="false">
      <c r="A120" s="13" t="n">
        <v>98</v>
      </c>
      <c r="B120" s="116" t="str">
        <f aca="false">IF('Game Info'!Q103="","",'Game Info'!Q103)</f>
        <v>Q</v>
      </c>
      <c r="C120" s="116" t="str">
        <f aca="false">IF('Game Info'!R103="","",'Game Info'!R103)</f>
        <v>Q</v>
      </c>
      <c r="D120" s="116" t="str">
        <f aca="false">IF('Game Info'!S103="","",'Game Info'!S103)</f>
        <v>K</v>
      </c>
      <c r="E120" s="116" t="str">
        <f aca="false">IF('Game Info'!T103="","",'Game Info'!T103)</f>
        <v/>
      </c>
      <c r="F120" s="117" t="n">
        <f aca="false">IF('Game Info'!U103="","",'Game Info'!U103)</f>
        <v>10</v>
      </c>
      <c r="H120" s="91" t="n">
        <f aca="false">IF($B120="","",COUNTIF($B117:$B120,H$21)+COUNTIF($B117:$B120,$A$3))</f>
        <v>0</v>
      </c>
      <c r="I120" s="73" t="n">
        <f aca="false">IF($C120="","",COUNTIF($C117:$C120,H$21)+COUNTIF($C117:$C120,$A$3))</f>
        <v>0</v>
      </c>
      <c r="J120" s="73" t="n">
        <f aca="false">IF($D120="","",COUNTIF($D117:$D120,H$21)+COUNTIF($D117:$D120,$A$3))</f>
        <v>0</v>
      </c>
      <c r="K120" s="73" t="str">
        <f aca="false">IF($E120="","",COUNTIF($E117:$E120,H$21)+COUNTIF($E117:$E120,$A$3))</f>
        <v/>
      </c>
      <c r="L120" s="92" t="n">
        <f aca="false">IF($F120="","",COUNTIF($F117:$F120,H$21)+COUNTIF($F117:$F120,$A$3))</f>
        <v>1</v>
      </c>
      <c r="N120" s="91" t="n">
        <f aca="false">IF($B120="","",COUNTIF($B117:$B120,N$21)+COUNTIF($B117:$B120,$A$3))</f>
        <v>1</v>
      </c>
      <c r="O120" s="73" t="n">
        <f aca="false">IF($C120="","",COUNTIF($C117:$C120,N$21)+COUNTIF($C117:$C120,$A$3))</f>
        <v>0</v>
      </c>
      <c r="P120" s="73" t="n">
        <f aca="false">IF($D120="","",COUNTIF($D117:$D120,N$21)+COUNTIF($D117:$D120,$A$3))</f>
        <v>0</v>
      </c>
      <c r="Q120" s="73" t="str">
        <f aca="false">IF($E120="","",COUNTIF($E117:$E120,N$21)+COUNTIF($E117:$E120,$A$3))</f>
        <v/>
      </c>
      <c r="R120" s="92" t="n">
        <f aca="false">IF($F120="","",COUNTIF($F117:$F120,N$21)+COUNTIF($F117:$F120,$A$3))</f>
        <v>0</v>
      </c>
      <c r="T120" s="91" t="n">
        <f aca="false">IF($B120="","",COUNTIF($B117:$B120,T$21)+COUNTIF($B117:$B120,$A$3))</f>
        <v>1</v>
      </c>
      <c r="U120" s="73" t="n">
        <f aca="false">IF($C120="","",COUNTIF($C117:$C120,T$21)+COUNTIF($C117:$C120,$A$3))</f>
        <v>0</v>
      </c>
      <c r="V120" s="73" t="n">
        <f aca="false">IF($D120="","",COUNTIF($D117:$D120,T$21)+COUNTIF($D117:$D120,$A$3))</f>
        <v>0</v>
      </c>
      <c r="W120" s="73" t="str">
        <f aca="false">IF($E120="","",COUNTIF($E117:$E120,T$21)+COUNTIF($E117:$E120,$A$3))</f>
        <v/>
      </c>
      <c r="X120" s="92" t="n">
        <f aca="false">IF($F120="","",COUNTIF($F117:$F120,T$21)+COUNTIF($F117:$F120,$A$3))</f>
        <v>0</v>
      </c>
      <c r="Z120" s="91" t="n">
        <f aca="false">IF($B120="","",COUNTIF($B117:$B120,Z$21)+COUNTIF($B117:$B120,$A$3))</f>
        <v>0</v>
      </c>
      <c r="AA120" s="73" t="n">
        <f aca="false">IF($C120="","",COUNTIF($C117:$C120,Z$21)+COUNTIF($C117:$C120,$A$3))</f>
        <v>0</v>
      </c>
      <c r="AB120" s="73" t="n">
        <f aca="false">IF($D120="","",COUNTIF($D117:$D120,Z$21)+COUNTIF($D117:$D120,$A$3))</f>
        <v>1</v>
      </c>
      <c r="AC120" s="73" t="str">
        <f aca="false">IF($E120="","",COUNTIF($E117:$E120,Z$21)+COUNTIF($E117:$E120,$A$3))</f>
        <v/>
      </c>
      <c r="AD120" s="92" t="n">
        <f aca="false">IF($F120="","",COUNTIF($F117:$F120,Z$21)+COUNTIF($F117:$F120,$A$3))</f>
        <v>1</v>
      </c>
      <c r="AF120" s="91" t="n">
        <f aca="false">IF($B120="","",COUNTIF($B117:$B120,AF$21)+COUNTIF($B117:$B120,$A$3))</f>
        <v>0</v>
      </c>
      <c r="AG120" s="73" t="n">
        <f aca="false">IF($C120="","",COUNTIF($C117:$C120,AF$21)+COUNTIF($C117:$C120,$A$3))</f>
        <v>0</v>
      </c>
      <c r="AH120" s="73" t="n">
        <f aca="false">IF($D120="","",COUNTIF($D117:$D120,AF$21)+COUNTIF($D117:$D120,$A$3))</f>
        <v>0</v>
      </c>
      <c r="AI120" s="73" t="str">
        <f aca="false">IF($E120="","",COUNTIF($E117:$E120,AF$21)+COUNTIF($E117:$E120,$A$3))</f>
        <v/>
      </c>
      <c r="AJ120" s="92" t="n">
        <f aca="false">IF($F120="","",COUNTIF($F117:$F120,AF$21)+COUNTIF($F117:$F120,$A$3))</f>
        <v>0</v>
      </c>
      <c r="AL120" s="91" t="n">
        <f aca="false">IF($B120="","",COUNTIF($B117:$B120,AL$21)+COUNTIF($B117:$B120,$A$3))</f>
        <v>0</v>
      </c>
      <c r="AM120" s="73" t="n">
        <f aca="false">IF($C120="","",COUNTIF($C117:$C120,AL$21)+COUNTIF($C117:$C120,$A$3))</f>
        <v>0</v>
      </c>
      <c r="AN120" s="73" t="n">
        <f aca="false">IF($D120="","",COUNTIF($D117:$D120,AL$21)+COUNTIF($D117:$D120,$A$3))</f>
        <v>0</v>
      </c>
      <c r="AO120" s="73" t="str">
        <f aca="false">IF($E120="","",COUNTIF($E117:$E120,AL$21)+COUNTIF($E117:$E120,$A$3))</f>
        <v/>
      </c>
      <c r="AP120" s="92" t="n">
        <f aca="false">IF($F120="","",COUNTIF($F117:$F120,AL$21)+COUNTIF($F117:$F120,$A$3))</f>
        <v>0</v>
      </c>
      <c r="AR120" s="91" t="n">
        <f aca="false">IF($B120="","",COUNTIF($B117:$B120,AR$21)+COUNTIF($B117:$B120,$A$3))</f>
        <v>1</v>
      </c>
      <c r="AS120" s="73" t="n">
        <f aca="false">IF($C120="","",COUNTIF($C117:$C120,AR$21)+COUNTIF($C117:$C120,$A$3))</f>
        <v>1</v>
      </c>
      <c r="AT120" s="73" t="n">
        <f aca="false">IF($D120="","",COUNTIF($D117:$D120,AR$21)+COUNTIF($D117:$D120,$A$3))</f>
        <v>1</v>
      </c>
      <c r="AU120" s="73" t="str">
        <f aca="false">IF($E120="","",COUNTIF($E117:$E120,AR$21)+COUNTIF($E117:$E120,$A$3))</f>
        <v/>
      </c>
      <c r="AV120" s="92" t="n">
        <f aca="false">IF($F120="","",COUNTIF($F117:$F120,AR$21)+COUNTIF($F117:$F120,$A$3))</f>
        <v>1</v>
      </c>
      <c r="AX120" s="91" t="n">
        <f aca="false">IF($B120="","",COUNTIF($B117:$B120,AX$21)+COUNTIF($B117:$B120,$A$3))</f>
        <v>1</v>
      </c>
      <c r="AY120" s="73" t="n">
        <f aca="false">IF($C120="","",COUNTIF($C117:$C120,AX$21)+COUNTIF($C117:$C120,$A$3))</f>
        <v>1</v>
      </c>
      <c r="AZ120" s="73" t="n">
        <f aca="false">IF($D120="","",COUNTIF($D117:$D120,AX$21)+COUNTIF($D117:$D120,$A$3))</f>
        <v>1</v>
      </c>
      <c r="BA120" s="73" t="str">
        <f aca="false">IF($E120="","",COUNTIF($E117:$E120,AX$21)+COUNTIF($E117:$E120,$A$3))</f>
        <v/>
      </c>
      <c r="BB120" s="92" t="n">
        <f aca="false">IF($F120="","",COUNTIF($F117:$F120,AX$21)+COUNTIF($F117:$F120,$A$3))</f>
        <v>0</v>
      </c>
      <c r="BD120" s="91" t="n">
        <f aca="false">IF($B120="","",COUNTIF($B117:$B120,BD$21)+COUNTIF($B117:$B120,$A$3))</f>
        <v>0</v>
      </c>
      <c r="BE120" s="73" t="n">
        <f aca="false">IF($C120="","",COUNTIF($C117:$C120,BD$21)+COUNTIF($C117:$C120,$A$3))</f>
        <v>1</v>
      </c>
      <c r="BF120" s="73" t="n">
        <f aca="false">IF($D120="","",COUNTIF($D117:$D120,BD$21)+COUNTIF($D117:$D120,$A$3))</f>
        <v>0</v>
      </c>
      <c r="BG120" s="73" t="str">
        <f aca="false">IF($E120="","",COUNTIF($E117:$E120,BD$21)+COUNTIF($E117:$E120,$A$3))</f>
        <v/>
      </c>
      <c r="BH120" s="92" t="n">
        <f aca="false">IF($F120="","",COUNTIF($F117:$F120,BD$21)+COUNTIF($F117:$F120,$A$3))</f>
        <v>0</v>
      </c>
      <c r="BJ120" s="91" t="n">
        <f aca="false">IF($B120="","",COUNTIF($B117:$B120,BJ$21)+COUNTIF($B117:$B120,$A$3))</f>
        <v>0</v>
      </c>
      <c r="BK120" s="73" t="n">
        <f aca="false">IF($C120="","",COUNTIF($C117:$C120,BJ$21)+COUNTIF($C117:$C120,$A$3))</f>
        <v>0</v>
      </c>
      <c r="BL120" s="73" t="n">
        <f aca="false">IF($D120="","",COUNTIF($D117:$D120,BJ$21)+COUNTIF($D117:$D120,$A$3))</f>
        <v>1</v>
      </c>
      <c r="BM120" s="73" t="str">
        <f aca="false">IF($E120="","",COUNTIF($E117:$E120,BJ$21)+COUNTIF($E117:$E120,$A$3))</f>
        <v/>
      </c>
      <c r="BN120" s="92" t="n">
        <f aca="false">IF($F120="","",COUNTIF($F117:$F120,BJ$21)+COUNTIF($F117:$F120,$A$3))</f>
        <v>1</v>
      </c>
      <c r="BP120" s="91" t="n">
        <f aca="false">IF($B120="","",COUNTIF($B117:$B120,BP$21)+COUNTIF($B117:$B120,$A$3))</f>
        <v>0</v>
      </c>
      <c r="BQ120" s="73" t="n">
        <f aca="false">IF($C120="","",COUNTIF($C117:$C120,BP$21)+COUNTIF($C117:$C120,$A$3))</f>
        <v>0</v>
      </c>
      <c r="BR120" s="73" t="n">
        <f aca="false">IF($D120="","",COUNTIF($D117:$D120,BP$21)+COUNTIF($D117:$D120,$A$3))</f>
        <v>0</v>
      </c>
      <c r="BS120" s="73" t="str">
        <f aca="false">IF($E120="","",COUNTIF($E117:$E120,BP$21)+COUNTIF($E117:$E120,$A$3))</f>
        <v/>
      </c>
      <c r="BT120" s="92" t="n">
        <f aca="false">IF($F120="","",COUNTIF($F117:$F120,BP$21)+COUNTIF($F117:$F120,$A$3))</f>
        <v>0</v>
      </c>
    </row>
    <row r="121" customFormat="false" ht="15" hidden="false" customHeight="false" outlineLevel="0" collapsed="false">
      <c r="A121" s="13" t="n">
        <v>99</v>
      </c>
      <c r="B121" s="116" t="n">
        <f aca="false">IF('Game Info'!Q104="","",'Game Info'!Q104)</f>
        <v>10</v>
      </c>
      <c r="C121" s="116" t="n">
        <f aca="false">IF('Game Info'!R104="","",'Game Info'!R104)</f>
        <v>10</v>
      </c>
      <c r="D121" s="116" t="str">
        <f aca="false">IF('Game Info'!S104="","",'Game Info'!S104)</f>
        <v>SYM1</v>
      </c>
      <c r="E121" s="116" t="str">
        <f aca="false">IF('Game Info'!T104="","",'Game Info'!T104)</f>
        <v/>
      </c>
      <c r="F121" s="117" t="str">
        <f aca="false">IF('Game Info'!U104="","",'Game Info'!U104)</f>
        <v>SYM3</v>
      </c>
      <c r="H121" s="91" t="n">
        <f aca="false">IF($B121="","",COUNTIF($B118:$B121,H$21)+COUNTIF($B118:$B121,$A$3))</f>
        <v>0</v>
      </c>
      <c r="I121" s="73" t="n">
        <f aca="false">IF($C121="","",COUNTIF($C118:$C121,H$21)+COUNTIF($C118:$C121,$A$3))</f>
        <v>0</v>
      </c>
      <c r="J121" s="73" t="n">
        <f aca="false">IF($D121="","",COUNTIF($D118:$D121,H$21)+COUNTIF($D118:$D121,$A$3))</f>
        <v>1</v>
      </c>
      <c r="K121" s="73" t="str">
        <f aca="false">IF($E121="","",COUNTIF($E118:$E121,H$21)+COUNTIF($E118:$E121,$A$3))</f>
        <v/>
      </c>
      <c r="L121" s="92" t="n">
        <f aca="false">IF($F121="","",COUNTIF($F118:$F121,H$21)+COUNTIF($F118:$F121,$A$3))</f>
        <v>1</v>
      </c>
      <c r="N121" s="91" t="n">
        <f aca="false">IF($B121="","",COUNTIF($B118:$B121,N$21)+COUNTIF($B118:$B121,$A$3))</f>
        <v>0</v>
      </c>
      <c r="O121" s="73" t="n">
        <f aca="false">IF($C121="","",COUNTIF($C118:$C121,N$21)+COUNTIF($C118:$C121,$A$3))</f>
        <v>0</v>
      </c>
      <c r="P121" s="73" t="n">
        <f aca="false">IF($D121="","",COUNTIF($D118:$D121,N$21)+COUNTIF($D118:$D121,$A$3))</f>
        <v>0</v>
      </c>
      <c r="Q121" s="73" t="str">
        <f aca="false">IF($E121="","",COUNTIF($E118:$E121,N$21)+COUNTIF($E118:$E121,$A$3))</f>
        <v/>
      </c>
      <c r="R121" s="92" t="n">
        <f aca="false">IF($F121="","",COUNTIF($F118:$F121,N$21)+COUNTIF($F118:$F121,$A$3))</f>
        <v>0</v>
      </c>
      <c r="T121" s="91" t="n">
        <f aca="false">IF($B121="","",COUNTIF($B118:$B121,T$21)+COUNTIF($B118:$B121,$A$3))</f>
        <v>1</v>
      </c>
      <c r="U121" s="73" t="n">
        <f aca="false">IF($C121="","",COUNTIF($C118:$C121,T$21)+COUNTIF($C118:$C121,$A$3))</f>
        <v>0</v>
      </c>
      <c r="V121" s="73" t="n">
        <f aca="false">IF($D121="","",COUNTIF($D118:$D121,T$21)+COUNTIF($D118:$D121,$A$3))</f>
        <v>0</v>
      </c>
      <c r="W121" s="73" t="str">
        <f aca="false">IF($E121="","",COUNTIF($E118:$E121,T$21)+COUNTIF($E118:$E121,$A$3))</f>
        <v/>
      </c>
      <c r="X121" s="92" t="n">
        <f aca="false">IF($F121="","",COUNTIF($F118:$F121,T$21)+COUNTIF($F118:$F121,$A$3))</f>
        <v>1</v>
      </c>
      <c r="Z121" s="91" t="n">
        <f aca="false">IF($B121="","",COUNTIF($B118:$B121,Z$21)+COUNTIF($B118:$B121,$A$3))</f>
        <v>0</v>
      </c>
      <c r="AA121" s="73" t="n">
        <f aca="false">IF($C121="","",COUNTIF($C118:$C121,Z$21)+COUNTIF($C118:$C121,$A$3))</f>
        <v>0</v>
      </c>
      <c r="AB121" s="73" t="n">
        <f aca="false">IF($D121="","",COUNTIF($D118:$D121,Z$21)+COUNTIF($D118:$D121,$A$3))</f>
        <v>1</v>
      </c>
      <c r="AC121" s="73" t="str">
        <f aca="false">IF($E121="","",COUNTIF($E118:$E121,Z$21)+COUNTIF($E118:$E121,$A$3))</f>
        <v/>
      </c>
      <c r="AD121" s="92" t="n">
        <f aca="false">IF($F121="","",COUNTIF($F118:$F121,Z$21)+COUNTIF($F118:$F121,$A$3))</f>
        <v>0</v>
      </c>
      <c r="AF121" s="91" t="n">
        <f aca="false">IF($B121="","",COUNTIF($B118:$B121,AF$21)+COUNTIF($B118:$B121,$A$3))</f>
        <v>0</v>
      </c>
      <c r="AG121" s="73" t="n">
        <f aca="false">IF($C121="","",COUNTIF($C118:$C121,AF$21)+COUNTIF($C118:$C121,$A$3))</f>
        <v>0</v>
      </c>
      <c r="AH121" s="73" t="n">
        <f aca="false">IF($D121="","",COUNTIF($D118:$D121,AF$21)+COUNTIF($D118:$D121,$A$3))</f>
        <v>0</v>
      </c>
      <c r="AI121" s="73" t="str">
        <f aca="false">IF($E121="","",COUNTIF($E118:$E121,AF$21)+COUNTIF($E118:$E121,$A$3))</f>
        <v/>
      </c>
      <c r="AJ121" s="92" t="n">
        <f aca="false">IF($F121="","",COUNTIF($F118:$F121,AF$21)+COUNTIF($F118:$F121,$A$3))</f>
        <v>0</v>
      </c>
      <c r="AL121" s="91" t="n">
        <f aca="false">IF($B121="","",COUNTIF($B118:$B121,AL$21)+COUNTIF($B118:$B121,$A$3))</f>
        <v>0</v>
      </c>
      <c r="AM121" s="73" t="n">
        <f aca="false">IF($C121="","",COUNTIF($C118:$C121,AL$21)+COUNTIF($C118:$C121,$A$3))</f>
        <v>0</v>
      </c>
      <c r="AN121" s="73" t="n">
        <f aca="false">IF($D121="","",COUNTIF($D118:$D121,AL$21)+COUNTIF($D118:$D121,$A$3))</f>
        <v>0</v>
      </c>
      <c r="AO121" s="73" t="str">
        <f aca="false">IF($E121="","",COUNTIF($E118:$E121,AL$21)+COUNTIF($E118:$E121,$A$3))</f>
        <v/>
      </c>
      <c r="AP121" s="92" t="n">
        <f aca="false">IF($F121="","",COUNTIF($F118:$F121,AL$21)+COUNTIF($F118:$F121,$A$3))</f>
        <v>0</v>
      </c>
      <c r="AR121" s="91" t="n">
        <f aca="false">IF($B121="","",COUNTIF($B118:$B121,AR$21)+COUNTIF($B118:$B121,$A$3))</f>
        <v>1</v>
      </c>
      <c r="AS121" s="73" t="n">
        <f aca="false">IF($C121="","",COUNTIF($C118:$C121,AR$21)+COUNTIF($C118:$C121,$A$3))</f>
        <v>0</v>
      </c>
      <c r="AT121" s="73" t="n">
        <f aca="false">IF($D121="","",COUNTIF($D118:$D121,AR$21)+COUNTIF($D118:$D121,$A$3))</f>
        <v>1</v>
      </c>
      <c r="AU121" s="73" t="str">
        <f aca="false">IF($E121="","",COUNTIF($E118:$E121,AR$21)+COUNTIF($E118:$E121,$A$3))</f>
        <v/>
      </c>
      <c r="AV121" s="92" t="n">
        <f aca="false">IF($F121="","",COUNTIF($F118:$F121,AR$21)+COUNTIF($F118:$F121,$A$3))</f>
        <v>1</v>
      </c>
      <c r="AX121" s="91" t="n">
        <f aca="false">IF($B121="","",COUNTIF($B118:$B121,AX$21)+COUNTIF($B118:$B121,$A$3))</f>
        <v>1</v>
      </c>
      <c r="AY121" s="73" t="n">
        <f aca="false">IF($C121="","",COUNTIF($C118:$C121,AX$21)+COUNTIF($C118:$C121,$A$3))</f>
        <v>1</v>
      </c>
      <c r="AZ121" s="73" t="n">
        <f aca="false">IF($D121="","",COUNTIF($D118:$D121,AX$21)+COUNTIF($D118:$D121,$A$3))</f>
        <v>1</v>
      </c>
      <c r="BA121" s="73" t="str">
        <f aca="false">IF($E121="","",COUNTIF($E118:$E121,AX$21)+COUNTIF($E118:$E121,$A$3))</f>
        <v/>
      </c>
      <c r="BB121" s="92" t="n">
        <f aca="false">IF($F121="","",COUNTIF($F118:$F121,AX$21)+COUNTIF($F118:$F121,$A$3))</f>
        <v>0</v>
      </c>
      <c r="BD121" s="91" t="n">
        <f aca="false">IF($B121="","",COUNTIF($B118:$B121,BD$21)+COUNTIF($B118:$B121,$A$3))</f>
        <v>0</v>
      </c>
      <c r="BE121" s="73" t="n">
        <f aca="false">IF($C121="","",COUNTIF($C118:$C121,BD$21)+COUNTIF($C118:$C121,$A$3))</f>
        <v>1</v>
      </c>
      <c r="BF121" s="73" t="n">
        <f aca="false">IF($D121="","",COUNTIF($D118:$D121,BD$21)+COUNTIF($D118:$D121,$A$3))</f>
        <v>0</v>
      </c>
      <c r="BG121" s="73" t="str">
        <f aca="false">IF($E121="","",COUNTIF($E118:$E121,BD$21)+COUNTIF($E118:$E121,$A$3))</f>
        <v/>
      </c>
      <c r="BH121" s="92" t="n">
        <f aca="false">IF($F121="","",COUNTIF($F118:$F121,BD$21)+COUNTIF($F118:$F121,$A$3))</f>
        <v>0</v>
      </c>
      <c r="BJ121" s="91" t="n">
        <f aca="false">IF($B121="","",COUNTIF($B118:$B121,BJ$21)+COUNTIF($B118:$B121,$A$3))</f>
        <v>1</v>
      </c>
      <c r="BK121" s="73" t="n">
        <f aca="false">IF($C121="","",COUNTIF($C118:$C121,BJ$21)+COUNTIF($C118:$C121,$A$3))</f>
        <v>1</v>
      </c>
      <c r="BL121" s="73" t="n">
        <f aca="false">IF($D121="","",COUNTIF($D118:$D121,BJ$21)+COUNTIF($D118:$D121,$A$3))</f>
        <v>0</v>
      </c>
      <c r="BM121" s="73" t="str">
        <f aca="false">IF($E121="","",COUNTIF($E118:$E121,BJ$21)+COUNTIF($E118:$E121,$A$3))</f>
        <v/>
      </c>
      <c r="BN121" s="92" t="n">
        <f aca="false">IF($F121="","",COUNTIF($F118:$F121,BJ$21)+COUNTIF($F118:$F121,$A$3))</f>
        <v>1</v>
      </c>
      <c r="BP121" s="91" t="n">
        <f aca="false">IF($B121="","",COUNTIF($B118:$B121,BP$21)+COUNTIF($B118:$B121,$A$3))</f>
        <v>0</v>
      </c>
      <c r="BQ121" s="73" t="n">
        <f aca="false">IF($C121="","",COUNTIF($C118:$C121,BP$21)+COUNTIF($C118:$C121,$A$3))</f>
        <v>0</v>
      </c>
      <c r="BR121" s="73" t="n">
        <f aca="false">IF($D121="","",COUNTIF($D118:$D121,BP$21)+COUNTIF($D118:$D121,$A$3))</f>
        <v>0</v>
      </c>
      <c r="BS121" s="73" t="str">
        <f aca="false">IF($E121="","",COUNTIF($E118:$E121,BP$21)+COUNTIF($E118:$E121,$A$3))</f>
        <v/>
      </c>
      <c r="BT121" s="92" t="n">
        <f aca="false">IF($F121="","",COUNTIF($F118:$F121,BP$21)+COUNTIF($F118:$F121,$A$3))</f>
        <v>0</v>
      </c>
    </row>
    <row r="122" customFormat="false" ht="15" hidden="false" customHeight="false" outlineLevel="0" collapsed="false">
      <c r="A122" s="13" t="n">
        <v>100</v>
      </c>
      <c r="B122" s="116" t="str">
        <f aca="false">IF('Game Info'!Q105="","",'Game Info'!Q105)</f>
        <v>SYM3</v>
      </c>
      <c r="C122" s="116" t="str">
        <f aca="false">IF('Game Info'!R105="","",'Game Info'!R105)</f>
        <v>SYM3</v>
      </c>
      <c r="D122" s="116" t="str">
        <f aca="false">IF('Game Info'!S105="","",'Game Info'!S105)</f>
        <v>SYM1</v>
      </c>
      <c r="E122" s="116" t="str">
        <f aca="false">IF('Game Info'!T105="","",'Game Info'!T105)</f>
        <v/>
      </c>
      <c r="F122" s="117" t="str">
        <f aca="false">IF('Game Info'!U105="","",'Game Info'!U105)</f>
        <v>Q</v>
      </c>
      <c r="H122" s="91" t="n">
        <f aca="false">IF($B122="","",COUNTIF($B119:$B122,H$21)+COUNTIF($B119:$B122,$A$3))</f>
        <v>0</v>
      </c>
      <c r="I122" s="73" t="n">
        <f aca="false">IF($C122="","",COUNTIF($C119:$C122,H$21)+COUNTIF($C119:$C122,$A$3))</f>
        <v>0</v>
      </c>
      <c r="J122" s="73" t="n">
        <f aca="false">IF($D122="","",COUNTIF($D119:$D122,H$21)+COUNTIF($D119:$D122,$A$3))</f>
        <v>2</v>
      </c>
      <c r="K122" s="73" t="str">
        <f aca="false">IF($E122="","",COUNTIF($E119:$E122,H$21)+COUNTIF($E119:$E122,$A$3))</f>
        <v/>
      </c>
      <c r="L122" s="92" t="n">
        <f aca="false">IF($F122="","",COUNTIF($F119:$F122,H$21)+COUNTIF($F119:$F122,$A$3))</f>
        <v>1</v>
      </c>
      <c r="N122" s="91" t="n">
        <f aca="false">IF($B122="","",COUNTIF($B119:$B122,N$21)+COUNTIF($B119:$B122,$A$3))</f>
        <v>0</v>
      </c>
      <c r="O122" s="73" t="n">
        <f aca="false">IF($C122="","",COUNTIF($C119:$C122,N$21)+COUNTIF($C119:$C122,$A$3))</f>
        <v>0</v>
      </c>
      <c r="P122" s="73" t="n">
        <f aca="false">IF($D122="","",COUNTIF($D119:$D122,N$21)+COUNTIF($D119:$D122,$A$3))</f>
        <v>0</v>
      </c>
      <c r="Q122" s="73" t="str">
        <f aca="false">IF($E122="","",COUNTIF($E119:$E122,N$21)+COUNTIF($E119:$E122,$A$3))</f>
        <v/>
      </c>
      <c r="R122" s="92" t="n">
        <f aca="false">IF($F122="","",COUNTIF($F119:$F122,N$21)+COUNTIF($F119:$F122,$A$3))</f>
        <v>0</v>
      </c>
      <c r="T122" s="91" t="n">
        <f aca="false">IF($B122="","",COUNTIF($B119:$B122,T$21)+COUNTIF($B119:$B122,$A$3))</f>
        <v>2</v>
      </c>
      <c r="U122" s="73" t="n">
        <f aca="false">IF($C122="","",COUNTIF($C119:$C122,T$21)+COUNTIF($C119:$C122,$A$3))</f>
        <v>1</v>
      </c>
      <c r="V122" s="73" t="n">
        <f aca="false">IF($D122="","",COUNTIF($D119:$D122,T$21)+COUNTIF($D119:$D122,$A$3))</f>
        <v>0</v>
      </c>
      <c r="W122" s="73" t="str">
        <f aca="false">IF($E122="","",COUNTIF($E119:$E122,T$21)+COUNTIF($E119:$E122,$A$3))</f>
        <v/>
      </c>
      <c r="X122" s="92" t="n">
        <f aca="false">IF($F122="","",COUNTIF($F119:$F122,T$21)+COUNTIF($F119:$F122,$A$3))</f>
        <v>1</v>
      </c>
      <c r="Z122" s="91" t="n">
        <f aca="false">IF($B122="","",COUNTIF($B119:$B122,Z$21)+COUNTIF($B119:$B122,$A$3))</f>
        <v>0</v>
      </c>
      <c r="AA122" s="73" t="n">
        <f aca="false">IF($C122="","",COUNTIF($C119:$C122,Z$21)+COUNTIF($C119:$C122,$A$3))</f>
        <v>0</v>
      </c>
      <c r="AB122" s="73" t="n">
        <f aca="false">IF($D122="","",COUNTIF($D119:$D122,Z$21)+COUNTIF($D119:$D122,$A$3))</f>
        <v>0</v>
      </c>
      <c r="AC122" s="73" t="str">
        <f aca="false">IF($E122="","",COUNTIF($E119:$E122,Z$21)+COUNTIF($E119:$E122,$A$3))</f>
        <v/>
      </c>
      <c r="AD122" s="92" t="n">
        <f aca="false">IF($F122="","",COUNTIF($F119:$F122,Z$21)+COUNTIF($F119:$F122,$A$3))</f>
        <v>0</v>
      </c>
      <c r="AF122" s="91" t="n">
        <f aca="false">IF($B122="","",COUNTIF($B119:$B122,AF$21)+COUNTIF($B119:$B122,$A$3))</f>
        <v>0</v>
      </c>
      <c r="AG122" s="73" t="n">
        <f aca="false">IF($C122="","",COUNTIF($C119:$C122,AF$21)+COUNTIF($C119:$C122,$A$3))</f>
        <v>0</v>
      </c>
      <c r="AH122" s="73" t="n">
        <f aca="false">IF($D122="","",COUNTIF($D119:$D122,AF$21)+COUNTIF($D119:$D122,$A$3))</f>
        <v>0</v>
      </c>
      <c r="AI122" s="73" t="str">
        <f aca="false">IF($E122="","",COUNTIF($E119:$E122,AF$21)+COUNTIF($E119:$E122,$A$3))</f>
        <v/>
      </c>
      <c r="AJ122" s="92" t="n">
        <f aca="false">IF($F122="","",COUNTIF($F119:$F122,AF$21)+COUNTIF($F119:$F122,$A$3))</f>
        <v>0</v>
      </c>
      <c r="AL122" s="91" t="n">
        <f aca="false">IF($B122="","",COUNTIF($B119:$B122,AL$21)+COUNTIF($B119:$B122,$A$3))</f>
        <v>0</v>
      </c>
      <c r="AM122" s="73" t="n">
        <f aca="false">IF($C122="","",COUNTIF($C119:$C122,AL$21)+COUNTIF($C119:$C122,$A$3))</f>
        <v>0</v>
      </c>
      <c r="AN122" s="73" t="n">
        <f aca="false">IF($D122="","",COUNTIF($D119:$D122,AL$21)+COUNTIF($D119:$D122,$A$3))</f>
        <v>0</v>
      </c>
      <c r="AO122" s="73" t="str">
        <f aca="false">IF($E122="","",COUNTIF($E119:$E122,AL$21)+COUNTIF($E119:$E122,$A$3))</f>
        <v/>
      </c>
      <c r="AP122" s="92" t="n">
        <f aca="false">IF($F122="","",COUNTIF($F119:$F122,AL$21)+COUNTIF($F119:$F122,$A$3))</f>
        <v>0</v>
      </c>
      <c r="AR122" s="91" t="n">
        <f aca="false">IF($B122="","",COUNTIF($B119:$B122,AR$21)+COUNTIF($B119:$B122,$A$3))</f>
        <v>0</v>
      </c>
      <c r="AS122" s="73" t="n">
        <f aca="false">IF($C122="","",COUNTIF($C119:$C122,AR$21)+COUNTIF($C119:$C122,$A$3))</f>
        <v>0</v>
      </c>
      <c r="AT122" s="73" t="n">
        <f aca="false">IF($D122="","",COUNTIF($D119:$D122,AR$21)+COUNTIF($D119:$D122,$A$3))</f>
        <v>1</v>
      </c>
      <c r="AU122" s="73" t="str">
        <f aca="false">IF($E122="","",COUNTIF($E119:$E122,AR$21)+COUNTIF($E119:$E122,$A$3))</f>
        <v/>
      </c>
      <c r="AV122" s="92" t="n">
        <f aca="false">IF($F122="","",COUNTIF($F119:$F122,AR$21)+COUNTIF($F119:$F122,$A$3))</f>
        <v>0</v>
      </c>
      <c r="AX122" s="91" t="n">
        <f aca="false">IF($B122="","",COUNTIF($B119:$B122,AX$21)+COUNTIF($B119:$B122,$A$3))</f>
        <v>1</v>
      </c>
      <c r="AY122" s="73" t="n">
        <f aca="false">IF($C122="","",COUNTIF($C119:$C122,AX$21)+COUNTIF($C119:$C122,$A$3))</f>
        <v>1</v>
      </c>
      <c r="AZ122" s="73" t="n">
        <f aca="false">IF($D122="","",COUNTIF($D119:$D122,AX$21)+COUNTIF($D119:$D122,$A$3))</f>
        <v>1</v>
      </c>
      <c r="BA122" s="73" t="str">
        <f aca="false">IF($E122="","",COUNTIF($E119:$E122,AX$21)+COUNTIF($E119:$E122,$A$3))</f>
        <v/>
      </c>
      <c r="BB122" s="92" t="n">
        <f aca="false">IF($F122="","",COUNTIF($F119:$F122,AX$21)+COUNTIF($F119:$F122,$A$3))</f>
        <v>1</v>
      </c>
      <c r="BD122" s="91" t="n">
        <f aca="false">IF($B122="","",COUNTIF($B119:$B122,BD$21)+COUNTIF($B119:$B122,$A$3))</f>
        <v>0</v>
      </c>
      <c r="BE122" s="73" t="n">
        <f aca="false">IF($C122="","",COUNTIF($C119:$C122,BD$21)+COUNTIF($C119:$C122,$A$3))</f>
        <v>1</v>
      </c>
      <c r="BF122" s="73" t="n">
        <f aca="false">IF($D122="","",COUNTIF($D119:$D122,BD$21)+COUNTIF($D119:$D122,$A$3))</f>
        <v>0</v>
      </c>
      <c r="BG122" s="73" t="str">
        <f aca="false">IF($E122="","",COUNTIF($E119:$E122,BD$21)+COUNTIF($E119:$E122,$A$3))</f>
        <v/>
      </c>
      <c r="BH122" s="92" t="n">
        <f aca="false">IF($F122="","",COUNTIF($F119:$F122,BD$21)+COUNTIF($F119:$F122,$A$3))</f>
        <v>0</v>
      </c>
      <c r="BJ122" s="91" t="n">
        <f aca="false">IF($B122="","",COUNTIF($B119:$B122,BJ$21)+COUNTIF($B119:$B122,$A$3))</f>
        <v>1</v>
      </c>
      <c r="BK122" s="73" t="n">
        <f aca="false">IF($C122="","",COUNTIF($C119:$C122,BJ$21)+COUNTIF($C119:$C122,$A$3))</f>
        <v>1</v>
      </c>
      <c r="BL122" s="73" t="n">
        <f aca="false">IF($D122="","",COUNTIF($D119:$D122,BJ$21)+COUNTIF($D119:$D122,$A$3))</f>
        <v>0</v>
      </c>
      <c r="BM122" s="73" t="str">
        <f aca="false">IF($E122="","",COUNTIF($E119:$E122,BJ$21)+COUNTIF($E119:$E122,$A$3))</f>
        <v/>
      </c>
      <c r="BN122" s="92" t="n">
        <f aca="false">IF($F122="","",COUNTIF($F119:$F122,BJ$21)+COUNTIF($F119:$F122,$A$3))</f>
        <v>1</v>
      </c>
      <c r="BP122" s="91" t="n">
        <f aca="false">IF($B122="","",COUNTIF($B119:$B122,BP$21)+COUNTIF($B119:$B122,$A$3))</f>
        <v>0</v>
      </c>
      <c r="BQ122" s="73" t="n">
        <f aca="false">IF($C122="","",COUNTIF($C119:$C122,BP$21)+COUNTIF($C119:$C122,$A$3))</f>
        <v>0</v>
      </c>
      <c r="BR122" s="73" t="n">
        <f aca="false">IF($D122="","",COUNTIF($D119:$D122,BP$21)+COUNTIF($D119:$D122,$A$3))</f>
        <v>0</v>
      </c>
      <c r="BS122" s="73" t="str">
        <f aca="false">IF($E122="","",COUNTIF($E119:$E122,BP$21)+COUNTIF($E119:$E122,$A$3))</f>
        <v/>
      </c>
      <c r="BT122" s="92" t="n">
        <f aca="false">IF($F122="","",COUNTIF($F119:$F122,BP$21)+COUNTIF($F119:$F122,$A$3))</f>
        <v>0</v>
      </c>
    </row>
    <row r="123" customFormat="false" ht="15" hidden="false" customHeight="false" outlineLevel="0" collapsed="false">
      <c r="A123" s="13" t="n">
        <v>101</v>
      </c>
      <c r="B123" s="116" t="n">
        <f aca="false">IF('Game Info'!Q106="","",'Game Info'!Q106)</f>
        <v>9</v>
      </c>
      <c r="C123" s="116" t="str">
        <f aca="false">IF('Game Info'!R106="","",'Game Info'!R106)</f>
        <v>A</v>
      </c>
      <c r="D123" s="116" t="str">
        <f aca="false">IF('Game Info'!S106="","",'Game Info'!S106)</f>
        <v>SYM1</v>
      </c>
      <c r="E123" s="116" t="str">
        <f aca="false">IF('Game Info'!T106="","",'Game Info'!T106)</f>
        <v/>
      </c>
      <c r="F123" s="117" t="str">
        <f aca="false">IF('Game Info'!U106="","",'Game Info'!U106)</f>
        <v>K</v>
      </c>
      <c r="H123" s="91" t="n">
        <f aca="false">IF($B123="","",COUNTIF($B120:$B123,H$21)+COUNTIF($B120:$B123,$A$3))</f>
        <v>0</v>
      </c>
      <c r="I123" s="73" t="n">
        <f aca="false">IF($C123="","",COUNTIF($C120:$C123,H$21)+COUNTIF($C120:$C123,$A$3))</f>
        <v>0</v>
      </c>
      <c r="J123" s="73" t="n">
        <f aca="false">IF($D123="","",COUNTIF($D120:$D123,H$21)+COUNTIF($D120:$D123,$A$3))</f>
        <v>3</v>
      </c>
      <c r="K123" s="73" t="str">
        <f aca="false">IF($E123="","",COUNTIF($E120:$E123,H$21)+COUNTIF($E120:$E123,$A$3))</f>
        <v/>
      </c>
      <c r="L123" s="92" t="n">
        <f aca="false">IF($F123="","",COUNTIF($F120:$F123,H$21)+COUNTIF($F120:$F123,$A$3))</f>
        <v>0</v>
      </c>
      <c r="N123" s="91" t="n">
        <f aca="false">IF($B123="","",COUNTIF($B120:$B123,N$21)+COUNTIF($B120:$B123,$A$3))</f>
        <v>0</v>
      </c>
      <c r="O123" s="73" t="n">
        <f aca="false">IF($C123="","",COUNTIF($C120:$C123,N$21)+COUNTIF($C120:$C123,$A$3))</f>
        <v>0</v>
      </c>
      <c r="P123" s="73" t="n">
        <f aca="false">IF($D123="","",COUNTIF($D120:$D123,N$21)+COUNTIF($D120:$D123,$A$3))</f>
        <v>0</v>
      </c>
      <c r="Q123" s="73" t="str">
        <f aca="false">IF($E123="","",COUNTIF($E120:$E123,N$21)+COUNTIF($E120:$E123,$A$3))</f>
        <v/>
      </c>
      <c r="R123" s="92" t="n">
        <f aca="false">IF($F123="","",COUNTIF($F120:$F123,N$21)+COUNTIF($F120:$F123,$A$3))</f>
        <v>0</v>
      </c>
      <c r="T123" s="91" t="n">
        <f aca="false">IF($B123="","",COUNTIF($B120:$B123,T$21)+COUNTIF($B120:$B123,$A$3))</f>
        <v>1</v>
      </c>
      <c r="U123" s="73" t="n">
        <f aca="false">IF($C123="","",COUNTIF($C120:$C123,T$21)+COUNTIF($C120:$C123,$A$3))</f>
        <v>1</v>
      </c>
      <c r="V123" s="73" t="n">
        <f aca="false">IF($D123="","",COUNTIF($D120:$D123,T$21)+COUNTIF($D120:$D123,$A$3))</f>
        <v>0</v>
      </c>
      <c r="W123" s="73" t="str">
        <f aca="false">IF($E123="","",COUNTIF($E120:$E123,T$21)+COUNTIF($E120:$E123,$A$3))</f>
        <v/>
      </c>
      <c r="X123" s="92" t="n">
        <f aca="false">IF($F123="","",COUNTIF($F120:$F123,T$21)+COUNTIF($F120:$F123,$A$3))</f>
        <v>1</v>
      </c>
      <c r="Z123" s="91" t="n">
        <f aca="false">IF($B123="","",COUNTIF($B120:$B123,Z$21)+COUNTIF($B120:$B123,$A$3))</f>
        <v>0</v>
      </c>
      <c r="AA123" s="73" t="n">
        <f aca="false">IF($C123="","",COUNTIF($C120:$C123,Z$21)+COUNTIF($C120:$C123,$A$3))</f>
        <v>0</v>
      </c>
      <c r="AB123" s="73" t="n">
        <f aca="false">IF($D123="","",COUNTIF($D120:$D123,Z$21)+COUNTIF($D120:$D123,$A$3))</f>
        <v>0</v>
      </c>
      <c r="AC123" s="73" t="str">
        <f aca="false">IF($E123="","",COUNTIF($E120:$E123,Z$21)+COUNTIF($E120:$E123,$A$3))</f>
        <v/>
      </c>
      <c r="AD123" s="92" t="n">
        <f aca="false">IF($F123="","",COUNTIF($F120:$F123,Z$21)+COUNTIF($F120:$F123,$A$3))</f>
        <v>0</v>
      </c>
      <c r="AF123" s="91" t="n">
        <f aca="false">IF($B123="","",COUNTIF($B120:$B123,AF$21)+COUNTIF($B120:$B123,$A$3))</f>
        <v>0</v>
      </c>
      <c r="AG123" s="73" t="n">
        <f aca="false">IF($C123="","",COUNTIF($C120:$C123,AF$21)+COUNTIF($C120:$C123,$A$3))</f>
        <v>0</v>
      </c>
      <c r="AH123" s="73" t="n">
        <f aca="false">IF($D123="","",COUNTIF($D120:$D123,AF$21)+COUNTIF($D120:$D123,$A$3))</f>
        <v>0</v>
      </c>
      <c r="AI123" s="73" t="str">
        <f aca="false">IF($E123="","",COUNTIF($E120:$E123,AF$21)+COUNTIF($E120:$E123,$A$3))</f>
        <v/>
      </c>
      <c r="AJ123" s="92" t="n">
        <f aca="false">IF($F123="","",COUNTIF($F120:$F123,AF$21)+COUNTIF($F120:$F123,$A$3))</f>
        <v>0</v>
      </c>
      <c r="AL123" s="91" t="n">
        <f aca="false">IF($B123="","",COUNTIF($B120:$B123,AL$21)+COUNTIF($B120:$B123,$A$3))</f>
        <v>0</v>
      </c>
      <c r="AM123" s="73" t="n">
        <f aca="false">IF($C123="","",COUNTIF($C120:$C123,AL$21)+COUNTIF($C120:$C123,$A$3))</f>
        <v>1</v>
      </c>
      <c r="AN123" s="73" t="n">
        <f aca="false">IF($D123="","",COUNTIF($D120:$D123,AL$21)+COUNTIF($D120:$D123,$A$3))</f>
        <v>0</v>
      </c>
      <c r="AO123" s="73" t="str">
        <f aca="false">IF($E123="","",COUNTIF($E120:$E123,AL$21)+COUNTIF($E120:$E123,$A$3))</f>
        <v/>
      </c>
      <c r="AP123" s="92" t="n">
        <f aca="false">IF($F123="","",COUNTIF($F120:$F123,AL$21)+COUNTIF($F120:$F123,$A$3))</f>
        <v>0</v>
      </c>
      <c r="AR123" s="91" t="n">
        <f aca="false">IF($B123="","",COUNTIF($B120:$B123,AR$21)+COUNTIF($B120:$B123,$A$3))</f>
        <v>0</v>
      </c>
      <c r="AS123" s="73" t="n">
        <f aca="false">IF($C123="","",COUNTIF($C120:$C123,AR$21)+COUNTIF($C120:$C123,$A$3))</f>
        <v>0</v>
      </c>
      <c r="AT123" s="73" t="n">
        <f aca="false">IF($D123="","",COUNTIF($D120:$D123,AR$21)+COUNTIF($D120:$D123,$A$3))</f>
        <v>1</v>
      </c>
      <c r="AU123" s="73" t="str">
        <f aca="false">IF($E123="","",COUNTIF($E120:$E123,AR$21)+COUNTIF($E120:$E123,$A$3))</f>
        <v/>
      </c>
      <c r="AV123" s="92" t="n">
        <f aca="false">IF($F123="","",COUNTIF($F120:$F123,AR$21)+COUNTIF($F120:$F123,$A$3))</f>
        <v>1</v>
      </c>
      <c r="AX123" s="91" t="n">
        <f aca="false">IF($B123="","",COUNTIF($B120:$B123,AX$21)+COUNTIF($B120:$B123,$A$3))</f>
        <v>1</v>
      </c>
      <c r="AY123" s="73" t="n">
        <f aca="false">IF($C123="","",COUNTIF($C120:$C123,AX$21)+COUNTIF($C120:$C123,$A$3))</f>
        <v>1</v>
      </c>
      <c r="AZ123" s="73" t="n">
        <f aca="false">IF($D123="","",COUNTIF($D120:$D123,AX$21)+COUNTIF($D120:$D123,$A$3))</f>
        <v>0</v>
      </c>
      <c r="BA123" s="73" t="str">
        <f aca="false">IF($E123="","",COUNTIF($E120:$E123,AX$21)+COUNTIF($E120:$E123,$A$3))</f>
        <v/>
      </c>
      <c r="BB123" s="92" t="n">
        <f aca="false">IF($F123="","",COUNTIF($F120:$F123,AX$21)+COUNTIF($F120:$F123,$A$3))</f>
        <v>1</v>
      </c>
      <c r="BD123" s="91" t="n">
        <f aca="false">IF($B123="","",COUNTIF($B120:$B123,BD$21)+COUNTIF($B120:$B123,$A$3))</f>
        <v>0</v>
      </c>
      <c r="BE123" s="73" t="n">
        <f aca="false">IF($C123="","",COUNTIF($C120:$C123,BD$21)+COUNTIF($C120:$C123,$A$3))</f>
        <v>0</v>
      </c>
      <c r="BF123" s="73" t="n">
        <f aca="false">IF($D123="","",COUNTIF($D120:$D123,BD$21)+COUNTIF($D120:$D123,$A$3))</f>
        <v>0</v>
      </c>
      <c r="BG123" s="73" t="str">
        <f aca="false">IF($E123="","",COUNTIF($E120:$E123,BD$21)+COUNTIF($E120:$E123,$A$3))</f>
        <v/>
      </c>
      <c r="BH123" s="92" t="n">
        <f aca="false">IF($F123="","",COUNTIF($F120:$F123,BD$21)+COUNTIF($F120:$F123,$A$3))</f>
        <v>0</v>
      </c>
      <c r="BJ123" s="91" t="n">
        <f aca="false">IF($B123="","",COUNTIF($B120:$B123,BJ$21)+COUNTIF($B120:$B123,$A$3))</f>
        <v>1</v>
      </c>
      <c r="BK123" s="73" t="n">
        <f aca="false">IF($C123="","",COUNTIF($C120:$C123,BJ$21)+COUNTIF($C120:$C123,$A$3))</f>
        <v>1</v>
      </c>
      <c r="BL123" s="73" t="n">
        <f aca="false">IF($D123="","",COUNTIF($D120:$D123,BJ$21)+COUNTIF($D120:$D123,$A$3))</f>
        <v>0</v>
      </c>
      <c r="BM123" s="73" t="str">
        <f aca="false">IF($E123="","",COUNTIF($E120:$E123,BJ$21)+COUNTIF($E120:$E123,$A$3))</f>
        <v/>
      </c>
      <c r="BN123" s="92" t="n">
        <f aca="false">IF($F123="","",COUNTIF($F120:$F123,BJ$21)+COUNTIF($F120:$F123,$A$3))</f>
        <v>1</v>
      </c>
      <c r="BP123" s="91" t="n">
        <f aca="false">IF($B123="","",COUNTIF($B120:$B123,BP$21)+COUNTIF($B120:$B123,$A$3))</f>
        <v>1</v>
      </c>
      <c r="BQ123" s="73" t="n">
        <f aca="false">IF($C123="","",COUNTIF($C120:$C123,BP$21)+COUNTIF($C120:$C123,$A$3))</f>
        <v>0</v>
      </c>
      <c r="BR123" s="73" t="n">
        <f aca="false">IF($D123="","",COUNTIF($D120:$D123,BP$21)+COUNTIF($D120:$D123,$A$3))</f>
        <v>0</v>
      </c>
      <c r="BS123" s="73" t="str">
        <f aca="false">IF($E123="","",COUNTIF($E120:$E123,BP$21)+COUNTIF($E120:$E123,$A$3))</f>
        <v/>
      </c>
      <c r="BT123" s="92" t="n">
        <f aca="false">IF($F123="","",COUNTIF($F120:$F123,BP$21)+COUNTIF($F120:$F123,$A$3))</f>
        <v>0</v>
      </c>
    </row>
    <row r="124" customFormat="false" ht="15" hidden="false" customHeight="false" outlineLevel="0" collapsed="false">
      <c r="A124" s="13" t="n">
        <v>102</v>
      </c>
      <c r="B124" s="116" t="str">
        <f aca="false">IF('Game Info'!Q107="","",'Game Info'!Q107)</f>
        <v>SYM2</v>
      </c>
      <c r="C124" s="116" t="str">
        <f aca="false">IF('Game Info'!R107="","",'Game Info'!R107)</f>
        <v>SYM4</v>
      </c>
      <c r="D124" s="116" t="str">
        <f aca="false">IF('Game Info'!S107="","",'Game Info'!S107)</f>
        <v>Q</v>
      </c>
      <c r="E124" s="116" t="str">
        <f aca="false">IF('Game Info'!T107="","",'Game Info'!T107)</f>
        <v/>
      </c>
      <c r="F124" s="117" t="str">
        <f aca="false">IF('Game Info'!U107="","",'Game Info'!U107)</f>
        <v>SYM2</v>
      </c>
      <c r="H124" s="91" t="n">
        <f aca="false">IF($B124="","",COUNTIF($B121:$B124,H$21)+COUNTIF($B121:$B124,$A$3))</f>
        <v>0</v>
      </c>
      <c r="I124" s="73" t="n">
        <f aca="false">IF($C124="","",COUNTIF($C121:$C124,H$21)+COUNTIF($C121:$C124,$A$3))</f>
        <v>0</v>
      </c>
      <c r="J124" s="73" t="n">
        <f aca="false">IF($D124="","",COUNTIF($D121:$D124,H$21)+COUNTIF($D121:$D124,$A$3))</f>
        <v>3</v>
      </c>
      <c r="K124" s="73" t="str">
        <f aca="false">IF($E124="","",COUNTIF($E121:$E124,H$21)+COUNTIF($E121:$E124,$A$3))</f>
        <v/>
      </c>
      <c r="L124" s="92" t="n">
        <f aca="false">IF($F124="","",COUNTIF($F121:$F124,H$21)+COUNTIF($F121:$F124,$A$3))</f>
        <v>0</v>
      </c>
      <c r="N124" s="91" t="n">
        <f aca="false">IF($B124="","",COUNTIF($B121:$B124,N$21)+COUNTIF($B121:$B124,$A$3))</f>
        <v>1</v>
      </c>
      <c r="O124" s="73" t="n">
        <f aca="false">IF($C124="","",COUNTIF($C121:$C124,N$21)+COUNTIF($C121:$C124,$A$3))</f>
        <v>0</v>
      </c>
      <c r="P124" s="73" t="n">
        <f aca="false">IF($D124="","",COUNTIF($D121:$D124,N$21)+COUNTIF($D121:$D124,$A$3))</f>
        <v>0</v>
      </c>
      <c r="Q124" s="73" t="str">
        <f aca="false">IF($E124="","",COUNTIF($E121:$E124,N$21)+COUNTIF($E121:$E124,$A$3))</f>
        <v/>
      </c>
      <c r="R124" s="92" t="n">
        <f aca="false">IF($F124="","",COUNTIF($F121:$F124,N$21)+COUNTIF($F121:$F124,$A$3))</f>
        <v>1</v>
      </c>
      <c r="T124" s="91" t="n">
        <f aca="false">IF($B124="","",COUNTIF($B121:$B124,T$21)+COUNTIF($B121:$B124,$A$3))</f>
        <v>1</v>
      </c>
      <c r="U124" s="73" t="n">
        <f aca="false">IF($C124="","",COUNTIF($C121:$C124,T$21)+COUNTIF($C121:$C124,$A$3))</f>
        <v>1</v>
      </c>
      <c r="V124" s="73" t="n">
        <f aca="false">IF($D124="","",COUNTIF($D121:$D124,T$21)+COUNTIF($D121:$D124,$A$3))</f>
        <v>0</v>
      </c>
      <c r="W124" s="73" t="str">
        <f aca="false">IF($E124="","",COUNTIF($E121:$E124,T$21)+COUNTIF($E121:$E124,$A$3))</f>
        <v/>
      </c>
      <c r="X124" s="92" t="n">
        <f aca="false">IF($F124="","",COUNTIF($F121:$F124,T$21)+COUNTIF($F121:$F124,$A$3))</f>
        <v>1</v>
      </c>
      <c r="Z124" s="91" t="n">
        <f aca="false">IF($B124="","",COUNTIF($B121:$B124,Z$21)+COUNTIF($B121:$B124,$A$3))</f>
        <v>0</v>
      </c>
      <c r="AA124" s="73" t="n">
        <f aca="false">IF($C124="","",COUNTIF($C121:$C124,Z$21)+COUNTIF($C121:$C124,$A$3))</f>
        <v>1</v>
      </c>
      <c r="AB124" s="73" t="n">
        <f aca="false">IF($D124="","",COUNTIF($D121:$D124,Z$21)+COUNTIF($D121:$D124,$A$3))</f>
        <v>0</v>
      </c>
      <c r="AC124" s="73" t="str">
        <f aca="false">IF($E124="","",COUNTIF($E121:$E124,Z$21)+COUNTIF($E121:$E124,$A$3))</f>
        <v/>
      </c>
      <c r="AD124" s="92" t="n">
        <f aca="false">IF($F124="","",COUNTIF($F121:$F124,Z$21)+COUNTIF($F121:$F124,$A$3))</f>
        <v>0</v>
      </c>
      <c r="AF124" s="91" t="n">
        <f aca="false">IF($B124="","",COUNTIF($B121:$B124,AF$21)+COUNTIF($B121:$B124,$A$3))</f>
        <v>0</v>
      </c>
      <c r="AG124" s="73" t="n">
        <f aca="false">IF($C124="","",COUNTIF($C121:$C124,AF$21)+COUNTIF($C121:$C124,$A$3))</f>
        <v>0</v>
      </c>
      <c r="AH124" s="73" t="n">
        <f aca="false">IF($D124="","",COUNTIF($D121:$D124,AF$21)+COUNTIF($D121:$D124,$A$3))</f>
        <v>0</v>
      </c>
      <c r="AI124" s="73" t="str">
        <f aca="false">IF($E124="","",COUNTIF($E121:$E124,AF$21)+COUNTIF($E121:$E124,$A$3))</f>
        <v/>
      </c>
      <c r="AJ124" s="92" t="n">
        <f aca="false">IF($F124="","",COUNTIF($F121:$F124,AF$21)+COUNTIF($F121:$F124,$A$3))</f>
        <v>0</v>
      </c>
      <c r="AL124" s="91" t="n">
        <f aca="false">IF($B124="","",COUNTIF($B121:$B124,AL$21)+COUNTIF($B121:$B124,$A$3))</f>
        <v>0</v>
      </c>
      <c r="AM124" s="73" t="n">
        <f aca="false">IF($C124="","",COUNTIF($C121:$C124,AL$21)+COUNTIF($C121:$C124,$A$3))</f>
        <v>1</v>
      </c>
      <c r="AN124" s="73" t="n">
        <f aca="false">IF($D124="","",COUNTIF($D121:$D124,AL$21)+COUNTIF($D121:$D124,$A$3))</f>
        <v>0</v>
      </c>
      <c r="AO124" s="73" t="str">
        <f aca="false">IF($E124="","",COUNTIF($E121:$E124,AL$21)+COUNTIF($E121:$E124,$A$3))</f>
        <v/>
      </c>
      <c r="AP124" s="92" t="n">
        <f aca="false">IF($F124="","",COUNTIF($F121:$F124,AL$21)+COUNTIF($F121:$F124,$A$3))</f>
        <v>0</v>
      </c>
      <c r="AR124" s="91" t="n">
        <f aca="false">IF($B124="","",COUNTIF($B121:$B124,AR$21)+COUNTIF($B121:$B124,$A$3))</f>
        <v>0</v>
      </c>
      <c r="AS124" s="73" t="n">
        <f aca="false">IF($C124="","",COUNTIF($C121:$C124,AR$21)+COUNTIF($C121:$C124,$A$3))</f>
        <v>0</v>
      </c>
      <c r="AT124" s="73" t="n">
        <f aca="false">IF($D124="","",COUNTIF($D121:$D124,AR$21)+COUNTIF($D121:$D124,$A$3))</f>
        <v>0</v>
      </c>
      <c r="AU124" s="73" t="str">
        <f aca="false">IF($E124="","",COUNTIF($E121:$E124,AR$21)+COUNTIF($E121:$E124,$A$3))</f>
        <v/>
      </c>
      <c r="AV124" s="92" t="n">
        <f aca="false">IF($F124="","",COUNTIF($F121:$F124,AR$21)+COUNTIF($F121:$F124,$A$3))</f>
        <v>1</v>
      </c>
      <c r="AX124" s="91" t="n">
        <f aca="false">IF($B124="","",COUNTIF($B121:$B124,AX$21)+COUNTIF($B121:$B124,$A$3))</f>
        <v>0</v>
      </c>
      <c r="AY124" s="73" t="n">
        <f aca="false">IF($C124="","",COUNTIF($C121:$C124,AX$21)+COUNTIF($C121:$C124,$A$3))</f>
        <v>0</v>
      </c>
      <c r="AZ124" s="73" t="n">
        <f aca="false">IF($D124="","",COUNTIF($D121:$D124,AX$21)+COUNTIF($D121:$D124,$A$3))</f>
        <v>1</v>
      </c>
      <c r="BA124" s="73" t="str">
        <f aca="false">IF($E124="","",COUNTIF($E121:$E124,AX$21)+COUNTIF($E121:$E124,$A$3))</f>
        <v/>
      </c>
      <c r="BB124" s="92" t="n">
        <f aca="false">IF($F124="","",COUNTIF($F121:$F124,AX$21)+COUNTIF($F121:$F124,$A$3))</f>
        <v>1</v>
      </c>
      <c r="BD124" s="91" t="n">
        <f aca="false">IF($B124="","",COUNTIF($B121:$B124,BD$21)+COUNTIF($B121:$B124,$A$3))</f>
        <v>0</v>
      </c>
      <c r="BE124" s="73" t="n">
        <f aca="false">IF($C124="","",COUNTIF($C121:$C124,BD$21)+COUNTIF($C121:$C124,$A$3))</f>
        <v>0</v>
      </c>
      <c r="BF124" s="73" t="n">
        <f aca="false">IF($D124="","",COUNTIF($D121:$D124,BD$21)+COUNTIF($D121:$D124,$A$3))</f>
        <v>0</v>
      </c>
      <c r="BG124" s="73" t="str">
        <f aca="false">IF($E124="","",COUNTIF($E121:$E124,BD$21)+COUNTIF($E121:$E124,$A$3))</f>
        <v/>
      </c>
      <c r="BH124" s="92" t="n">
        <f aca="false">IF($F124="","",COUNTIF($F121:$F124,BD$21)+COUNTIF($F121:$F124,$A$3))</f>
        <v>0</v>
      </c>
      <c r="BJ124" s="91" t="n">
        <f aca="false">IF($B124="","",COUNTIF($B121:$B124,BJ$21)+COUNTIF($B121:$B124,$A$3))</f>
        <v>1</v>
      </c>
      <c r="BK124" s="73" t="n">
        <f aca="false">IF($C124="","",COUNTIF($C121:$C124,BJ$21)+COUNTIF($C121:$C124,$A$3))</f>
        <v>1</v>
      </c>
      <c r="BL124" s="73" t="n">
        <f aca="false">IF($D124="","",COUNTIF($D121:$D124,BJ$21)+COUNTIF($D121:$D124,$A$3))</f>
        <v>0</v>
      </c>
      <c r="BM124" s="73" t="str">
        <f aca="false">IF($E124="","",COUNTIF($E121:$E124,BJ$21)+COUNTIF($E121:$E124,$A$3))</f>
        <v/>
      </c>
      <c r="BN124" s="92" t="n">
        <f aca="false">IF($F124="","",COUNTIF($F121:$F124,BJ$21)+COUNTIF($F121:$F124,$A$3))</f>
        <v>0</v>
      </c>
      <c r="BP124" s="91" t="n">
        <f aca="false">IF($B124="","",COUNTIF($B121:$B124,BP$21)+COUNTIF($B121:$B124,$A$3))</f>
        <v>1</v>
      </c>
      <c r="BQ124" s="73" t="n">
        <f aca="false">IF($C124="","",COUNTIF($C121:$C124,BP$21)+COUNTIF($C121:$C124,$A$3))</f>
        <v>0</v>
      </c>
      <c r="BR124" s="73" t="n">
        <f aca="false">IF($D124="","",COUNTIF($D121:$D124,BP$21)+COUNTIF($D121:$D124,$A$3))</f>
        <v>0</v>
      </c>
      <c r="BS124" s="73" t="str">
        <f aca="false">IF($E124="","",COUNTIF($E121:$E124,BP$21)+COUNTIF($E121:$E124,$A$3))</f>
        <v/>
      </c>
      <c r="BT124" s="92" t="n">
        <f aca="false">IF($F124="","",COUNTIF($F121:$F124,BP$21)+COUNTIF($F121:$F124,$A$3))</f>
        <v>0</v>
      </c>
    </row>
    <row r="125" customFormat="false" ht="15" hidden="false" customHeight="false" outlineLevel="0" collapsed="false">
      <c r="A125" s="13" t="n">
        <v>103</v>
      </c>
      <c r="B125" s="116" t="str">
        <f aca="false">IF('Game Info'!Q108="","",'Game Info'!Q108)</f>
        <v>K</v>
      </c>
      <c r="C125" s="116" t="str">
        <f aca="false">IF('Game Info'!R108="","",'Game Info'!R108)</f>
        <v/>
      </c>
      <c r="D125" s="116" t="str">
        <f aca="false">IF('Game Info'!S108="","",'Game Info'!S108)</f>
        <v>SYM3</v>
      </c>
      <c r="E125" s="116" t="str">
        <f aca="false">IF('Game Info'!T108="","",'Game Info'!T108)</f>
        <v/>
      </c>
      <c r="F125" s="117" t="str">
        <f aca="false">IF('Game Info'!U108="","",'Game Info'!U108)</f>
        <v>A</v>
      </c>
      <c r="H125" s="91" t="n">
        <f aca="false">IF($B125="","",COUNTIF($B122:$B125,H$21)+COUNTIF($B122:$B125,$A$3))</f>
        <v>0</v>
      </c>
      <c r="I125" s="73" t="str">
        <f aca="false">IF($C125="","",COUNTIF($C122:$C125,H$21)+COUNTIF($C122:$C125,$A$3))</f>
        <v/>
      </c>
      <c r="J125" s="73" t="n">
        <f aca="false">IF($D125="","",COUNTIF($D122:$D125,H$21)+COUNTIF($D122:$D125,$A$3))</f>
        <v>2</v>
      </c>
      <c r="K125" s="73" t="str">
        <f aca="false">IF($E125="","",COUNTIF($E122:$E125,H$21)+COUNTIF($E122:$E125,$A$3))</f>
        <v/>
      </c>
      <c r="L125" s="92" t="n">
        <f aca="false">IF($F125="","",COUNTIF($F122:$F125,H$21)+COUNTIF($F122:$F125,$A$3))</f>
        <v>0</v>
      </c>
      <c r="N125" s="91" t="n">
        <f aca="false">IF($B125="","",COUNTIF($B122:$B125,N$21)+COUNTIF($B122:$B125,$A$3))</f>
        <v>1</v>
      </c>
      <c r="O125" s="73" t="str">
        <f aca="false">IF($C125="","",COUNTIF($C122:$C125,N$21)+COUNTIF($C122:$C125,$A$3))</f>
        <v/>
      </c>
      <c r="P125" s="73" t="n">
        <f aca="false">IF($D125="","",COUNTIF($D122:$D125,N$21)+COUNTIF($D122:$D125,$A$3))</f>
        <v>0</v>
      </c>
      <c r="Q125" s="73" t="str">
        <f aca="false">IF($E125="","",COUNTIF($E122:$E125,N$21)+COUNTIF($E122:$E125,$A$3))</f>
        <v/>
      </c>
      <c r="R125" s="92" t="n">
        <f aca="false">IF($F125="","",COUNTIF($F122:$F125,N$21)+COUNTIF($F122:$F125,$A$3))</f>
        <v>1</v>
      </c>
      <c r="T125" s="91" t="n">
        <f aca="false">IF($B125="","",COUNTIF($B122:$B125,T$21)+COUNTIF($B122:$B125,$A$3))</f>
        <v>1</v>
      </c>
      <c r="U125" s="73" t="str">
        <f aca="false">IF($C125="","",COUNTIF($C122:$C125,T$21)+COUNTIF($C122:$C125,$A$3))</f>
        <v/>
      </c>
      <c r="V125" s="73" t="n">
        <f aca="false">IF($D125="","",COUNTIF($D122:$D125,T$21)+COUNTIF($D122:$D125,$A$3))</f>
        <v>1</v>
      </c>
      <c r="W125" s="73" t="str">
        <f aca="false">IF($E125="","",COUNTIF($E122:$E125,T$21)+COUNTIF($E122:$E125,$A$3))</f>
        <v/>
      </c>
      <c r="X125" s="92" t="n">
        <f aca="false">IF($F125="","",COUNTIF($F122:$F125,T$21)+COUNTIF($F122:$F125,$A$3))</f>
        <v>0</v>
      </c>
      <c r="Z125" s="91" t="n">
        <f aca="false">IF($B125="","",COUNTIF($B122:$B125,Z$21)+COUNTIF($B122:$B125,$A$3))</f>
        <v>0</v>
      </c>
      <c r="AA125" s="73" t="str">
        <f aca="false">IF($C125="","",COUNTIF($C122:$C125,Z$21)+COUNTIF($C122:$C125,$A$3))</f>
        <v/>
      </c>
      <c r="AB125" s="73" t="n">
        <f aca="false">IF($D125="","",COUNTIF($D122:$D125,Z$21)+COUNTIF($D122:$D125,$A$3))</f>
        <v>0</v>
      </c>
      <c r="AC125" s="73" t="str">
        <f aca="false">IF($E125="","",COUNTIF($E122:$E125,Z$21)+COUNTIF($E122:$E125,$A$3))</f>
        <v/>
      </c>
      <c r="AD125" s="92" t="n">
        <f aca="false">IF($F125="","",COUNTIF($F122:$F125,Z$21)+COUNTIF($F122:$F125,$A$3))</f>
        <v>0</v>
      </c>
      <c r="AF125" s="91" t="n">
        <f aca="false">IF($B125="","",COUNTIF($B122:$B125,AF$21)+COUNTIF($B122:$B125,$A$3))</f>
        <v>0</v>
      </c>
      <c r="AG125" s="73" t="str">
        <f aca="false">IF($C125="","",COUNTIF($C122:$C125,AF$21)+COUNTIF($C122:$C125,$A$3))</f>
        <v/>
      </c>
      <c r="AH125" s="73" t="n">
        <f aca="false">IF($D125="","",COUNTIF($D122:$D125,AF$21)+COUNTIF($D122:$D125,$A$3))</f>
        <v>0</v>
      </c>
      <c r="AI125" s="73" t="str">
        <f aca="false">IF($E125="","",COUNTIF($E122:$E125,AF$21)+COUNTIF($E122:$E125,$A$3))</f>
        <v/>
      </c>
      <c r="AJ125" s="92" t="n">
        <f aca="false">IF($F125="","",COUNTIF($F122:$F125,AF$21)+COUNTIF($F122:$F125,$A$3))</f>
        <v>0</v>
      </c>
      <c r="AL125" s="91" t="n">
        <f aca="false">IF($B125="","",COUNTIF($B122:$B125,AL$21)+COUNTIF($B122:$B125,$A$3))</f>
        <v>0</v>
      </c>
      <c r="AM125" s="73" t="str">
        <f aca="false">IF($C125="","",COUNTIF($C122:$C125,AL$21)+COUNTIF($C122:$C125,$A$3))</f>
        <v/>
      </c>
      <c r="AN125" s="73" t="n">
        <f aca="false">IF($D125="","",COUNTIF($D122:$D125,AL$21)+COUNTIF($D122:$D125,$A$3))</f>
        <v>0</v>
      </c>
      <c r="AO125" s="73" t="str">
        <f aca="false">IF($E125="","",COUNTIF($E122:$E125,AL$21)+COUNTIF($E122:$E125,$A$3))</f>
        <v/>
      </c>
      <c r="AP125" s="92" t="n">
        <f aca="false">IF($F125="","",COUNTIF($F122:$F125,AL$21)+COUNTIF($F122:$F125,$A$3))</f>
        <v>1</v>
      </c>
      <c r="AR125" s="91" t="n">
        <f aca="false">IF($B125="","",COUNTIF($B122:$B125,AR$21)+COUNTIF($B122:$B125,$A$3))</f>
        <v>1</v>
      </c>
      <c r="AS125" s="73" t="str">
        <f aca="false">IF($C125="","",COUNTIF($C122:$C125,AR$21)+COUNTIF($C122:$C125,$A$3))</f>
        <v/>
      </c>
      <c r="AT125" s="73" t="n">
        <f aca="false">IF($D125="","",COUNTIF($D122:$D125,AR$21)+COUNTIF($D122:$D125,$A$3))</f>
        <v>0</v>
      </c>
      <c r="AU125" s="73" t="str">
        <f aca="false">IF($E125="","",COUNTIF($E122:$E125,AR$21)+COUNTIF($E122:$E125,$A$3))</f>
        <v/>
      </c>
      <c r="AV125" s="92" t="n">
        <f aca="false">IF($F125="","",COUNTIF($F122:$F125,AR$21)+COUNTIF($F122:$F125,$A$3))</f>
        <v>1</v>
      </c>
      <c r="AX125" s="91" t="n">
        <f aca="false">IF($B125="","",COUNTIF($B122:$B125,AX$21)+COUNTIF($B122:$B125,$A$3))</f>
        <v>0</v>
      </c>
      <c r="AY125" s="73" t="str">
        <f aca="false">IF($C125="","",COUNTIF($C122:$C125,AX$21)+COUNTIF($C122:$C125,$A$3))</f>
        <v/>
      </c>
      <c r="AZ125" s="73" t="n">
        <f aca="false">IF($D125="","",COUNTIF($D122:$D125,AX$21)+COUNTIF($D122:$D125,$A$3))</f>
        <v>1</v>
      </c>
      <c r="BA125" s="73" t="str">
        <f aca="false">IF($E125="","",COUNTIF($E122:$E125,AX$21)+COUNTIF($E122:$E125,$A$3))</f>
        <v/>
      </c>
      <c r="BB125" s="92" t="n">
        <f aca="false">IF($F125="","",COUNTIF($F122:$F125,AX$21)+COUNTIF($F122:$F125,$A$3))</f>
        <v>1</v>
      </c>
      <c r="BD125" s="91" t="n">
        <f aca="false">IF($B125="","",COUNTIF($B122:$B125,BD$21)+COUNTIF($B122:$B125,$A$3))</f>
        <v>0</v>
      </c>
      <c r="BE125" s="73" t="str">
        <f aca="false">IF($C125="","",COUNTIF($C122:$C125,BD$21)+COUNTIF($C122:$C125,$A$3))</f>
        <v/>
      </c>
      <c r="BF125" s="73" t="n">
        <f aca="false">IF($D125="","",COUNTIF($D122:$D125,BD$21)+COUNTIF($D122:$D125,$A$3))</f>
        <v>0</v>
      </c>
      <c r="BG125" s="73" t="str">
        <f aca="false">IF($E125="","",COUNTIF($E122:$E125,BD$21)+COUNTIF($E122:$E125,$A$3))</f>
        <v/>
      </c>
      <c r="BH125" s="92" t="n">
        <f aca="false">IF($F125="","",COUNTIF($F122:$F125,BD$21)+COUNTIF($F122:$F125,$A$3))</f>
        <v>0</v>
      </c>
      <c r="BJ125" s="91" t="n">
        <f aca="false">IF($B125="","",COUNTIF($B122:$B125,BJ$21)+COUNTIF($B122:$B125,$A$3))</f>
        <v>0</v>
      </c>
      <c r="BK125" s="73" t="str">
        <f aca="false">IF($C125="","",COUNTIF($C122:$C125,BJ$21)+COUNTIF($C122:$C125,$A$3))</f>
        <v/>
      </c>
      <c r="BL125" s="73" t="n">
        <f aca="false">IF($D125="","",COUNTIF($D122:$D125,BJ$21)+COUNTIF($D122:$D125,$A$3))</f>
        <v>0</v>
      </c>
      <c r="BM125" s="73" t="str">
        <f aca="false">IF($E125="","",COUNTIF($E122:$E125,BJ$21)+COUNTIF($E122:$E125,$A$3))</f>
        <v/>
      </c>
      <c r="BN125" s="92" t="n">
        <f aca="false">IF($F125="","",COUNTIF($F122:$F125,BJ$21)+COUNTIF($F122:$F125,$A$3))</f>
        <v>0</v>
      </c>
      <c r="BP125" s="91" t="n">
        <f aca="false">IF($B125="","",COUNTIF($B122:$B125,BP$21)+COUNTIF($B122:$B125,$A$3))</f>
        <v>1</v>
      </c>
      <c r="BQ125" s="73" t="str">
        <f aca="false">IF($C125="","",COUNTIF($C122:$C125,BP$21)+COUNTIF($C122:$C125,$A$3))</f>
        <v/>
      </c>
      <c r="BR125" s="73" t="n">
        <f aca="false">IF($D125="","",COUNTIF($D122:$D125,BP$21)+COUNTIF($D122:$D125,$A$3))</f>
        <v>0</v>
      </c>
      <c r="BS125" s="73" t="str">
        <f aca="false">IF($E125="","",COUNTIF($E122:$E125,BP$21)+COUNTIF($E122:$E125,$A$3))</f>
        <v/>
      </c>
      <c r="BT125" s="92" t="n">
        <f aca="false">IF($F125="","",COUNTIF($F122:$F125,BP$21)+COUNTIF($F122:$F125,$A$3))</f>
        <v>0</v>
      </c>
    </row>
    <row r="126" customFormat="false" ht="15" hidden="false" customHeight="false" outlineLevel="0" collapsed="false">
      <c r="A126" s="13" t="n">
        <v>104</v>
      </c>
      <c r="B126" s="116" t="str">
        <f aca="false">IF('Game Info'!Q109="","",'Game Info'!Q109)</f>
        <v>SYM3</v>
      </c>
      <c r="C126" s="116" t="str">
        <f aca="false">IF('Game Info'!R109="","",'Game Info'!R109)</f>
        <v/>
      </c>
      <c r="D126" s="116" t="str">
        <f aca="false">IF('Game Info'!S109="","",'Game Info'!S109)</f>
        <v>A</v>
      </c>
      <c r="E126" s="116" t="str">
        <f aca="false">IF('Game Info'!T109="","",'Game Info'!T109)</f>
        <v/>
      </c>
      <c r="F126" s="117" t="str">
        <f aca="false">IF('Game Info'!U109="","",'Game Info'!U109)</f>
        <v>SYM4</v>
      </c>
      <c r="H126" s="91" t="n">
        <f aca="false">IF($B126="","",COUNTIF($B123:$B126,H$21)+COUNTIF($B123:$B126,$A$3))</f>
        <v>0</v>
      </c>
      <c r="I126" s="73" t="str">
        <f aca="false">IF($C126="","",COUNTIF($C123:$C126,H$21)+COUNTIF($C123:$C126,$A$3))</f>
        <v/>
      </c>
      <c r="J126" s="73" t="n">
        <f aca="false">IF($D126="","",COUNTIF($D123:$D126,H$21)+COUNTIF($D123:$D126,$A$3))</f>
        <v>1</v>
      </c>
      <c r="K126" s="73" t="str">
        <f aca="false">IF($E126="","",COUNTIF($E123:$E126,H$21)+COUNTIF($E123:$E126,$A$3))</f>
        <v/>
      </c>
      <c r="L126" s="92" t="n">
        <f aca="false">IF($F126="","",COUNTIF($F123:$F126,H$21)+COUNTIF($F123:$F126,$A$3))</f>
        <v>0</v>
      </c>
      <c r="N126" s="91" t="n">
        <f aca="false">IF($B126="","",COUNTIF($B123:$B126,N$21)+COUNTIF($B123:$B126,$A$3))</f>
        <v>1</v>
      </c>
      <c r="O126" s="73" t="str">
        <f aca="false">IF($C126="","",COUNTIF($C123:$C126,N$21)+COUNTIF($C123:$C126,$A$3))</f>
        <v/>
      </c>
      <c r="P126" s="73" t="n">
        <f aca="false">IF($D126="","",COUNTIF($D123:$D126,N$21)+COUNTIF($D123:$D126,$A$3))</f>
        <v>0</v>
      </c>
      <c r="Q126" s="73" t="str">
        <f aca="false">IF($E126="","",COUNTIF($E123:$E126,N$21)+COUNTIF($E123:$E126,$A$3))</f>
        <v/>
      </c>
      <c r="R126" s="92" t="n">
        <f aca="false">IF($F126="","",COUNTIF($F123:$F126,N$21)+COUNTIF($F123:$F126,$A$3))</f>
        <v>1</v>
      </c>
      <c r="T126" s="91" t="n">
        <f aca="false">IF($B126="","",COUNTIF($B123:$B126,T$21)+COUNTIF($B123:$B126,$A$3))</f>
        <v>1</v>
      </c>
      <c r="U126" s="73" t="str">
        <f aca="false">IF($C126="","",COUNTIF($C123:$C126,T$21)+COUNTIF($C123:$C126,$A$3))</f>
        <v/>
      </c>
      <c r="V126" s="73" t="n">
        <f aca="false">IF($D126="","",COUNTIF($D123:$D126,T$21)+COUNTIF($D123:$D126,$A$3))</f>
        <v>1</v>
      </c>
      <c r="W126" s="73" t="str">
        <f aca="false">IF($E126="","",COUNTIF($E123:$E126,T$21)+COUNTIF($E123:$E126,$A$3))</f>
        <v/>
      </c>
      <c r="X126" s="92" t="n">
        <f aca="false">IF($F126="","",COUNTIF($F123:$F126,T$21)+COUNTIF($F123:$F126,$A$3))</f>
        <v>0</v>
      </c>
      <c r="Z126" s="91" t="n">
        <f aca="false">IF($B126="","",COUNTIF($B123:$B126,Z$21)+COUNTIF($B123:$B126,$A$3))</f>
        <v>0</v>
      </c>
      <c r="AA126" s="73" t="str">
        <f aca="false">IF($C126="","",COUNTIF($C123:$C126,Z$21)+COUNTIF($C123:$C126,$A$3))</f>
        <v/>
      </c>
      <c r="AB126" s="73" t="n">
        <f aca="false">IF($D126="","",COUNTIF($D123:$D126,Z$21)+COUNTIF($D123:$D126,$A$3))</f>
        <v>0</v>
      </c>
      <c r="AC126" s="73" t="str">
        <f aca="false">IF($E126="","",COUNTIF($E123:$E126,Z$21)+COUNTIF($E123:$E126,$A$3))</f>
        <v/>
      </c>
      <c r="AD126" s="92" t="n">
        <f aca="false">IF($F126="","",COUNTIF($F123:$F126,Z$21)+COUNTIF($F123:$F126,$A$3))</f>
        <v>1</v>
      </c>
      <c r="AF126" s="91" t="n">
        <f aca="false">IF($B126="","",COUNTIF($B123:$B126,AF$21)+COUNTIF($B123:$B126,$A$3))</f>
        <v>0</v>
      </c>
      <c r="AG126" s="73" t="str">
        <f aca="false">IF($C126="","",COUNTIF($C123:$C126,AF$21)+COUNTIF($C123:$C126,$A$3))</f>
        <v/>
      </c>
      <c r="AH126" s="73" t="n">
        <f aca="false">IF($D126="","",COUNTIF($D123:$D126,AF$21)+COUNTIF($D123:$D126,$A$3))</f>
        <v>0</v>
      </c>
      <c r="AI126" s="73" t="str">
        <f aca="false">IF($E126="","",COUNTIF($E123:$E126,AF$21)+COUNTIF($E123:$E126,$A$3))</f>
        <v/>
      </c>
      <c r="AJ126" s="92" t="n">
        <f aca="false">IF($F126="","",COUNTIF($F123:$F126,AF$21)+COUNTIF($F123:$F126,$A$3))</f>
        <v>0</v>
      </c>
      <c r="AL126" s="91" t="n">
        <f aca="false">IF($B126="","",COUNTIF($B123:$B126,AL$21)+COUNTIF($B123:$B126,$A$3))</f>
        <v>0</v>
      </c>
      <c r="AM126" s="73" t="str">
        <f aca="false">IF($C126="","",COUNTIF($C123:$C126,AL$21)+COUNTIF($C123:$C126,$A$3))</f>
        <v/>
      </c>
      <c r="AN126" s="73" t="n">
        <f aca="false">IF($D126="","",COUNTIF($D123:$D126,AL$21)+COUNTIF($D123:$D126,$A$3))</f>
        <v>1</v>
      </c>
      <c r="AO126" s="73" t="str">
        <f aca="false">IF($E126="","",COUNTIF($E123:$E126,AL$21)+COUNTIF($E123:$E126,$A$3))</f>
        <v/>
      </c>
      <c r="AP126" s="92" t="n">
        <f aca="false">IF($F126="","",COUNTIF($F123:$F126,AL$21)+COUNTIF($F123:$F126,$A$3))</f>
        <v>1</v>
      </c>
      <c r="AR126" s="91" t="n">
        <f aca="false">IF($B126="","",COUNTIF($B123:$B126,AR$21)+COUNTIF($B123:$B126,$A$3))</f>
        <v>1</v>
      </c>
      <c r="AS126" s="73" t="str">
        <f aca="false">IF($C126="","",COUNTIF($C123:$C126,AR$21)+COUNTIF($C123:$C126,$A$3))</f>
        <v/>
      </c>
      <c r="AT126" s="73" t="n">
        <f aca="false">IF($D126="","",COUNTIF($D123:$D126,AR$21)+COUNTIF($D123:$D126,$A$3))</f>
        <v>0</v>
      </c>
      <c r="AU126" s="73" t="str">
        <f aca="false">IF($E126="","",COUNTIF($E123:$E126,AR$21)+COUNTIF($E123:$E126,$A$3))</f>
        <v/>
      </c>
      <c r="AV126" s="92" t="n">
        <f aca="false">IF($F126="","",COUNTIF($F123:$F126,AR$21)+COUNTIF($F123:$F126,$A$3))</f>
        <v>1</v>
      </c>
      <c r="AX126" s="91" t="n">
        <f aca="false">IF($B126="","",COUNTIF($B123:$B126,AX$21)+COUNTIF($B123:$B126,$A$3))</f>
        <v>0</v>
      </c>
      <c r="AY126" s="73" t="str">
        <f aca="false">IF($C126="","",COUNTIF($C123:$C126,AX$21)+COUNTIF($C123:$C126,$A$3))</f>
        <v/>
      </c>
      <c r="AZ126" s="73" t="n">
        <f aca="false">IF($D126="","",COUNTIF($D123:$D126,AX$21)+COUNTIF($D123:$D126,$A$3))</f>
        <v>1</v>
      </c>
      <c r="BA126" s="73" t="str">
        <f aca="false">IF($E126="","",COUNTIF($E123:$E126,AX$21)+COUNTIF($E123:$E126,$A$3))</f>
        <v/>
      </c>
      <c r="BB126" s="92" t="n">
        <f aca="false">IF($F126="","",COUNTIF($F123:$F126,AX$21)+COUNTIF($F123:$F126,$A$3))</f>
        <v>0</v>
      </c>
      <c r="BD126" s="91" t="n">
        <f aca="false">IF($B126="","",COUNTIF($B123:$B126,BD$21)+COUNTIF($B123:$B126,$A$3))</f>
        <v>0</v>
      </c>
      <c r="BE126" s="73" t="str">
        <f aca="false">IF($C126="","",COUNTIF($C123:$C126,BD$21)+COUNTIF($C123:$C126,$A$3))</f>
        <v/>
      </c>
      <c r="BF126" s="73" t="n">
        <f aca="false">IF($D126="","",COUNTIF($D123:$D126,BD$21)+COUNTIF($D123:$D126,$A$3))</f>
        <v>0</v>
      </c>
      <c r="BG126" s="73" t="str">
        <f aca="false">IF($E126="","",COUNTIF($E123:$E126,BD$21)+COUNTIF($E123:$E126,$A$3))</f>
        <v/>
      </c>
      <c r="BH126" s="92" t="n">
        <f aca="false">IF($F126="","",COUNTIF($F123:$F126,BD$21)+COUNTIF($F123:$F126,$A$3))</f>
        <v>0</v>
      </c>
      <c r="BJ126" s="91" t="n">
        <f aca="false">IF($B126="","",COUNTIF($B123:$B126,BJ$21)+COUNTIF($B123:$B126,$A$3))</f>
        <v>0</v>
      </c>
      <c r="BK126" s="73" t="str">
        <f aca="false">IF($C126="","",COUNTIF($C123:$C126,BJ$21)+COUNTIF($C123:$C126,$A$3))</f>
        <v/>
      </c>
      <c r="BL126" s="73" t="n">
        <f aca="false">IF($D126="","",COUNTIF($D123:$D126,BJ$21)+COUNTIF($D123:$D126,$A$3))</f>
        <v>0</v>
      </c>
      <c r="BM126" s="73" t="str">
        <f aca="false">IF($E126="","",COUNTIF($E123:$E126,BJ$21)+COUNTIF($E123:$E126,$A$3))</f>
        <v/>
      </c>
      <c r="BN126" s="92" t="n">
        <f aca="false">IF($F126="","",COUNTIF($F123:$F126,BJ$21)+COUNTIF($F123:$F126,$A$3))</f>
        <v>0</v>
      </c>
      <c r="BP126" s="91" t="n">
        <f aca="false">IF($B126="","",COUNTIF($B123:$B126,BP$21)+COUNTIF($B123:$B126,$A$3))</f>
        <v>1</v>
      </c>
      <c r="BQ126" s="73" t="str">
        <f aca="false">IF($C126="","",COUNTIF($C123:$C126,BP$21)+COUNTIF($C123:$C126,$A$3))</f>
        <v/>
      </c>
      <c r="BR126" s="73" t="n">
        <f aca="false">IF($D126="","",COUNTIF($D123:$D126,BP$21)+COUNTIF($D123:$D126,$A$3))</f>
        <v>0</v>
      </c>
      <c r="BS126" s="73" t="str">
        <f aca="false">IF($E126="","",COUNTIF($E123:$E126,BP$21)+COUNTIF($E123:$E126,$A$3))</f>
        <v/>
      </c>
      <c r="BT126" s="92" t="n">
        <f aca="false">IF($F126="","",COUNTIF($F123:$F126,BP$21)+COUNTIF($F123:$F126,$A$3))</f>
        <v>0</v>
      </c>
    </row>
    <row r="127" customFormat="false" ht="15" hidden="false" customHeight="false" outlineLevel="0" collapsed="false">
      <c r="A127" s="13" t="n">
        <v>105</v>
      </c>
      <c r="B127" s="116" t="str">
        <f aca="false">IF('Game Info'!Q110="","",'Game Info'!Q110)</f>
        <v>Q</v>
      </c>
      <c r="C127" s="116" t="str">
        <f aca="false">IF('Game Info'!R110="","",'Game Info'!R110)</f>
        <v/>
      </c>
      <c r="D127" s="116" t="str">
        <f aca="false">IF('Game Info'!S110="","",'Game Info'!S110)</f>
        <v>SYM5</v>
      </c>
      <c r="E127" s="116" t="str">
        <f aca="false">IF('Game Info'!T110="","",'Game Info'!T110)</f>
        <v/>
      </c>
      <c r="F127" s="117" t="str">
        <f aca="false">IF('Game Info'!U110="","",'Game Info'!U110)</f>
        <v>J</v>
      </c>
      <c r="H127" s="91" t="n">
        <f aca="false">IF($B127="","",COUNTIF($B124:$B127,H$21)+COUNTIF($B124:$B127,$A$3))</f>
        <v>0</v>
      </c>
      <c r="I127" s="73" t="str">
        <f aca="false">IF($C127="","",COUNTIF($C124:$C127,H$21)+COUNTIF($C124:$C127,$A$3))</f>
        <v/>
      </c>
      <c r="J127" s="73" t="n">
        <f aca="false">IF($D127="","",COUNTIF($D124:$D127,H$21)+COUNTIF($D124:$D127,$A$3))</f>
        <v>0</v>
      </c>
      <c r="K127" s="73" t="str">
        <f aca="false">IF($E127="","",COUNTIF($E124:$E127,H$21)+COUNTIF($E124:$E127,$A$3))</f>
        <v/>
      </c>
      <c r="L127" s="92" t="n">
        <f aca="false">IF($F127="","",COUNTIF($F124:$F127,H$21)+COUNTIF($F124:$F127,$A$3))</f>
        <v>0</v>
      </c>
      <c r="N127" s="91" t="n">
        <f aca="false">IF($B127="","",COUNTIF($B124:$B127,N$21)+COUNTIF($B124:$B127,$A$3))</f>
        <v>1</v>
      </c>
      <c r="O127" s="73" t="str">
        <f aca="false">IF($C127="","",COUNTIF($C124:$C127,N$21)+COUNTIF($C124:$C127,$A$3))</f>
        <v/>
      </c>
      <c r="P127" s="73" t="n">
        <f aca="false">IF($D127="","",COUNTIF($D124:$D127,N$21)+COUNTIF($D124:$D127,$A$3))</f>
        <v>0</v>
      </c>
      <c r="Q127" s="73" t="str">
        <f aca="false">IF($E127="","",COUNTIF($E124:$E127,N$21)+COUNTIF($E124:$E127,$A$3))</f>
        <v/>
      </c>
      <c r="R127" s="92" t="n">
        <f aca="false">IF($F127="","",COUNTIF($F124:$F127,N$21)+COUNTIF($F124:$F127,$A$3))</f>
        <v>1</v>
      </c>
      <c r="T127" s="91" t="n">
        <f aca="false">IF($B127="","",COUNTIF($B124:$B127,T$21)+COUNTIF($B124:$B127,$A$3))</f>
        <v>1</v>
      </c>
      <c r="U127" s="73" t="str">
        <f aca="false">IF($C127="","",COUNTIF($C124:$C127,T$21)+COUNTIF($C124:$C127,$A$3))</f>
        <v/>
      </c>
      <c r="V127" s="73" t="n">
        <f aca="false">IF($D127="","",COUNTIF($D124:$D127,T$21)+COUNTIF($D124:$D127,$A$3))</f>
        <v>1</v>
      </c>
      <c r="W127" s="73" t="str">
        <f aca="false">IF($E127="","",COUNTIF($E124:$E127,T$21)+COUNTIF($E124:$E127,$A$3))</f>
        <v/>
      </c>
      <c r="X127" s="92" t="n">
        <f aca="false">IF($F127="","",COUNTIF($F124:$F127,T$21)+COUNTIF($F124:$F127,$A$3))</f>
        <v>0</v>
      </c>
      <c r="Z127" s="91" t="n">
        <f aca="false">IF($B127="","",COUNTIF($B124:$B127,Z$21)+COUNTIF($B124:$B127,$A$3))</f>
        <v>0</v>
      </c>
      <c r="AA127" s="73" t="str">
        <f aca="false">IF($C127="","",COUNTIF($C124:$C127,Z$21)+COUNTIF($C124:$C127,$A$3))</f>
        <v/>
      </c>
      <c r="AB127" s="73" t="n">
        <f aca="false">IF($D127="","",COUNTIF($D124:$D127,Z$21)+COUNTIF($D124:$D127,$A$3))</f>
        <v>0</v>
      </c>
      <c r="AC127" s="73" t="str">
        <f aca="false">IF($E127="","",COUNTIF($E124:$E127,Z$21)+COUNTIF($E124:$E127,$A$3))</f>
        <v/>
      </c>
      <c r="AD127" s="92" t="n">
        <f aca="false">IF($F127="","",COUNTIF($F124:$F127,Z$21)+COUNTIF($F124:$F127,$A$3))</f>
        <v>1</v>
      </c>
      <c r="AF127" s="91" t="n">
        <f aca="false">IF($B127="","",COUNTIF($B124:$B127,AF$21)+COUNTIF($B124:$B127,$A$3))</f>
        <v>0</v>
      </c>
      <c r="AG127" s="73" t="str">
        <f aca="false">IF($C127="","",COUNTIF($C124:$C127,AF$21)+COUNTIF($C124:$C127,$A$3))</f>
        <v/>
      </c>
      <c r="AH127" s="73" t="n">
        <f aca="false">IF($D127="","",COUNTIF($D124:$D127,AF$21)+COUNTIF($D124:$D127,$A$3))</f>
        <v>1</v>
      </c>
      <c r="AI127" s="73" t="str">
        <f aca="false">IF($E127="","",COUNTIF($E124:$E127,AF$21)+COUNTIF($E124:$E127,$A$3))</f>
        <v/>
      </c>
      <c r="AJ127" s="92" t="n">
        <f aca="false">IF($F127="","",COUNTIF($F124:$F127,AF$21)+COUNTIF($F124:$F127,$A$3))</f>
        <v>0</v>
      </c>
      <c r="AL127" s="91" t="n">
        <f aca="false">IF($B127="","",COUNTIF($B124:$B127,AL$21)+COUNTIF($B124:$B127,$A$3))</f>
        <v>0</v>
      </c>
      <c r="AM127" s="73" t="str">
        <f aca="false">IF($C127="","",COUNTIF($C124:$C127,AL$21)+COUNTIF($C124:$C127,$A$3))</f>
        <v/>
      </c>
      <c r="AN127" s="73" t="n">
        <f aca="false">IF($D127="","",COUNTIF($D124:$D127,AL$21)+COUNTIF($D124:$D127,$A$3))</f>
        <v>1</v>
      </c>
      <c r="AO127" s="73" t="str">
        <f aca="false">IF($E127="","",COUNTIF($E124:$E127,AL$21)+COUNTIF($E124:$E127,$A$3))</f>
        <v/>
      </c>
      <c r="AP127" s="92" t="n">
        <f aca="false">IF($F127="","",COUNTIF($F124:$F127,AL$21)+COUNTIF($F124:$F127,$A$3))</f>
        <v>1</v>
      </c>
      <c r="AR127" s="91" t="n">
        <f aca="false">IF($B127="","",COUNTIF($B124:$B127,AR$21)+COUNTIF($B124:$B127,$A$3))</f>
        <v>1</v>
      </c>
      <c r="AS127" s="73" t="str">
        <f aca="false">IF($C127="","",COUNTIF($C124:$C127,AR$21)+COUNTIF($C124:$C127,$A$3))</f>
        <v/>
      </c>
      <c r="AT127" s="73" t="n">
        <f aca="false">IF($D127="","",COUNTIF($D124:$D127,AR$21)+COUNTIF($D124:$D127,$A$3))</f>
        <v>0</v>
      </c>
      <c r="AU127" s="73" t="str">
        <f aca="false">IF($E127="","",COUNTIF($E124:$E127,AR$21)+COUNTIF($E124:$E127,$A$3))</f>
        <v/>
      </c>
      <c r="AV127" s="92" t="n">
        <f aca="false">IF($F127="","",COUNTIF($F124:$F127,AR$21)+COUNTIF($F124:$F127,$A$3))</f>
        <v>0</v>
      </c>
      <c r="AX127" s="91" t="n">
        <f aca="false">IF($B127="","",COUNTIF($B124:$B127,AX$21)+COUNTIF($B124:$B127,$A$3))</f>
        <v>1</v>
      </c>
      <c r="AY127" s="73" t="str">
        <f aca="false">IF($C127="","",COUNTIF($C124:$C127,AX$21)+COUNTIF($C124:$C127,$A$3))</f>
        <v/>
      </c>
      <c r="AZ127" s="73" t="n">
        <f aca="false">IF($D127="","",COUNTIF($D124:$D127,AX$21)+COUNTIF($D124:$D127,$A$3))</f>
        <v>1</v>
      </c>
      <c r="BA127" s="73" t="str">
        <f aca="false">IF($E127="","",COUNTIF($E124:$E127,AX$21)+COUNTIF($E124:$E127,$A$3))</f>
        <v/>
      </c>
      <c r="BB127" s="92" t="n">
        <f aca="false">IF($F127="","",COUNTIF($F124:$F127,AX$21)+COUNTIF($F124:$F127,$A$3))</f>
        <v>0</v>
      </c>
      <c r="BD127" s="91" t="n">
        <f aca="false">IF($B127="","",COUNTIF($B124:$B127,BD$21)+COUNTIF($B124:$B127,$A$3))</f>
        <v>0</v>
      </c>
      <c r="BE127" s="73" t="str">
        <f aca="false">IF($C127="","",COUNTIF($C124:$C127,BD$21)+COUNTIF($C124:$C127,$A$3))</f>
        <v/>
      </c>
      <c r="BF127" s="73" t="n">
        <f aca="false">IF($D127="","",COUNTIF($D124:$D127,BD$21)+COUNTIF($D124:$D127,$A$3))</f>
        <v>0</v>
      </c>
      <c r="BG127" s="73" t="str">
        <f aca="false">IF($E127="","",COUNTIF($E124:$E127,BD$21)+COUNTIF($E124:$E127,$A$3))</f>
        <v/>
      </c>
      <c r="BH127" s="92" t="n">
        <f aca="false">IF($F127="","",COUNTIF($F124:$F127,BD$21)+COUNTIF($F124:$F127,$A$3))</f>
        <v>1</v>
      </c>
      <c r="BJ127" s="91" t="n">
        <f aca="false">IF($B127="","",COUNTIF($B124:$B127,BJ$21)+COUNTIF($B124:$B127,$A$3))</f>
        <v>0</v>
      </c>
      <c r="BK127" s="73" t="str">
        <f aca="false">IF($C127="","",COUNTIF($C124:$C127,BJ$21)+COUNTIF($C124:$C127,$A$3))</f>
        <v/>
      </c>
      <c r="BL127" s="73" t="n">
        <f aca="false">IF($D127="","",COUNTIF($D124:$D127,BJ$21)+COUNTIF($D124:$D127,$A$3))</f>
        <v>0</v>
      </c>
      <c r="BM127" s="73" t="str">
        <f aca="false">IF($E127="","",COUNTIF($E124:$E127,BJ$21)+COUNTIF($E124:$E127,$A$3))</f>
        <v/>
      </c>
      <c r="BN127" s="92" t="n">
        <f aca="false">IF($F127="","",COUNTIF($F124:$F127,BJ$21)+COUNTIF($F124:$F127,$A$3))</f>
        <v>0</v>
      </c>
      <c r="BP127" s="91" t="n">
        <f aca="false">IF($B127="","",COUNTIF($B124:$B127,BP$21)+COUNTIF($B124:$B127,$A$3))</f>
        <v>0</v>
      </c>
      <c r="BQ127" s="73" t="str">
        <f aca="false">IF($C127="","",COUNTIF($C124:$C127,BP$21)+COUNTIF($C124:$C127,$A$3))</f>
        <v/>
      </c>
      <c r="BR127" s="73" t="n">
        <f aca="false">IF($D127="","",COUNTIF($D124:$D127,BP$21)+COUNTIF($D124:$D127,$A$3))</f>
        <v>0</v>
      </c>
      <c r="BS127" s="73" t="str">
        <f aca="false">IF($E127="","",COUNTIF($E124:$E127,BP$21)+COUNTIF($E124:$E127,$A$3))</f>
        <v/>
      </c>
      <c r="BT127" s="92" t="n">
        <f aca="false">IF($F127="","",COUNTIF($F124:$F127,BP$21)+COUNTIF($F124:$F127,$A$3))</f>
        <v>0</v>
      </c>
    </row>
    <row r="128" customFormat="false" ht="15" hidden="false" customHeight="false" outlineLevel="0" collapsed="false">
      <c r="A128" s="13" t="n">
        <v>106</v>
      </c>
      <c r="B128" s="116" t="n">
        <f aca="false">IF('Game Info'!Q111="","",'Game Info'!Q111)</f>
        <v>10</v>
      </c>
      <c r="C128" s="116" t="str">
        <f aca="false">IF('Game Info'!R111="","",'Game Info'!R111)</f>
        <v/>
      </c>
      <c r="D128" s="116" t="str">
        <f aca="false">IF('Game Info'!S111="","",'Game Info'!S111)</f>
        <v>Q</v>
      </c>
      <c r="E128" s="116" t="str">
        <f aca="false">IF('Game Info'!T111="","",'Game Info'!T111)</f>
        <v/>
      </c>
      <c r="F128" s="117" t="str">
        <f aca="false">IF('Game Info'!U111="","",'Game Info'!U111)</f>
        <v>SYM1</v>
      </c>
      <c r="H128" s="91" t="n">
        <f aca="false">IF($B128="","",COUNTIF($B125:$B128,H$21)+COUNTIF($B125:$B128,$A$3))</f>
        <v>0</v>
      </c>
      <c r="I128" s="73" t="str">
        <f aca="false">IF($C128="","",COUNTIF($C125:$C128,H$21)+COUNTIF($C125:$C128,$A$3))</f>
        <v/>
      </c>
      <c r="J128" s="73" t="n">
        <f aca="false">IF($D128="","",COUNTIF($D125:$D128,H$21)+COUNTIF($D125:$D128,$A$3))</f>
        <v>0</v>
      </c>
      <c r="K128" s="73" t="str">
        <f aca="false">IF($E128="","",COUNTIF($E125:$E128,H$21)+COUNTIF($E125:$E128,$A$3))</f>
        <v/>
      </c>
      <c r="L128" s="92" t="n">
        <f aca="false">IF($F128="","",COUNTIF($F125:$F128,H$21)+COUNTIF($F125:$F128,$A$3))</f>
        <v>1</v>
      </c>
      <c r="N128" s="91" t="n">
        <f aca="false">IF($B128="","",COUNTIF($B125:$B128,N$21)+COUNTIF($B125:$B128,$A$3))</f>
        <v>0</v>
      </c>
      <c r="O128" s="73" t="str">
        <f aca="false">IF($C128="","",COUNTIF($C125:$C128,N$21)+COUNTIF($C125:$C128,$A$3))</f>
        <v/>
      </c>
      <c r="P128" s="73" t="n">
        <f aca="false">IF($D128="","",COUNTIF($D125:$D128,N$21)+COUNTIF($D125:$D128,$A$3))</f>
        <v>0</v>
      </c>
      <c r="Q128" s="73" t="str">
        <f aca="false">IF($E128="","",COUNTIF($E125:$E128,N$21)+COUNTIF($E125:$E128,$A$3))</f>
        <v/>
      </c>
      <c r="R128" s="92" t="n">
        <f aca="false">IF($F128="","",COUNTIF($F125:$F128,N$21)+COUNTIF($F125:$F128,$A$3))</f>
        <v>0</v>
      </c>
      <c r="T128" s="91" t="n">
        <f aca="false">IF($B128="","",COUNTIF($B125:$B128,T$21)+COUNTIF($B125:$B128,$A$3))</f>
        <v>1</v>
      </c>
      <c r="U128" s="73" t="str">
        <f aca="false">IF($C128="","",COUNTIF($C125:$C128,T$21)+COUNTIF($C125:$C128,$A$3))</f>
        <v/>
      </c>
      <c r="V128" s="73" t="n">
        <f aca="false">IF($D128="","",COUNTIF($D125:$D128,T$21)+COUNTIF($D125:$D128,$A$3))</f>
        <v>1</v>
      </c>
      <c r="W128" s="73" t="str">
        <f aca="false">IF($E128="","",COUNTIF($E125:$E128,T$21)+COUNTIF($E125:$E128,$A$3))</f>
        <v/>
      </c>
      <c r="X128" s="92" t="n">
        <f aca="false">IF($F128="","",COUNTIF($F125:$F128,T$21)+COUNTIF($F125:$F128,$A$3))</f>
        <v>0</v>
      </c>
      <c r="Z128" s="91" t="n">
        <f aca="false">IF($B128="","",COUNTIF($B125:$B128,Z$21)+COUNTIF($B125:$B128,$A$3))</f>
        <v>0</v>
      </c>
      <c r="AA128" s="73" t="str">
        <f aca="false">IF($C128="","",COUNTIF($C125:$C128,Z$21)+COUNTIF($C125:$C128,$A$3))</f>
        <v/>
      </c>
      <c r="AB128" s="73" t="n">
        <f aca="false">IF($D128="","",COUNTIF($D125:$D128,Z$21)+COUNTIF($D125:$D128,$A$3))</f>
        <v>0</v>
      </c>
      <c r="AC128" s="73" t="str">
        <f aca="false">IF($E128="","",COUNTIF($E125:$E128,Z$21)+COUNTIF($E125:$E128,$A$3))</f>
        <v/>
      </c>
      <c r="AD128" s="92" t="n">
        <f aca="false">IF($F128="","",COUNTIF($F125:$F128,Z$21)+COUNTIF($F125:$F128,$A$3))</f>
        <v>1</v>
      </c>
      <c r="AF128" s="91" t="n">
        <f aca="false">IF($B128="","",COUNTIF($B125:$B128,AF$21)+COUNTIF($B125:$B128,$A$3))</f>
        <v>0</v>
      </c>
      <c r="AG128" s="73" t="str">
        <f aca="false">IF($C128="","",COUNTIF($C125:$C128,AF$21)+COUNTIF($C125:$C128,$A$3))</f>
        <v/>
      </c>
      <c r="AH128" s="73" t="n">
        <f aca="false">IF($D128="","",COUNTIF($D125:$D128,AF$21)+COUNTIF($D125:$D128,$A$3))</f>
        <v>1</v>
      </c>
      <c r="AI128" s="73" t="str">
        <f aca="false">IF($E128="","",COUNTIF($E125:$E128,AF$21)+COUNTIF($E125:$E128,$A$3))</f>
        <v/>
      </c>
      <c r="AJ128" s="92" t="n">
        <f aca="false">IF($F128="","",COUNTIF($F125:$F128,AF$21)+COUNTIF($F125:$F128,$A$3))</f>
        <v>0</v>
      </c>
      <c r="AL128" s="91" t="n">
        <f aca="false">IF($B128="","",COUNTIF($B125:$B128,AL$21)+COUNTIF($B125:$B128,$A$3))</f>
        <v>0</v>
      </c>
      <c r="AM128" s="73" t="str">
        <f aca="false">IF($C128="","",COUNTIF($C125:$C128,AL$21)+COUNTIF($C125:$C128,$A$3))</f>
        <v/>
      </c>
      <c r="AN128" s="73" t="n">
        <f aca="false">IF($D128="","",COUNTIF($D125:$D128,AL$21)+COUNTIF($D125:$D128,$A$3))</f>
        <v>1</v>
      </c>
      <c r="AO128" s="73" t="str">
        <f aca="false">IF($E128="","",COUNTIF($E125:$E128,AL$21)+COUNTIF($E125:$E128,$A$3))</f>
        <v/>
      </c>
      <c r="AP128" s="92" t="n">
        <f aca="false">IF($F128="","",COUNTIF($F125:$F128,AL$21)+COUNTIF($F125:$F128,$A$3))</f>
        <v>1</v>
      </c>
      <c r="AR128" s="91" t="n">
        <f aca="false">IF($B128="","",COUNTIF($B125:$B128,AR$21)+COUNTIF($B125:$B128,$A$3))</f>
        <v>1</v>
      </c>
      <c r="AS128" s="73" t="str">
        <f aca="false">IF($C128="","",COUNTIF($C125:$C128,AR$21)+COUNTIF($C125:$C128,$A$3))</f>
        <v/>
      </c>
      <c r="AT128" s="73" t="n">
        <f aca="false">IF($D128="","",COUNTIF($D125:$D128,AR$21)+COUNTIF($D125:$D128,$A$3))</f>
        <v>0</v>
      </c>
      <c r="AU128" s="73" t="str">
        <f aca="false">IF($E128="","",COUNTIF($E125:$E128,AR$21)+COUNTIF($E125:$E128,$A$3))</f>
        <v/>
      </c>
      <c r="AV128" s="92" t="n">
        <f aca="false">IF($F128="","",COUNTIF($F125:$F128,AR$21)+COUNTIF($F125:$F128,$A$3))</f>
        <v>0</v>
      </c>
      <c r="AX128" s="91" t="n">
        <f aca="false">IF($B128="","",COUNTIF($B125:$B128,AX$21)+COUNTIF($B125:$B128,$A$3))</f>
        <v>1</v>
      </c>
      <c r="AY128" s="73" t="str">
        <f aca="false">IF($C128="","",COUNTIF($C125:$C128,AX$21)+COUNTIF($C125:$C128,$A$3))</f>
        <v/>
      </c>
      <c r="AZ128" s="73" t="n">
        <f aca="false">IF($D128="","",COUNTIF($D125:$D128,AX$21)+COUNTIF($D125:$D128,$A$3))</f>
        <v>1</v>
      </c>
      <c r="BA128" s="73" t="str">
        <f aca="false">IF($E128="","",COUNTIF($E125:$E128,AX$21)+COUNTIF($E125:$E128,$A$3))</f>
        <v/>
      </c>
      <c r="BB128" s="92" t="n">
        <f aca="false">IF($F128="","",COUNTIF($F125:$F128,AX$21)+COUNTIF($F125:$F128,$A$3))</f>
        <v>0</v>
      </c>
      <c r="BD128" s="91" t="n">
        <f aca="false">IF($B128="","",COUNTIF($B125:$B128,BD$21)+COUNTIF($B125:$B128,$A$3))</f>
        <v>0</v>
      </c>
      <c r="BE128" s="73" t="str">
        <f aca="false">IF($C128="","",COUNTIF($C125:$C128,BD$21)+COUNTIF($C125:$C128,$A$3))</f>
        <v/>
      </c>
      <c r="BF128" s="73" t="n">
        <f aca="false">IF($D128="","",COUNTIF($D125:$D128,BD$21)+COUNTIF($D125:$D128,$A$3))</f>
        <v>0</v>
      </c>
      <c r="BG128" s="73" t="str">
        <f aca="false">IF($E128="","",COUNTIF($E125:$E128,BD$21)+COUNTIF($E125:$E128,$A$3))</f>
        <v/>
      </c>
      <c r="BH128" s="92" t="n">
        <f aca="false">IF($F128="","",COUNTIF($F125:$F128,BD$21)+COUNTIF($F125:$F128,$A$3))</f>
        <v>1</v>
      </c>
      <c r="BJ128" s="91" t="n">
        <f aca="false">IF($B128="","",COUNTIF($B125:$B128,BJ$21)+COUNTIF($B125:$B128,$A$3))</f>
        <v>1</v>
      </c>
      <c r="BK128" s="73" t="str">
        <f aca="false">IF($C128="","",COUNTIF($C125:$C128,BJ$21)+COUNTIF($C125:$C128,$A$3))</f>
        <v/>
      </c>
      <c r="BL128" s="73" t="n">
        <f aca="false">IF($D128="","",COUNTIF($D125:$D128,BJ$21)+COUNTIF($D125:$D128,$A$3))</f>
        <v>0</v>
      </c>
      <c r="BM128" s="73" t="str">
        <f aca="false">IF($E128="","",COUNTIF($E125:$E128,BJ$21)+COUNTIF($E125:$E128,$A$3))</f>
        <v/>
      </c>
      <c r="BN128" s="92" t="n">
        <f aca="false">IF($F128="","",COUNTIF($F125:$F128,BJ$21)+COUNTIF($F125:$F128,$A$3))</f>
        <v>0</v>
      </c>
      <c r="BP128" s="91" t="n">
        <f aca="false">IF($B128="","",COUNTIF($B125:$B128,BP$21)+COUNTIF($B125:$B128,$A$3))</f>
        <v>0</v>
      </c>
      <c r="BQ128" s="73" t="str">
        <f aca="false">IF($C128="","",COUNTIF($C125:$C128,BP$21)+COUNTIF($C125:$C128,$A$3))</f>
        <v/>
      </c>
      <c r="BR128" s="73" t="n">
        <f aca="false">IF($D128="","",COUNTIF($D125:$D128,BP$21)+COUNTIF($D125:$D128,$A$3))</f>
        <v>0</v>
      </c>
      <c r="BS128" s="73" t="str">
        <f aca="false">IF($E128="","",COUNTIF($E125:$E128,BP$21)+COUNTIF($E125:$E128,$A$3))</f>
        <v/>
      </c>
      <c r="BT128" s="92" t="n">
        <f aca="false">IF($F128="","",COUNTIF($F125:$F128,BP$21)+COUNTIF($F125:$F128,$A$3))</f>
        <v>0</v>
      </c>
    </row>
    <row r="129" customFormat="false" ht="15" hidden="false" customHeight="false" outlineLevel="0" collapsed="false">
      <c r="A129" s="13" t="n">
        <v>107</v>
      </c>
      <c r="B129" s="116" t="str">
        <f aca="false">IF('Game Info'!Q112="","",'Game Info'!Q112)</f>
        <v>SYM2</v>
      </c>
      <c r="C129" s="116" t="str">
        <f aca="false">IF('Game Info'!R112="","",'Game Info'!R112)</f>
        <v/>
      </c>
      <c r="D129" s="116" t="str">
        <f aca="false">IF('Game Info'!S112="","",'Game Info'!S112)</f>
        <v>SYM3</v>
      </c>
      <c r="E129" s="116" t="str">
        <f aca="false">IF('Game Info'!T112="","",'Game Info'!T112)</f>
        <v/>
      </c>
      <c r="F129" s="117" t="str">
        <f aca="false">IF('Game Info'!U112="","",'Game Info'!U112)</f>
        <v>K</v>
      </c>
      <c r="H129" s="91" t="n">
        <f aca="false">IF($B129="","",COUNTIF($B126:$B129,H$21)+COUNTIF($B126:$B129,$A$3))</f>
        <v>0</v>
      </c>
      <c r="I129" s="73" t="str">
        <f aca="false">IF($C129="","",COUNTIF($C126:$C129,H$21)+COUNTIF($C126:$C129,$A$3))</f>
        <v/>
      </c>
      <c r="J129" s="73" t="n">
        <f aca="false">IF($D129="","",COUNTIF($D126:$D129,H$21)+COUNTIF($D126:$D129,$A$3))</f>
        <v>0</v>
      </c>
      <c r="K129" s="73" t="str">
        <f aca="false">IF($E129="","",COUNTIF($E126:$E129,H$21)+COUNTIF($E126:$E129,$A$3))</f>
        <v/>
      </c>
      <c r="L129" s="92" t="n">
        <f aca="false">IF($F129="","",COUNTIF($F126:$F129,H$21)+COUNTIF($F126:$F129,$A$3))</f>
        <v>1</v>
      </c>
      <c r="N129" s="91" t="n">
        <f aca="false">IF($B129="","",COUNTIF($B126:$B129,N$21)+COUNTIF($B126:$B129,$A$3))</f>
        <v>1</v>
      </c>
      <c r="O129" s="73" t="str">
        <f aca="false">IF($C129="","",COUNTIF($C126:$C129,N$21)+COUNTIF($C126:$C129,$A$3))</f>
        <v/>
      </c>
      <c r="P129" s="73" t="n">
        <f aca="false">IF($D129="","",COUNTIF($D126:$D129,N$21)+COUNTIF($D126:$D129,$A$3))</f>
        <v>0</v>
      </c>
      <c r="Q129" s="73" t="str">
        <f aca="false">IF($E129="","",COUNTIF($E126:$E129,N$21)+COUNTIF($E126:$E129,$A$3))</f>
        <v/>
      </c>
      <c r="R129" s="92" t="n">
        <f aca="false">IF($F129="","",COUNTIF($F126:$F129,N$21)+COUNTIF($F126:$F129,$A$3))</f>
        <v>0</v>
      </c>
      <c r="T129" s="91" t="n">
        <f aca="false">IF($B129="","",COUNTIF($B126:$B129,T$21)+COUNTIF($B126:$B129,$A$3))</f>
        <v>1</v>
      </c>
      <c r="U129" s="73" t="str">
        <f aca="false">IF($C129="","",COUNTIF($C126:$C129,T$21)+COUNTIF($C126:$C129,$A$3))</f>
        <v/>
      </c>
      <c r="V129" s="73" t="n">
        <f aca="false">IF($D129="","",COUNTIF($D126:$D129,T$21)+COUNTIF($D126:$D129,$A$3))</f>
        <v>1</v>
      </c>
      <c r="W129" s="73" t="str">
        <f aca="false">IF($E129="","",COUNTIF($E126:$E129,T$21)+COUNTIF($E126:$E129,$A$3))</f>
        <v/>
      </c>
      <c r="X129" s="92" t="n">
        <f aca="false">IF($F129="","",COUNTIF($F126:$F129,T$21)+COUNTIF($F126:$F129,$A$3))</f>
        <v>0</v>
      </c>
      <c r="Z129" s="91" t="n">
        <f aca="false">IF($B129="","",COUNTIF($B126:$B129,Z$21)+COUNTIF($B126:$B129,$A$3))</f>
        <v>0</v>
      </c>
      <c r="AA129" s="73" t="str">
        <f aca="false">IF($C129="","",COUNTIF($C126:$C129,Z$21)+COUNTIF($C126:$C129,$A$3))</f>
        <v/>
      </c>
      <c r="AB129" s="73" t="n">
        <f aca="false">IF($D129="","",COUNTIF($D126:$D129,Z$21)+COUNTIF($D126:$D129,$A$3))</f>
        <v>0</v>
      </c>
      <c r="AC129" s="73" t="str">
        <f aca="false">IF($E129="","",COUNTIF($E126:$E129,Z$21)+COUNTIF($E126:$E129,$A$3))</f>
        <v/>
      </c>
      <c r="AD129" s="92" t="n">
        <f aca="false">IF($F129="","",COUNTIF($F126:$F129,Z$21)+COUNTIF($F126:$F129,$A$3))</f>
        <v>1</v>
      </c>
      <c r="AF129" s="91" t="n">
        <f aca="false">IF($B129="","",COUNTIF($B126:$B129,AF$21)+COUNTIF($B126:$B129,$A$3))</f>
        <v>0</v>
      </c>
      <c r="AG129" s="73" t="str">
        <f aca="false">IF($C129="","",COUNTIF($C126:$C129,AF$21)+COUNTIF($C126:$C129,$A$3))</f>
        <v/>
      </c>
      <c r="AH129" s="73" t="n">
        <f aca="false">IF($D129="","",COUNTIF($D126:$D129,AF$21)+COUNTIF($D126:$D129,$A$3))</f>
        <v>1</v>
      </c>
      <c r="AI129" s="73" t="str">
        <f aca="false">IF($E129="","",COUNTIF($E126:$E129,AF$21)+COUNTIF($E126:$E129,$A$3))</f>
        <v/>
      </c>
      <c r="AJ129" s="92" t="n">
        <f aca="false">IF($F129="","",COUNTIF($F126:$F129,AF$21)+COUNTIF($F126:$F129,$A$3))</f>
        <v>0</v>
      </c>
      <c r="AL129" s="91" t="n">
        <f aca="false">IF($B129="","",COUNTIF($B126:$B129,AL$21)+COUNTIF($B126:$B129,$A$3))</f>
        <v>0</v>
      </c>
      <c r="AM129" s="73" t="str">
        <f aca="false">IF($C129="","",COUNTIF($C126:$C129,AL$21)+COUNTIF($C126:$C129,$A$3))</f>
        <v/>
      </c>
      <c r="AN129" s="73" t="n">
        <f aca="false">IF($D129="","",COUNTIF($D126:$D129,AL$21)+COUNTIF($D126:$D129,$A$3))</f>
        <v>1</v>
      </c>
      <c r="AO129" s="73" t="str">
        <f aca="false">IF($E129="","",COUNTIF($E126:$E129,AL$21)+COUNTIF($E126:$E129,$A$3))</f>
        <v/>
      </c>
      <c r="AP129" s="92" t="n">
        <f aca="false">IF($F129="","",COUNTIF($F126:$F129,AL$21)+COUNTIF($F126:$F129,$A$3))</f>
        <v>0</v>
      </c>
      <c r="AR129" s="91" t="n">
        <f aca="false">IF($B129="","",COUNTIF($B126:$B129,AR$21)+COUNTIF($B126:$B129,$A$3))</f>
        <v>0</v>
      </c>
      <c r="AS129" s="73" t="str">
        <f aca="false">IF($C129="","",COUNTIF($C126:$C129,AR$21)+COUNTIF($C126:$C129,$A$3))</f>
        <v/>
      </c>
      <c r="AT129" s="73" t="n">
        <f aca="false">IF($D129="","",COUNTIF($D126:$D129,AR$21)+COUNTIF($D126:$D129,$A$3))</f>
        <v>0</v>
      </c>
      <c r="AU129" s="73" t="str">
        <f aca="false">IF($E129="","",COUNTIF($E126:$E129,AR$21)+COUNTIF($E126:$E129,$A$3))</f>
        <v/>
      </c>
      <c r="AV129" s="92" t="n">
        <f aca="false">IF($F129="","",COUNTIF($F126:$F129,AR$21)+COUNTIF($F126:$F129,$A$3))</f>
        <v>1</v>
      </c>
      <c r="AX129" s="91" t="n">
        <f aca="false">IF($B129="","",COUNTIF($B126:$B129,AX$21)+COUNTIF($B126:$B129,$A$3))</f>
        <v>1</v>
      </c>
      <c r="AY129" s="73" t="str">
        <f aca="false">IF($C129="","",COUNTIF($C126:$C129,AX$21)+COUNTIF($C126:$C129,$A$3))</f>
        <v/>
      </c>
      <c r="AZ129" s="73" t="n">
        <f aca="false">IF($D129="","",COUNTIF($D126:$D129,AX$21)+COUNTIF($D126:$D129,$A$3))</f>
        <v>1</v>
      </c>
      <c r="BA129" s="73" t="str">
        <f aca="false">IF($E129="","",COUNTIF($E126:$E129,AX$21)+COUNTIF($E126:$E129,$A$3))</f>
        <v/>
      </c>
      <c r="BB129" s="92" t="n">
        <f aca="false">IF($F129="","",COUNTIF($F126:$F129,AX$21)+COUNTIF($F126:$F129,$A$3))</f>
        <v>0</v>
      </c>
      <c r="BD129" s="91" t="n">
        <f aca="false">IF($B129="","",COUNTIF($B126:$B129,BD$21)+COUNTIF($B126:$B129,$A$3))</f>
        <v>0</v>
      </c>
      <c r="BE129" s="73" t="str">
        <f aca="false">IF($C129="","",COUNTIF($C126:$C129,BD$21)+COUNTIF($C126:$C129,$A$3))</f>
        <v/>
      </c>
      <c r="BF129" s="73" t="n">
        <f aca="false">IF($D129="","",COUNTIF($D126:$D129,BD$21)+COUNTIF($D126:$D129,$A$3))</f>
        <v>0</v>
      </c>
      <c r="BG129" s="73" t="str">
        <f aca="false">IF($E129="","",COUNTIF($E126:$E129,BD$21)+COUNTIF($E126:$E129,$A$3))</f>
        <v/>
      </c>
      <c r="BH129" s="92" t="n">
        <f aca="false">IF($F129="","",COUNTIF($F126:$F129,BD$21)+COUNTIF($F126:$F129,$A$3))</f>
        <v>1</v>
      </c>
      <c r="BJ129" s="91" t="n">
        <f aca="false">IF($B129="","",COUNTIF($B126:$B129,BJ$21)+COUNTIF($B126:$B129,$A$3))</f>
        <v>1</v>
      </c>
      <c r="BK129" s="73" t="str">
        <f aca="false">IF($C129="","",COUNTIF($C126:$C129,BJ$21)+COUNTIF($C126:$C129,$A$3))</f>
        <v/>
      </c>
      <c r="BL129" s="73" t="n">
        <f aca="false">IF($D129="","",COUNTIF($D126:$D129,BJ$21)+COUNTIF($D126:$D129,$A$3))</f>
        <v>0</v>
      </c>
      <c r="BM129" s="73" t="str">
        <f aca="false">IF($E129="","",COUNTIF($E126:$E129,BJ$21)+COUNTIF($E126:$E129,$A$3))</f>
        <v/>
      </c>
      <c r="BN129" s="92" t="n">
        <f aca="false">IF($F129="","",COUNTIF($F126:$F129,BJ$21)+COUNTIF($F126:$F129,$A$3))</f>
        <v>0</v>
      </c>
      <c r="BP129" s="91" t="n">
        <f aca="false">IF($B129="","",COUNTIF($B126:$B129,BP$21)+COUNTIF($B126:$B129,$A$3))</f>
        <v>0</v>
      </c>
      <c r="BQ129" s="73" t="str">
        <f aca="false">IF($C129="","",COUNTIF($C126:$C129,BP$21)+COUNTIF($C126:$C129,$A$3))</f>
        <v/>
      </c>
      <c r="BR129" s="73" t="n">
        <f aca="false">IF($D129="","",COUNTIF($D126:$D129,BP$21)+COUNTIF($D126:$D129,$A$3))</f>
        <v>0</v>
      </c>
      <c r="BS129" s="73" t="str">
        <f aca="false">IF($E129="","",COUNTIF($E126:$E129,BP$21)+COUNTIF($E126:$E129,$A$3))</f>
        <v/>
      </c>
      <c r="BT129" s="92" t="n">
        <f aca="false">IF($F129="","",COUNTIF($F126:$F129,BP$21)+COUNTIF($F126:$F129,$A$3))</f>
        <v>0</v>
      </c>
    </row>
    <row r="130" customFormat="false" ht="15" hidden="false" customHeight="false" outlineLevel="0" collapsed="false">
      <c r="A130" s="13" t="n">
        <v>108</v>
      </c>
      <c r="B130" s="116" t="str">
        <f aca="false">IF('Game Info'!Q113="","",'Game Info'!Q113)</f>
        <v/>
      </c>
      <c r="C130" s="116" t="str">
        <f aca="false">IF('Game Info'!R113="","",'Game Info'!R113)</f>
        <v/>
      </c>
      <c r="D130" s="116" t="n">
        <f aca="false">IF('Game Info'!S113="","",'Game Info'!S113)</f>
        <v>10</v>
      </c>
      <c r="E130" s="116" t="str">
        <f aca="false">IF('Game Info'!T113="","",'Game Info'!T113)</f>
        <v/>
      </c>
      <c r="F130" s="117" t="str">
        <f aca="false">IF('Game Info'!U113="","",'Game Info'!U113)</f>
        <v>SYM3</v>
      </c>
      <c r="H130" s="91" t="str">
        <f aca="false">IF($B130="","",COUNTIF($B127:$B130,H$21)+COUNTIF($B127:$B130,$A$3))</f>
        <v/>
      </c>
      <c r="I130" s="73" t="str">
        <f aca="false">IF($C130="","",COUNTIF($C127:$C130,H$21)+COUNTIF($C127:$C130,$A$3))</f>
        <v/>
      </c>
      <c r="J130" s="73" t="n">
        <f aca="false">IF($D130="","",COUNTIF($D127:$D130,H$21)+COUNTIF($D127:$D130,$A$3))</f>
        <v>0</v>
      </c>
      <c r="K130" s="73" t="str">
        <f aca="false">IF($E130="","",COUNTIF($E127:$E130,H$21)+COUNTIF($E127:$E130,$A$3))</f>
        <v/>
      </c>
      <c r="L130" s="92" t="n">
        <f aca="false">IF($F130="","",COUNTIF($F127:$F130,H$21)+COUNTIF($F127:$F130,$A$3))</f>
        <v>1</v>
      </c>
      <c r="N130" s="91" t="str">
        <f aca="false">IF($B130="","",COUNTIF($B127:$B130,N$21)+COUNTIF($B127:$B130,$A$3))</f>
        <v/>
      </c>
      <c r="O130" s="73" t="str">
        <f aca="false">IF($C130="","",COUNTIF($C127:$C130,N$21)+COUNTIF($C127:$C130,$A$3))</f>
        <v/>
      </c>
      <c r="P130" s="73" t="n">
        <f aca="false">IF($D130="","",COUNTIF($D127:$D130,N$21)+COUNTIF($D127:$D130,$A$3))</f>
        <v>0</v>
      </c>
      <c r="Q130" s="73" t="str">
        <f aca="false">IF($E130="","",COUNTIF($E127:$E130,N$21)+COUNTIF($E127:$E130,$A$3))</f>
        <v/>
      </c>
      <c r="R130" s="92" t="n">
        <f aca="false">IF($F130="","",COUNTIF($F127:$F130,N$21)+COUNTIF($F127:$F130,$A$3))</f>
        <v>0</v>
      </c>
      <c r="T130" s="91" t="str">
        <f aca="false">IF($B130="","",COUNTIF($B127:$B130,T$21)+COUNTIF($B127:$B130,$A$3))</f>
        <v/>
      </c>
      <c r="U130" s="73" t="str">
        <f aca="false">IF($C130="","",COUNTIF($C127:$C130,T$21)+COUNTIF($C127:$C130,$A$3))</f>
        <v/>
      </c>
      <c r="V130" s="73" t="n">
        <f aca="false">IF($D130="","",COUNTIF($D127:$D130,T$21)+COUNTIF($D127:$D130,$A$3))</f>
        <v>1</v>
      </c>
      <c r="W130" s="73" t="str">
        <f aca="false">IF($E130="","",COUNTIF($E127:$E130,T$21)+COUNTIF($E127:$E130,$A$3))</f>
        <v/>
      </c>
      <c r="X130" s="92" t="n">
        <f aca="false">IF($F130="","",COUNTIF($F127:$F130,T$21)+COUNTIF($F127:$F130,$A$3))</f>
        <v>1</v>
      </c>
      <c r="Z130" s="91" t="str">
        <f aca="false">IF($B130="","",COUNTIF($B127:$B130,Z$21)+COUNTIF($B127:$B130,$A$3))</f>
        <v/>
      </c>
      <c r="AA130" s="73" t="str">
        <f aca="false">IF($C130="","",COUNTIF($C127:$C130,Z$21)+COUNTIF($C127:$C130,$A$3))</f>
        <v/>
      </c>
      <c r="AB130" s="73" t="n">
        <f aca="false">IF($D130="","",COUNTIF($D127:$D130,Z$21)+COUNTIF($D127:$D130,$A$3))</f>
        <v>0</v>
      </c>
      <c r="AC130" s="73" t="str">
        <f aca="false">IF($E130="","",COUNTIF($E127:$E130,Z$21)+COUNTIF($E127:$E130,$A$3))</f>
        <v/>
      </c>
      <c r="AD130" s="92" t="n">
        <f aca="false">IF($F130="","",COUNTIF($F127:$F130,Z$21)+COUNTIF($F127:$F130,$A$3))</f>
        <v>0</v>
      </c>
      <c r="AF130" s="91" t="str">
        <f aca="false">IF($B130="","",COUNTIF($B127:$B130,AF$21)+COUNTIF($B127:$B130,$A$3))</f>
        <v/>
      </c>
      <c r="AG130" s="73" t="str">
        <f aca="false">IF($C130="","",COUNTIF($C127:$C130,AF$21)+COUNTIF($C127:$C130,$A$3))</f>
        <v/>
      </c>
      <c r="AH130" s="73" t="n">
        <f aca="false">IF($D130="","",COUNTIF($D127:$D130,AF$21)+COUNTIF($D127:$D130,$A$3))</f>
        <v>1</v>
      </c>
      <c r="AI130" s="73" t="str">
        <f aca="false">IF($E130="","",COUNTIF($E127:$E130,AF$21)+COUNTIF($E127:$E130,$A$3))</f>
        <v/>
      </c>
      <c r="AJ130" s="92" t="n">
        <f aca="false">IF($F130="","",COUNTIF($F127:$F130,AF$21)+COUNTIF($F127:$F130,$A$3))</f>
        <v>0</v>
      </c>
      <c r="AL130" s="91" t="str">
        <f aca="false">IF($B130="","",COUNTIF($B127:$B130,AL$21)+COUNTIF($B127:$B130,$A$3))</f>
        <v/>
      </c>
      <c r="AM130" s="73" t="str">
        <f aca="false">IF($C130="","",COUNTIF($C127:$C130,AL$21)+COUNTIF($C127:$C130,$A$3))</f>
        <v/>
      </c>
      <c r="AN130" s="73" t="n">
        <f aca="false">IF($D130="","",COUNTIF($D127:$D130,AL$21)+COUNTIF($D127:$D130,$A$3))</f>
        <v>0</v>
      </c>
      <c r="AO130" s="73" t="str">
        <f aca="false">IF($E130="","",COUNTIF($E127:$E130,AL$21)+COUNTIF($E127:$E130,$A$3))</f>
        <v/>
      </c>
      <c r="AP130" s="92" t="n">
        <f aca="false">IF($F130="","",COUNTIF($F127:$F130,AL$21)+COUNTIF($F127:$F130,$A$3))</f>
        <v>0</v>
      </c>
      <c r="AR130" s="91" t="str">
        <f aca="false">IF($B130="","",COUNTIF($B127:$B130,AR$21)+COUNTIF($B127:$B130,$A$3))</f>
        <v/>
      </c>
      <c r="AS130" s="73" t="str">
        <f aca="false">IF($C130="","",COUNTIF($C127:$C130,AR$21)+COUNTIF($C127:$C130,$A$3))</f>
        <v/>
      </c>
      <c r="AT130" s="73" t="n">
        <f aca="false">IF($D130="","",COUNTIF($D127:$D130,AR$21)+COUNTIF($D127:$D130,$A$3))</f>
        <v>0</v>
      </c>
      <c r="AU130" s="73" t="str">
        <f aca="false">IF($E130="","",COUNTIF($E127:$E130,AR$21)+COUNTIF($E127:$E130,$A$3))</f>
        <v/>
      </c>
      <c r="AV130" s="92" t="n">
        <f aca="false">IF($F130="","",COUNTIF($F127:$F130,AR$21)+COUNTIF($F127:$F130,$A$3))</f>
        <v>1</v>
      </c>
      <c r="AX130" s="91" t="str">
        <f aca="false">IF($B130="","",COUNTIF($B127:$B130,AX$21)+COUNTIF($B127:$B130,$A$3))</f>
        <v/>
      </c>
      <c r="AY130" s="73" t="str">
        <f aca="false">IF($C130="","",COUNTIF($C127:$C130,AX$21)+COUNTIF($C127:$C130,$A$3))</f>
        <v/>
      </c>
      <c r="AZ130" s="73" t="n">
        <f aca="false">IF($D130="","",COUNTIF($D127:$D130,AX$21)+COUNTIF($D127:$D130,$A$3))</f>
        <v>1</v>
      </c>
      <c r="BA130" s="73" t="str">
        <f aca="false">IF($E130="","",COUNTIF($E127:$E130,AX$21)+COUNTIF($E127:$E130,$A$3))</f>
        <v/>
      </c>
      <c r="BB130" s="92" t="n">
        <f aca="false">IF($F130="","",COUNTIF($F127:$F130,AX$21)+COUNTIF($F127:$F130,$A$3))</f>
        <v>0</v>
      </c>
      <c r="BD130" s="91" t="str">
        <f aca="false">IF($B130="","",COUNTIF($B127:$B130,BD$21)+COUNTIF($B127:$B130,$A$3))</f>
        <v/>
      </c>
      <c r="BE130" s="73" t="str">
        <f aca="false">IF($C130="","",COUNTIF($C127:$C130,BD$21)+COUNTIF($C127:$C130,$A$3))</f>
        <v/>
      </c>
      <c r="BF130" s="73" t="n">
        <f aca="false">IF($D130="","",COUNTIF($D127:$D130,BD$21)+COUNTIF($D127:$D130,$A$3))</f>
        <v>0</v>
      </c>
      <c r="BG130" s="73" t="str">
        <f aca="false">IF($E130="","",COUNTIF($E127:$E130,BD$21)+COUNTIF($E127:$E130,$A$3))</f>
        <v/>
      </c>
      <c r="BH130" s="92" t="n">
        <f aca="false">IF($F130="","",COUNTIF($F127:$F130,BD$21)+COUNTIF($F127:$F130,$A$3))</f>
        <v>1</v>
      </c>
      <c r="BJ130" s="91" t="str">
        <f aca="false">IF($B130="","",COUNTIF($B127:$B130,BJ$21)+COUNTIF($B127:$B130,$A$3))</f>
        <v/>
      </c>
      <c r="BK130" s="73" t="str">
        <f aca="false">IF($C130="","",COUNTIF($C127:$C130,BJ$21)+COUNTIF($C127:$C130,$A$3))</f>
        <v/>
      </c>
      <c r="BL130" s="73" t="n">
        <f aca="false">IF($D130="","",COUNTIF($D127:$D130,BJ$21)+COUNTIF($D127:$D130,$A$3))</f>
        <v>1</v>
      </c>
      <c r="BM130" s="73" t="str">
        <f aca="false">IF($E130="","",COUNTIF($E127:$E130,BJ$21)+COUNTIF($E127:$E130,$A$3))</f>
        <v/>
      </c>
      <c r="BN130" s="92" t="n">
        <f aca="false">IF($F130="","",COUNTIF($F127:$F130,BJ$21)+COUNTIF($F127:$F130,$A$3))</f>
        <v>0</v>
      </c>
      <c r="BP130" s="91" t="str">
        <f aca="false">IF($B130="","",COUNTIF($B127:$B130,BP$21)+COUNTIF($B127:$B130,$A$3))</f>
        <v/>
      </c>
      <c r="BQ130" s="73" t="str">
        <f aca="false">IF($C130="","",COUNTIF($C127:$C130,BP$21)+COUNTIF($C127:$C130,$A$3))</f>
        <v/>
      </c>
      <c r="BR130" s="73" t="n">
        <f aca="false">IF($D130="","",COUNTIF($D127:$D130,BP$21)+COUNTIF($D127:$D130,$A$3))</f>
        <v>0</v>
      </c>
      <c r="BS130" s="73" t="str">
        <f aca="false">IF($E130="","",COUNTIF($E127:$E130,BP$21)+COUNTIF($E127:$E130,$A$3))</f>
        <v/>
      </c>
      <c r="BT130" s="92" t="n">
        <f aca="false">IF($F130="","",COUNTIF($F127:$F130,BP$21)+COUNTIF($F127:$F130,$A$3))</f>
        <v>0</v>
      </c>
    </row>
    <row r="131" customFormat="false" ht="15" hidden="false" customHeight="false" outlineLevel="0" collapsed="false">
      <c r="A131" s="13" t="n">
        <v>109</v>
      </c>
      <c r="B131" s="116" t="str">
        <f aca="false">IF('Game Info'!Q114="","",'Game Info'!Q114)</f>
        <v/>
      </c>
      <c r="C131" s="116" t="str">
        <f aca="false">IF('Game Info'!R114="","",'Game Info'!R114)</f>
        <v/>
      </c>
      <c r="D131" s="116" t="str">
        <f aca="false">IF('Game Info'!S114="","",'Game Info'!S114)</f>
        <v>SYM4</v>
      </c>
      <c r="E131" s="116" t="str">
        <f aca="false">IF('Game Info'!T114="","",'Game Info'!T114)</f>
        <v/>
      </c>
      <c r="F131" s="117" t="n">
        <f aca="false">IF('Game Info'!U114="","",'Game Info'!U114)</f>
        <v>10</v>
      </c>
      <c r="H131" s="91" t="str">
        <f aca="false">IF($B131="","",COUNTIF($B128:$B131,H$21)+COUNTIF($B128:$B131,$A$3))</f>
        <v/>
      </c>
      <c r="I131" s="73" t="str">
        <f aca="false">IF($C131="","",COUNTIF($C128:$C131,H$21)+COUNTIF($C128:$C131,$A$3))</f>
        <v/>
      </c>
      <c r="J131" s="73" t="n">
        <f aca="false">IF($D131="","",COUNTIF($D128:$D131,H$21)+COUNTIF($D128:$D131,$A$3))</f>
        <v>0</v>
      </c>
      <c r="K131" s="73" t="str">
        <f aca="false">IF($E131="","",COUNTIF($E128:$E131,H$21)+COUNTIF($E128:$E131,$A$3))</f>
        <v/>
      </c>
      <c r="L131" s="92" t="n">
        <f aca="false">IF($F131="","",COUNTIF($F128:$F131,H$21)+COUNTIF($F128:$F131,$A$3))</f>
        <v>1</v>
      </c>
      <c r="N131" s="91" t="str">
        <f aca="false">IF($B131="","",COUNTIF($B128:$B131,N$21)+COUNTIF($B128:$B131,$A$3))</f>
        <v/>
      </c>
      <c r="O131" s="73" t="str">
        <f aca="false">IF($C131="","",COUNTIF($C128:$C131,N$21)+COUNTIF($C128:$C131,$A$3))</f>
        <v/>
      </c>
      <c r="P131" s="73" t="n">
        <f aca="false">IF($D131="","",COUNTIF($D128:$D131,N$21)+COUNTIF($D128:$D131,$A$3))</f>
        <v>0</v>
      </c>
      <c r="Q131" s="73" t="str">
        <f aca="false">IF($E131="","",COUNTIF($E128:$E131,N$21)+COUNTIF($E128:$E131,$A$3))</f>
        <v/>
      </c>
      <c r="R131" s="92" t="n">
        <f aca="false">IF($F131="","",COUNTIF($F128:$F131,N$21)+COUNTIF($F128:$F131,$A$3))</f>
        <v>0</v>
      </c>
      <c r="T131" s="91" t="str">
        <f aca="false">IF($B131="","",COUNTIF($B128:$B131,T$21)+COUNTIF($B128:$B131,$A$3))</f>
        <v/>
      </c>
      <c r="U131" s="73" t="str">
        <f aca="false">IF($C131="","",COUNTIF($C128:$C131,T$21)+COUNTIF($C128:$C131,$A$3))</f>
        <v/>
      </c>
      <c r="V131" s="73" t="n">
        <f aca="false">IF($D131="","",COUNTIF($D128:$D131,T$21)+COUNTIF($D128:$D131,$A$3))</f>
        <v>1</v>
      </c>
      <c r="W131" s="73" t="str">
        <f aca="false">IF($E131="","",COUNTIF($E128:$E131,T$21)+COUNTIF($E128:$E131,$A$3))</f>
        <v/>
      </c>
      <c r="X131" s="92" t="n">
        <f aca="false">IF($F131="","",COUNTIF($F128:$F131,T$21)+COUNTIF($F128:$F131,$A$3))</f>
        <v>1</v>
      </c>
      <c r="Z131" s="91" t="str">
        <f aca="false">IF($B131="","",COUNTIF($B128:$B131,Z$21)+COUNTIF($B128:$B131,$A$3))</f>
        <v/>
      </c>
      <c r="AA131" s="73" t="str">
        <f aca="false">IF($C131="","",COUNTIF($C128:$C131,Z$21)+COUNTIF($C128:$C131,$A$3))</f>
        <v/>
      </c>
      <c r="AB131" s="73" t="n">
        <f aca="false">IF($D131="","",COUNTIF($D128:$D131,Z$21)+COUNTIF($D128:$D131,$A$3))</f>
        <v>1</v>
      </c>
      <c r="AC131" s="73" t="str">
        <f aca="false">IF($E131="","",COUNTIF($E128:$E131,Z$21)+COUNTIF($E128:$E131,$A$3))</f>
        <v/>
      </c>
      <c r="AD131" s="92" t="n">
        <f aca="false">IF($F131="","",COUNTIF($F128:$F131,Z$21)+COUNTIF($F128:$F131,$A$3))</f>
        <v>0</v>
      </c>
      <c r="AF131" s="91" t="str">
        <f aca="false">IF($B131="","",COUNTIF($B128:$B131,AF$21)+COUNTIF($B128:$B131,$A$3))</f>
        <v/>
      </c>
      <c r="AG131" s="73" t="str">
        <f aca="false">IF($C131="","",COUNTIF($C128:$C131,AF$21)+COUNTIF($C128:$C131,$A$3))</f>
        <v/>
      </c>
      <c r="AH131" s="73" t="n">
        <f aca="false">IF($D131="","",COUNTIF($D128:$D131,AF$21)+COUNTIF($D128:$D131,$A$3))</f>
        <v>0</v>
      </c>
      <c r="AI131" s="73" t="str">
        <f aca="false">IF($E131="","",COUNTIF($E128:$E131,AF$21)+COUNTIF($E128:$E131,$A$3))</f>
        <v/>
      </c>
      <c r="AJ131" s="92" t="n">
        <f aca="false">IF($F131="","",COUNTIF($F128:$F131,AF$21)+COUNTIF($F128:$F131,$A$3))</f>
        <v>0</v>
      </c>
      <c r="AL131" s="91" t="str">
        <f aca="false">IF($B131="","",COUNTIF($B128:$B131,AL$21)+COUNTIF($B128:$B131,$A$3))</f>
        <v/>
      </c>
      <c r="AM131" s="73" t="str">
        <f aca="false">IF($C131="","",COUNTIF($C128:$C131,AL$21)+COUNTIF($C128:$C131,$A$3))</f>
        <v/>
      </c>
      <c r="AN131" s="73" t="n">
        <f aca="false">IF($D131="","",COUNTIF($D128:$D131,AL$21)+COUNTIF($D128:$D131,$A$3))</f>
        <v>0</v>
      </c>
      <c r="AO131" s="73" t="str">
        <f aca="false">IF($E131="","",COUNTIF($E128:$E131,AL$21)+COUNTIF($E128:$E131,$A$3))</f>
        <v/>
      </c>
      <c r="AP131" s="92" t="n">
        <f aca="false">IF($F131="","",COUNTIF($F128:$F131,AL$21)+COUNTIF($F128:$F131,$A$3))</f>
        <v>0</v>
      </c>
      <c r="AR131" s="91" t="str">
        <f aca="false">IF($B131="","",COUNTIF($B128:$B131,AR$21)+COUNTIF($B128:$B131,$A$3))</f>
        <v/>
      </c>
      <c r="AS131" s="73" t="str">
        <f aca="false">IF($C131="","",COUNTIF($C128:$C131,AR$21)+COUNTIF($C128:$C131,$A$3))</f>
        <v/>
      </c>
      <c r="AT131" s="73" t="n">
        <f aca="false">IF($D131="","",COUNTIF($D128:$D131,AR$21)+COUNTIF($D128:$D131,$A$3))</f>
        <v>0</v>
      </c>
      <c r="AU131" s="73" t="str">
        <f aca="false">IF($E131="","",COUNTIF($E128:$E131,AR$21)+COUNTIF($E128:$E131,$A$3))</f>
        <v/>
      </c>
      <c r="AV131" s="92" t="n">
        <f aca="false">IF($F131="","",COUNTIF($F128:$F131,AR$21)+COUNTIF($F128:$F131,$A$3))</f>
        <v>1</v>
      </c>
      <c r="AX131" s="91" t="str">
        <f aca="false">IF($B131="","",COUNTIF($B128:$B131,AX$21)+COUNTIF($B128:$B131,$A$3))</f>
        <v/>
      </c>
      <c r="AY131" s="73" t="str">
        <f aca="false">IF($C131="","",COUNTIF($C128:$C131,AX$21)+COUNTIF($C128:$C131,$A$3))</f>
        <v/>
      </c>
      <c r="AZ131" s="73" t="n">
        <f aca="false">IF($D131="","",COUNTIF($D128:$D131,AX$21)+COUNTIF($D128:$D131,$A$3))</f>
        <v>1</v>
      </c>
      <c r="BA131" s="73" t="str">
        <f aca="false">IF($E131="","",COUNTIF($E128:$E131,AX$21)+COUNTIF($E128:$E131,$A$3))</f>
        <v/>
      </c>
      <c r="BB131" s="92" t="n">
        <f aca="false">IF($F131="","",COUNTIF($F128:$F131,AX$21)+COUNTIF($F128:$F131,$A$3))</f>
        <v>0</v>
      </c>
      <c r="BD131" s="91" t="str">
        <f aca="false">IF($B131="","",COUNTIF($B128:$B131,BD$21)+COUNTIF($B128:$B131,$A$3))</f>
        <v/>
      </c>
      <c r="BE131" s="73" t="str">
        <f aca="false">IF($C131="","",COUNTIF($C128:$C131,BD$21)+COUNTIF($C128:$C131,$A$3))</f>
        <v/>
      </c>
      <c r="BF131" s="73" t="n">
        <f aca="false">IF($D131="","",COUNTIF($D128:$D131,BD$21)+COUNTIF($D128:$D131,$A$3))</f>
        <v>0</v>
      </c>
      <c r="BG131" s="73" t="str">
        <f aca="false">IF($E131="","",COUNTIF($E128:$E131,BD$21)+COUNTIF($E128:$E131,$A$3))</f>
        <v/>
      </c>
      <c r="BH131" s="92" t="n">
        <f aca="false">IF($F131="","",COUNTIF($F128:$F131,BD$21)+COUNTIF($F128:$F131,$A$3))</f>
        <v>0</v>
      </c>
      <c r="BJ131" s="91" t="str">
        <f aca="false">IF($B131="","",COUNTIF($B128:$B131,BJ$21)+COUNTIF($B128:$B131,$A$3))</f>
        <v/>
      </c>
      <c r="BK131" s="73" t="str">
        <f aca="false">IF($C131="","",COUNTIF($C128:$C131,BJ$21)+COUNTIF($C128:$C131,$A$3))</f>
        <v/>
      </c>
      <c r="BL131" s="73" t="n">
        <f aca="false">IF($D131="","",COUNTIF($D128:$D131,BJ$21)+COUNTIF($D128:$D131,$A$3))</f>
        <v>1</v>
      </c>
      <c r="BM131" s="73" t="str">
        <f aca="false">IF($E131="","",COUNTIF($E128:$E131,BJ$21)+COUNTIF($E128:$E131,$A$3))</f>
        <v/>
      </c>
      <c r="BN131" s="92" t="n">
        <f aca="false">IF($F131="","",COUNTIF($F128:$F131,BJ$21)+COUNTIF($F128:$F131,$A$3))</f>
        <v>1</v>
      </c>
      <c r="BP131" s="91" t="str">
        <f aca="false">IF($B131="","",COUNTIF($B128:$B131,BP$21)+COUNTIF($B128:$B131,$A$3))</f>
        <v/>
      </c>
      <c r="BQ131" s="73" t="str">
        <f aca="false">IF($C131="","",COUNTIF($C128:$C131,BP$21)+COUNTIF($C128:$C131,$A$3))</f>
        <v/>
      </c>
      <c r="BR131" s="73" t="n">
        <f aca="false">IF($D131="","",COUNTIF($D128:$D131,BP$21)+COUNTIF($D128:$D131,$A$3))</f>
        <v>0</v>
      </c>
      <c r="BS131" s="73" t="str">
        <f aca="false">IF($E131="","",COUNTIF($E128:$E131,BP$21)+COUNTIF($E128:$E131,$A$3))</f>
        <v/>
      </c>
      <c r="BT131" s="92" t="n">
        <f aca="false">IF($F131="","",COUNTIF($F128:$F131,BP$21)+COUNTIF($F128:$F131,$A$3))</f>
        <v>0</v>
      </c>
    </row>
    <row r="132" customFormat="false" ht="15" hidden="false" customHeight="false" outlineLevel="0" collapsed="false">
      <c r="A132" s="13" t="n">
        <v>110</v>
      </c>
      <c r="B132" s="116" t="str">
        <f aca="false">IF('Game Info'!Q115="","",'Game Info'!Q115)</f>
        <v/>
      </c>
      <c r="C132" s="116" t="str">
        <f aca="false">IF('Game Info'!R115="","",'Game Info'!R115)</f>
        <v/>
      </c>
      <c r="D132" s="116" t="str">
        <f aca="false">IF('Game Info'!S115="","",'Game Info'!S115)</f>
        <v>Q</v>
      </c>
      <c r="E132" s="116" t="str">
        <f aca="false">IF('Game Info'!T115="","",'Game Info'!T115)</f>
        <v/>
      </c>
      <c r="F132" s="117" t="str">
        <f aca="false">IF('Game Info'!U115="","",'Game Info'!U115)</f>
        <v>SYM2</v>
      </c>
      <c r="H132" s="91" t="str">
        <f aca="false">IF($B132="","",COUNTIF($B129:$B132,H$21)+COUNTIF($B129:$B132,$A$3))</f>
        <v/>
      </c>
      <c r="I132" s="73" t="str">
        <f aca="false">IF($C132="","",COUNTIF($C129:$C132,H$21)+COUNTIF($C129:$C132,$A$3))</f>
        <v/>
      </c>
      <c r="J132" s="73" t="n">
        <f aca="false">IF($D132="","",COUNTIF($D129:$D132,H$21)+COUNTIF($D129:$D132,$A$3))</f>
        <v>0</v>
      </c>
      <c r="K132" s="73" t="str">
        <f aca="false">IF($E132="","",COUNTIF($E129:$E132,H$21)+COUNTIF($E129:$E132,$A$3))</f>
        <v/>
      </c>
      <c r="L132" s="92" t="n">
        <f aca="false">IF($F132="","",COUNTIF($F129:$F132,H$21)+COUNTIF($F129:$F132,$A$3))</f>
        <v>0</v>
      </c>
      <c r="N132" s="91" t="str">
        <f aca="false">IF($B132="","",COUNTIF($B129:$B132,N$21)+COUNTIF($B129:$B132,$A$3))</f>
        <v/>
      </c>
      <c r="O132" s="73" t="str">
        <f aca="false">IF($C132="","",COUNTIF($C129:$C132,N$21)+COUNTIF($C129:$C132,$A$3))</f>
        <v/>
      </c>
      <c r="P132" s="73" t="n">
        <f aca="false">IF($D132="","",COUNTIF($D129:$D132,N$21)+COUNTIF($D129:$D132,$A$3))</f>
        <v>0</v>
      </c>
      <c r="Q132" s="73" t="str">
        <f aca="false">IF($E132="","",COUNTIF($E129:$E132,N$21)+COUNTIF($E129:$E132,$A$3))</f>
        <v/>
      </c>
      <c r="R132" s="92" t="n">
        <f aca="false">IF($F132="","",COUNTIF($F129:$F132,N$21)+COUNTIF($F129:$F132,$A$3))</f>
        <v>1</v>
      </c>
      <c r="T132" s="91" t="str">
        <f aca="false">IF($B132="","",COUNTIF($B129:$B132,T$21)+COUNTIF($B129:$B132,$A$3))</f>
        <v/>
      </c>
      <c r="U132" s="73" t="str">
        <f aca="false">IF($C132="","",COUNTIF($C129:$C132,T$21)+COUNTIF($C129:$C132,$A$3))</f>
        <v/>
      </c>
      <c r="V132" s="73" t="n">
        <f aca="false">IF($D132="","",COUNTIF($D129:$D132,T$21)+COUNTIF($D129:$D132,$A$3))</f>
        <v>1</v>
      </c>
      <c r="W132" s="73" t="str">
        <f aca="false">IF($E132="","",COUNTIF($E129:$E132,T$21)+COUNTIF($E129:$E132,$A$3))</f>
        <v/>
      </c>
      <c r="X132" s="92" t="n">
        <f aca="false">IF($F132="","",COUNTIF($F129:$F132,T$21)+COUNTIF($F129:$F132,$A$3))</f>
        <v>1</v>
      </c>
      <c r="Z132" s="91" t="str">
        <f aca="false">IF($B132="","",COUNTIF($B129:$B132,Z$21)+COUNTIF($B129:$B132,$A$3))</f>
        <v/>
      </c>
      <c r="AA132" s="73" t="str">
        <f aca="false">IF($C132="","",COUNTIF($C129:$C132,Z$21)+COUNTIF($C129:$C132,$A$3))</f>
        <v/>
      </c>
      <c r="AB132" s="73" t="n">
        <f aca="false">IF($D132="","",COUNTIF($D129:$D132,Z$21)+COUNTIF($D129:$D132,$A$3))</f>
        <v>1</v>
      </c>
      <c r="AC132" s="73" t="str">
        <f aca="false">IF($E132="","",COUNTIF($E129:$E132,Z$21)+COUNTIF($E129:$E132,$A$3))</f>
        <v/>
      </c>
      <c r="AD132" s="92" t="n">
        <f aca="false">IF($F132="","",COUNTIF($F129:$F132,Z$21)+COUNTIF($F129:$F132,$A$3))</f>
        <v>0</v>
      </c>
      <c r="AF132" s="91" t="str">
        <f aca="false">IF($B132="","",COUNTIF($B129:$B132,AF$21)+COUNTIF($B129:$B132,$A$3))</f>
        <v/>
      </c>
      <c r="AG132" s="73" t="str">
        <f aca="false">IF($C132="","",COUNTIF($C129:$C132,AF$21)+COUNTIF($C129:$C132,$A$3))</f>
        <v/>
      </c>
      <c r="AH132" s="73" t="n">
        <f aca="false">IF($D132="","",COUNTIF($D129:$D132,AF$21)+COUNTIF($D129:$D132,$A$3))</f>
        <v>0</v>
      </c>
      <c r="AI132" s="73" t="str">
        <f aca="false">IF($E132="","",COUNTIF($E129:$E132,AF$21)+COUNTIF($E129:$E132,$A$3))</f>
        <v/>
      </c>
      <c r="AJ132" s="92" t="n">
        <f aca="false">IF($F132="","",COUNTIF($F129:$F132,AF$21)+COUNTIF($F129:$F132,$A$3))</f>
        <v>0</v>
      </c>
      <c r="AL132" s="91" t="str">
        <f aca="false">IF($B132="","",COUNTIF($B129:$B132,AL$21)+COUNTIF($B129:$B132,$A$3))</f>
        <v/>
      </c>
      <c r="AM132" s="73" t="str">
        <f aca="false">IF($C132="","",COUNTIF($C129:$C132,AL$21)+COUNTIF($C129:$C132,$A$3))</f>
        <v/>
      </c>
      <c r="AN132" s="73" t="n">
        <f aca="false">IF($D132="","",COUNTIF($D129:$D132,AL$21)+COUNTIF($D129:$D132,$A$3))</f>
        <v>0</v>
      </c>
      <c r="AO132" s="73" t="str">
        <f aca="false">IF($E132="","",COUNTIF($E129:$E132,AL$21)+COUNTIF($E129:$E132,$A$3))</f>
        <v/>
      </c>
      <c r="AP132" s="92" t="n">
        <f aca="false">IF($F132="","",COUNTIF($F129:$F132,AL$21)+COUNTIF($F129:$F132,$A$3))</f>
        <v>0</v>
      </c>
      <c r="AR132" s="91" t="str">
        <f aca="false">IF($B132="","",COUNTIF($B129:$B132,AR$21)+COUNTIF($B129:$B132,$A$3))</f>
        <v/>
      </c>
      <c r="AS132" s="73" t="str">
        <f aca="false">IF($C132="","",COUNTIF($C129:$C132,AR$21)+COUNTIF($C129:$C132,$A$3))</f>
        <v/>
      </c>
      <c r="AT132" s="73" t="n">
        <f aca="false">IF($D132="","",COUNTIF($D129:$D132,AR$21)+COUNTIF($D129:$D132,$A$3))</f>
        <v>0</v>
      </c>
      <c r="AU132" s="73" t="str">
        <f aca="false">IF($E132="","",COUNTIF($E129:$E132,AR$21)+COUNTIF($E129:$E132,$A$3))</f>
        <v/>
      </c>
      <c r="AV132" s="92" t="n">
        <f aca="false">IF($F132="","",COUNTIF($F129:$F132,AR$21)+COUNTIF($F129:$F132,$A$3))</f>
        <v>1</v>
      </c>
      <c r="AX132" s="91" t="str">
        <f aca="false">IF($B132="","",COUNTIF($B129:$B132,AX$21)+COUNTIF($B129:$B132,$A$3))</f>
        <v/>
      </c>
      <c r="AY132" s="73" t="str">
        <f aca="false">IF($C132="","",COUNTIF($C129:$C132,AX$21)+COUNTIF($C129:$C132,$A$3))</f>
        <v/>
      </c>
      <c r="AZ132" s="73" t="n">
        <f aca="false">IF($D132="","",COUNTIF($D129:$D132,AX$21)+COUNTIF($D129:$D132,$A$3))</f>
        <v>1</v>
      </c>
      <c r="BA132" s="73" t="str">
        <f aca="false">IF($E132="","",COUNTIF($E129:$E132,AX$21)+COUNTIF($E129:$E132,$A$3))</f>
        <v/>
      </c>
      <c r="BB132" s="92" t="n">
        <f aca="false">IF($F132="","",COUNTIF($F129:$F132,AX$21)+COUNTIF($F129:$F132,$A$3))</f>
        <v>0</v>
      </c>
      <c r="BD132" s="91" t="str">
        <f aca="false">IF($B132="","",COUNTIF($B129:$B132,BD$21)+COUNTIF($B129:$B132,$A$3))</f>
        <v/>
      </c>
      <c r="BE132" s="73" t="str">
        <f aca="false">IF($C132="","",COUNTIF($C129:$C132,BD$21)+COUNTIF($C129:$C132,$A$3))</f>
        <v/>
      </c>
      <c r="BF132" s="73" t="n">
        <f aca="false">IF($D132="","",COUNTIF($D129:$D132,BD$21)+COUNTIF($D129:$D132,$A$3))</f>
        <v>0</v>
      </c>
      <c r="BG132" s="73" t="str">
        <f aca="false">IF($E132="","",COUNTIF($E129:$E132,BD$21)+COUNTIF($E129:$E132,$A$3))</f>
        <v/>
      </c>
      <c r="BH132" s="92" t="n">
        <f aca="false">IF($F132="","",COUNTIF($F129:$F132,BD$21)+COUNTIF($F129:$F132,$A$3))</f>
        <v>0</v>
      </c>
      <c r="BJ132" s="91" t="str">
        <f aca="false">IF($B132="","",COUNTIF($B129:$B132,BJ$21)+COUNTIF($B129:$B132,$A$3))</f>
        <v/>
      </c>
      <c r="BK132" s="73" t="str">
        <f aca="false">IF($C132="","",COUNTIF($C129:$C132,BJ$21)+COUNTIF($C129:$C132,$A$3))</f>
        <v/>
      </c>
      <c r="BL132" s="73" t="n">
        <f aca="false">IF($D132="","",COUNTIF($D129:$D132,BJ$21)+COUNTIF($D129:$D132,$A$3))</f>
        <v>1</v>
      </c>
      <c r="BM132" s="73" t="str">
        <f aca="false">IF($E132="","",COUNTIF($E129:$E132,BJ$21)+COUNTIF($E129:$E132,$A$3))</f>
        <v/>
      </c>
      <c r="BN132" s="92" t="n">
        <f aca="false">IF($F132="","",COUNTIF($F129:$F132,BJ$21)+COUNTIF($F129:$F132,$A$3))</f>
        <v>1</v>
      </c>
      <c r="BP132" s="91" t="str">
        <f aca="false">IF($B132="","",COUNTIF($B129:$B132,BP$21)+COUNTIF($B129:$B132,$A$3))</f>
        <v/>
      </c>
      <c r="BQ132" s="73" t="str">
        <f aca="false">IF($C132="","",COUNTIF($C129:$C132,BP$21)+COUNTIF($C129:$C132,$A$3))</f>
        <v/>
      </c>
      <c r="BR132" s="73" t="n">
        <f aca="false">IF($D132="","",COUNTIF($D129:$D132,BP$21)+COUNTIF($D129:$D132,$A$3))</f>
        <v>0</v>
      </c>
      <c r="BS132" s="73" t="str">
        <f aca="false">IF($E132="","",COUNTIF($E129:$E132,BP$21)+COUNTIF($E129:$E132,$A$3))</f>
        <v/>
      </c>
      <c r="BT132" s="92" t="n">
        <f aca="false">IF($F132="","",COUNTIF($F129:$F132,BP$21)+COUNTIF($F129:$F132,$A$3))</f>
        <v>0</v>
      </c>
    </row>
    <row r="133" customFormat="false" ht="15" hidden="false" customHeight="false" outlineLevel="0" collapsed="false">
      <c r="A133" s="13" t="n">
        <v>111</v>
      </c>
      <c r="B133" s="116" t="str">
        <f aca="false">IF('Game Info'!Q116="","",'Game Info'!Q116)</f>
        <v/>
      </c>
      <c r="C133" s="116" t="str">
        <f aca="false">IF('Game Info'!R116="","",'Game Info'!R116)</f>
        <v/>
      </c>
      <c r="D133" s="116" t="str">
        <f aca="false">IF('Game Info'!S116="","",'Game Info'!S116)</f>
        <v/>
      </c>
      <c r="E133" s="116" t="str">
        <f aca="false">IF('Game Info'!T116="","",'Game Info'!T116)</f>
        <v/>
      </c>
      <c r="F133" s="117" t="str">
        <f aca="false">IF('Game Info'!U116="","",'Game Info'!U116)</f>
        <v>Q</v>
      </c>
      <c r="H133" s="91" t="str">
        <f aca="false">IF($B133="","",COUNTIF($B130:$B133,H$21)+COUNTIF($B130:$B133,$A$3))</f>
        <v/>
      </c>
      <c r="I133" s="73" t="str">
        <f aca="false">IF($C133="","",COUNTIF($C130:$C133,H$21)+COUNTIF($C130:$C133,$A$3))</f>
        <v/>
      </c>
      <c r="J133" s="73" t="str">
        <f aca="false">IF($D133="","",COUNTIF($D130:$D133,H$21)+COUNTIF($D130:$D133,$A$3))</f>
        <v/>
      </c>
      <c r="K133" s="73" t="str">
        <f aca="false">IF($E133="","",COUNTIF($E130:$E133,H$21)+COUNTIF($E130:$E133,$A$3))</f>
        <v/>
      </c>
      <c r="L133" s="92" t="n">
        <f aca="false">IF($F133="","",COUNTIF($F130:$F133,H$21)+COUNTIF($F130:$F133,$A$3))</f>
        <v>0</v>
      </c>
      <c r="N133" s="91" t="str">
        <f aca="false">IF($B133="","",COUNTIF($B130:$B133,N$21)+COUNTIF($B130:$B133,$A$3))</f>
        <v/>
      </c>
      <c r="O133" s="73" t="str">
        <f aca="false">IF($C133="","",COUNTIF($C130:$C133,N$21)+COUNTIF($C130:$C133,$A$3))</f>
        <v/>
      </c>
      <c r="P133" s="73" t="str">
        <f aca="false">IF($D133="","",COUNTIF($D130:$D133,N$21)+COUNTIF($D130:$D133,$A$3))</f>
        <v/>
      </c>
      <c r="Q133" s="73" t="str">
        <f aca="false">IF($E133="","",COUNTIF($E130:$E133,N$21)+COUNTIF($E130:$E133,$A$3))</f>
        <v/>
      </c>
      <c r="R133" s="92" t="n">
        <f aca="false">IF($F133="","",COUNTIF($F130:$F133,N$21)+COUNTIF($F130:$F133,$A$3))</f>
        <v>1</v>
      </c>
      <c r="T133" s="91" t="str">
        <f aca="false">IF($B133="","",COUNTIF($B130:$B133,T$21)+COUNTIF($B130:$B133,$A$3))</f>
        <v/>
      </c>
      <c r="U133" s="73" t="str">
        <f aca="false">IF($C133="","",COUNTIF($C130:$C133,T$21)+COUNTIF($C130:$C133,$A$3))</f>
        <v/>
      </c>
      <c r="V133" s="73" t="str">
        <f aca="false">IF($D133="","",COUNTIF($D130:$D133,T$21)+COUNTIF($D130:$D133,$A$3))</f>
        <v/>
      </c>
      <c r="W133" s="73" t="str">
        <f aca="false">IF($E133="","",COUNTIF($E130:$E133,T$21)+COUNTIF($E130:$E133,$A$3))</f>
        <v/>
      </c>
      <c r="X133" s="92" t="n">
        <f aca="false">IF($F133="","",COUNTIF($F130:$F133,T$21)+COUNTIF($F130:$F133,$A$3))</f>
        <v>1</v>
      </c>
      <c r="Z133" s="91" t="str">
        <f aca="false">IF($B133="","",COUNTIF($B130:$B133,Z$21)+COUNTIF($B130:$B133,$A$3))</f>
        <v/>
      </c>
      <c r="AA133" s="73" t="str">
        <f aca="false">IF($C133="","",COUNTIF($C130:$C133,Z$21)+COUNTIF($C130:$C133,$A$3))</f>
        <v/>
      </c>
      <c r="AB133" s="73" t="str">
        <f aca="false">IF($D133="","",COUNTIF($D130:$D133,Z$21)+COUNTIF($D130:$D133,$A$3))</f>
        <v/>
      </c>
      <c r="AC133" s="73" t="str">
        <f aca="false">IF($E133="","",COUNTIF($E130:$E133,Z$21)+COUNTIF($E130:$E133,$A$3))</f>
        <v/>
      </c>
      <c r="AD133" s="92" t="n">
        <f aca="false">IF($F133="","",COUNTIF($F130:$F133,Z$21)+COUNTIF($F130:$F133,$A$3))</f>
        <v>0</v>
      </c>
      <c r="AF133" s="91" t="str">
        <f aca="false">IF($B133="","",COUNTIF($B130:$B133,AF$21)+COUNTIF($B130:$B133,$A$3))</f>
        <v/>
      </c>
      <c r="AG133" s="73" t="str">
        <f aca="false">IF($C133="","",COUNTIF($C130:$C133,AF$21)+COUNTIF($C130:$C133,$A$3))</f>
        <v/>
      </c>
      <c r="AH133" s="73" t="str">
        <f aca="false">IF($D133="","",COUNTIF($D130:$D133,AF$21)+COUNTIF($D130:$D133,$A$3))</f>
        <v/>
      </c>
      <c r="AI133" s="73" t="str">
        <f aca="false">IF($E133="","",COUNTIF($E130:$E133,AF$21)+COUNTIF($E130:$E133,$A$3))</f>
        <v/>
      </c>
      <c r="AJ133" s="92" t="n">
        <f aca="false">IF($F133="","",COUNTIF($F130:$F133,AF$21)+COUNTIF($F130:$F133,$A$3))</f>
        <v>0</v>
      </c>
      <c r="AL133" s="91" t="str">
        <f aca="false">IF($B133="","",COUNTIF($B130:$B133,AL$21)+COUNTIF($B130:$B133,$A$3))</f>
        <v/>
      </c>
      <c r="AM133" s="73" t="str">
        <f aca="false">IF($C133="","",COUNTIF($C130:$C133,AL$21)+COUNTIF($C130:$C133,$A$3))</f>
        <v/>
      </c>
      <c r="AN133" s="73" t="str">
        <f aca="false">IF($D133="","",COUNTIF($D130:$D133,AL$21)+COUNTIF($D130:$D133,$A$3))</f>
        <v/>
      </c>
      <c r="AO133" s="73" t="str">
        <f aca="false">IF($E133="","",COUNTIF($E130:$E133,AL$21)+COUNTIF($E130:$E133,$A$3))</f>
        <v/>
      </c>
      <c r="AP133" s="92" t="n">
        <f aca="false">IF($F133="","",COUNTIF($F130:$F133,AL$21)+COUNTIF($F130:$F133,$A$3))</f>
        <v>0</v>
      </c>
      <c r="AR133" s="91" t="str">
        <f aca="false">IF($B133="","",COUNTIF($B130:$B133,AR$21)+COUNTIF($B130:$B133,$A$3))</f>
        <v/>
      </c>
      <c r="AS133" s="73" t="str">
        <f aca="false">IF($C133="","",COUNTIF($C130:$C133,AR$21)+COUNTIF($C130:$C133,$A$3))</f>
        <v/>
      </c>
      <c r="AT133" s="73" t="str">
        <f aca="false">IF($D133="","",COUNTIF($D130:$D133,AR$21)+COUNTIF($D130:$D133,$A$3))</f>
        <v/>
      </c>
      <c r="AU133" s="73" t="str">
        <f aca="false">IF($E133="","",COUNTIF($E130:$E133,AR$21)+COUNTIF($E130:$E133,$A$3))</f>
        <v/>
      </c>
      <c r="AV133" s="92" t="n">
        <f aca="false">IF($F133="","",COUNTIF($F130:$F133,AR$21)+COUNTIF($F130:$F133,$A$3))</f>
        <v>0</v>
      </c>
      <c r="AX133" s="91" t="str">
        <f aca="false">IF($B133="","",COUNTIF($B130:$B133,AX$21)+COUNTIF($B130:$B133,$A$3))</f>
        <v/>
      </c>
      <c r="AY133" s="73" t="str">
        <f aca="false">IF($C133="","",COUNTIF($C130:$C133,AX$21)+COUNTIF($C130:$C133,$A$3))</f>
        <v/>
      </c>
      <c r="AZ133" s="73" t="str">
        <f aca="false">IF($D133="","",COUNTIF($D130:$D133,AX$21)+COUNTIF($D130:$D133,$A$3))</f>
        <v/>
      </c>
      <c r="BA133" s="73" t="str">
        <f aca="false">IF($E133="","",COUNTIF($E130:$E133,AX$21)+COUNTIF($E130:$E133,$A$3))</f>
        <v/>
      </c>
      <c r="BB133" s="92" t="n">
        <f aca="false">IF($F133="","",COUNTIF($F130:$F133,AX$21)+COUNTIF($F130:$F133,$A$3))</f>
        <v>1</v>
      </c>
      <c r="BD133" s="91" t="str">
        <f aca="false">IF($B133="","",COUNTIF($B130:$B133,BD$21)+COUNTIF($B130:$B133,$A$3))</f>
        <v/>
      </c>
      <c r="BE133" s="73" t="str">
        <f aca="false">IF($C133="","",COUNTIF($C130:$C133,BD$21)+COUNTIF($C130:$C133,$A$3))</f>
        <v/>
      </c>
      <c r="BF133" s="73" t="str">
        <f aca="false">IF($D133="","",COUNTIF($D130:$D133,BD$21)+COUNTIF($D130:$D133,$A$3))</f>
        <v/>
      </c>
      <c r="BG133" s="73" t="str">
        <f aca="false">IF($E133="","",COUNTIF($E130:$E133,BD$21)+COUNTIF($E130:$E133,$A$3))</f>
        <v/>
      </c>
      <c r="BH133" s="92" t="n">
        <f aca="false">IF($F133="","",COUNTIF($F130:$F133,BD$21)+COUNTIF($F130:$F133,$A$3))</f>
        <v>0</v>
      </c>
      <c r="BJ133" s="91" t="str">
        <f aca="false">IF($B133="","",COUNTIF($B130:$B133,BJ$21)+COUNTIF($B130:$B133,$A$3))</f>
        <v/>
      </c>
      <c r="BK133" s="73" t="str">
        <f aca="false">IF($C133="","",COUNTIF($C130:$C133,BJ$21)+COUNTIF($C130:$C133,$A$3))</f>
        <v/>
      </c>
      <c r="BL133" s="73" t="str">
        <f aca="false">IF($D133="","",COUNTIF($D130:$D133,BJ$21)+COUNTIF($D130:$D133,$A$3))</f>
        <v/>
      </c>
      <c r="BM133" s="73" t="str">
        <f aca="false">IF($E133="","",COUNTIF($E130:$E133,BJ$21)+COUNTIF($E130:$E133,$A$3))</f>
        <v/>
      </c>
      <c r="BN133" s="92" t="n">
        <f aca="false">IF($F133="","",COUNTIF($F130:$F133,BJ$21)+COUNTIF($F130:$F133,$A$3))</f>
        <v>1</v>
      </c>
      <c r="BP133" s="91" t="str">
        <f aca="false">IF($B133="","",COUNTIF($B130:$B133,BP$21)+COUNTIF($B130:$B133,$A$3))</f>
        <v/>
      </c>
      <c r="BQ133" s="73" t="str">
        <f aca="false">IF($C133="","",COUNTIF($C130:$C133,BP$21)+COUNTIF($C130:$C133,$A$3))</f>
        <v/>
      </c>
      <c r="BR133" s="73" t="str">
        <f aca="false">IF($D133="","",COUNTIF($D130:$D133,BP$21)+COUNTIF($D130:$D133,$A$3))</f>
        <v/>
      </c>
      <c r="BS133" s="73" t="str">
        <f aca="false">IF($E133="","",COUNTIF($E130:$E133,BP$21)+COUNTIF($E130:$E133,$A$3))</f>
        <v/>
      </c>
      <c r="BT133" s="92" t="n">
        <f aca="false">IF($F133="","",COUNTIF($F130:$F133,BP$21)+COUNTIF($F130:$F133,$A$3))</f>
        <v>0</v>
      </c>
    </row>
    <row r="134" customFormat="false" ht="15" hidden="false" customHeight="false" outlineLevel="0" collapsed="false">
      <c r="A134" s="13" t="n">
        <v>112</v>
      </c>
      <c r="B134" s="116" t="str">
        <f aca="false">IF('Game Info'!Q117="","",'Game Info'!Q117)</f>
        <v/>
      </c>
      <c r="C134" s="116" t="str">
        <f aca="false">IF('Game Info'!R117="","",'Game Info'!R117)</f>
        <v/>
      </c>
      <c r="D134" s="116" t="str">
        <f aca="false">IF('Game Info'!S117="","",'Game Info'!S117)</f>
        <v/>
      </c>
      <c r="E134" s="116" t="str">
        <f aca="false">IF('Game Info'!T117="","",'Game Info'!T117)</f>
        <v/>
      </c>
      <c r="F134" s="117" t="str">
        <f aca="false">IF('Game Info'!U117="","",'Game Info'!U117)</f>
        <v>SYM4</v>
      </c>
      <c r="H134" s="91" t="str">
        <f aca="false">IF($B134="","",COUNTIF($B131:$B134,H$21)+COUNTIF($B131:$B134,$A$3))</f>
        <v/>
      </c>
      <c r="I134" s="73" t="str">
        <f aca="false">IF($C134="","",COUNTIF($C131:$C134,H$21)+COUNTIF($C131:$C134,$A$3))</f>
        <v/>
      </c>
      <c r="J134" s="73" t="str">
        <f aca="false">IF($D134="","",COUNTIF($D131:$D134,H$21)+COUNTIF($D131:$D134,$A$3))</f>
        <v/>
      </c>
      <c r="K134" s="73" t="str">
        <f aca="false">IF($E134="","",COUNTIF($E131:$E134,H$21)+COUNTIF($E131:$E134,$A$3))</f>
        <v/>
      </c>
      <c r="L134" s="92" t="n">
        <f aca="false">IF($F134="","",COUNTIF($F131:$F134,H$21)+COUNTIF($F131:$F134,$A$3))</f>
        <v>0</v>
      </c>
      <c r="N134" s="91" t="str">
        <f aca="false">IF($B134="","",COUNTIF($B131:$B134,N$21)+COUNTIF($B131:$B134,$A$3))</f>
        <v/>
      </c>
      <c r="O134" s="73" t="str">
        <f aca="false">IF($C134="","",COUNTIF($C131:$C134,N$21)+COUNTIF($C131:$C134,$A$3))</f>
        <v/>
      </c>
      <c r="P134" s="73" t="str">
        <f aca="false">IF($D134="","",COUNTIF($D131:$D134,N$21)+COUNTIF($D131:$D134,$A$3))</f>
        <v/>
      </c>
      <c r="Q134" s="73" t="str">
        <f aca="false">IF($E134="","",COUNTIF($E131:$E134,N$21)+COUNTIF($E131:$E134,$A$3))</f>
        <v/>
      </c>
      <c r="R134" s="92" t="n">
        <f aca="false">IF($F134="","",COUNTIF($F131:$F134,N$21)+COUNTIF($F131:$F134,$A$3))</f>
        <v>1</v>
      </c>
      <c r="T134" s="91" t="str">
        <f aca="false">IF($B134="","",COUNTIF($B131:$B134,T$21)+COUNTIF($B131:$B134,$A$3))</f>
        <v/>
      </c>
      <c r="U134" s="73" t="str">
        <f aca="false">IF($C134="","",COUNTIF($C131:$C134,T$21)+COUNTIF($C131:$C134,$A$3))</f>
        <v/>
      </c>
      <c r="V134" s="73" t="str">
        <f aca="false">IF($D134="","",COUNTIF($D131:$D134,T$21)+COUNTIF($D131:$D134,$A$3))</f>
        <v/>
      </c>
      <c r="W134" s="73" t="str">
        <f aca="false">IF($E134="","",COUNTIF($E131:$E134,T$21)+COUNTIF($E131:$E134,$A$3))</f>
        <v/>
      </c>
      <c r="X134" s="92" t="n">
        <f aca="false">IF($F134="","",COUNTIF($F131:$F134,T$21)+COUNTIF($F131:$F134,$A$3))</f>
        <v>0</v>
      </c>
      <c r="Z134" s="91" t="str">
        <f aca="false">IF($B134="","",COUNTIF($B131:$B134,Z$21)+COUNTIF($B131:$B134,$A$3))</f>
        <v/>
      </c>
      <c r="AA134" s="73" t="str">
        <f aca="false">IF($C134="","",COUNTIF($C131:$C134,Z$21)+COUNTIF($C131:$C134,$A$3))</f>
        <v/>
      </c>
      <c r="AB134" s="73" t="str">
        <f aca="false">IF($D134="","",COUNTIF($D131:$D134,Z$21)+COUNTIF($D131:$D134,$A$3))</f>
        <v/>
      </c>
      <c r="AC134" s="73" t="str">
        <f aca="false">IF($E134="","",COUNTIF($E131:$E134,Z$21)+COUNTIF($E131:$E134,$A$3))</f>
        <v/>
      </c>
      <c r="AD134" s="92" t="n">
        <f aca="false">IF($F134="","",COUNTIF($F131:$F134,Z$21)+COUNTIF($F131:$F134,$A$3))</f>
        <v>1</v>
      </c>
      <c r="AF134" s="91" t="str">
        <f aca="false">IF($B134="","",COUNTIF($B131:$B134,AF$21)+COUNTIF($B131:$B134,$A$3))</f>
        <v/>
      </c>
      <c r="AG134" s="73" t="str">
        <f aca="false">IF($C134="","",COUNTIF($C131:$C134,AF$21)+COUNTIF($C131:$C134,$A$3))</f>
        <v/>
      </c>
      <c r="AH134" s="73" t="str">
        <f aca="false">IF($D134="","",COUNTIF($D131:$D134,AF$21)+COUNTIF($D131:$D134,$A$3))</f>
        <v/>
      </c>
      <c r="AI134" s="73" t="str">
        <f aca="false">IF($E134="","",COUNTIF($E131:$E134,AF$21)+COUNTIF($E131:$E134,$A$3))</f>
        <v/>
      </c>
      <c r="AJ134" s="92" t="n">
        <f aca="false">IF($F134="","",COUNTIF($F131:$F134,AF$21)+COUNTIF($F131:$F134,$A$3))</f>
        <v>0</v>
      </c>
      <c r="AL134" s="91" t="str">
        <f aca="false">IF($B134="","",COUNTIF($B131:$B134,AL$21)+COUNTIF($B131:$B134,$A$3))</f>
        <v/>
      </c>
      <c r="AM134" s="73" t="str">
        <f aca="false">IF($C134="","",COUNTIF($C131:$C134,AL$21)+COUNTIF($C131:$C134,$A$3))</f>
        <v/>
      </c>
      <c r="AN134" s="73" t="str">
        <f aca="false">IF($D134="","",COUNTIF($D131:$D134,AL$21)+COUNTIF($D131:$D134,$A$3))</f>
        <v/>
      </c>
      <c r="AO134" s="73" t="str">
        <f aca="false">IF($E134="","",COUNTIF($E131:$E134,AL$21)+COUNTIF($E131:$E134,$A$3))</f>
        <v/>
      </c>
      <c r="AP134" s="92" t="n">
        <f aca="false">IF($F134="","",COUNTIF($F131:$F134,AL$21)+COUNTIF($F131:$F134,$A$3))</f>
        <v>0</v>
      </c>
      <c r="AR134" s="91" t="str">
        <f aca="false">IF($B134="","",COUNTIF($B131:$B134,AR$21)+COUNTIF($B131:$B134,$A$3))</f>
        <v/>
      </c>
      <c r="AS134" s="73" t="str">
        <f aca="false">IF($C134="","",COUNTIF($C131:$C134,AR$21)+COUNTIF($C131:$C134,$A$3))</f>
        <v/>
      </c>
      <c r="AT134" s="73" t="str">
        <f aca="false">IF($D134="","",COUNTIF($D131:$D134,AR$21)+COUNTIF($D131:$D134,$A$3))</f>
        <v/>
      </c>
      <c r="AU134" s="73" t="str">
        <f aca="false">IF($E134="","",COUNTIF($E131:$E134,AR$21)+COUNTIF($E131:$E134,$A$3))</f>
        <v/>
      </c>
      <c r="AV134" s="92" t="n">
        <f aca="false">IF($F134="","",COUNTIF($F131:$F134,AR$21)+COUNTIF($F131:$F134,$A$3))</f>
        <v>0</v>
      </c>
      <c r="AX134" s="91" t="str">
        <f aca="false">IF($B134="","",COUNTIF($B131:$B134,AX$21)+COUNTIF($B131:$B134,$A$3))</f>
        <v/>
      </c>
      <c r="AY134" s="73" t="str">
        <f aca="false">IF($C134="","",COUNTIF($C131:$C134,AX$21)+COUNTIF($C131:$C134,$A$3))</f>
        <v/>
      </c>
      <c r="AZ134" s="73" t="str">
        <f aca="false">IF($D134="","",COUNTIF($D131:$D134,AX$21)+COUNTIF($D131:$D134,$A$3))</f>
        <v/>
      </c>
      <c r="BA134" s="73" t="str">
        <f aca="false">IF($E134="","",COUNTIF($E131:$E134,AX$21)+COUNTIF($E131:$E134,$A$3))</f>
        <v/>
      </c>
      <c r="BB134" s="92" t="n">
        <f aca="false">IF($F134="","",COUNTIF($F131:$F134,AX$21)+COUNTIF($F131:$F134,$A$3))</f>
        <v>1</v>
      </c>
      <c r="BD134" s="91" t="str">
        <f aca="false">IF($B134="","",COUNTIF($B131:$B134,BD$21)+COUNTIF($B131:$B134,$A$3))</f>
        <v/>
      </c>
      <c r="BE134" s="73" t="str">
        <f aca="false">IF($C134="","",COUNTIF($C131:$C134,BD$21)+COUNTIF($C131:$C134,$A$3))</f>
        <v/>
      </c>
      <c r="BF134" s="73" t="str">
        <f aca="false">IF($D134="","",COUNTIF($D131:$D134,BD$21)+COUNTIF($D131:$D134,$A$3))</f>
        <v/>
      </c>
      <c r="BG134" s="73" t="str">
        <f aca="false">IF($E134="","",COUNTIF($E131:$E134,BD$21)+COUNTIF($E131:$E134,$A$3))</f>
        <v/>
      </c>
      <c r="BH134" s="92" t="n">
        <f aca="false">IF($F134="","",COUNTIF($F131:$F134,BD$21)+COUNTIF($F131:$F134,$A$3))</f>
        <v>0</v>
      </c>
      <c r="BJ134" s="91" t="str">
        <f aca="false">IF($B134="","",COUNTIF($B131:$B134,BJ$21)+COUNTIF($B131:$B134,$A$3))</f>
        <v/>
      </c>
      <c r="BK134" s="73" t="str">
        <f aca="false">IF($C134="","",COUNTIF($C131:$C134,BJ$21)+COUNTIF($C131:$C134,$A$3))</f>
        <v/>
      </c>
      <c r="BL134" s="73" t="str">
        <f aca="false">IF($D134="","",COUNTIF($D131:$D134,BJ$21)+COUNTIF($D131:$D134,$A$3))</f>
        <v/>
      </c>
      <c r="BM134" s="73" t="str">
        <f aca="false">IF($E134="","",COUNTIF($E131:$E134,BJ$21)+COUNTIF($E131:$E134,$A$3))</f>
        <v/>
      </c>
      <c r="BN134" s="92" t="n">
        <f aca="false">IF($F134="","",COUNTIF($F131:$F134,BJ$21)+COUNTIF($F131:$F134,$A$3))</f>
        <v>1</v>
      </c>
      <c r="BP134" s="91" t="str">
        <f aca="false">IF($B134="","",COUNTIF($B131:$B134,BP$21)+COUNTIF($B131:$B134,$A$3))</f>
        <v/>
      </c>
      <c r="BQ134" s="73" t="str">
        <f aca="false">IF($C134="","",COUNTIF($C131:$C134,BP$21)+COUNTIF($C131:$C134,$A$3))</f>
        <v/>
      </c>
      <c r="BR134" s="73" t="str">
        <f aca="false">IF($D134="","",COUNTIF($D131:$D134,BP$21)+COUNTIF($D131:$D134,$A$3))</f>
        <v/>
      </c>
      <c r="BS134" s="73" t="str">
        <f aca="false">IF($E134="","",COUNTIF($E131:$E134,BP$21)+COUNTIF($E131:$E134,$A$3))</f>
        <v/>
      </c>
      <c r="BT134" s="92" t="n">
        <f aca="false">IF($F134="","",COUNTIF($F131:$F134,BP$21)+COUNTIF($F131:$F134,$A$3))</f>
        <v>0</v>
      </c>
    </row>
    <row r="135" customFormat="false" ht="15" hidden="false" customHeight="false" outlineLevel="0" collapsed="false">
      <c r="A135" s="13" t="n">
        <v>113</v>
      </c>
      <c r="B135" s="116" t="str">
        <f aca="false">IF('Game Info'!Q118="","",'Game Info'!Q118)</f>
        <v/>
      </c>
      <c r="C135" s="116" t="str">
        <f aca="false">IF('Game Info'!R118="","",'Game Info'!R118)</f>
        <v/>
      </c>
      <c r="D135" s="116" t="str">
        <f aca="false">IF('Game Info'!S118="","",'Game Info'!S118)</f>
        <v/>
      </c>
      <c r="E135" s="116" t="str">
        <f aca="false">IF('Game Info'!T118="","",'Game Info'!T118)</f>
        <v/>
      </c>
      <c r="F135" s="117" t="str">
        <f aca="false">IF('Game Info'!U118="","",'Game Info'!U118)</f>
        <v>J</v>
      </c>
      <c r="H135" s="91" t="str">
        <f aca="false">IF($B135="","",COUNTIF($B132:$B135,H$21)+COUNTIF($B132:$B135,$A$3))</f>
        <v/>
      </c>
      <c r="I135" s="73" t="str">
        <f aca="false">IF($C135="","",COUNTIF($C132:$C135,H$21)+COUNTIF($C132:$C135,$A$3))</f>
        <v/>
      </c>
      <c r="J135" s="73" t="str">
        <f aca="false">IF($D135="","",COUNTIF($D132:$D135,H$21)+COUNTIF($D132:$D135,$A$3))</f>
        <v/>
      </c>
      <c r="K135" s="73" t="str">
        <f aca="false">IF($E135="","",COUNTIF($E132:$E135,H$21)+COUNTIF($E132:$E135,$A$3))</f>
        <v/>
      </c>
      <c r="L135" s="92" t="n">
        <f aca="false">IF($F135="","",COUNTIF($F132:$F135,H$21)+COUNTIF($F132:$F135,$A$3))</f>
        <v>0</v>
      </c>
      <c r="N135" s="91" t="str">
        <f aca="false">IF($B135="","",COUNTIF($B132:$B135,N$21)+COUNTIF($B132:$B135,$A$3))</f>
        <v/>
      </c>
      <c r="O135" s="73" t="str">
        <f aca="false">IF($C135="","",COUNTIF($C132:$C135,N$21)+COUNTIF($C132:$C135,$A$3))</f>
        <v/>
      </c>
      <c r="P135" s="73" t="str">
        <f aca="false">IF($D135="","",COUNTIF($D132:$D135,N$21)+COUNTIF($D132:$D135,$A$3))</f>
        <v/>
      </c>
      <c r="Q135" s="73" t="str">
        <f aca="false">IF($E135="","",COUNTIF($E132:$E135,N$21)+COUNTIF($E132:$E135,$A$3))</f>
        <v/>
      </c>
      <c r="R135" s="92" t="n">
        <f aca="false">IF($F135="","",COUNTIF($F132:$F135,N$21)+COUNTIF($F132:$F135,$A$3))</f>
        <v>1</v>
      </c>
      <c r="T135" s="91" t="str">
        <f aca="false">IF($B135="","",COUNTIF($B132:$B135,T$21)+COUNTIF($B132:$B135,$A$3))</f>
        <v/>
      </c>
      <c r="U135" s="73" t="str">
        <f aca="false">IF($C135="","",COUNTIF($C132:$C135,T$21)+COUNTIF($C132:$C135,$A$3))</f>
        <v/>
      </c>
      <c r="V135" s="73" t="str">
        <f aca="false">IF($D135="","",COUNTIF($D132:$D135,T$21)+COUNTIF($D132:$D135,$A$3))</f>
        <v/>
      </c>
      <c r="W135" s="73" t="str">
        <f aca="false">IF($E135="","",COUNTIF($E132:$E135,T$21)+COUNTIF($E132:$E135,$A$3))</f>
        <v/>
      </c>
      <c r="X135" s="92" t="n">
        <f aca="false">IF($F135="","",COUNTIF($F132:$F135,T$21)+COUNTIF($F132:$F135,$A$3))</f>
        <v>0</v>
      </c>
      <c r="Z135" s="91" t="str">
        <f aca="false">IF($B135="","",COUNTIF($B132:$B135,Z$21)+COUNTIF($B132:$B135,$A$3))</f>
        <v/>
      </c>
      <c r="AA135" s="73" t="str">
        <f aca="false">IF($C135="","",COUNTIF($C132:$C135,Z$21)+COUNTIF($C132:$C135,$A$3))</f>
        <v/>
      </c>
      <c r="AB135" s="73" t="str">
        <f aca="false">IF($D135="","",COUNTIF($D132:$D135,Z$21)+COUNTIF($D132:$D135,$A$3))</f>
        <v/>
      </c>
      <c r="AC135" s="73" t="str">
        <f aca="false">IF($E135="","",COUNTIF($E132:$E135,Z$21)+COUNTIF($E132:$E135,$A$3))</f>
        <v/>
      </c>
      <c r="AD135" s="92" t="n">
        <f aca="false">IF($F135="","",COUNTIF($F132:$F135,Z$21)+COUNTIF($F132:$F135,$A$3))</f>
        <v>1</v>
      </c>
      <c r="AF135" s="91" t="str">
        <f aca="false">IF($B135="","",COUNTIF($B132:$B135,AF$21)+COUNTIF($B132:$B135,$A$3))</f>
        <v/>
      </c>
      <c r="AG135" s="73" t="str">
        <f aca="false">IF($C135="","",COUNTIF($C132:$C135,AF$21)+COUNTIF($C132:$C135,$A$3))</f>
        <v/>
      </c>
      <c r="AH135" s="73" t="str">
        <f aca="false">IF($D135="","",COUNTIF($D132:$D135,AF$21)+COUNTIF($D132:$D135,$A$3))</f>
        <v/>
      </c>
      <c r="AI135" s="73" t="str">
        <f aca="false">IF($E135="","",COUNTIF($E132:$E135,AF$21)+COUNTIF($E132:$E135,$A$3))</f>
        <v/>
      </c>
      <c r="AJ135" s="92" t="n">
        <f aca="false">IF($F135="","",COUNTIF($F132:$F135,AF$21)+COUNTIF($F132:$F135,$A$3))</f>
        <v>0</v>
      </c>
      <c r="AL135" s="91" t="str">
        <f aca="false">IF($B135="","",COUNTIF($B132:$B135,AL$21)+COUNTIF($B132:$B135,$A$3))</f>
        <v/>
      </c>
      <c r="AM135" s="73" t="str">
        <f aca="false">IF($C135="","",COUNTIF($C132:$C135,AL$21)+COUNTIF($C132:$C135,$A$3))</f>
        <v/>
      </c>
      <c r="AN135" s="73" t="str">
        <f aca="false">IF($D135="","",COUNTIF($D132:$D135,AL$21)+COUNTIF($D132:$D135,$A$3))</f>
        <v/>
      </c>
      <c r="AO135" s="73" t="str">
        <f aca="false">IF($E135="","",COUNTIF($E132:$E135,AL$21)+COUNTIF($E132:$E135,$A$3))</f>
        <v/>
      </c>
      <c r="AP135" s="92" t="n">
        <f aca="false">IF($F135="","",COUNTIF($F132:$F135,AL$21)+COUNTIF($F132:$F135,$A$3))</f>
        <v>0</v>
      </c>
      <c r="AR135" s="91" t="str">
        <f aca="false">IF($B135="","",COUNTIF($B132:$B135,AR$21)+COUNTIF($B132:$B135,$A$3))</f>
        <v/>
      </c>
      <c r="AS135" s="73" t="str">
        <f aca="false">IF($C135="","",COUNTIF($C132:$C135,AR$21)+COUNTIF($C132:$C135,$A$3))</f>
        <v/>
      </c>
      <c r="AT135" s="73" t="str">
        <f aca="false">IF($D135="","",COUNTIF($D132:$D135,AR$21)+COUNTIF($D132:$D135,$A$3))</f>
        <v/>
      </c>
      <c r="AU135" s="73" t="str">
        <f aca="false">IF($E135="","",COUNTIF($E132:$E135,AR$21)+COUNTIF($E132:$E135,$A$3))</f>
        <v/>
      </c>
      <c r="AV135" s="92" t="n">
        <f aca="false">IF($F135="","",COUNTIF($F132:$F135,AR$21)+COUNTIF($F132:$F135,$A$3))</f>
        <v>0</v>
      </c>
      <c r="AX135" s="91" t="str">
        <f aca="false">IF($B135="","",COUNTIF($B132:$B135,AX$21)+COUNTIF($B132:$B135,$A$3))</f>
        <v/>
      </c>
      <c r="AY135" s="73" t="str">
        <f aca="false">IF($C135="","",COUNTIF($C132:$C135,AX$21)+COUNTIF($C132:$C135,$A$3))</f>
        <v/>
      </c>
      <c r="AZ135" s="73" t="str">
        <f aca="false">IF($D135="","",COUNTIF($D132:$D135,AX$21)+COUNTIF($D132:$D135,$A$3))</f>
        <v/>
      </c>
      <c r="BA135" s="73" t="str">
        <f aca="false">IF($E135="","",COUNTIF($E132:$E135,AX$21)+COUNTIF($E132:$E135,$A$3))</f>
        <v/>
      </c>
      <c r="BB135" s="92" t="n">
        <f aca="false">IF($F135="","",COUNTIF($F132:$F135,AX$21)+COUNTIF($F132:$F135,$A$3))</f>
        <v>1</v>
      </c>
      <c r="BD135" s="91" t="str">
        <f aca="false">IF($B135="","",COUNTIF($B132:$B135,BD$21)+COUNTIF($B132:$B135,$A$3))</f>
        <v/>
      </c>
      <c r="BE135" s="73" t="str">
        <f aca="false">IF($C135="","",COUNTIF($C132:$C135,BD$21)+COUNTIF($C132:$C135,$A$3))</f>
        <v/>
      </c>
      <c r="BF135" s="73" t="str">
        <f aca="false">IF($D135="","",COUNTIF($D132:$D135,BD$21)+COUNTIF($D132:$D135,$A$3))</f>
        <v/>
      </c>
      <c r="BG135" s="73" t="str">
        <f aca="false">IF($E135="","",COUNTIF($E132:$E135,BD$21)+COUNTIF($E132:$E135,$A$3))</f>
        <v/>
      </c>
      <c r="BH135" s="92" t="n">
        <f aca="false">IF($F135="","",COUNTIF($F132:$F135,BD$21)+COUNTIF($F132:$F135,$A$3))</f>
        <v>1</v>
      </c>
      <c r="BJ135" s="91" t="str">
        <f aca="false">IF($B135="","",COUNTIF($B132:$B135,BJ$21)+COUNTIF($B132:$B135,$A$3))</f>
        <v/>
      </c>
      <c r="BK135" s="73" t="str">
        <f aca="false">IF($C135="","",COUNTIF($C132:$C135,BJ$21)+COUNTIF($C132:$C135,$A$3))</f>
        <v/>
      </c>
      <c r="BL135" s="73" t="str">
        <f aca="false">IF($D135="","",COUNTIF($D132:$D135,BJ$21)+COUNTIF($D132:$D135,$A$3))</f>
        <v/>
      </c>
      <c r="BM135" s="73" t="str">
        <f aca="false">IF($E135="","",COUNTIF($E132:$E135,BJ$21)+COUNTIF($E132:$E135,$A$3))</f>
        <v/>
      </c>
      <c r="BN135" s="92" t="n">
        <f aca="false">IF($F135="","",COUNTIF($F132:$F135,BJ$21)+COUNTIF($F132:$F135,$A$3))</f>
        <v>0</v>
      </c>
      <c r="BP135" s="91" t="str">
        <f aca="false">IF($B135="","",COUNTIF($B132:$B135,BP$21)+COUNTIF($B132:$B135,$A$3))</f>
        <v/>
      </c>
      <c r="BQ135" s="73" t="str">
        <f aca="false">IF($C135="","",COUNTIF($C132:$C135,BP$21)+COUNTIF($C132:$C135,$A$3))</f>
        <v/>
      </c>
      <c r="BR135" s="73" t="str">
        <f aca="false">IF($D135="","",COUNTIF($D132:$D135,BP$21)+COUNTIF($D132:$D135,$A$3))</f>
        <v/>
      </c>
      <c r="BS135" s="73" t="str">
        <f aca="false">IF($E135="","",COUNTIF($E132:$E135,BP$21)+COUNTIF($E132:$E135,$A$3))</f>
        <v/>
      </c>
      <c r="BT135" s="92" t="n">
        <f aca="false">IF($F135="","",COUNTIF($F132:$F135,BP$21)+COUNTIF($F132:$F135,$A$3))</f>
        <v>0</v>
      </c>
    </row>
    <row r="136" customFormat="false" ht="15" hidden="false" customHeight="false" outlineLevel="0" collapsed="false">
      <c r="A136" s="13" t="n">
        <v>114</v>
      </c>
      <c r="B136" s="116" t="str">
        <f aca="false">IF('Game Info'!Q119="","",'Game Info'!Q119)</f>
        <v/>
      </c>
      <c r="C136" s="116" t="str">
        <f aca="false">IF('Game Info'!R119="","",'Game Info'!R119)</f>
        <v/>
      </c>
      <c r="D136" s="116" t="str">
        <f aca="false">IF('Game Info'!S119="","",'Game Info'!S119)</f>
        <v/>
      </c>
      <c r="E136" s="116" t="str">
        <f aca="false">IF('Game Info'!T119="","",'Game Info'!T119)</f>
        <v/>
      </c>
      <c r="F136" s="117" t="str">
        <f aca="false">IF('Game Info'!U119="","",'Game Info'!U119)</f>
        <v/>
      </c>
      <c r="H136" s="91" t="str">
        <f aca="false">IF($B136="","",COUNTIF($B133:$B136,H$21)+COUNTIF($B133:$B136,$A$3))</f>
        <v/>
      </c>
      <c r="I136" s="73" t="str">
        <f aca="false">IF($C136="","",COUNTIF($C133:$C136,H$21)+COUNTIF($C133:$C136,$A$3))</f>
        <v/>
      </c>
      <c r="J136" s="73" t="str">
        <f aca="false">IF($D136="","",COUNTIF($D133:$D136,H$21)+COUNTIF($D133:$D136,$A$3))</f>
        <v/>
      </c>
      <c r="K136" s="73" t="str">
        <f aca="false">IF($E136="","",COUNTIF($E133:$E136,H$21)+COUNTIF($E133:$E136,$A$3))</f>
        <v/>
      </c>
      <c r="L136" s="92" t="str">
        <f aca="false">IF($F136="","",COUNTIF($F133:$F136,H$21)+COUNTIF($F133:$F136,$A$3))</f>
        <v/>
      </c>
      <c r="N136" s="91" t="str">
        <f aca="false">IF($B136="","",COUNTIF($B133:$B136,N$21)+COUNTIF($B133:$B136,$A$3))</f>
        <v/>
      </c>
      <c r="O136" s="73" t="str">
        <f aca="false">IF($C136="","",COUNTIF($C133:$C136,N$21)+COUNTIF($C133:$C136,$A$3))</f>
        <v/>
      </c>
      <c r="P136" s="73" t="str">
        <f aca="false">IF($D136="","",COUNTIF($D133:$D136,N$21)+COUNTIF($D133:$D136,$A$3))</f>
        <v/>
      </c>
      <c r="Q136" s="73" t="str">
        <f aca="false">IF($E136="","",COUNTIF($E133:$E136,N$21)+COUNTIF($E133:$E136,$A$3))</f>
        <v/>
      </c>
      <c r="R136" s="92" t="str">
        <f aca="false">IF($F136="","",COUNTIF($F133:$F136,N$21)+COUNTIF($F133:$F136,$A$3))</f>
        <v/>
      </c>
      <c r="T136" s="91" t="str">
        <f aca="false">IF($B136="","",COUNTIF($B133:$B136,T$21)+COUNTIF($B133:$B136,$A$3))</f>
        <v/>
      </c>
      <c r="U136" s="73" t="str">
        <f aca="false">IF($C136="","",COUNTIF($C133:$C136,T$21)+COUNTIF($C133:$C136,$A$3))</f>
        <v/>
      </c>
      <c r="V136" s="73" t="str">
        <f aca="false">IF($D136="","",COUNTIF($D133:$D136,T$21)+COUNTIF($D133:$D136,$A$3))</f>
        <v/>
      </c>
      <c r="W136" s="73" t="str">
        <f aca="false">IF($E136="","",COUNTIF($E133:$E136,T$21)+COUNTIF($E133:$E136,$A$3))</f>
        <v/>
      </c>
      <c r="X136" s="92" t="str">
        <f aca="false">IF($F136="","",COUNTIF($F133:$F136,T$21)+COUNTIF($F133:$F136,$A$3))</f>
        <v/>
      </c>
      <c r="Z136" s="91" t="str">
        <f aca="false">IF($B136="","",COUNTIF($B133:$B136,Z$21)+COUNTIF($B133:$B136,$A$3))</f>
        <v/>
      </c>
      <c r="AA136" s="73" t="str">
        <f aca="false">IF($C136="","",COUNTIF($C133:$C136,Z$21)+COUNTIF($C133:$C136,$A$3))</f>
        <v/>
      </c>
      <c r="AB136" s="73" t="str">
        <f aca="false">IF($D136="","",COUNTIF($D133:$D136,Z$21)+COUNTIF($D133:$D136,$A$3))</f>
        <v/>
      </c>
      <c r="AC136" s="73" t="str">
        <f aca="false">IF($E136="","",COUNTIF($E133:$E136,Z$21)+COUNTIF($E133:$E136,$A$3))</f>
        <v/>
      </c>
      <c r="AD136" s="92" t="str">
        <f aca="false">IF($F136="","",COUNTIF($F133:$F136,Z$21)+COUNTIF($F133:$F136,$A$3))</f>
        <v/>
      </c>
      <c r="AF136" s="91" t="str">
        <f aca="false">IF($B136="","",COUNTIF($B133:$B136,AF$21)+COUNTIF($B133:$B136,$A$3))</f>
        <v/>
      </c>
      <c r="AG136" s="73" t="str">
        <f aca="false">IF($C136="","",COUNTIF($C133:$C136,AF$21)+COUNTIF($C133:$C136,$A$3))</f>
        <v/>
      </c>
      <c r="AH136" s="73" t="str">
        <f aca="false">IF($D136="","",COUNTIF($D133:$D136,AF$21)+COUNTIF($D133:$D136,$A$3))</f>
        <v/>
      </c>
      <c r="AI136" s="73" t="str">
        <f aca="false">IF($E136="","",COUNTIF($E133:$E136,AF$21)+COUNTIF($E133:$E136,$A$3))</f>
        <v/>
      </c>
      <c r="AJ136" s="92" t="str">
        <f aca="false">IF($F136="","",COUNTIF($F133:$F136,AF$21)+COUNTIF($F133:$F136,$A$3))</f>
        <v/>
      </c>
      <c r="AL136" s="91" t="str">
        <f aca="false">IF($B136="","",COUNTIF($B133:$B136,AL$21)+COUNTIF($B133:$B136,$A$3))</f>
        <v/>
      </c>
      <c r="AM136" s="73" t="str">
        <f aca="false">IF($C136="","",COUNTIF($C133:$C136,AL$21)+COUNTIF($C133:$C136,$A$3))</f>
        <v/>
      </c>
      <c r="AN136" s="73" t="str">
        <f aca="false">IF($D136="","",COUNTIF($D133:$D136,AL$21)+COUNTIF($D133:$D136,$A$3))</f>
        <v/>
      </c>
      <c r="AO136" s="73" t="str">
        <f aca="false">IF($E136="","",COUNTIF($E133:$E136,AL$21)+COUNTIF($E133:$E136,$A$3))</f>
        <v/>
      </c>
      <c r="AP136" s="92" t="str">
        <f aca="false">IF($F136="","",COUNTIF($F133:$F136,AL$21)+COUNTIF($F133:$F136,$A$3))</f>
        <v/>
      </c>
      <c r="AR136" s="91" t="str">
        <f aca="false">IF($B136="","",COUNTIF($B133:$B136,AR$21)+COUNTIF($B133:$B136,$A$3))</f>
        <v/>
      </c>
      <c r="AS136" s="73" t="str">
        <f aca="false">IF($C136="","",COUNTIF($C133:$C136,AR$21)+COUNTIF($C133:$C136,$A$3))</f>
        <v/>
      </c>
      <c r="AT136" s="73" t="str">
        <f aca="false">IF($D136="","",COUNTIF($D133:$D136,AR$21)+COUNTIF($D133:$D136,$A$3))</f>
        <v/>
      </c>
      <c r="AU136" s="73" t="str">
        <f aca="false">IF($E136="","",COUNTIF($E133:$E136,AR$21)+COUNTIF($E133:$E136,$A$3))</f>
        <v/>
      </c>
      <c r="AV136" s="92" t="str">
        <f aca="false">IF($F136="","",COUNTIF($F133:$F136,AR$21)+COUNTIF($F133:$F136,$A$3))</f>
        <v/>
      </c>
      <c r="AX136" s="91" t="str">
        <f aca="false">IF($B136="","",COUNTIF($B133:$B136,AX$21)+COUNTIF($B133:$B136,$A$3))</f>
        <v/>
      </c>
      <c r="AY136" s="73" t="str">
        <f aca="false">IF($C136="","",COUNTIF($C133:$C136,AX$21)+COUNTIF($C133:$C136,$A$3))</f>
        <v/>
      </c>
      <c r="AZ136" s="73" t="str">
        <f aca="false">IF($D136="","",COUNTIF($D133:$D136,AX$21)+COUNTIF($D133:$D136,$A$3))</f>
        <v/>
      </c>
      <c r="BA136" s="73" t="str">
        <f aca="false">IF($E136="","",COUNTIF($E133:$E136,AX$21)+COUNTIF($E133:$E136,$A$3))</f>
        <v/>
      </c>
      <c r="BB136" s="92" t="str">
        <f aca="false">IF($F136="","",COUNTIF($F133:$F136,AX$21)+COUNTIF($F133:$F136,$A$3))</f>
        <v/>
      </c>
      <c r="BD136" s="91" t="str">
        <f aca="false">IF($B136="","",COUNTIF($B133:$B136,BD$21)+COUNTIF($B133:$B136,$A$3))</f>
        <v/>
      </c>
      <c r="BE136" s="73" t="str">
        <f aca="false">IF($C136="","",COUNTIF($C133:$C136,BD$21)+COUNTIF($C133:$C136,$A$3))</f>
        <v/>
      </c>
      <c r="BF136" s="73" t="str">
        <f aca="false">IF($D136="","",COUNTIF($D133:$D136,BD$21)+COUNTIF($D133:$D136,$A$3))</f>
        <v/>
      </c>
      <c r="BG136" s="73" t="str">
        <f aca="false">IF($E136="","",COUNTIF($E133:$E136,BD$21)+COUNTIF($E133:$E136,$A$3))</f>
        <v/>
      </c>
      <c r="BH136" s="92" t="str">
        <f aca="false">IF($F136="","",COUNTIF($F133:$F136,BD$21)+COUNTIF($F133:$F136,$A$3))</f>
        <v/>
      </c>
      <c r="BJ136" s="91" t="str">
        <f aca="false">IF($B136="","",COUNTIF($B133:$B136,BJ$21)+COUNTIF($B133:$B136,$A$3))</f>
        <v/>
      </c>
      <c r="BK136" s="73" t="str">
        <f aca="false">IF($C136="","",COUNTIF($C133:$C136,BJ$21)+COUNTIF($C133:$C136,$A$3))</f>
        <v/>
      </c>
      <c r="BL136" s="73" t="str">
        <f aca="false">IF($D136="","",COUNTIF($D133:$D136,BJ$21)+COUNTIF($D133:$D136,$A$3))</f>
        <v/>
      </c>
      <c r="BM136" s="73" t="str">
        <f aca="false">IF($E136="","",COUNTIF($E133:$E136,BJ$21)+COUNTIF($E133:$E136,$A$3))</f>
        <v/>
      </c>
      <c r="BN136" s="92" t="str">
        <f aca="false">IF($F136="","",COUNTIF($F133:$F136,BJ$21)+COUNTIF($F133:$F136,$A$3))</f>
        <v/>
      </c>
      <c r="BP136" s="91" t="str">
        <f aca="false">IF($B136="","",COUNTIF($B133:$B136,BP$21)+COUNTIF($B133:$B136,$A$3))</f>
        <v/>
      </c>
      <c r="BQ136" s="73" t="str">
        <f aca="false">IF($C136="","",COUNTIF($C133:$C136,BP$21)+COUNTIF($C133:$C136,$A$3))</f>
        <v/>
      </c>
      <c r="BR136" s="73" t="str">
        <f aca="false">IF($D136="","",COUNTIF($D133:$D136,BP$21)+COUNTIF($D133:$D136,$A$3))</f>
        <v/>
      </c>
      <c r="BS136" s="73" t="str">
        <f aca="false">IF($E136="","",COUNTIF($E133:$E136,BP$21)+COUNTIF($E133:$E136,$A$3))</f>
        <v/>
      </c>
      <c r="BT136" s="92" t="str">
        <f aca="false">IF($F136="","",COUNTIF($F133:$F136,BP$21)+COUNTIF($F133:$F136,$A$3))</f>
        <v/>
      </c>
    </row>
    <row r="137" customFormat="false" ht="15" hidden="false" customHeight="false" outlineLevel="0" collapsed="false">
      <c r="A137" s="13" t="n">
        <v>115</v>
      </c>
      <c r="B137" s="116" t="str">
        <f aca="false">IF('Game Info'!Q120="","",'Game Info'!Q120)</f>
        <v/>
      </c>
      <c r="C137" s="116" t="str">
        <f aca="false">IF('Game Info'!R120="","",'Game Info'!R120)</f>
        <v/>
      </c>
      <c r="D137" s="116" t="str">
        <f aca="false">IF('Game Info'!S120="","",'Game Info'!S120)</f>
        <v/>
      </c>
      <c r="E137" s="116" t="str">
        <f aca="false">IF('Game Info'!T120="","",'Game Info'!T120)</f>
        <v/>
      </c>
      <c r="F137" s="117" t="str">
        <f aca="false">IF('Game Info'!U120="","",'Game Info'!U120)</f>
        <v/>
      </c>
      <c r="H137" s="91" t="str">
        <f aca="false">IF($B137="","",COUNTIF($B134:$B137,H$21)+COUNTIF($B134:$B137,$A$3))</f>
        <v/>
      </c>
      <c r="I137" s="73" t="str">
        <f aca="false">IF($C137="","",COUNTIF($C134:$C137,H$21)+COUNTIF($C134:$C137,$A$3))</f>
        <v/>
      </c>
      <c r="J137" s="73" t="str">
        <f aca="false">IF($D137="","",COUNTIF($D134:$D137,H$21)+COUNTIF($D134:$D137,$A$3))</f>
        <v/>
      </c>
      <c r="K137" s="73" t="str">
        <f aca="false">IF($E137="","",COUNTIF($E134:$E137,H$21)+COUNTIF($E134:$E137,$A$3))</f>
        <v/>
      </c>
      <c r="L137" s="92" t="str">
        <f aca="false">IF($F137="","",COUNTIF($F134:$F137,H$21)+COUNTIF($F134:$F137,$A$3))</f>
        <v/>
      </c>
      <c r="N137" s="91" t="str">
        <f aca="false">IF($B137="","",COUNTIF($B134:$B137,N$21)+COUNTIF($B134:$B137,$A$3))</f>
        <v/>
      </c>
      <c r="O137" s="73" t="str">
        <f aca="false">IF($C137="","",COUNTIF($C134:$C137,N$21)+COUNTIF($C134:$C137,$A$3))</f>
        <v/>
      </c>
      <c r="P137" s="73" t="str">
        <f aca="false">IF($D137="","",COUNTIF($D134:$D137,N$21)+COUNTIF($D134:$D137,$A$3))</f>
        <v/>
      </c>
      <c r="Q137" s="73" t="str">
        <f aca="false">IF($E137="","",COUNTIF($E134:$E137,N$21)+COUNTIF($E134:$E137,$A$3))</f>
        <v/>
      </c>
      <c r="R137" s="92" t="str">
        <f aca="false">IF($F137="","",COUNTIF($F134:$F137,N$21)+COUNTIF($F134:$F137,$A$3))</f>
        <v/>
      </c>
      <c r="T137" s="91" t="str">
        <f aca="false">IF($B137="","",COUNTIF($B134:$B137,T$21)+COUNTIF($B134:$B137,$A$3))</f>
        <v/>
      </c>
      <c r="U137" s="73" t="str">
        <f aca="false">IF($C137="","",COUNTIF($C134:$C137,T$21)+COUNTIF($C134:$C137,$A$3))</f>
        <v/>
      </c>
      <c r="V137" s="73" t="str">
        <f aca="false">IF($D137="","",COUNTIF($D134:$D137,T$21)+COUNTIF($D134:$D137,$A$3))</f>
        <v/>
      </c>
      <c r="W137" s="73" t="str">
        <f aca="false">IF($E137="","",COUNTIF($E134:$E137,T$21)+COUNTIF($E134:$E137,$A$3))</f>
        <v/>
      </c>
      <c r="X137" s="92" t="str">
        <f aca="false">IF($F137="","",COUNTIF($F134:$F137,T$21)+COUNTIF($F134:$F137,$A$3))</f>
        <v/>
      </c>
      <c r="Z137" s="91" t="str">
        <f aca="false">IF($B137="","",COUNTIF($B134:$B137,Z$21)+COUNTIF($B134:$B137,$A$3))</f>
        <v/>
      </c>
      <c r="AA137" s="73" t="str">
        <f aca="false">IF($C137="","",COUNTIF($C134:$C137,Z$21)+COUNTIF($C134:$C137,$A$3))</f>
        <v/>
      </c>
      <c r="AB137" s="73" t="str">
        <f aca="false">IF($D137="","",COUNTIF($D134:$D137,Z$21)+COUNTIF($D134:$D137,$A$3))</f>
        <v/>
      </c>
      <c r="AC137" s="73" t="str">
        <f aca="false">IF($E137="","",COUNTIF($E134:$E137,Z$21)+COUNTIF($E134:$E137,$A$3))</f>
        <v/>
      </c>
      <c r="AD137" s="92" t="str">
        <f aca="false">IF($F137="","",COUNTIF($F134:$F137,Z$21)+COUNTIF($F134:$F137,$A$3))</f>
        <v/>
      </c>
      <c r="AF137" s="91" t="str">
        <f aca="false">IF($B137="","",COUNTIF($B134:$B137,AF$21)+COUNTIF($B134:$B137,$A$3))</f>
        <v/>
      </c>
      <c r="AG137" s="73" t="str">
        <f aca="false">IF($C137="","",COUNTIF($C134:$C137,AF$21)+COUNTIF($C134:$C137,$A$3))</f>
        <v/>
      </c>
      <c r="AH137" s="73" t="str">
        <f aca="false">IF($D137="","",COUNTIF($D134:$D137,AF$21)+COUNTIF($D134:$D137,$A$3))</f>
        <v/>
      </c>
      <c r="AI137" s="73" t="str">
        <f aca="false">IF($E137="","",COUNTIF($E134:$E137,AF$21)+COUNTIF($E134:$E137,$A$3))</f>
        <v/>
      </c>
      <c r="AJ137" s="92" t="str">
        <f aca="false">IF($F137="","",COUNTIF($F134:$F137,AF$21)+COUNTIF($F134:$F137,$A$3))</f>
        <v/>
      </c>
      <c r="AL137" s="91" t="str">
        <f aca="false">IF($B137="","",COUNTIF($B134:$B137,AL$21)+COUNTIF($B134:$B137,$A$3))</f>
        <v/>
      </c>
      <c r="AM137" s="73" t="str">
        <f aca="false">IF($C137="","",COUNTIF($C134:$C137,AL$21)+COUNTIF($C134:$C137,$A$3))</f>
        <v/>
      </c>
      <c r="AN137" s="73" t="str">
        <f aca="false">IF($D137="","",COUNTIF($D134:$D137,AL$21)+COUNTIF($D134:$D137,$A$3))</f>
        <v/>
      </c>
      <c r="AO137" s="73" t="str">
        <f aca="false">IF($E137="","",COUNTIF($E134:$E137,AL$21)+COUNTIF($E134:$E137,$A$3))</f>
        <v/>
      </c>
      <c r="AP137" s="92" t="str">
        <f aca="false">IF($F137="","",COUNTIF($F134:$F137,AL$21)+COUNTIF($F134:$F137,$A$3))</f>
        <v/>
      </c>
      <c r="AR137" s="91" t="str">
        <f aca="false">IF($B137="","",COUNTIF($B134:$B137,AR$21)+COUNTIF($B134:$B137,$A$3))</f>
        <v/>
      </c>
      <c r="AS137" s="73" t="str">
        <f aca="false">IF($C137="","",COUNTIF($C134:$C137,AR$21)+COUNTIF($C134:$C137,$A$3))</f>
        <v/>
      </c>
      <c r="AT137" s="73" t="str">
        <f aca="false">IF($D137="","",COUNTIF($D134:$D137,AR$21)+COUNTIF($D134:$D137,$A$3))</f>
        <v/>
      </c>
      <c r="AU137" s="73" t="str">
        <f aca="false">IF($E137="","",COUNTIF($E134:$E137,AR$21)+COUNTIF($E134:$E137,$A$3))</f>
        <v/>
      </c>
      <c r="AV137" s="92" t="str">
        <f aca="false">IF($F137="","",COUNTIF($F134:$F137,AR$21)+COUNTIF($F134:$F137,$A$3))</f>
        <v/>
      </c>
      <c r="AX137" s="91" t="str">
        <f aca="false">IF($B137="","",COUNTIF($B134:$B137,AX$21)+COUNTIF($B134:$B137,$A$3))</f>
        <v/>
      </c>
      <c r="AY137" s="73" t="str">
        <f aca="false">IF($C137="","",COUNTIF($C134:$C137,AX$21)+COUNTIF($C134:$C137,$A$3))</f>
        <v/>
      </c>
      <c r="AZ137" s="73" t="str">
        <f aca="false">IF($D137="","",COUNTIF($D134:$D137,AX$21)+COUNTIF($D134:$D137,$A$3))</f>
        <v/>
      </c>
      <c r="BA137" s="73" t="str">
        <f aca="false">IF($E137="","",COUNTIF($E134:$E137,AX$21)+COUNTIF($E134:$E137,$A$3))</f>
        <v/>
      </c>
      <c r="BB137" s="92" t="str">
        <f aca="false">IF($F137="","",COUNTIF($F134:$F137,AX$21)+COUNTIF($F134:$F137,$A$3))</f>
        <v/>
      </c>
      <c r="BD137" s="91" t="str">
        <f aca="false">IF($B137="","",COUNTIF($B134:$B137,BD$21)+COUNTIF($B134:$B137,$A$3))</f>
        <v/>
      </c>
      <c r="BE137" s="73" t="str">
        <f aca="false">IF($C137="","",COUNTIF($C134:$C137,BD$21)+COUNTIF($C134:$C137,$A$3))</f>
        <v/>
      </c>
      <c r="BF137" s="73" t="str">
        <f aca="false">IF($D137="","",COUNTIF($D134:$D137,BD$21)+COUNTIF($D134:$D137,$A$3))</f>
        <v/>
      </c>
      <c r="BG137" s="73" t="str">
        <f aca="false">IF($E137="","",COUNTIF($E134:$E137,BD$21)+COUNTIF($E134:$E137,$A$3))</f>
        <v/>
      </c>
      <c r="BH137" s="92" t="str">
        <f aca="false">IF($F137="","",COUNTIF($F134:$F137,BD$21)+COUNTIF($F134:$F137,$A$3))</f>
        <v/>
      </c>
      <c r="BJ137" s="91" t="str">
        <f aca="false">IF($B137="","",COUNTIF($B134:$B137,BJ$21)+COUNTIF($B134:$B137,$A$3))</f>
        <v/>
      </c>
      <c r="BK137" s="73" t="str">
        <f aca="false">IF($C137="","",COUNTIF($C134:$C137,BJ$21)+COUNTIF($C134:$C137,$A$3))</f>
        <v/>
      </c>
      <c r="BL137" s="73" t="str">
        <f aca="false">IF($D137="","",COUNTIF($D134:$D137,BJ$21)+COUNTIF($D134:$D137,$A$3))</f>
        <v/>
      </c>
      <c r="BM137" s="73" t="str">
        <f aca="false">IF($E137="","",COUNTIF($E134:$E137,BJ$21)+COUNTIF($E134:$E137,$A$3))</f>
        <v/>
      </c>
      <c r="BN137" s="92" t="str">
        <f aca="false">IF($F137="","",COUNTIF($F134:$F137,BJ$21)+COUNTIF($F134:$F137,$A$3))</f>
        <v/>
      </c>
      <c r="BP137" s="91" t="str">
        <f aca="false">IF($B137="","",COUNTIF($B134:$B137,BP$21)+COUNTIF($B134:$B137,$A$3))</f>
        <v/>
      </c>
      <c r="BQ137" s="73" t="str">
        <f aca="false">IF($C137="","",COUNTIF($C134:$C137,BP$21)+COUNTIF($C134:$C137,$A$3))</f>
        <v/>
      </c>
      <c r="BR137" s="73" t="str">
        <f aca="false">IF($D137="","",COUNTIF($D134:$D137,BP$21)+COUNTIF($D134:$D137,$A$3))</f>
        <v/>
      </c>
      <c r="BS137" s="73" t="str">
        <f aca="false">IF($E137="","",COUNTIF($E134:$E137,BP$21)+COUNTIF($E134:$E137,$A$3))</f>
        <v/>
      </c>
      <c r="BT137" s="92" t="str">
        <f aca="false">IF($F137="","",COUNTIF($F134:$F137,BP$21)+COUNTIF($F134:$F137,$A$3))</f>
        <v/>
      </c>
    </row>
    <row r="138" customFormat="false" ht="15" hidden="false" customHeight="false" outlineLevel="0" collapsed="false">
      <c r="A138" s="13" t="n">
        <v>116</v>
      </c>
      <c r="B138" s="116" t="str">
        <f aca="false">IF('Game Info'!Q121="","",'Game Info'!Q121)</f>
        <v/>
      </c>
      <c r="C138" s="116" t="str">
        <f aca="false">IF('Game Info'!R121="","",'Game Info'!R121)</f>
        <v/>
      </c>
      <c r="D138" s="116" t="str">
        <f aca="false">IF('Game Info'!S121="","",'Game Info'!S121)</f>
        <v/>
      </c>
      <c r="E138" s="116" t="str">
        <f aca="false">IF('Game Info'!T121="","",'Game Info'!T121)</f>
        <v/>
      </c>
      <c r="F138" s="117" t="str">
        <f aca="false">IF('Game Info'!U121="","",'Game Info'!U121)</f>
        <v/>
      </c>
      <c r="H138" s="91" t="str">
        <f aca="false">IF($B138="","",COUNTIF($B135:$B138,H$21)+COUNTIF($B135:$B138,$A$3))</f>
        <v/>
      </c>
      <c r="I138" s="73" t="str">
        <f aca="false">IF($C138="","",COUNTIF($C135:$C138,H$21)+COUNTIF($C135:$C138,$A$3))</f>
        <v/>
      </c>
      <c r="J138" s="73" t="str">
        <f aca="false">IF($D138="","",COUNTIF($D135:$D138,H$21)+COUNTIF($D135:$D138,$A$3))</f>
        <v/>
      </c>
      <c r="K138" s="73" t="str">
        <f aca="false">IF($E138="","",COUNTIF($E135:$E138,H$21)+COUNTIF($E135:$E138,$A$3))</f>
        <v/>
      </c>
      <c r="L138" s="92" t="str">
        <f aca="false">IF($F138="","",COUNTIF($F135:$F138,H$21)+COUNTIF($F135:$F138,$A$3))</f>
        <v/>
      </c>
      <c r="N138" s="91" t="str">
        <f aca="false">IF($B138="","",COUNTIF($B135:$B138,N$21)+COUNTIF($B135:$B138,$A$3))</f>
        <v/>
      </c>
      <c r="O138" s="73" t="str">
        <f aca="false">IF($C138="","",COUNTIF($C135:$C138,N$21)+COUNTIF($C135:$C138,$A$3))</f>
        <v/>
      </c>
      <c r="P138" s="73" t="str">
        <f aca="false">IF($D138="","",COUNTIF($D135:$D138,N$21)+COUNTIF($D135:$D138,$A$3))</f>
        <v/>
      </c>
      <c r="Q138" s="73" t="str">
        <f aca="false">IF($E138="","",COUNTIF($E135:$E138,N$21)+COUNTIF($E135:$E138,$A$3))</f>
        <v/>
      </c>
      <c r="R138" s="92" t="str">
        <f aca="false">IF($F138="","",COUNTIF($F135:$F138,N$21)+COUNTIF($F135:$F138,$A$3))</f>
        <v/>
      </c>
      <c r="T138" s="91" t="str">
        <f aca="false">IF($B138="","",COUNTIF($B135:$B138,T$21)+COUNTIF($B135:$B138,$A$3))</f>
        <v/>
      </c>
      <c r="U138" s="73" t="str">
        <f aca="false">IF($C138="","",COUNTIF($C135:$C138,T$21)+COUNTIF($C135:$C138,$A$3))</f>
        <v/>
      </c>
      <c r="V138" s="73" t="str">
        <f aca="false">IF($D138="","",COUNTIF($D135:$D138,T$21)+COUNTIF($D135:$D138,$A$3))</f>
        <v/>
      </c>
      <c r="W138" s="73" t="str">
        <f aca="false">IF($E138="","",COUNTIF($E135:$E138,T$21)+COUNTIF($E135:$E138,$A$3))</f>
        <v/>
      </c>
      <c r="X138" s="92" t="str">
        <f aca="false">IF($F138="","",COUNTIF($F135:$F138,T$21)+COUNTIF($F135:$F138,$A$3))</f>
        <v/>
      </c>
      <c r="Z138" s="91" t="str">
        <f aca="false">IF($B138="","",COUNTIF($B135:$B138,Z$21)+COUNTIF($B135:$B138,$A$3))</f>
        <v/>
      </c>
      <c r="AA138" s="73" t="str">
        <f aca="false">IF($C138="","",COUNTIF($C135:$C138,Z$21)+COUNTIF($C135:$C138,$A$3))</f>
        <v/>
      </c>
      <c r="AB138" s="73" t="str">
        <f aca="false">IF($D138="","",COUNTIF($D135:$D138,Z$21)+COUNTIF($D135:$D138,$A$3))</f>
        <v/>
      </c>
      <c r="AC138" s="73" t="str">
        <f aca="false">IF($E138="","",COUNTIF($E135:$E138,Z$21)+COUNTIF($E135:$E138,$A$3))</f>
        <v/>
      </c>
      <c r="AD138" s="92" t="str">
        <f aca="false">IF($F138="","",COUNTIF($F135:$F138,Z$21)+COUNTIF($F135:$F138,$A$3))</f>
        <v/>
      </c>
      <c r="AF138" s="91" t="str">
        <f aca="false">IF($B138="","",COUNTIF($B135:$B138,AF$21)+COUNTIF($B135:$B138,$A$3))</f>
        <v/>
      </c>
      <c r="AG138" s="73" t="str">
        <f aca="false">IF($C138="","",COUNTIF($C135:$C138,AF$21)+COUNTIF($C135:$C138,$A$3))</f>
        <v/>
      </c>
      <c r="AH138" s="73" t="str">
        <f aca="false">IF($D138="","",COUNTIF($D135:$D138,AF$21)+COUNTIF($D135:$D138,$A$3))</f>
        <v/>
      </c>
      <c r="AI138" s="73" t="str">
        <f aca="false">IF($E138="","",COUNTIF($E135:$E138,AF$21)+COUNTIF($E135:$E138,$A$3))</f>
        <v/>
      </c>
      <c r="AJ138" s="92" t="str">
        <f aca="false">IF($F138="","",COUNTIF($F135:$F138,AF$21)+COUNTIF($F135:$F138,$A$3))</f>
        <v/>
      </c>
      <c r="AL138" s="91" t="str">
        <f aca="false">IF($B138="","",COUNTIF($B135:$B138,AL$21)+COUNTIF($B135:$B138,$A$3))</f>
        <v/>
      </c>
      <c r="AM138" s="73" t="str">
        <f aca="false">IF($C138="","",COUNTIF($C135:$C138,AL$21)+COUNTIF($C135:$C138,$A$3))</f>
        <v/>
      </c>
      <c r="AN138" s="73" t="str">
        <f aca="false">IF($D138="","",COUNTIF($D135:$D138,AL$21)+COUNTIF($D135:$D138,$A$3))</f>
        <v/>
      </c>
      <c r="AO138" s="73" t="str">
        <f aca="false">IF($E138="","",COUNTIF($E135:$E138,AL$21)+COUNTIF($E135:$E138,$A$3))</f>
        <v/>
      </c>
      <c r="AP138" s="92" t="str">
        <f aca="false">IF($F138="","",COUNTIF($F135:$F138,AL$21)+COUNTIF($F135:$F138,$A$3))</f>
        <v/>
      </c>
      <c r="AR138" s="91" t="str">
        <f aca="false">IF($B138="","",COUNTIF($B135:$B138,AR$21)+COUNTIF($B135:$B138,$A$3))</f>
        <v/>
      </c>
      <c r="AS138" s="73" t="str">
        <f aca="false">IF($C138="","",COUNTIF($C135:$C138,AR$21)+COUNTIF($C135:$C138,$A$3))</f>
        <v/>
      </c>
      <c r="AT138" s="73" t="str">
        <f aca="false">IF($D138="","",COUNTIF($D135:$D138,AR$21)+COUNTIF($D135:$D138,$A$3))</f>
        <v/>
      </c>
      <c r="AU138" s="73" t="str">
        <f aca="false">IF($E138="","",COUNTIF($E135:$E138,AR$21)+COUNTIF($E135:$E138,$A$3))</f>
        <v/>
      </c>
      <c r="AV138" s="92" t="str">
        <f aca="false">IF($F138="","",COUNTIF($F135:$F138,AR$21)+COUNTIF($F135:$F138,$A$3))</f>
        <v/>
      </c>
      <c r="AX138" s="91" t="str">
        <f aca="false">IF($B138="","",COUNTIF($B135:$B138,AX$21)+COUNTIF($B135:$B138,$A$3))</f>
        <v/>
      </c>
      <c r="AY138" s="73" t="str">
        <f aca="false">IF($C138="","",COUNTIF($C135:$C138,AX$21)+COUNTIF($C135:$C138,$A$3))</f>
        <v/>
      </c>
      <c r="AZ138" s="73" t="str">
        <f aca="false">IF($D138="","",COUNTIF($D135:$D138,AX$21)+COUNTIF($D135:$D138,$A$3))</f>
        <v/>
      </c>
      <c r="BA138" s="73" t="str">
        <f aca="false">IF($E138="","",COUNTIF($E135:$E138,AX$21)+COUNTIF($E135:$E138,$A$3))</f>
        <v/>
      </c>
      <c r="BB138" s="92" t="str">
        <f aca="false">IF($F138="","",COUNTIF($F135:$F138,AX$21)+COUNTIF($F135:$F138,$A$3))</f>
        <v/>
      </c>
      <c r="BD138" s="91" t="str">
        <f aca="false">IF($B138="","",COUNTIF($B135:$B138,BD$21)+COUNTIF($B135:$B138,$A$3))</f>
        <v/>
      </c>
      <c r="BE138" s="73" t="str">
        <f aca="false">IF($C138="","",COUNTIF($C135:$C138,BD$21)+COUNTIF($C135:$C138,$A$3))</f>
        <v/>
      </c>
      <c r="BF138" s="73" t="str">
        <f aca="false">IF($D138="","",COUNTIF($D135:$D138,BD$21)+COUNTIF($D135:$D138,$A$3))</f>
        <v/>
      </c>
      <c r="BG138" s="73" t="str">
        <f aca="false">IF($E138="","",COUNTIF($E135:$E138,BD$21)+COUNTIF($E135:$E138,$A$3))</f>
        <v/>
      </c>
      <c r="BH138" s="92" t="str">
        <f aca="false">IF($F138="","",COUNTIF($F135:$F138,BD$21)+COUNTIF($F135:$F138,$A$3))</f>
        <v/>
      </c>
      <c r="BJ138" s="91" t="str">
        <f aca="false">IF($B138="","",COUNTIF($B135:$B138,BJ$21)+COUNTIF($B135:$B138,$A$3))</f>
        <v/>
      </c>
      <c r="BK138" s="73" t="str">
        <f aca="false">IF($C138="","",COUNTIF($C135:$C138,BJ$21)+COUNTIF($C135:$C138,$A$3))</f>
        <v/>
      </c>
      <c r="BL138" s="73" t="str">
        <f aca="false">IF($D138="","",COUNTIF($D135:$D138,BJ$21)+COUNTIF($D135:$D138,$A$3))</f>
        <v/>
      </c>
      <c r="BM138" s="73" t="str">
        <f aca="false">IF($E138="","",COUNTIF($E135:$E138,BJ$21)+COUNTIF($E135:$E138,$A$3))</f>
        <v/>
      </c>
      <c r="BN138" s="92" t="str">
        <f aca="false">IF($F138="","",COUNTIF($F135:$F138,BJ$21)+COUNTIF($F135:$F138,$A$3))</f>
        <v/>
      </c>
      <c r="BP138" s="91" t="str">
        <f aca="false">IF($B138="","",COUNTIF($B135:$B138,BP$21)+COUNTIF($B135:$B138,$A$3))</f>
        <v/>
      </c>
      <c r="BQ138" s="73" t="str">
        <f aca="false">IF($C138="","",COUNTIF($C135:$C138,BP$21)+COUNTIF($C135:$C138,$A$3))</f>
        <v/>
      </c>
      <c r="BR138" s="73" t="str">
        <f aca="false">IF($D138="","",COUNTIF($D135:$D138,BP$21)+COUNTIF($D135:$D138,$A$3))</f>
        <v/>
      </c>
      <c r="BS138" s="73" t="str">
        <f aca="false">IF($E138="","",COUNTIF($E135:$E138,BP$21)+COUNTIF($E135:$E138,$A$3))</f>
        <v/>
      </c>
      <c r="BT138" s="92" t="str">
        <f aca="false">IF($F138="","",COUNTIF($F135:$F138,BP$21)+COUNTIF($F135:$F138,$A$3))</f>
        <v/>
      </c>
    </row>
    <row r="139" customFormat="false" ht="15" hidden="false" customHeight="false" outlineLevel="0" collapsed="false">
      <c r="A139" s="13" t="n">
        <v>117</v>
      </c>
      <c r="B139" s="116" t="str">
        <f aca="false">IF('Game Info'!Q122="","",'Game Info'!Q122)</f>
        <v/>
      </c>
      <c r="C139" s="116" t="str">
        <f aca="false">IF('Game Info'!R122="","",'Game Info'!R122)</f>
        <v/>
      </c>
      <c r="D139" s="116" t="str">
        <f aca="false">IF('Game Info'!S122="","",'Game Info'!S122)</f>
        <v/>
      </c>
      <c r="E139" s="116" t="str">
        <f aca="false">IF('Game Info'!T122="","",'Game Info'!T122)</f>
        <v/>
      </c>
      <c r="F139" s="117" t="str">
        <f aca="false">IF('Game Info'!U122="","",'Game Info'!U122)</f>
        <v/>
      </c>
      <c r="H139" s="91" t="str">
        <f aca="false">IF($B139="","",COUNTIF($B136:$B139,H$21)+COUNTIF($B136:$B139,$A$3))</f>
        <v/>
      </c>
      <c r="I139" s="73" t="str">
        <f aca="false">IF($C139="","",COUNTIF($C136:$C139,H$21)+COUNTIF($C136:$C139,$A$3))</f>
        <v/>
      </c>
      <c r="J139" s="73" t="str">
        <f aca="false">IF($D139="","",COUNTIF($D136:$D139,H$21)+COUNTIF($D136:$D139,$A$3))</f>
        <v/>
      </c>
      <c r="K139" s="73" t="str">
        <f aca="false">IF($E139="","",COUNTIF($E136:$E139,H$21)+COUNTIF($E136:$E139,$A$3))</f>
        <v/>
      </c>
      <c r="L139" s="92" t="str">
        <f aca="false">IF($F139="","",COUNTIF($F136:$F139,H$21)+COUNTIF($F136:$F139,$A$3))</f>
        <v/>
      </c>
      <c r="N139" s="91" t="str">
        <f aca="false">IF($B139="","",COUNTIF($B136:$B139,N$21)+COUNTIF($B136:$B139,$A$3))</f>
        <v/>
      </c>
      <c r="O139" s="73" t="str">
        <f aca="false">IF($C139="","",COUNTIF($C136:$C139,N$21)+COUNTIF($C136:$C139,$A$3))</f>
        <v/>
      </c>
      <c r="P139" s="73" t="str">
        <f aca="false">IF($D139="","",COUNTIF($D136:$D139,N$21)+COUNTIF($D136:$D139,$A$3))</f>
        <v/>
      </c>
      <c r="Q139" s="73" t="str">
        <f aca="false">IF($E139="","",COUNTIF($E136:$E139,N$21)+COUNTIF($E136:$E139,$A$3))</f>
        <v/>
      </c>
      <c r="R139" s="92" t="str">
        <f aca="false">IF($F139="","",COUNTIF($F136:$F139,N$21)+COUNTIF($F136:$F139,$A$3))</f>
        <v/>
      </c>
      <c r="T139" s="91" t="str">
        <f aca="false">IF($B139="","",COUNTIF($B136:$B139,T$21)+COUNTIF($B136:$B139,$A$3))</f>
        <v/>
      </c>
      <c r="U139" s="73" t="str">
        <f aca="false">IF($C139="","",COUNTIF($C136:$C139,T$21)+COUNTIF($C136:$C139,$A$3))</f>
        <v/>
      </c>
      <c r="V139" s="73" t="str">
        <f aca="false">IF($D139="","",COUNTIF($D136:$D139,T$21)+COUNTIF($D136:$D139,$A$3))</f>
        <v/>
      </c>
      <c r="W139" s="73" t="str">
        <f aca="false">IF($E139="","",COUNTIF($E136:$E139,T$21)+COUNTIF($E136:$E139,$A$3))</f>
        <v/>
      </c>
      <c r="X139" s="92" t="str">
        <f aca="false">IF($F139="","",COUNTIF($F136:$F139,T$21)+COUNTIF($F136:$F139,$A$3))</f>
        <v/>
      </c>
      <c r="Z139" s="91" t="str">
        <f aca="false">IF($B139="","",COUNTIF($B136:$B139,Z$21)+COUNTIF($B136:$B139,$A$3))</f>
        <v/>
      </c>
      <c r="AA139" s="73" t="str">
        <f aca="false">IF($C139="","",COUNTIF($C136:$C139,Z$21)+COUNTIF($C136:$C139,$A$3))</f>
        <v/>
      </c>
      <c r="AB139" s="73" t="str">
        <f aca="false">IF($D139="","",COUNTIF($D136:$D139,Z$21)+COUNTIF($D136:$D139,$A$3))</f>
        <v/>
      </c>
      <c r="AC139" s="73" t="str">
        <f aca="false">IF($E139="","",COUNTIF($E136:$E139,Z$21)+COUNTIF($E136:$E139,$A$3))</f>
        <v/>
      </c>
      <c r="AD139" s="92" t="str">
        <f aca="false">IF($F139="","",COUNTIF($F136:$F139,Z$21)+COUNTIF($F136:$F139,$A$3))</f>
        <v/>
      </c>
      <c r="AF139" s="91" t="str">
        <f aca="false">IF($B139="","",COUNTIF($B136:$B139,AF$21)+COUNTIF($B136:$B139,$A$3))</f>
        <v/>
      </c>
      <c r="AG139" s="73" t="str">
        <f aca="false">IF($C139="","",COUNTIF($C136:$C139,AF$21)+COUNTIF($C136:$C139,$A$3))</f>
        <v/>
      </c>
      <c r="AH139" s="73" t="str">
        <f aca="false">IF($D139="","",COUNTIF($D136:$D139,AF$21)+COUNTIF($D136:$D139,$A$3))</f>
        <v/>
      </c>
      <c r="AI139" s="73" t="str">
        <f aca="false">IF($E139="","",COUNTIF($E136:$E139,AF$21)+COUNTIF($E136:$E139,$A$3))</f>
        <v/>
      </c>
      <c r="AJ139" s="92" t="str">
        <f aca="false">IF($F139="","",COUNTIF($F136:$F139,AF$21)+COUNTIF($F136:$F139,$A$3))</f>
        <v/>
      </c>
      <c r="AL139" s="91" t="str">
        <f aca="false">IF($B139="","",COUNTIF($B136:$B139,AL$21)+COUNTIF($B136:$B139,$A$3))</f>
        <v/>
      </c>
      <c r="AM139" s="73" t="str">
        <f aca="false">IF($C139="","",COUNTIF($C136:$C139,AL$21)+COUNTIF($C136:$C139,$A$3))</f>
        <v/>
      </c>
      <c r="AN139" s="73" t="str">
        <f aca="false">IF($D139="","",COUNTIF($D136:$D139,AL$21)+COUNTIF($D136:$D139,$A$3))</f>
        <v/>
      </c>
      <c r="AO139" s="73" t="str">
        <f aca="false">IF($E139="","",COUNTIF($E136:$E139,AL$21)+COUNTIF($E136:$E139,$A$3))</f>
        <v/>
      </c>
      <c r="AP139" s="92" t="str">
        <f aca="false">IF($F139="","",COUNTIF($F136:$F139,AL$21)+COUNTIF($F136:$F139,$A$3))</f>
        <v/>
      </c>
      <c r="AR139" s="91" t="str">
        <f aca="false">IF($B139="","",COUNTIF($B136:$B139,AR$21)+COUNTIF($B136:$B139,$A$3))</f>
        <v/>
      </c>
      <c r="AS139" s="73" t="str">
        <f aca="false">IF($C139="","",COUNTIF($C136:$C139,AR$21)+COUNTIF($C136:$C139,$A$3))</f>
        <v/>
      </c>
      <c r="AT139" s="73" t="str">
        <f aca="false">IF($D139="","",COUNTIF($D136:$D139,AR$21)+COUNTIF($D136:$D139,$A$3))</f>
        <v/>
      </c>
      <c r="AU139" s="73" t="str">
        <f aca="false">IF($E139="","",COUNTIF($E136:$E139,AR$21)+COUNTIF($E136:$E139,$A$3))</f>
        <v/>
      </c>
      <c r="AV139" s="92" t="str">
        <f aca="false">IF($F139="","",COUNTIF($F136:$F139,AR$21)+COUNTIF($F136:$F139,$A$3))</f>
        <v/>
      </c>
      <c r="AX139" s="91" t="str">
        <f aca="false">IF($B139="","",COUNTIF($B136:$B139,AX$21)+COUNTIF($B136:$B139,$A$3))</f>
        <v/>
      </c>
      <c r="AY139" s="73" t="str">
        <f aca="false">IF($C139="","",COUNTIF($C136:$C139,AX$21)+COUNTIF($C136:$C139,$A$3))</f>
        <v/>
      </c>
      <c r="AZ139" s="73" t="str">
        <f aca="false">IF($D139="","",COUNTIF($D136:$D139,AX$21)+COUNTIF($D136:$D139,$A$3))</f>
        <v/>
      </c>
      <c r="BA139" s="73" t="str">
        <f aca="false">IF($E139="","",COUNTIF($E136:$E139,AX$21)+COUNTIF($E136:$E139,$A$3))</f>
        <v/>
      </c>
      <c r="BB139" s="92" t="str">
        <f aca="false">IF($F139="","",COUNTIF($F136:$F139,AX$21)+COUNTIF($F136:$F139,$A$3))</f>
        <v/>
      </c>
      <c r="BD139" s="91" t="str">
        <f aca="false">IF($B139="","",COUNTIF($B136:$B139,BD$21)+COUNTIF($B136:$B139,$A$3))</f>
        <v/>
      </c>
      <c r="BE139" s="73" t="str">
        <f aca="false">IF($C139="","",COUNTIF($C136:$C139,BD$21)+COUNTIF($C136:$C139,$A$3))</f>
        <v/>
      </c>
      <c r="BF139" s="73" t="str">
        <f aca="false">IF($D139="","",COUNTIF($D136:$D139,BD$21)+COUNTIF($D136:$D139,$A$3))</f>
        <v/>
      </c>
      <c r="BG139" s="73" t="str">
        <f aca="false">IF($E139="","",COUNTIF($E136:$E139,BD$21)+COUNTIF($E136:$E139,$A$3))</f>
        <v/>
      </c>
      <c r="BH139" s="92" t="str">
        <f aca="false">IF($F139="","",COUNTIF($F136:$F139,BD$21)+COUNTIF($F136:$F139,$A$3))</f>
        <v/>
      </c>
      <c r="BJ139" s="91" t="str">
        <f aca="false">IF($B139="","",COUNTIF($B136:$B139,BJ$21)+COUNTIF($B136:$B139,$A$3))</f>
        <v/>
      </c>
      <c r="BK139" s="73" t="str">
        <f aca="false">IF($C139="","",COUNTIF($C136:$C139,BJ$21)+COUNTIF($C136:$C139,$A$3))</f>
        <v/>
      </c>
      <c r="BL139" s="73" t="str">
        <f aca="false">IF($D139="","",COUNTIF($D136:$D139,BJ$21)+COUNTIF($D136:$D139,$A$3))</f>
        <v/>
      </c>
      <c r="BM139" s="73" t="str">
        <f aca="false">IF($E139="","",COUNTIF($E136:$E139,BJ$21)+COUNTIF($E136:$E139,$A$3))</f>
        <v/>
      </c>
      <c r="BN139" s="92" t="str">
        <f aca="false">IF($F139="","",COUNTIF($F136:$F139,BJ$21)+COUNTIF($F136:$F139,$A$3))</f>
        <v/>
      </c>
      <c r="BP139" s="91" t="str">
        <f aca="false">IF($B139="","",COUNTIF($B136:$B139,BP$21)+COUNTIF($B136:$B139,$A$3))</f>
        <v/>
      </c>
      <c r="BQ139" s="73" t="str">
        <f aca="false">IF($C139="","",COUNTIF($C136:$C139,BP$21)+COUNTIF($C136:$C139,$A$3))</f>
        <v/>
      </c>
      <c r="BR139" s="73" t="str">
        <f aca="false">IF($D139="","",COUNTIF($D136:$D139,BP$21)+COUNTIF($D136:$D139,$A$3))</f>
        <v/>
      </c>
      <c r="BS139" s="73" t="str">
        <f aca="false">IF($E139="","",COUNTIF($E136:$E139,BP$21)+COUNTIF($E136:$E139,$A$3))</f>
        <v/>
      </c>
      <c r="BT139" s="92" t="str">
        <f aca="false">IF($F139="","",COUNTIF($F136:$F139,BP$21)+COUNTIF($F136:$F139,$A$3))</f>
        <v/>
      </c>
    </row>
    <row r="140" customFormat="false" ht="15" hidden="false" customHeight="false" outlineLevel="0" collapsed="false">
      <c r="A140" s="13" t="n">
        <v>118</v>
      </c>
      <c r="B140" s="116" t="str">
        <f aca="false">IF('Game Info'!Q123="","",'Game Info'!Q123)</f>
        <v/>
      </c>
      <c r="C140" s="116" t="str">
        <f aca="false">IF('Game Info'!R123="","",'Game Info'!R123)</f>
        <v/>
      </c>
      <c r="D140" s="116" t="str">
        <f aca="false">IF('Game Info'!S123="","",'Game Info'!S123)</f>
        <v/>
      </c>
      <c r="E140" s="116" t="str">
        <f aca="false">IF('Game Info'!T123="","",'Game Info'!T123)</f>
        <v/>
      </c>
      <c r="F140" s="117" t="str">
        <f aca="false">IF('Game Info'!U123="","",'Game Info'!U123)</f>
        <v/>
      </c>
      <c r="H140" s="91" t="str">
        <f aca="false">IF($B140="","",COUNTIF($B137:$B140,H$21)+COUNTIF($B137:$B140,$A$3))</f>
        <v/>
      </c>
      <c r="I140" s="73" t="str">
        <f aca="false">IF($C140="","",COUNTIF($C137:$C140,H$21)+COUNTIF($C137:$C140,$A$3))</f>
        <v/>
      </c>
      <c r="J140" s="73" t="str">
        <f aca="false">IF($D140="","",COUNTIF($D137:$D140,H$21)+COUNTIF($D137:$D140,$A$3))</f>
        <v/>
      </c>
      <c r="K140" s="73" t="str">
        <f aca="false">IF($E140="","",COUNTIF($E137:$E140,H$21)+COUNTIF($E137:$E140,$A$3))</f>
        <v/>
      </c>
      <c r="L140" s="92" t="str">
        <f aca="false">IF($F140="","",COUNTIF($F137:$F140,H$21)+COUNTIF($F137:$F140,$A$3))</f>
        <v/>
      </c>
      <c r="N140" s="91" t="str">
        <f aca="false">IF($B140="","",COUNTIF($B137:$B140,N$21)+COUNTIF($B137:$B140,$A$3))</f>
        <v/>
      </c>
      <c r="O140" s="73" t="str">
        <f aca="false">IF($C140="","",COUNTIF($C137:$C140,N$21)+COUNTIF($C137:$C140,$A$3))</f>
        <v/>
      </c>
      <c r="P140" s="73" t="str">
        <f aca="false">IF($D140="","",COUNTIF($D137:$D140,N$21)+COUNTIF($D137:$D140,$A$3))</f>
        <v/>
      </c>
      <c r="Q140" s="73" t="str">
        <f aca="false">IF($E140="","",COUNTIF($E137:$E140,N$21)+COUNTIF($E137:$E140,$A$3))</f>
        <v/>
      </c>
      <c r="R140" s="92" t="str">
        <f aca="false">IF($F140="","",COUNTIF($F137:$F140,N$21)+COUNTIF($F137:$F140,$A$3))</f>
        <v/>
      </c>
      <c r="T140" s="91" t="str">
        <f aca="false">IF($B140="","",COUNTIF($B137:$B140,T$21)+COUNTIF($B137:$B140,$A$3))</f>
        <v/>
      </c>
      <c r="U140" s="73" t="str">
        <f aca="false">IF($C140="","",COUNTIF($C137:$C140,T$21)+COUNTIF($C137:$C140,$A$3))</f>
        <v/>
      </c>
      <c r="V140" s="73" t="str">
        <f aca="false">IF($D140="","",COUNTIF($D137:$D140,T$21)+COUNTIF($D137:$D140,$A$3))</f>
        <v/>
      </c>
      <c r="W140" s="73" t="str">
        <f aca="false">IF($E140="","",COUNTIF($E137:$E140,T$21)+COUNTIF($E137:$E140,$A$3))</f>
        <v/>
      </c>
      <c r="X140" s="92" t="str">
        <f aca="false">IF($F140="","",COUNTIF($F137:$F140,T$21)+COUNTIF($F137:$F140,$A$3))</f>
        <v/>
      </c>
      <c r="Z140" s="91" t="str">
        <f aca="false">IF($B140="","",COUNTIF($B137:$B140,Z$21)+COUNTIF($B137:$B140,$A$3))</f>
        <v/>
      </c>
      <c r="AA140" s="73" t="str">
        <f aca="false">IF($C140="","",COUNTIF($C137:$C140,Z$21)+COUNTIF($C137:$C140,$A$3))</f>
        <v/>
      </c>
      <c r="AB140" s="73" t="str">
        <f aca="false">IF($D140="","",COUNTIF($D137:$D140,Z$21)+COUNTIF($D137:$D140,$A$3))</f>
        <v/>
      </c>
      <c r="AC140" s="73" t="str">
        <f aca="false">IF($E140="","",COUNTIF($E137:$E140,Z$21)+COUNTIF($E137:$E140,$A$3))</f>
        <v/>
      </c>
      <c r="AD140" s="92" t="str">
        <f aca="false">IF($F140="","",COUNTIF($F137:$F140,Z$21)+COUNTIF($F137:$F140,$A$3))</f>
        <v/>
      </c>
      <c r="AF140" s="91" t="str">
        <f aca="false">IF($B140="","",COUNTIF($B137:$B140,AF$21)+COUNTIF($B137:$B140,$A$3))</f>
        <v/>
      </c>
      <c r="AG140" s="73" t="str">
        <f aca="false">IF($C140="","",COUNTIF($C137:$C140,AF$21)+COUNTIF($C137:$C140,$A$3))</f>
        <v/>
      </c>
      <c r="AH140" s="73" t="str">
        <f aca="false">IF($D140="","",COUNTIF($D137:$D140,AF$21)+COUNTIF($D137:$D140,$A$3))</f>
        <v/>
      </c>
      <c r="AI140" s="73" t="str">
        <f aca="false">IF($E140="","",COUNTIF($E137:$E140,AF$21)+COUNTIF($E137:$E140,$A$3))</f>
        <v/>
      </c>
      <c r="AJ140" s="92" t="str">
        <f aca="false">IF($F140="","",COUNTIF($F137:$F140,AF$21)+COUNTIF($F137:$F140,$A$3))</f>
        <v/>
      </c>
      <c r="AL140" s="91" t="str">
        <f aca="false">IF($B140="","",COUNTIF($B137:$B140,AL$21)+COUNTIF($B137:$B140,$A$3))</f>
        <v/>
      </c>
      <c r="AM140" s="73" t="str">
        <f aca="false">IF($C140="","",COUNTIF($C137:$C140,AL$21)+COUNTIF($C137:$C140,$A$3))</f>
        <v/>
      </c>
      <c r="AN140" s="73" t="str">
        <f aca="false">IF($D140="","",COUNTIF($D137:$D140,AL$21)+COUNTIF($D137:$D140,$A$3))</f>
        <v/>
      </c>
      <c r="AO140" s="73" t="str">
        <f aca="false">IF($E140="","",COUNTIF($E137:$E140,AL$21)+COUNTIF($E137:$E140,$A$3))</f>
        <v/>
      </c>
      <c r="AP140" s="92" t="str">
        <f aca="false">IF($F140="","",COUNTIF($F137:$F140,AL$21)+COUNTIF($F137:$F140,$A$3))</f>
        <v/>
      </c>
      <c r="AR140" s="91" t="str">
        <f aca="false">IF($B140="","",COUNTIF($B137:$B140,AR$21)+COUNTIF($B137:$B140,$A$3))</f>
        <v/>
      </c>
      <c r="AS140" s="73" t="str">
        <f aca="false">IF($C140="","",COUNTIF($C137:$C140,AR$21)+COUNTIF($C137:$C140,$A$3))</f>
        <v/>
      </c>
      <c r="AT140" s="73" t="str">
        <f aca="false">IF($D140="","",COUNTIF($D137:$D140,AR$21)+COUNTIF($D137:$D140,$A$3))</f>
        <v/>
      </c>
      <c r="AU140" s="73" t="str">
        <f aca="false">IF($E140="","",COUNTIF($E137:$E140,AR$21)+COUNTIF($E137:$E140,$A$3))</f>
        <v/>
      </c>
      <c r="AV140" s="92" t="str">
        <f aca="false">IF($F140="","",COUNTIF($F137:$F140,AR$21)+COUNTIF($F137:$F140,$A$3))</f>
        <v/>
      </c>
      <c r="AX140" s="91" t="str">
        <f aca="false">IF($B140="","",COUNTIF($B137:$B140,AX$21)+COUNTIF($B137:$B140,$A$3))</f>
        <v/>
      </c>
      <c r="AY140" s="73" t="str">
        <f aca="false">IF($C140="","",COUNTIF($C137:$C140,AX$21)+COUNTIF($C137:$C140,$A$3))</f>
        <v/>
      </c>
      <c r="AZ140" s="73" t="str">
        <f aca="false">IF($D140="","",COUNTIF($D137:$D140,AX$21)+COUNTIF($D137:$D140,$A$3))</f>
        <v/>
      </c>
      <c r="BA140" s="73" t="str">
        <f aca="false">IF($E140="","",COUNTIF($E137:$E140,AX$21)+COUNTIF($E137:$E140,$A$3))</f>
        <v/>
      </c>
      <c r="BB140" s="92" t="str">
        <f aca="false">IF($F140="","",COUNTIF($F137:$F140,AX$21)+COUNTIF($F137:$F140,$A$3))</f>
        <v/>
      </c>
      <c r="BD140" s="91" t="str">
        <f aca="false">IF($B140="","",COUNTIF($B137:$B140,BD$21)+COUNTIF($B137:$B140,$A$3))</f>
        <v/>
      </c>
      <c r="BE140" s="73" t="str">
        <f aca="false">IF($C140="","",COUNTIF($C137:$C140,BD$21)+COUNTIF($C137:$C140,$A$3))</f>
        <v/>
      </c>
      <c r="BF140" s="73" t="str">
        <f aca="false">IF($D140="","",COUNTIF($D137:$D140,BD$21)+COUNTIF($D137:$D140,$A$3))</f>
        <v/>
      </c>
      <c r="BG140" s="73" t="str">
        <f aca="false">IF($E140="","",COUNTIF($E137:$E140,BD$21)+COUNTIF($E137:$E140,$A$3))</f>
        <v/>
      </c>
      <c r="BH140" s="92" t="str">
        <f aca="false">IF($F140="","",COUNTIF($F137:$F140,BD$21)+COUNTIF($F137:$F140,$A$3))</f>
        <v/>
      </c>
      <c r="BJ140" s="91" t="str">
        <f aca="false">IF($B140="","",COUNTIF($B137:$B140,BJ$21)+COUNTIF($B137:$B140,$A$3))</f>
        <v/>
      </c>
      <c r="BK140" s="73" t="str">
        <f aca="false">IF($C140="","",COUNTIF($C137:$C140,BJ$21)+COUNTIF($C137:$C140,$A$3))</f>
        <v/>
      </c>
      <c r="BL140" s="73" t="str">
        <f aca="false">IF($D140="","",COUNTIF($D137:$D140,BJ$21)+COUNTIF($D137:$D140,$A$3))</f>
        <v/>
      </c>
      <c r="BM140" s="73" t="str">
        <f aca="false">IF($E140="","",COUNTIF($E137:$E140,BJ$21)+COUNTIF($E137:$E140,$A$3))</f>
        <v/>
      </c>
      <c r="BN140" s="92" t="str">
        <f aca="false">IF($F140="","",COUNTIF($F137:$F140,BJ$21)+COUNTIF($F137:$F140,$A$3))</f>
        <v/>
      </c>
      <c r="BP140" s="91" t="str">
        <f aca="false">IF($B140="","",COUNTIF($B137:$B140,BP$21)+COUNTIF($B137:$B140,$A$3))</f>
        <v/>
      </c>
      <c r="BQ140" s="73" t="str">
        <f aca="false">IF($C140="","",COUNTIF($C137:$C140,BP$21)+COUNTIF($C137:$C140,$A$3))</f>
        <v/>
      </c>
      <c r="BR140" s="73" t="str">
        <f aca="false">IF($D140="","",COUNTIF($D137:$D140,BP$21)+COUNTIF($D137:$D140,$A$3))</f>
        <v/>
      </c>
      <c r="BS140" s="73" t="str">
        <f aca="false">IF($E140="","",COUNTIF($E137:$E140,BP$21)+COUNTIF($E137:$E140,$A$3))</f>
        <v/>
      </c>
      <c r="BT140" s="92" t="str">
        <f aca="false">IF($F140="","",COUNTIF($F137:$F140,BP$21)+COUNTIF($F137:$F140,$A$3))</f>
        <v/>
      </c>
    </row>
    <row r="141" customFormat="false" ht="15" hidden="false" customHeight="false" outlineLevel="0" collapsed="false">
      <c r="A141" s="13" t="n">
        <v>119</v>
      </c>
      <c r="B141" s="116" t="str">
        <f aca="false">IF('Game Info'!Q124="","",'Game Info'!Q124)</f>
        <v/>
      </c>
      <c r="C141" s="116" t="str">
        <f aca="false">IF('Game Info'!R124="","",'Game Info'!R124)</f>
        <v/>
      </c>
      <c r="D141" s="116" t="str">
        <f aca="false">IF('Game Info'!S124="","",'Game Info'!S124)</f>
        <v/>
      </c>
      <c r="E141" s="116" t="str">
        <f aca="false">IF('Game Info'!T124="","",'Game Info'!T124)</f>
        <v/>
      </c>
      <c r="F141" s="117" t="str">
        <f aca="false">IF('Game Info'!U124="","",'Game Info'!U124)</f>
        <v/>
      </c>
      <c r="H141" s="91" t="str">
        <f aca="false">IF($B141="","",COUNTIF($B138:$B141,H$21)+COUNTIF($B138:$B141,$A$3))</f>
        <v/>
      </c>
      <c r="I141" s="73" t="str">
        <f aca="false">IF($C141="","",COUNTIF($C138:$C141,H$21)+COUNTIF($C138:$C141,$A$3))</f>
        <v/>
      </c>
      <c r="J141" s="73" t="str">
        <f aca="false">IF($D141="","",COUNTIF($D138:$D141,H$21)+COUNTIF($D138:$D141,$A$3))</f>
        <v/>
      </c>
      <c r="K141" s="73" t="str">
        <f aca="false">IF($E141="","",COUNTIF($E138:$E141,H$21)+COUNTIF($E138:$E141,$A$3))</f>
        <v/>
      </c>
      <c r="L141" s="92" t="str">
        <f aca="false">IF($F141="","",COUNTIF($F138:$F141,H$21)+COUNTIF($F138:$F141,$A$3))</f>
        <v/>
      </c>
      <c r="N141" s="91" t="str">
        <f aca="false">IF($B141="","",COUNTIF($B138:$B141,N$21)+COUNTIF($B138:$B141,$A$3))</f>
        <v/>
      </c>
      <c r="O141" s="73" t="str">
        <f aca="false">IF($C141="","",COUNTIF($C138:$C141,N$21)+COUNTIF($C138:$C141,$A$3))</f>
        <v/>
      </c>
      <c r="P141" s="73" t="str">
        <f aca="false">IF($D141="","",COUNTIF($D138:$D141,N$21)+COUNTIF($D138:$D141,$A$3))</f>
        <v/>
      </c>
      <c r="Q141" s="73" t="str">
        <f aca="false">IF($E141="","",COUNTIF($E138:$E141,N$21)+COUNTIF($E138:$E141,$A$3))</f>
        <v/>
      </c>
      <c r="R141" s="92" t="str">
        <f aca="false">IF($F141="","",COUNTIF($F138:$F141,N$21)+COUNTIF($F138:$F141,$A$3))</f>
        <v/>
      </c>
      <c r="T141" s="91" t="str">
        <f aca="false">IF($B141="","",COUNTIF($B138:$B141,T$21)+COUNTIF($B138:$B141,$A$3))</f>
        <v/>
      </c>
      <c r="U141" s="73" t="str">
        <f aca="false">IF($C141="","",COUNTIF($C138:$C141,T$21)+COUNTIF($C138:$C141,$A$3))</f>
        <v/>
      </c>
      <c r="V141" s="73" t="str">
        <f aca="false">IF($D141="","",COUNTIF($D138:$D141,T$21)+COUNTIF($D138:$D141,$A$3))</f>
        <v/>
      </c>
      <c r="W141" s="73" t="str">
        <f aca="false">IF($E141="","",COUNTIF($E138:$E141,T$21)+COUNTIF($E138:$E141,$A$3))</f>
        <v/>
      </c>
      <c r="X141" s="92" t="str">
        <f aca="false">IF($F141="","",COUNTIF($F138:$F141,T$21)+COUNTIF($F138:$F141,$A$3))</f>
        <v/>
      </c>
      <c r="Z141" s="91" t="str">
        <f aca="false">IF($B141="","",COUNTIF($B138:$B141,Z$21)+COUNTIF($B138:$B141,$A$3))</f>
        <v/>
      </c>
      <c r="AA141" s="73" t="str">
        <f aca="false">IF($C141="","",COUNTIF($C138:$C141,Z$21)+COUNTIF($C138:$C141,$A$3))</f>
        <v/>
      </c>
      <c r="AB141" s="73" t="str">
        <f aca="false">IF($D141="","",COUNTIF($D138:$D141,Z$21)+COUNTIF($D138:$D141,$A$3))</f>
        <v/>
      </c>
      <c r="AC141" s="73" t="str">
        <f aca="false">IF($E141="","",COUNTIF($E138:$E141,Z$21)+COUNTIF($E138:$E141,$A$3))</f>
        <v/>
      </c>
      <c r="AD141" s="92" t="str">
        <f aca="false">IF($F141="","",COUNTIF($F138:$F141,Z$21)+COUNTIF($F138:$F141,$A$3))</f>
        <v/>
      </c>
      <c r="AF141" s="91" t="str">
        <f aca="false">IF($B141="","",COUNTIF($B138:$B141,AF$21)+COUNTIF($B138:$B141,$A$3))</f>
        <v/>
      </c>
      <c r="AG141" s="73" t="str">
        <f aca="false">IF($C141="","",COUNTIF($C138:$C141,AF$21)+COUNTIF($C138:$C141,$A$3))</f>
        <v/>
      </c>
      <c r="AH141" s="73" t="str">
        <f aca="false">IF($D141="","",COUNTIF($D138:$D141,AF$21)+COUNTIF($D138:$D141,$A$3))</f>
        <v/>
      </c>
      <c r="AI141" s="73" t="str">
        <f aca="false">IF($E141="","",COUNTIF($E138:$E141,AF$21)+COUNTIF($E138:$E141,$A$3))</f>
        <v/>
      </c>
      <c r="AJ141" s="92" t="str">
        <f aca="false">IF($F141="","",COUNTIF($F138:$F141,AF$21)+COUNTIF($F138:$F141,$A$3))</f>
        <v/>
      </c>
      <c r="AL141" s="91" t="str">
        <f aca="false">IF($B141="","",COUNTIF($B138:$B141,AL$21)+COUNTIF($B138:$B141,$A$3))</f>
        <v/>
      </c>
      <c r="AM141" s="73" t="str">
        <f aca="false">IF($C141="","",COUNTIF($C138:$C141,AL$21)+COUNTIF($C138:$C141,$A$3))</f>
        <v/>
      </c>
      <c r="AN141" s="73" t="str">
        <f aca="false">IF($D141="","",COUNTIF($D138:$D141,AL$21)+COUNTIF($D138:$D141,$A$3))</f>
        <v/>
      </c>
      <c r="AO141" s="73" t="str">
        <f aca="false">IF($E141="","",COUNTIF($E138:$E141,AL$21)+COUNTIF($E138:$E141,$A$3))</f>
        <v/>
      </c>
      <c r="AP141" s="92" t="str">
        <f aca="false">IF($F141="","",COUNTIF($F138:$F141,AL$21)+COUNTIF($F138:$F141,$A$3))</f>
        <v/>
      </c>
      <c r="AR141" s="91" t="str">
        <f aca="false">IF($B141="","",COUNTIF($B138:$B141,AR$21)+COUNTIF($B138:$B141,$A$3))</f>
        <v/>
      </c>
      <c r="AS141" s="73" t="str">
        <f aca="false">IF($C141="","",COUNTIF($C138:$C141,AR$21)+COUNTIF($C138:$C141,$A$3))</f>
        <v/>
      </c>
      <c r="AT141" s="73" t="str">
        <f aca="false">IF($D141="","",COUNTIF($D138:$D141,AR$21)+COUNTIF($D138:$D141,$A$3))</f>
        <v/>
      </c>
      <c r="AU141" s="73" t="str">
        <f aca="false">IF($E141="","",COUNTIF($E138:$E141,AR$21)+COUNTIF($E138:$E141,$A$3))</f>
        <v/>
      </c>
      <c r="AV141" s="92" t="str">
        <f aca="false">IF($F141="","",COUNTIF($F138:$F141,AR$21)+COUNTIF($F138:$F141,$A$3))</f>
        <v/>
      </c>
      <c r="AX141" s="91" t="str">
        <f aca="false">IF($B141="","",COUNTIF($B138:$B141,AX$21)+COUNTIF($B138:$B141,$A$3))</f>
        <v/>
      </c>
      <c r="AY141" s="73" t="str">
        <f aca="false">IF($C141="","",COUNTIF($C138:$C141,AX$21)+COUNTIF($C138:$C141,$A$3))</f>
        <v/>
      </c>
      <c r="AZ141" s="73" t="str">
        <f aca="false">IF($D141="","",COUNTIF($D138:$D141,AX$21)+COUNTIF($D138:$D141,$A$3))</f>
        <v/>
      </c>
      <c r="BA141" s="73" t="str">
        <f aca="false">IF($E141="","",COUNTIF($E138:$E141,AX$21)+COUNTIF($E138:$E141,$A$3))</f>
        <v/>
      </c>
      <c r="BB141" s="92" t="str">
        <f aca="false">IF($F141="","",COUNTIF($F138:$F141,AX$21)+COUNTIF($F138:$F141,$A$3))</f>
        <v/>
      </c>
      <c r="BD141" s="91" t="str">
        <f aca="false">IF($B141="","",COUNTIF($B138:$B141,BD$21)+COUNTIF($B138:$B141,$A$3))</f>
        <v/>
      </c>
      <c r="BE141" s="73" t="str">
        <f aca="false">IF($C141="","",COUNTIF($C138:$C141,BD$21)+COUNTIF($C138:$C141,$A$3))</f>
        <v/>
      </c>
      <c r="BF141" s="73" t="str">
        <f aca="false">IF($D141="","",COUNTIF($D138:$D141,BD$21)+COUNTIF($D138:$D141,$A$3))</f>
        <v/>
      </c>
      <c r="BG141" s="73" t="str">
        <f aca="false">IF($E141="","",COUNTIF($E138:$E141,BD$21)+COUNTIF($E138:$E141,$A$3))</f>
        <v/>
      </c>
      <c r="BH141" s="92" t="str">
        <f aca="false">IF($F141="","",COUNTIF($F138:$F141,BD$21)+COUNTIF($F138:$F141,$A$3))</f>
        <v/>
      </c>
      <c r="BJ141" s="91" t="str">
        <f aca="false">IF($B141="","",COUNTIF($B138:$B141,BJ$21)+COUNTIF($B138:$B141,$A$3))</f>
        <v/>
      </c>
      <c r="BK141" s="73" t="str">
        <f aca="false">IF($C141="","",COUNTIF($C138:$C141,BJ$21)+COUNTIF($C138:$C141,$A$3))</f>
        <v/>
      </c>
      <c r="BL141" s="73" t="str">
        <f aca="false">IF($D141="","",COUNTIF($D138:$D141,BJ$21)+COUNTIF($D138:$D141,$A$3))</f>
        <v/>
      </c>
      <c r="BM141" s="73" t="str">
        <f aca="false">IF($E141="","",COUNTIF($E138:$E141,BJ$21)+COUNTIF($E138:$E141,$A$3))</f>
        <v/>
      </c>
      <c r="BN141" s="92" t="str">
        <f aca="false">IF($F141="","",COUNTIF($F138:$F141,BJ$21)+COUNTIF($F138:$F141,$A$3))</f>
        <v/>
      </c>
      <c r="BP141" s="91" t="str">
        <f aca="false">IF($B141="","",COUNTIF($B138:$B141,BP$21)+COUNTIF($B138:$B141,$A$3))</f>
        <v/>
      </c>
      <c r="BQ141" s="73" t="str">
        <f aca="false">IF($C141="","",COUNTIF($C138:$C141,BP$21)+COUNTIF($C138:$C141,$A$3))</f>
        <v/>
      </c>
      <c r="BR141" s="73" t="str">
        <f aca="false">IF($D141="","",COUNTIF($D138:$D141,BP$21)+COUNTIF($D138:$D141,$A$3))</f>
        <v/>
      </c>
      <c r="BS141" s="73" t="str">
        <f aca="false">IF($E141="","",COUNTIF($E138:$E141,BP$21)+COUNTIF($E138:$E141,$A$3))</f>
        <v/>
      </c>
      <c r="BT141" s="92" t="str">
        <f aca="false">IF($F141="","",COUNTIF($F138:$F141,BP$21)+COUNTIF($F138:$F141,$A$3))</f>
        <v/>
      </c>
    </row>
    <row r="142" customFormat="false" ht="15" hidden="false" customHeight="false" outlineLevel="0" collapsed="false">
      <c r="A142" s="13" t="n">
        <v>120</v>
      </c>
      <c r="B142" s="116" t="str">
        <f aca="false">IF('Game Info'!Q125="","",'Game Info'!Q125)</f>
        <v/>
      </c>
      <c r="C142" s="116" t="str">
        <f aca="false">IF('Game Info'!R125="","",'Game Info'!R125)</f>
        <v/>
      </c>
      <c r="D142" s="116" t="str">
        <f aca="false">IF('Game Info'!S125="","",'Game Info'!S125)</f>
        <v/>
      </c>
      <c r="E142" s="116" t="str">
        <f aca="false">IF('Game Info'!T125="","",'Game Info'!T125)</f>
        <v/>
      </c>
      <c r="F142" s="117" t="str">
        <f aca="false">IF('Game Info'!U125="","",'Game Info'!U125)</f>
        <v/>
      </c>
      <c r="H142" s="91" t="str">
        <f aca="false">IF($B142="","",COUNTIF($B139:$B142,H$21)+COUNTIF($B139:$B142,$A$3))</f>
        <v/>
      </c>
      <c r="I142" s="73" t="str">
        <f aca="false">IF($C142="","",COUNTIF($C139:$C142,H$21)+COUNTIF($C139:$C142,$A$3))</f>
        <v/>
      </c>
      <c r="J142" s="73" t="str">
        <f aca="false">IF($D142="","",COUNTIF($D139:$D142,H$21)+COUNTIF($D139:$D142,$A$3))</f>
        <v/>
      </c>
      <c r="K142" s="73" t="str">
        <f aca="false">IF($E142="","",COUNTIF($E139:$E142,H$21)+COUNTIF($E139:$E142,$A$3))</f>
        <v/>
      </c>
      <c r="L142" s="92" t="str">
        <f aca="false">IF($F142="","",COUNTIF($F139:$F142,H$21)+COUNTIF($F139:$F142,$A$3))</f>
        <v/>
      </c>
      <c r="N142" s="91" t="str">
        <f aca="false">IF($B142="","",COUNTIF($B139:$B142,N$21)+COUNTIF($B139:$B142,$A$3))</f>
        <v/>
      </c>
      <c r="O142" s="73" t="str">
        <f aca="false">IF($C142="","",COUNTIF($C139:$C142,N$21)+COUNTIF($C139:$C142,$A$3))</f>
        <v/>
      </c>
      <c r="P142" s="73" t="str">
        <f aca="false">IF($D142="","",COUNTIF($D139:$D142,N$21)+COUNTIF($D139:$D142,$A$3))</f>
        <v/>
      </c>
      <c r="Q142" s="73" t="str">
        <f aca="false">IF($E142="","",COUNTIF($E139:$E142,N$21)+COUNTIF($E139:$E142,$A$3))</f>
        <v/>
      </c>
      <c r="R142" s="92" t="str">
        <f aca="false">IF($F142="","",COUNTIF($F139:$F142,N$21)+COUNTIF($F139:$F142,$A$3))</f>
        <v/>
      </c>
      <c r="T142" s="91" t="str">
        <f aca="false">IF($B142="","",COUNTIF($B139:$B142,T$21)+COUNTIF($B139:$B142,$A$3))</f>
        <v/>
      </c>
      <c r="U142" s="73" t="str">
        <f aca="false">IF($C142="","",COUNTIF($C139:$C142,T$21)+COUNTIF($C139:$C142,$A$3))</f>
        <v/>
      </c>
      <c r="V142" s="73" t="str">
        <f aca="false">IF($D142="","",COUNTIF($D139:$D142,T$21)+COUNTIF($D139:$D142,$A$3))</f>
        <v/>
      </c>
      <c r="W142" s="73" t="str">
        <f aca="false">IF($E142="","",COUNTIF($E139:$E142,T$21)+COUNTIF($E139:$E142,$A$3))</f>
        <v/>
      </c>
      <c r="X142" s="92" t="str">
        <f aca="false">IF($F142="","",COUNTIF($F139:$F142,T$21)+COUNTIF($F139:$F142,$A$3))</f>
        <v/>
      </c>
      <c r="Z142" s="91" t="str">
        <f aca="false">IF($B142="","",COUNTIF($B139:$B142,Z$21)+COUNTIF($B139:$B142,$A$3))</f>
        <v/>
      </c>
      <c r="AA142" s="73" t="str">
        <f aca="false">IF($C142="","",COUNTIF($C139:$C142,Z$21)+COUNTIF($C139:$C142,$A$3))</f>
        <v/>
      </c>
      <c r="AB142" s="73" t="str">
        <f aca="false">IF($D142="","",COUNTIF($D139:$D142,Z$21)+COUNTIF($D139:$D142,$A$3))</f>
        <v/>
      </c>
      <c r="AC142" s="73" t="str">
        <f aca="false">IF($E142="","",COUNTIF($E139:$E142,Z$21)+COUNTIF($E139:$E142,$A$3))</f>
        <v/>
      </c>
      <c r="AD142" s="92" t="str">
        <f aca="false">IF($F142="","",COUNTIF($F139:$F142,Z$21)+COUNTIF($F139:$F142,$A$3))</f>
        <v/>
      </c>
      <c r="AF142" s="91" t="str">
        <f aca="false">IF($B142="","",COUNTIF($B139:$B142,AF$21)+COUNTIF($B139:$B142,$A$3))</f>
        <v/>
      </c>
      <c r="AG142" s="73" t="str">
        <f aca="false">IF($C142="","",COUNTIF($C139:$C142,AF$21)+COUNTIF($C139:$C142,$A$3))</f>
        <v/>
      </c>
      <c r="AH142" s="73" t="str">
        <f aca="false">IF($D142="","",COUNTIF($D139:$D142,AF$21)+COUNTIF($D139:$D142,$A$3))</f>
        <v/>
      </c>
      <c r="AI142" s="73" t="str">
        <f aca="false">IF($E142="","",COUNTIF($E139:$E142,AF$21)+COUNTIF($E139:$E142,$A$3))</f>
        <v/>
      </c>
      <c r="AJ142" s="92" t="str">
        <f aca="false">IF($F142="","",COUNTIF($F139:$F142,AF$21)+COUNTIF($F139:$F142,$A$3))</f>
        <v/>
      </c>
      <c r="AL142" s="91" t="str">
        <f aca="false">IF($B142="","",COUNTIF($B139:$B142,AL$21)+COUNTIF($B139:$B142,$A$3))</f>
        <v/>
      </c>
      <c r="AM142" s="73" t="str">
        <f aca="false">IF($C142="","",COUNTIF($C139:$C142,AL$21)+COUNTIF($C139:$C142,$A$3))</f>
        <v/>
      </c>
      <c r="AN142" s="73" t="str">
        <f aca="false">IF($D142="","",COUNTIF($D139:$D142,AL$21)+COUNTIF($D139:$D142,$A$3))</f>
        <v/>
      </c>
      <c r="AO142" s="73" t="str">
        <f aca="false">IF($E142="","",COUNTIF($E139:$E142,AL$21)+COUNTIF($E139:$E142,$A$3))</f>
        <v/>
      </c>
      <c r="AP142" s="92" t="str">
        <f aca="false">IF($F142="","",COUNTIF($F139:$F142,AL$21)+COUNTIF($F139:$F142,$A$3))</f>
        <v/>
      </c>
      <c r="AR142" s="91" t="str">
        <f aca="false">IF($B142="","",COUNTIF($B139:$B142,AR$21)+COUNTIF($B139:$B142,$A$3))</f>
        <v/>
      </c>
      <c r="AS142" s="73" t="str">
        <f aca="false">IF($C142="","",COUNTIF($C139:$C142,AR$21)+COUNTIF($C139:$C142,$A$3))</f>
        <v/>
      </c>
      <c r="AT142" s="73" t="str">
        <f aca="false">IF($D142="","",COUNTIF($D139:$D142,AR$21)+COUNTIF($D139:$D142,$A$3))</f>
        <v/>
      </c>
      <c r="AU142" s="73" t="str">
        <f aca="false">IF($E142="","",COUNTIF($E139:$E142,AR$21)+COUNTIF($E139:$E142,$A$3))</f>
        <v/>
      </c>
      <c r="AV142" s="92" t="str">
        <f aca="false">IF($F142="","",COUNTIF($F139:$F142,AR$21)+COUNTIF($F139:$F142,$A$3))</f>
        <v/>
      </c>
      <c r="AX142" s="91" t="str">
        <f aca="false">IF($B142="","",COUNTIF($B139:$B142,AX$21)+COUNTIF($B139:$B142,$A$3))</f>
        <v/>
      </c>
      <c r="AY142" s="73" t="str">
        <f aca="false">IF($C142="","",COUNTIF($C139:$C142,AX$21)+COUNTIF($C139:$C142,$A$3))</f>
        <v/>
      </c>
      <c r="AZ142" s="73" t="str">
        <f aca="false">IF($D142="","",COUNTIF($D139:$D142,AX$21)+COUNTIF($D139:$D142,$A$3))</f>
        <v/>
      </c>
      <c r="BA142" s="73" t="str">
        <f aca="false">IF($E142="","",COUNTIF($E139:$E142,AX$21)+COUNTIF($E139:$E142,$A$3))</f>
        <v/>
      </c>
      <c r="BB142" s="92" t="str">
        <f aca="false">IF($F142="","",COUNTIF($F139:$F142,AX$21)+COUNTIF($F139:$F142,$A$3))</f>
        <v/>
      </c>
      <c r="BD142" s="91" t="str">
        <f aca="false">IF($B142="","",COUNTIF($B139:$B142,BD$21)+COUNTIF($B139:$B142,$A$3))</f>
        <v/>
      </c>
      <c r="BE142" s="73" t="str">
        <f aca="false">IF($C142="","",COUNTIF($C139:$C142,BD$21)+COUNTIF($C139:$C142,$A$3))</f>
        <v/>
      </c>
      <c r="BF142" s="73" t="str">
        <f aca="false">IF($D142="","",COUNTIF($D139:$D142,BD$21)+COUNTIF($D139:$D142,$A$3))</f>
        <v/>
      </c>
      <c r="BG142" s="73" t="str">
        <f aca="false">IF($E142="","",COUNTIF($E139:$E142,BD$21)+COUNTIF($E139:$E142,$A$3))</f>
        <v/>
      </c>
      <c r="BH142" s="92" t="str">
        <f aca="false">IF($F142="","",COUNTIF($F139:$F142,BD$21)+COUNTIF($F139:$F142,$A$3))</f>
        <v/>
      </c>
      <c r="BJ142" s="91" t="str">
        <f aca="false">IF($B142="","",COUNTIF($B139:$B142,BJ$21)+COUNTIF($B139:$B142,$A$3))</f>
        <v/>
      </c>
      <c r="BK142" s="73" t="str">
        <f aca="false">IF($C142="","",COUNTIF($C139:$C142,BJ$21)+COUNTIF($C139:$C142,$A$3))</f>
        <v/>
      </c>
      <c r="BL142" s="73" t="str">
        <f aca="false">IF($D142="","",COUNTIF($D139:$D142,BJ$21)+COUNTIF($D139:$D142,$A$3))</f>
        <v/>
      </c>
      <c r="BM142" s="73" t="str">
        <f aca="false">IF($E142="","",COUNTIF($E139:$E142,BJ$21)+COUNTIF($E139:$E142,$A$3))</f>
        <v/>
      </c>
      <c r="BN142" s="92" t="str">
        <f aca="false">IF($F142="","",COUNTIF($F139:$F142,BJ$21)+COUNTIF($F139:$F142,$A$3))</f>
        <v/>
      </c>
      <c r="BP142" s="91" t="str">
        <f aca="false">IF($B142="","",COUNTIF($B139:$B142,BP$21)+COUNTIF($B139:$B142,$A$3))</f>
        <v/>
      </c>
      <c r="BQ142" s="73" t="str">
        <f aca="false">IF($C142="","",COUNTIF($C139:$C142,BP$21)+COUNTIF($C139:$C142,$A$3))</f>
        <v/>
      </c>
      <c r="BR142" s="73" t="str">
        <f aca="false">IF($D142="","",COUNTIF($D139:$D142,BP$21)+COUNTIF($D139:$D142,$A$3))</f>
        <v/>
      </c>
      <c r="BS142" s="73" t="str">
        <f aca="false">IF($E142="","",COUNTIF($E139:$E142,BP$21)+COUNTIF($E139:$E142,$A$3))</f>
        <v/>
      </c>
      <c r="BT142" s="92" t="str">
        <f aca="false">IF($F142="","",COUNTIF($F139:$F142,BP$21)+COUNTIF($F139:$F142,$A$3))</f>
        <v/>
      </c>
    </row>
    <row r="143" customFormat="false" ht="15" hidden="false" customHeight="false" outlineLevel="0" collapsed="false">
      <c r="A143" s="13" t="n">
        <v>121</v>
      </c>
      <c r="B143" s="116" t="str">
        <f aca="false">IF('Game Info'!Q126="","",'Game Info'!Q126)</f>
        <v/>
      </c>
      <c r="C143" s="116" t="str">
        <f aca="false">IF('Game Info'!R126="","",'Game Info'!R126)</f>
        <v/>
      </c>
      <c r="D143" s="116" t="str">
        <f aca="false">IF('Game Info'!S126="","",'Game Info'!S126)</f>
        <v/>
      </c>
      <c r="E143" s="116" t="str">
        <f aca="false">IF('Game Info'!T126="","",'Game Info'!T126)</f>
        <v/>
      </c>
      <c r="F143" s="117" t="str">
        <f aca="false">IF('Game Info'!U126="","",'Game Info'!U126)</f>
        <v/>
      </c>
      <c r="H143" s="91" t="str">
        <f aca="false">IF($B143="","",COUNTIF($B140:$B143,H$21)+COUNTIF($B140:$B143,$A$3))</f>
        <v/>
      </c>
      <c r="I143" s="73" t="str">
        <f aca="false">IF($C143="","",COUNTIF($C140:$C143,H$21)+COUNTIF($C140:$C143,$A$3))</f>
        <v/>
      </c>
      <c r="J143" s="73" t="str">
        <f aca="false">IF($D143="","",COUNTIF($D140:$D143,H$21)+COUNTIF($D140:$D143,$A$3))</f>
        <v/>
      </c>
      <c r="K143" s="73" t="str">
        <f aca="false">IF($E143="","",COUNTIF($E140:$E143,H$21)+COUNTIF($E140:$E143,$A$3))</f>
        <v/>
      </c>
      <c r="L143" s="92" t="str">
        <f aca="false">IF($F143="","",COUNTIF($F140:$F143,H$21)+COUNTIF($F140:$F143,$A$3))</f>
        <v/>
      </c>
      <c r="N143" s="91" t="str">
        <f aca="false">IF($B143="","",COUNTIF($B140:$B143,N$21)+COUNTIF($B140:$B143,$A$3))</f>
        <v/>
      </c>
      <c r="O143" s="73" t="str">
        <f aca="false">IF($C143="","",COUNTIF($C140:$C143,N$21)+COUNTIF($C140:$C143,$A$3))</f>
        <v/>
      </c>
      <c r="P143" s="73" t="str">
        <f aca="false">IF($D143="","",COUNTIF($D140:$D143,N$21)+COUNTIF($D140:$D143,$A$3))</f>
        <v/>
      </c>
      <c r="Q143" s="73" t="str">
        <f aca="false">IF($E143="","",COUNTIF($E140:$E143,N$21)+COUNTIF($E140:$E143,$A$3))</f>
        <v/>
      </c>
      <c r="R143" s="92" t="str">
        <f aca="false">IF($F143="","",COUNTIF($F140:$F143,N$21)+COUNTIF($F140:$F143,$A$3))</f>
        <v/>
      </c>
      <c r="T143" s="91" t="str">
        <f aca="false">IF($B143="","",COUNTIF($B140:$B143,T$21)+COUNTIF($B140:$B143,$A$3))</f>
        <v/>
      </c>
      <c r="U143" s="73" t="str">
        <f aca="false">IF($C143="","",COUNTIF($C140:$C143,T$21)+COUNTIF($C140:$C143,$A$3))</f>
        <v/>
      </c>
      <c r="V143" s="73" t="str">
        <f aca="false">IF($D143="","",COUNTIF($D140:$D143,T$21)+COUNTIF($D140:$D143,$A$3))</f>
        <v/>
      </c>
      <c r="W143" s="73" t="str">
        <f aca="false">IF($E143="","",COUNTIF($E140:$E143,T$21)+COUNTIF($E140:$E143,$A$3))</f>
        <v/>
      </c>
      <c r="X143" s="92" t="str">
        <f aca="false">IF($F143="","",COUNTIF($F140:$F143,T$21)+COUNTIF($F140:$F143,$A$3))</f>
        <v/>
      </c>
      <c r="Z143" s="91" t="str">
        <f aca="false">IF($B143="","",COUNTIF($B140:$B143,Z$21)+COUNTIF($B140:$B143,$A$3))</f>
        <v/>
      </c>
      <c r="AA143" s="73" t="str">
        <f aca="false">IF($C143="","",COUNTIF($C140:$C143,Z$21)+COUNTIF($C140:$C143,$A$3))</f>
        <v/>
      </c>
      <c r="AB143" s="73" t="str">
        <f aca="false">IF($D143="","",COUNTIF($D140:$D143,Z$21)+COUNTIF($D140:$D143,$A$3))</f>
        <v/>
      </c>
      <c r="AC143" s="73" t="str">
        <f aca="false">IF($E143="","",COUNTIF($E140:$E143,Z$21)+COUNTIF($E140:$E143,$A$3))</f>
        <v/>
      </c>
      <c r="AD143" s="92" t="str">
        <f aca="false">IF($F143="","",COUNTIF($F140:$F143,Z$21)+COUNTIF($F140:$F143,$A$3))</f>
        <v/>
      </c>
      <c r="AF143" s="91" t="str">
        <f aca="false">IF($B143="","",COUNTIF($B140:$B143,AF$21)+COUNTIF($B140:$B143,$A$3))</f>
        <v/>
      </c>
      <c r="AG143" s="73" t="str">
        <f aca="false">IF($C143="","",COUNTIF($C140:$C143,AF$21)+COUNTIF($C140:$C143,$A$3))</f>
        <v/>
      </c>
      <c r="AH143" s="73" t="str">
        <f aca="false">IF($D143="","",COUNTIF($D140:$D143,AF$21)+COUNTIF($D140:$D143,$A$3))</f>
        <v/>
      </c>
      <c r="AI143" s="73" t="str">
        <f aca="false">IF($E143="","",COUNTIF($E140:$E143,AF$21)+COUNTIF($E140:$E143,$A$3))</f>
        <v/>
      </c>
      <c r="AJ143" s="92" t="str">
        <f aca="false">IF($F143="","",COUNTIF($F140:$F143,AF$21)+COUNTIF($F140:$F143,$A$3))</f>
        <v/>
      </c>
      <c r="AL143" s="91" t="str">
        <f aca="false">IF($B143="","",COUNTIF($B140:$B143,AL$21)+COUNTIF($B140:$B143,$A$3))</f>
        <v/>
      </c>
      <c r="AM143" s="73" t="str">
        <f aca="false">IF($C143="","",COUNTIF($C140:$C143,AL$21)+COUNTIF($C140:$C143,$A$3))</f>
        <v/>
      </c>
      <c r="AN143" s="73" t="str">
        <f aca="false">IF($D143="","",COUNTIF($D140:$D143,AL$21)+COUNTIF($D140:$D143,$A$3))</f>
        <v/>
      </c>
      <c r="AO143" s="73" t="str">
        <f aca="false">IF($E143="","",COUNTIF($E140:$E143,AL$21)+COUNTIF($E140:$E143,$A$3))</f>
        <v/>
      </c>
      <c r="AP143" s="92" t="str">
        <f aca="false">IF($F143="","",COUNTIF($F140:$F143,AL$21)+COUNTIF($F140:$F143,$A$3))</f>
        <v/>
      </c>
      <c r="AR143" s="91" t="str">
        <f aca="false">IF($B143="","",COUNTIF($B140:$B143,AR$21)+COUNTIF($B140:$B143,$A$3))</f>
        <v/>
      </c>
      <c r="AS143" s="73" t="str">
        <f aca="false">IF($C143="","",COUNTIF($C140:$C143,AR$21)+COUNTIF($C140:$C143,$A$3))</f>
        <v/>
      </c>
      <c r="AT143" s="73" t="str">
        <f aca="false">IF($D143="","",COUNTIF($D140:$D143,AR$21)+COUNTIF($D140:$D143,$A$3))</f>
        <v/>
      </c>
      <c r="AU143" s="73" t="str">
        <f aca="false">IF($E143="","",COUNTIF($E140:$E143,AR$21)+COUNTIF($E140:$E143,$A$3))</f>
        <v/>
      </c>
      <c r="AV143" s="92" t="str">
        <f aca="false">IF($F143="","",COUNTIF($F140:$F143,AR$21)+COUNTIF($F140:$F143,$A$3))</f>
        <v/>
      </c>
      <c r="AX143" s="91" t="str">
        <f aca="false">IF($B143="","",COUNTIF($B140:$B143,AX$21)+COUNTIF($B140:$B143,$A$3))</f>
        <v/>
      </c>
      <c r="AY143" s="73" t="str">
        <f aca="false">IF($C143="","",COUNTIF($C140:$C143,AX$21)+COUNTIF($C140:$C143,$A$3))</f>
        <v/>
      </c>
      <c r="AZ143" s="73" t="str">
        <f aca="false">IF($D143="","",COUNTIF($D140:$D143,AX$21)+COUNTIF($D140:$D143,$A$3))</f>
        <v/>
      </c>
      <c r="BA143" s="73" t="str">
        <f aca="false">IF($E143="","",COUNTIF($E140:$E143,AX$21)+COUNTIF($E140:$E143,$A$3))</f>
        <v/>
      </c>
      <c r="BB143" s="92" t="str">
        <f aca="false">IF($F143="","",COUNTIF($F140:$F143,AX$21)+COUNTIF($F140:$F143,$A$3))</f>
        <v/>
      </c>
      <c r="BD143" s="91" t="str">
        <f aca="false">IF($B143="","",COUNTIF($B140:$B143,BD$21)+COUNTIF($B140:$B143,$A$3))</f>
        <v/>
      </c>
      <c r="BE143" s="73" t="str">
        <f aca="false">IF($C143="","",COUNTIF($C140:$C143,BD$21)+COUNTIF($C140:$C143,$A$3))</f>
        <v/>
      </c>
      <c r="BF143" s="73" t="str">
        <f aca="false">IF($D143="","",COUNTIF($D140:$D143,BD$21)+COUNTIF($D140:$D143,$A$3))</f>
        <v/>
      </c>
      <c r="BG143" s="73" t="str">
        <f aca="false">IF($E143="","",COUNTIF($E140:$E143,BD$21)+COUNTIF($E140:$E143,$A$3))</f>
        <v/>
      </c>
      <c r="BH143" s="92" t="str">
        <f aca="false">IF($F143="","",COUNTIF($F140:$F143,BD$21)+COUNTIF($F140:$F143,$A$3))</f>
        <v/>
      </c>
      <c r="BJ143" s="91" t="str">
        <f aca="false">IF($B143="","",COUNTIF($B140:$B143,BJ$21)+COUNTIF($B140:$B143,$A$3))</f>
        <v/>
      </c>
      <c r="BK143" s="73" t="str">
        <f aca="false">IF($C143="","",COUNTIF($C140:$C143,BJ$21)+COUNTIF($C140:$C143,$A$3))</f>
        <v/>
      </c>
      <c r="BL143" s="73" t="str">
        <f aca="false">IF($D143="","",COUNTIF($D140:$D143,BJ$21)+COUNTIF($D140:$D143,$A$3))</f>
        <v/>
      </c>
      <c r="BM143" s="73" t="str">
        <f aca="false">IF($E143="","",COUNTIF($E140:$E143,BJ$21)+COUNTIF($E140:$E143,$A$3))</f>
        <v/>
      </c>
      <c r="BN143" s="92" t="str">
        <f aca="false">IF($F143="","",COUNTIF($F140:$F143,BJ$21)+COUNTIF($F140:$F143,$A$3))</f>
        <v/>
      </c>
      <c r="BP143" s="91" t="str">
        <f aca="false">IF($B143="","",COUNTIF($B140:$B143,BP$21)+COUNTIF($B140:$B143,$A$3))</f>
        <v/>
      </c>
      <c r="BQ143" s="73" t="str">
        <f aca="false">IF($C143="","",COUNTIF($C140:$C143,BP$21)+COUNTIF($C140:$C143,$A$3))</f>
        <v/>
      </c>
      <c r="BR143" s="73" t="str">
        <f aca="false">IF($D143="","",COUNTIF($D140:$D143,BP$21)+COUNTIF($D140:$D143,$A$3))</f>
        <v/>
      </c>
      <c r="BS143" s="73" t="str">
        <f aca="false">IF($E143="","",COUNTIF($E140:$E143,BP$21)+COUNTIF($E140:$E143,$A$3))</f>
        <v/>
      </c>
      <c r="BT143" s="92" t="str">
        <f aca="false">IF($F143="","",COUNTIF($F140:$F143,BP$21)+COUNTIF($F140:$F143,$A$3))</f>
        <v/>
      </c>
    </row>
    <row r="144" customFormat="false" ht="15" hidden="false" customHeight="false" outlineLevel="0" collapsed="false">
      <c r="A144" s="13" t="n">
        <v>122</v>
      </c>
      <c r="B144" s="116" t="str">
        <f aca="false">IF('Game Info'!Q127="","",'Game Info'!Q127)</f>
        <v/>
      </c>
      <c r="C144" s="116" t="str">
        <f aca="false">IF('Game Info'!R127="","",'Game Info'!R127)</f>
        <v/>
      </c>
      <c r="D144" s="116" t="str">
        <f aca="false">IF('Game Info'!S127="","",'Game Info'!S127)</f>
        <v/>
      </c>
      <c r="E144" s="116" t="str">
        <f aca="false">IF('Game Info'!T127="","",'Game Info'!T127)</f>
        <v/>
      </c>
      <c r="F144" s="117" t="str">
        <f aca="false">IF('Game Info'!U127="","",'Game Info'!U127)</f>
        <v/>
      </c>
      <c r="H144" s="91" t="str">
        <f aca="false">IF($B144="","",COUNTIF($B141:$B144,H$21)+COUNTIF($B141:$B144,$A$3))</f>
        <v/>
      </c>
      <c r="I144" s="73" t="str">
        <f aca="false">IF($C144="","",COUNTIF($C141:$C144,H$21)+COUNTIF($C141:$C144,$A$3))</f>
        <v/>
      </c>
      <c r="J144" s="73" t="str">
        <f aca="false">IF($D144="","",COUNTIF($D141:$D144,H$21)+COUNTIF($D141:$D144,$A$3))</f>
        <v/>
      </c>
      <c r="K144" s="73" t="str">
        <f aca="false">IF($E144="","",COUNTIF($E141:$E144,H$21)+COUNTIF($E141:$E144,$A$3))</f>
        <v/>
      </c>
      <c r="L144" s="92" t="str">
        <f aca="false">IF($F144="","",COUNTIF($F141:$F144,H$21)+COUNTIF($F141:$F144,$A$3))</f>
        <v/>
      </c>
      <c r="N144" s="91" t="str">
        <f aca="false">IF($B144="","",COUNTIF($B141:$B144,N$21)+COUNTIF($B141:$B144,$A$3))</f>
        <v/>
      </c>
      <c r="O144" s="73" t="str">
        <f aca="false">IF($C144="","",COUNTIF($C141:$C144,N$21)+COUNTIF($C141:$C144,$A$3))</f>
        <v/>
      </c>
      <c r="P144" s="73" t="str">
        <f aca="false">IF($D144="","",COUNTIF($D141:$D144,N$21)+COUNTIF($D141:$D144,$A$3))</f>
        <v/>
      </c>
      <c r="Q144" s="73" t="str">
        <f aca="false">IF($E144="","",COUNTIF($E141:$E144,N$21)+COUNTIF($E141:$E144,$A$3))</f>
        <v/>
      </c>
      <c r="R144" s="92" t="str">
        <f aca="false">IF($F144="","",COUNTIF($F141:$F144,N$21)+COUNTIF($F141:$F144,$A$3))</f>
        <v/>
      </c>
      <c r="T144" s="91" t="str">
        <f aca="false">IF($B144="","",COUNTIF($B141:$B144,T$21)+COUNTIF($B141:$B144,$A$3))</f>
        <v/>
      </c>
      <c r="U144" s="73" t="str">
        <f aca="false">IF($C144="","",COUNTIF($C141:$C144,T$21)+COUNTIF($C141:$C144,$A$3))</f>
        <v/>
      </c>
      <c r="V144" s="73" t="str">
        <f aca="false">IF($D144="","",COUNTIF($D141:$D144,T$21)+COUNTIF($D141:$D144,$A$3))</f>
        <v/>
      </c>
      <c r="W144" s="73" t="str">
        <f aca="false">IF($E144="","",COUNTIF($E141:$E144,T$21)+COUNTIF($E141:$E144,$A$3))</f>
        <v/>
      </c>
      <c r="X144" s="92" t="str">
        <f aca="false">IF($F144="","",COUNTIF($F141:$F144,T$21)+COUNTIF($F141:$F144,$A$3))</f>
        <v/>
      </c>
      <c r="Z144" s="91" t="str">
        <f aca="false">IF($B144="","",COUNTIF($B141:$B144,Z$21)+COUNTIF($B141:$B144,$A$3))</f>
        <v/>
      </c>
      <c r="AA144" s="73" t="str">
        <f aca="false">IF($C144="","",COUNTIF($C141:$C144,Z$21)+COUNTIF($C141:$C144,$A$3))</f>
        <v/>
      </c>
      <c r="AB144" s="73" t="str">
        <f aca="false">IF($D144="","",COUNTIF($D141:$D144,Z$21)+COUNTIF($D141:$D144,$A$3))</f>
        <v/>
      </c>
      <c r="AC144" s="73" t="str">
        <f aca="false">IF($E144="","",COUNTIF($E141:$E144,Z$21)+COUNTIF($E141:$E144,$A$3))</f>
        <v/>
      </c>
      <c r="AD144" s="92" t="str">
        <f aca="false">IF($F144="","",COUNTIF($F141:$F144,Z$21)+COUNTIF($F141:$F144,$A$3))</f>
        <v/>
      </c>
      <c r="AF144" s="91" t="str">
        <f aca="false">IF($B144="","",COUNTIF($B141:$B144,AF$21)+COUNTIF($B141:$B144,$A$3))</f>
        <v/>
      </c>
      <c r="AG144" s="73" t="str">
        <f aca="false">IF($C144="","",COUNTIF($C141:$C144,AF$21)+COUNTIF($C141:$C144,$A$3))</f>
        <v/>
      </c>
      <c r="AH144" s="73" t="str">
        <f aca="false">IF($D144="","",COUNTIF($D141:$D144,AF$21)+COUNTIF($D141:$D144,$A$3))</f>
        <v/>
      </c>
      <c r="AI144" s="73" t="str">
        <f aca="false">IF($E144="","",COUNTIF($E141:$E144,AF$21)+COUNTIF($E141:$E144,$A$3))</f>
        <v/>
      </c>
      <c r="AJ144" s="92" t="str">
        <f aca="false">IF($F144="","",COUNTIF($F141:$F144,AF$21)+COUNTIF($F141:$F144,$A$3))</f>
        <v/>
      </c>
      <c r="AL144" s="91" t="str">
        <f aca="false">IF($B144="","",COUNTIF($B141:$B144,AL$21)+COUNTIF($B141:$B144,$A$3))</f>
        <v/>
      </c>
      <c r="AM144" s="73" t="str">
        <f aca="false">IF($C144="","",COUNTIF($C141:$C144,AL$21)+COUNTIF($C141:$C144,$A$3))</f>
        <v/>
      </c>
      <c r="AN144" s="73" t="str">
        <f aca="false">IF($D144="","",COUNTIF($D141:$D144,AL$21)+COUNTIF($D141:$D144,$A$3))</f>
        <v/>
      </c>
      <c r="AO144" s="73" t="str">
        <f aca="false">IF($E144="","",COUNTIF($E141:$E144,AL$21)+COUNTIF($E141:$E144,$A$3))</f>
        <v/>
      </c>
      <c r="AP144" s="92" t="str">
        <f aca="false">IF($F144="","",COUNTIF($F141:$F144,AL$21)+COUNTIF($F141:$F144,$A$3))</f>
        <v/>
      </c>
      <c r="AR144" s="91" t="str">
        <f aca="false">IF($B144="","",COUNTIF($B141:$B144,AR$21)+COUNTIF($B141:$B144,$A$3))</f>
        <v/>
      </c>
      <c r="AS144" s="73" t="str">
        <f aca="false">IF($C144="","",COUNTIF($C141:$C144,AR$21)+COUNTIF($C141:$C144,$A$3))</f>
        <v/>
      </c>
      <c r="AT144" s="73" t="str">
        <f aca="false">IF($D144="","",COUNTIF($D141:$D144,AR$21)+COUNTIF($D141:$D144,$A$3))</f>
        <v/>
      </c>
      <c r="AU144" s="73" t="str">
        <f aca="false">IF($E144="","",COUNTIF($E141:$E144,AR$21)+COUNTIF($E141:$E144,$A$3))</f>
        <v/>
      </c>
      <c r="AV144" s="92" t="str">
        <f aca="false">IF($F144="","",COUNTIF($F141:$F144,AR$21)+COUNTIF($F141:$F144,$A$3))</f>
        <v/>
      </c>
      <c r="AX144" s="91" t="str">
        <f aca="false">IF($B144="","",COUNTIF($B141:$B144,AX$21)+COUNTIF($B141:$B144,$A$3))</f>
        <v/>
      </c>
      <c r="AY144" s="73" t="str">
        <f aca="false">IF($C144="","",COUNTIF($C141:$C144,AX$21)+COUNTIF($C141:$C144,$A$3))</f>
        <v/>
      </c>
      <c r="AZ144" s="73" t="str">
        <f aca="false">IF($D144="","",COUNTIF($D141:$D144,AX$21)+COUNTIF($D141:$D144,$A$3))</f>
        <v/>
      </c>
      <c r="BA144" s="73" t="str">
        <f aca="false">IF($E144="","",COUNTIF($E141:$E144,AX$21)+COUNTIF($E141:$E144,$A$3))</f>
        <v/>
      </c>
      <c r="BB144" s="92" t="str">
        <f aca="false">IF($F144="","",COUNTIF($F141:$F144,AX$21)+COUNTIF($F141:$F144,$A$3))</f>
        <v/>
      </c>
      <c r="BD144" s="91" t="str">
        <f aca="false">IF($B144="","",COUNTIF($B141:$B144,BD$21)+COUNTIF($B141:$B144,$A$3))</f>
        <v/>
      </c>
      <c r="BE144" s="73" t="str">
        <f aca="false">IF($C144="","",COUNTIF($C141:$C144,BD$21)+COUNTIF($C141:$C144,$A$3))</f>
        <v/>
      </c>
      <c r="BF144" s="73" t="str">
        <f aca="false">IF($D144="","",COUNTIF($D141:$D144,BD$21)+COUNTIF($D141:$D144,$A$3))</f>
        <v/>
      </c>
      <c r="BG144" s="73" t="str">
        <f aca="false">IF($E144="","",COUNTIF($E141:$E144,BD$21)+COUNTIF($E141:$E144,$A$3))</f>
        <v/>
      </c>
      <c r="BH144" s="92" t="str">
        <f aca="false">IF($F144="","",COUNTIF($F141:$F144,BD$21)+COUNTIF($F141:$F144,$A$3))</f>
        <v/>
      </c>
      <c r="BJ144" s="91" t="str">
        <f aca="false">IF($B144="","",COUNTIF($B141:$B144,BJ$21)+COUNTIF($B141:$B144,$A$3))</f>
        <v/>
      </c>
      <c r="BK144" s="73" t="str">
        <f aca="false">IF($C144="","",COUNTIF($C141:$C144,BJ$21)+COUNTIF($C141:$C144,$A$3))</f>
        <v/>
      </c>
      <c r="BL144" s="73" t="str">
        <f aca="false">IF($D144="","",COUNTIF($D141:$D144,BJ$21)+COUNTIF($D141:$D144,$A$3))</f>
        <v/>
      </c>
      <c r="BM144" s="73" t="str">
        <f aca="false">IF($E144="","",COUNTIF($E141:$E144,BJ$21)+COUNTIF($E141:$E144,$A$3))</f>
        <v/>
      </c>
      <c r="BN144" s="92" t="str">
        <f aca="false">IF($F144="","",COUNTIF($F141:$F144,BJ$21)+COUNTIF($F141:$F144,$A$3))</f>
        <v/>
      </c>
      <c r="BP144" s="91" t="str">
        <f aca="false">IF($B144="","",COUNTIF($B141:$B144,BP$21)+COUNTIF($B141:$B144,$A$3))</f>
        <v/>
      </c>
      <c r="BQ144" s="73" t="str">
        <f aca="false">IF($C144="","",COUNTIF($C141:$C144,BP$21)+COUNTIF($C141:$C144,$A$3))</f>
        <v/>
      </c>
      <c r="BR144" s="73" t="str">
        <f aca="false">IF($D144="","",COUNTIF($D141:$D144,BP$21)+COUNTIF($D141:$D144,$A$3))</f>
        <v/>
      </c>
      <c r="BS144" s="73" t="str">
        <f aca="false">IF($E144="","",COUNTIF($E141:$E144,BP$21)+COUNTIF($E141:$E144,$A$3))</f>
        <v/>
      </c>
      <c r="BT144" s="92" t="str">
        <f aca="false">IF($F144="","",COUNTIF($F141:$F144,BP$21)+COUNTIF($F141:$F144,$A$3))</f>
        <v/>
      </c>
    </row>
    <row r="145" customFormat="false" ht="15" hidden="false" customHeight="false" outlineLevel="0" collapsed="false">
      <c r="A145" s="13" t="n">
        <v>123</v>
      </c>
      <c r="B145" s="116" t="str">
        <f aca="false">IF('Game Info'!Q128="","",'Game Info'!Q128)</f>
        <v/>
      </c>
      <c r="C145" s="116" t="str">
        <f aca="false">IF('Game Info'!R128="","",'Game Info'!R128)</f>
        <v/>
      </c>
      <c r="D145" s="116" t="str">
        <f aca="false">IF('Game Info'!S128="","",'Game Info'!S128)</f>
        <v/>
      </c>
      <c r="E145" s="116" t="str">
        <f aca="false">IF('Game Info'!T128="","",'Game Info'!T128)</f>
        <v/>
      </c>
      <c r="F145" s="117" t="str">
        <f aca="false">IF('Game Info'!U128="","",'Game Info'!U128)</f>
        <v/>
      </c>
      <c r="H145" s="91" t="str">
        <f aca="false">IF($B145="","",COUNTIF($B142:$B145,H$21)+COUNTIF($B142:$B145,$A$3))</f>
        <v/>
      </c>
      <c r="I145" s="73" t="str">
        <f aca="false">IF($C145="","",COUNTIF($C142:$C145,H$21)+COUNTIF($C142:$C145,$A$3))</f>
        <v/>
      </c>
      <c r="J145" s="73" t="str">
        <f aca="false">IF($D145="","",COUNTIF($D142:$D145,H$21)+COUNTIF($D142:$D145,$A$3))</f>
        <v/>
      </c>
      <c r="K145" s="73" t="str">
        <f aca="false">IF($E145="","",COUNTIF($E142:$E145,H$21)+COUNTIF($E142:$E145,$A$3))</f>
        <v/>
      </c>
      <c r="L145" s="92" t="str">
        <f aca="false">IF($F145="","",COUNTIF($F142:$F145,H$21)+COUNTIF($F142:$F145,$A$3))</f>
        <v/>
      </c>
      <c r="N145" s="91" t="str">
        <f aca="false">IF($B145="","",COUNTIF($B142:$B145,N$21)+COUNTIF($B142:$B145,$A$3))</f>
        <v/>
      </c>
      <c r="O145" s="73" t="str">
        <f aca="false">IF($C145="","",COUNTIF($C142:$C145,N$21)+COUNTIF($C142:$C145,$A$3))</f>
        <v/>
      </c>
      <c r="P145" s="73" t="str">
        <f aca="false">IF($D145="","",COUNTIF($D142:$D145,N$21)+COUNTIF($D142:$D145,$A$3))</f>
        <v/>
      </c>
      <c r="Q145" s="73" t="str">
        <f aca="false">IF($E145="","",COUNTIF($E142:$E145,N$21)+COUNTIF($E142:$E145,$A$3))</f>
        <v/>
      </c>
      <c r="R145" s="92" t="str">
        <f aca="false">IF($F145="","",COUNTIF($F142:$F145,N$21)+COUNTIF($F142:$F145,$A$3))</f>
        <v/>
      </c>
      <c r="T145" s="91" t="str">
        <f aca="false">IF($B145="","",COUNTIF($B142:$B145,T$21)+COUNTIF($B142:$B145,$A$3))</f>
        <v/>
      </c>
      <c r="U145" s="73" t="str">
        <f aca="false">IF($C145="","",COUNTIF($C142:$C145,T$21)+COUNTIF($C142:$C145,$A$3))</f>
        <v/>
      </c>
      <c r="V145" s="73" t="str">
        <f aca="false">IF($D145="","",COUNTIF($D142:$D145,T$21)+COUNTIF($D142:$D145,$A$3))</f>
        <v/>
      </c>
      <c r="W145" s="73" t="str">
        <f aca="false">IF($E145="","",COUNTIF($E142:$E145,T$21)+COUNTIF($E142:$E145,$A$3))</f>
        <v/>
      </c>
      <c r="X145" s="92" t="str">
        <f aca="false">IF($F145="","",COUNTIF($F142:$F145,T$21)+COUNTIF($F142:$F145,$A$3))</f>
        <v/>
      </c>
      <c r="Z145" s="91" t="str">
        <f aca="false">IF($B145="","",COUNTIF($B142:$B145,Z$21)+COUNTIF($B142:$B145,$A$3))</f>
        <v/>
      </c>
      <c r="AA145" s="73" t="str">
        <f aca="false">IF($C145="","",COUNTIF($C142:$C145,Z$21)+COUNTIF($C142:$C145,$A$3))</f>
        <v/>
      </c>
      <c r="AB145" s="73" t="str">
        <f aca="false">IF($D145="","",COUNTIF($D142:$D145,Z$21)+COUNTIF($D142:$D145,$A$3))</f>
        <v/>
      </c>
      <c r="AC145" s="73" t="str">
        <f aca="false">IF($E145="","",COUNTIF($E142:$E145,Z$21)+COUNTIF($E142:$E145,$A$3))</f>
        <v/>
      </c>
      <c r="AD145" s="92" t="str">
        <f aca="false">IF($F145="","",COUNTIF($F142:$F145,Z$21)+COUNTIF($F142:$F145,$A$3))</f>
        <v/>
      </c>
      <c r="AF145" s="91" t="str">
        <f aca="false">IF($B145="","",COUNTIF($B142:$B145,AF$21)+COUNTIF($B142:$B145,$A$3))</f>
        <v/>
      </c>
      <c r="AG145" s="73" t="str">
        <f aca="false">IF($C145="","",COUNTIF($C142:$C145,AF$21)+COUNTIF($C142:$C145,$A$3))</f>
        <v/>
      </c>
      <c r="AH145" s="73" t="str">
        <f aca="false">IF($D145="","",COUNTIF($D142:$D145,AF$21)+COUNTIF($D142:$D145,$A$3))</f>
        <v/>
      </c>
      <c r="AI145" s="73" t="str">
        <f aca="false">IF($E145="","",COUNTIF($E142:$E145,AF$21)+COUNTIF($E142:$E145,$A$3))</f>
        <v/>
      </c>
      <c r="AJ145" s="92" t="str">
        <f aca="false">IF($F145="","",COUNTIF($F142:$F145,AF$21)+COUNTIF($F142:$F145,$A$3))</f>
        <v/>
      </c>
      <c r="AL145" s="91" t="str">
        <f aca="false">IF($B145="","",COUNTIF($B142:$B145,AL$21)+COUNTIF($B142:$B145,$A$3))</f>
        <v/>
      </c>
      <c r="AM145" s="73" t="str">
        <f aca="false">IF($C145="","",COUNTIF($C142:$C145,AL$21)+COUNTIF($C142:$C145,$A$3))</f>
        <v/>
      </c>
      <c r="AN145" s="73" t="str">
        <f aca="false">IF($D145="","",COUNTIF($D142:$D145,AL$21)+COUNTIF($D142:$D145,$A$3))</f>
        <v/>
      </c>
      <c r="AO145" s="73" t="str">
        <f aca="false">IF($E145="","",COUNTIF($E142:$E145,AL$21)+COUNTIF($E142:$E145,$A$3))</f>
        <v/>
      </c>
      <c r="AP145" s="92" t="str">
        <f aca="false">IF($F145="","",COUNTIF($F142:$F145,AL$21)+COUNTIF($F142:$F145,$A$3))</f>
        <v/>
      </c>
      <c r="AR145" s="91" t="str">
        <f aca="false">IF($B145="","",COUNTIF($B142:$B145,AR$21)+COUNTIF($B142:$B145,$A$3))</f>
        <v/>
      </c>
      <c r="AS145" s="73" t="str">
        <f aca="false">IF($C145="","",COUNTIF($C142:$C145,AR$21)+COUNTIF($C142:$C145,$A$3))</f>
        <v/>
      </c>
      <c r="AT145" s="73" t="str">
        <f aca="false">IF($D145="","",COUNTIF($D142:$D145,AR$21)+COUNTIF($D142:$D145,$A$3))</f>
        <v/>
      </c>
      <c r="AU145" s="73" t="str">
        <f aca="false">IF($E145="","",COUNTIF($E142:$E145,AR$21)+COUNTIF($E142:$E145,$A$3))</f>
        <v/>
      </c>
      <c r="AV145" s="92" t="str">
        <f aca="false">IF($F145="","",COUNTIF($F142:$F145,AR$21)+COUNTIF($F142:$F145,$A$3))</f>
        <v/>
      </c>
      <c r="AX145" s="91" t="str">
        <f aca="false">IF($B145="","",COUNTIF($B142:$B145,AX$21)+COUNTIF($B142:$B145,$A$3))</f>
        <v/>
      </c>
      <c r="AY145" s="73" t="str">
        <f aca="false">IF($C145="","",COUNTIF($C142:$C145,AX$21)+COUNTIF($C142:$C145,$A$3))</f>
        <v/>
      </c>
      <c r="AZ145" s="73" t="str">
        <f aca="false">IF($D145="","",COUNTIF($D142:$D145,AX$21)+COUNTIF($D142:$D145,$A$3))</f>
        <v/>
      </c>
      <c r="BA145" s="73" t="str">
        <f aca="false">IF($E145="","",COUNTIF($E142:$E145,AX$21)+COUNTIF($E142:$E145,$A$3))</f>
        <v/>
      </c>
      <c r="BB145" s="92" t="str">
        <f aca="false">IF($F145="","",COUNTIF($F142:$F145,AX$21)+COUNTIF($F142:$F145,$A$3))</f>
        <v/>
      </c>
      <c r="BD145" s="91" t="str">
        <f aca="false">IF($B145="","",COUNTIF($B142:$B145,BD$21)+COUNTIF($B142:$B145,$A$3))</f>
        <v/>
      </c>
      <c r="BE145" s="73" t="str">
        <f aca="false">IF($C145="","",COUNTIF($C142:$C145,BD$21)+COUNTIF($C142:$C145,$A$3))</f>
        <v/>
      </c>
      <c r="BF145" s="73" t="str">
        <f aca="false">IF($D145="","",COUNTIF($D142:$D145,BD$21)+COUNTIF($D142:$D145,$A$3))</f>
        <v/>
      </c>
      <c r="BG145" s="73" t="str">
        <f aca="false">IF($E145="","",COUNTIF($E142:$E145,BD$21)+COUNTIF($E142:$E145,$A$3))</f>
        <v/>
      </c>
      <c r="BH145" s="92" t="str">
        <f aca="false">IF($F145="","",COUNTIF($F142:$F145,BD$21)+COUNTIF($F142:$F145,$A$3))</f>
        <v/>
      </c>
      <c r="BJ145" s="91" t="str">
        <f aca="false">IF($B145="","",COUNTIF($B142:$B145,BJ$21)+COUNTIF($B142:$B145,$A$3))</f>
        <v/>
      </c>
      <c r="BK145" s="73" t="str">
        <f aca="false">IF($C145="","",COUNTIF($C142:$C145,BJ$21)+COUNTIF($C142:$C145,$A$3))</f>
        <v/>
      </c>
      <c r="BL145" s="73" t="str">
        <f aca="false">IF($D145="","",COUNTIF($D142:$D145,BJ$21)+COUNTIF($D142:$D145,$A$3))</f>
        <v/>
      </c>
      <c r="BM145" s="73" t="str">
        <f aca="false">IF($E145="","",COUNTIF($E142:$E145,BJ$21)+COUNTIF($E142:$E145,$A$3))</f>
        <v/>
      </c>
      <c r="BN145" s="92" t="str">
        <f aca="false">IF($F145="","",COUNTIF($F142:$F145,BJ$21)+COUNTIF($F142:$F145,$A$3))</f>
        <v/>
      </c>
      <c r="BP145" s="91" t="str">
        <f aca="false">IF($B145="","",COUNTIF($B142:$B145,BP$21)+COUNTIF($B142:$B145,$A$3))</f>
        <v/>
      </c>
      <c r="BQ145" s="73" t="str">
        <f aca="false">IF($C145="","",COUNTIF($C142:$C145,BP$21)+COUNTIF($C142:$C145,$A$3))</f>
        <v/>
      </c>
      <c r="BR145" s="73" t="str">
        <f aca="false">IF($D145="","",COUNTIF($D142:$D145,BP$21)+COUNTIF($D142:$D145,$A$3))</f>
        <v/>
      </c>
      <c r="BS145" s="73" t="str">
        <f aca="false">IF($E145="","",COUNTIF($E142:$E145,BP$21)+COUNTIF($E142:$E145,$A$3))</f>
        <v/>
      </c>
      <c r="BT145" s="92" t="str">
        <f aca="false">IF($F145="","",COUNTIF($F142:$F145,BP$21)+COUNTIF($F142:$F145,$A$3))</f>
        <v/>
      </c>
    </row>
    <row r="146" customFormat="false" ht="15" hidden="false" customHeight="false" outlineLevel="0" collapsed="false">
      <c r="A146" s="13" t="n">
        <v>124</v>
      </c>
      <c r="B146" s="116" t="str">
        <f aca="false">IF('Game Info'!Q129="","",'Game Info'!Q129)</f>
        <v/>
      </c>
      <c r="C146" s="116" t="str">
        <f aca="false">IF('Game Info'!R129="","",'Game Info'!R129)</f>
        <v/>
      </c>
      <c r="D146" s="116" t="str">
        <f aca="false">IF('Game Info'!S129="","",'Game Info'!S129)</f>
        <v/>
      </c>
      <c r="E146" s="116" t="str">
        <f aca="false">IF('Game Info'!T129="","",'Game Info'!T129)</f>
        <v/>
      </c>
      <c r="F146" s="117" t="str">
        <f aca="false">IF('Game Info'!U129="","",'Game Info'!U129)</f>
        <v/>
      </c>
      <c r="H146" s="91" t="str">
        <f aca="false">IF($B146="","",COUNTIF($B143:$B146,H$21)+COUNTIF($B143:$B146,$A$3))</f>
        <v/>
      </c>
      <c r="I146" s="73" t="str">
        <f aca="false">IF($C146="","",COUNTIF($C143:$C146,H$21)+COUNTIF($C143:$C146,$A$3))</f>
        <v/>
      </c>
      <c r="J146" s="73" t="str">
        <f aca="false">IF($D146="","",COUNTIF($D143:$D146,H$21)+COUNTIF($D143:$D146,$A$3))</f>
        <v/>
      </c>
      <c r="K146" s="73" t="str">
        <f aca="false">IF($E146="","",COUNTIF($E143:$E146,H$21)+COUNTIF($E143:$E146,$A$3))</f>
        <v/>
      </c>
      <c r="L146" s="92" t="str">
        <f aca="false">IF($F146="","",COUNTIF($F143:$F146,H$21)+COUNTIF($F143:$F146,$A$3))</f>
        <v/>
      </c>
      <c r="N146" s="91" t="str">
        <f aca="false">IF($B146="","",COUNTIF($B143:$B146,N$21)+COUNTIF($B143:$B146,$A$3))</f>
        <v/>
      </c>
      <c r="O146" s="73" t="str">
        <f aca="false">IF($C146="","",COUNTIF($C143:$C146,N$21)+COUNTIF($C143:$C146,$A$3))</f>
        <v/>
      </c>
      <c r="P146" s="73" t="str">
        <f aca="false">IF($D146="","",COUNTIF($D143:$D146,N$21)+COUNTIF($D143:$D146,$A$3))</f>
        <v/>
      </c>
      <c r="Q146" s="73" t="str">
        <f aca="false">IF($E146="","",COUNTIF($E143:$E146,N$21)+COUNTIF($E143:$E146,$A$3))</f>
        <v/>
      </c>
      <c r="R146" s="92" t="str">
        <f aca="false">IF($F146="","",COUNTIF($F143:$F146,N$21)+COUNTIF($F143:$F146,$A$3))</f>
        <v/>
      </c>
      <c r="T146" s="91" t="str">
        <f aca="false">IF($B146="","",COUNTIF($B143:$B146,T$21)+COUNTIF($B143:$B146,$A$3))</f>
        <v/>
      </c>
      <c r="U146" s="73" t="str">
        <f aca="false">IF($C146="","",COUNTIF($C143:$C146,T$21)+COUNTIF($C143:$C146,$A$3))</f>
        <v/>
      </c>
      <c r="V146" s="73" t="str">
        <f aca="false">IF($D146="","",COUNTIF($D143:$D146,T$21)+COUNTIF($D143:$D146,$A$3))</f>
        <v/>
      </c>
      <c r="W146" s="73" t="str">
        <f aca="false">IF($E146="","",COUNTIF($E143:$E146,T$21)+COUNTIF($E143:$E146,$A$3))</f>
        <v/>
      </c>
      <c r="X146" s="92" t="str">
        <f aca="false">IF($F146="","",COUNTIF($F143:$F146,T$21)+COUNTIF($F143:$F146,$A$3))</f>
        <v/>
      </c>
      <c r="Z146" s="91" t="str">
        <f aca="false">IF($B146="","",COUNTIF($B143:$B146,Z$21)+COUNTIF($B143:$B146,$A$3))</f>
        <v/>
      </c>
      <c r="AA146" s="73" t="str">
        <f aca="false">IF($C146="","",COUNTIF($C143:$C146,Z$21)+COUNTIF($C143:$C146,$A$3))</f>
        <v/>
      </c>
      <c r="AB146" s="73" t="str">
        <f aca="false">IF($D146="","",COUNTIF($D143:$D146,Z$21)+COUNTIF($D143:$D146,$A$3))</f>
        <v/>
      </c>
      <c r="AC146" s="73" t="str">
        <f aca="false">IF($E146="","",COUNTIF($E143:$E146,Z$21)+COUNTIF($E143:$E146,$A$3))</f>
        <v/>
      </c>
      <c r="AD146" s="92" t="str">
        <f aca="false">IF($F146="","",COUNTIF($F143:$F146,Z$21)+COUNTIF($F143:$F146,$A$3))</f>
        <v/>
      </c>
      <c r="AF146" s="91" t="str">
        <f aca="false">IF($B146="","",COUNTIF($B143:$B146,AF$21)+COUNTIF($B143:$B146,$A$3))</f>
        <v/>
      </c>
      <c r="AG146" s="73" t="str">
        <f aca="false">IF($C146="","",COUNTIF($C143:$C146,AF$21)+COUNTIF($C143:$C146,$A$3))</f>
        <v/>
      </c>
      <c r="AH146" s="73" t="str">
        <f aca="false">IF($D146="","",COUNTIF($D143:$D146,AF$21)+COUNTIF($D143:$D146,$A$3))</f>
        <v/>
      </c>
      <c r="AI146" s="73" t="str">
        <f aca="false">IF($E146="","",COUNTIF($E143:$E146,AF$21)+COUNTIF($E143:$E146,$A$3))</f>
        <v/>
      </c>
      <c r="AJ146" s="92" t="str">
        <f aca="false">IF($F146="","",COUNTIF($F143:$F146,AF$21)+COUNTIF($F143:$F146,$A$3))</f>
        <v/>
      </c>
      <c r="AL146" s="91" t="str">
        <f aca="false">IF($B146="","",COUNTIF($B143:$B146,AL$21)+COUNTIF($B143:$B146,$A$3))</f>
        <v/>
      </c>
      <c r="AM146" s="73" t="str">
        <f aca="false">IF($C146="","",COUNTIF($C143:$C146,AL$21)+COUNTIF($C143:$C146,$A$3))</f>
        <v/>
      </c>
      <c r="AN146" s="73" t="str">
        <f aca="false">IF($D146="","",COUNTIF($D143:$D146,AL$21)+COUNTIF($D143:$D146,$A$3))</f>
        <v/>
      </c>
      <c r="AO146" s="73" t="str">
        <f aca="false">IF($E146="","",COUNTIF($E143:$E146,AL$21)+COUNTIF($E143:$E146,$A$3))</f>
        <v/>
      </c>
      <c r="AP146" s="92" t="str">
        <f aca="false">IF($F146="","",COUNTIF($F143:$F146,AL$21)+COUNTIF($F143:$F146,$A$3))</f>
        <v/>
      </c>
      <c r="AR146" s="91" t="str">
        <f aca="false">IF($B146="","",COUNTIF($B143:$B146,AR$21)+COUNTIF($B143:$B146,$A$3))</f>
        <v/>
      </c>
      <c r="AS146" s="73" t="str">
        <f aca="false">IF($C146="","",COUNTIF($C143:$C146,AR$21)+COUNTIF($C143:$C146,$A$3))</f>
        <v/>
      </c>
      <c r="AT146" s="73" t="str">
        <f aca="false">IF($D146="","",COUNTIF($D143:$D146,AR$21)+COUNTIF($D143:$D146,$A$3))</f>
        <v/>
      </c>
      <c r="AU146" s="73" t="str">
        <f aca="false">IF($E146="","",COUNTIF($E143:$E146,AR$21)+COUNTIF($E143:$E146,$A$3))</f>
        <v/>
      </c>
      <c r="AV146" s="92" t="str">
        <f aca="false">IF($F146="","",COUNTIF($F143:$F146,AR$21)+COUNTIF($F143:$F146,$A$3))</f>
        <v/>
      </c>
      <c r="AX146" s="91" t="str">
        <f aca="false">IF($B146="","",COUNTIF($B143:$B146,AX$21)+COUNTIF($B143:$B146,$A$3))</f>
        <v/>
      </c>
      <c r="AY146" s="73" t="str">
        <f aca="false">IF($C146="","",COUNTIF($C143:$C146,AX$21)+COUNTIF($C143:$C146,$A$3))</f>
        <v/>
      </c>
      <c r="AZ146" s="73" t="str">
        <f aca="false">IF($D146="","",COUNTIF($D143:$D146,AX$21)+COUNTIF($D143:$D146,$A$3))</f>
        <v/>
      </c>
      <c r="BA146" s="73" t="str">
        <f aca="false">IF($E146="","",COUNTIF($E143:$E146,AX$21)+COUNTIF($E143:$E146,$A$3))</f>
        <v/>
      </c>
      <c r="BB146" s="92" t="str">
        <f aca="false">IF($F146="","",COUNTIF($F143:$F146,AX$21)+COUNTIF($F143:$F146,$A$3))</f>
        <v/>
      </c>
      <c r="BD146" s="91" t="str">
        <f aca="false">IF($B146="","",COUNTIF($B143:$B146,BD$21)+COUNTIF($B143:$B146,$A$3))</f>
        <v/>
      </c>
      <c r="BE146" s="73" t="str">
        <f aca="false">IF($C146="","",COUNTIF($C143:$C146,BD$21)+COUNTIF($C143:$C146,$A$3))</f>
        <v/>
      </c>
      <c r="BF146" s="73" t="str">
        <f aca="false">IF($D146="","",COUNTIF($D143:$D146,BD$21)+COUNTIF($D143:$D146,$A$3))</f>
        <v/>
      </c>
      <c r="BG146" s="73" t="str">
        <f aca="false">IF($E146="","",COUNTIF($E143:$E146,BD$21)+COUNTIF($E143:$E146,$A$3))</f>
        <v/>
      </c>
      <c r="BH146" s="92" t="str">
        <f aca="false">IF($F146="","",COUNTIF($F143:$F146,BD$21)+COUNTIF($F143:$F146,$A$3))</f>
        <v/>
      </c>
      <c r="BJ146" s="91" t="str">
        <f aca="false">IF($B146="","",COUNTIF($B143:$B146,BJ$21)+COUNTIF($B143:$B146,$A$3))</f>
        <v/>
      </c>
      <c r="BK146" s="73" t="str">
        <f aca="false">IF($C146="","",COUNTIF($C143:$C146,BJ$21)+COUNTIF($C143:$C146,$A$3))</f>
        <v/>
      </c>
      <c r="BL146" s="73" t="str">
        <f aca="false">IF($D146="","",COUNTIF($D143:$D146,BJ$21)+COUNTIF($D143:$D146,$A$3))</f>
        <v/>
      </c>
      <c r="BM146" s="73" t="str">
        <f aca="false">IF($E146="","",COUNTIF($E143:$E146,BJ$21)+COUNTIF($E143:$E146,$A$3))</f>
        <v/>
      </c>
      <c r="BN146" s="92" t="str">
        <f aca="false">IF($F146="","",COUNTIF($F143:$F146,BJ$21)+COUNTIF($F143:$F146,$A$3))</f>
        <v/>
      </c>
      <c r="BP146" s="91" t="str">
        <f aca="false">IF($B146="","",COUNTIF($B143:$B146,BP$21)+COUNTIF($B143:$B146,$A$3))</f>
        <v/>
      </c>
      <c r="BQ146" s="73" t="str">
        <f aca="false">IF($C146="","",COUNTIF($C143:$C146,BP$21)+COUNTIF($C143:$C146,$A$3))</f>
        <v/>
      </c>
      <c r="BR146" s="73" t="str">
        <f aca="false">IF($D146="","",COUNTIF($D143:$D146,BP$21)+COUNTIF($D143:$D146,$A$3))</f>
        <v/>
      </c>
      <c r="BS146" s="73" t="str">
        <f aca="false">IF($E146="","",COUNTIF($E143:$E146,BP$21)+COUNTIF($E143:$E146,$A$3))</f>
        <v/>
      </c>
      <c r="BT146" s="92" t="str">
        <f aca="false">IF($F146="","",COUNTIF($F143:$F146,BP$21)+COUNTIF($F143:$F146,$A$3))</f>
        <v/>
      </c>
    </row>
    <row r="147" customFormat="false" ht="15" hidden="false" customHeight="false" outlineLevel="0" collapsed="false">
      <c r="A147" s="13" t="n">
        <v>125</v>
      </c>
      <c r="B147" s="116" t="str">
        <f aca="false">IF('Game Info'!Q130="","",'Game Info'!Q130)</f>
        <v/>
      </c>
      <c r="C147" s="116" t="str">
        <f aca="false">IF('Game Info'!R130="","",'Game Info'!R130)</f>
        <v/>
      </c>
      <c r="D147" s="116" t="str">
        <f aca="false">IF('Game Info'!S130="","",'Game Info'!S130)</f>
        <v/>
      </c>
      <c r="E147" s="116" t="str">
        <f aca="false">IF('Game Info'!T130="","",'Game Info'!T130)</f>
        <v/>
      </c>
      <c r="F147" s="117" t="str">
        <f aca="false">IF('Game Info'!U130="","",'Game Info'!U130)</f>
        <v/>
      </c>
      <c r="H147" s="91" t="str">
        <f aca="false">IF($B147="","",COUNTIF($B144:$B147,H$21)+COUNTIF($B144:$B147,$A$3))</f>
        <v/>
      </c>
      <c r="I147" s="73" t="str">
        <f aca="false">IF($C147="","",COUNTIF($C144:$C147,H$21)+COUNTIF($C144:$C147,$A$3))</f>
        <v/>
      </c>
      <c r="J147" s="73" t="str">
        <f aca="false">IF($D147="","",COUNTIF($D144:$D147,H$21)+COUNTIF($D144:$D147,$A$3))</f>
        <v/>
      </c>
      <c r="K147" s="73" t="str">
        <f aca="false">IF($E147="","",COUNTIF($E144:$E147,H$21)+COUNTIF($E144:$E147,$A$3))</f>
        <v/>
      </c>
      <c r="L147" s="92" t="str">
        <f aca="false">IF($F147="","",COUNTIF($F144:$F147,H$21)+COUNTIF($F144:$F147,$A$3))</f>
        <v/>
      </c>
      <c r="N147" s="91" t="str">
        <f aca="false">IF($B147="","",COUNTIF($B144:$B147,N$21)+COUNTIF($B144:$B147,$A$3))</f>
        <v/>
      </c>
      <c r="O147" s="73" t="str">
        <f aca="false">IF($C147="","",COUNTIF($C144:$C147,N$21)+COUNTIF($C144:$C147,$A$3))</f>
        <v/>
      </c>
      <c r="P147" s="73" t="str">
        <f aca="false">IF($D147="","",COUNTIF($D144:$D147,N$21)+COUNTIF($D144:$D147,$A$3))</f>
        <v/>
      </c>
      <c r="Q147" s="73" t="str">
        <f aca="false">IF($E147="","",COUNTIF($E144:$E147,N$21)+COUNTIF($E144:$E147,$A$3))</f>
        <v/>
      </c>
      <c r="R147" s="92" t="str">
        <f aca="false">IF($F147="","",COUNTIF($F144:$F147,N$21)+COUNTIF($F144:$F147,$A$3))</f>
        <v/>
      </c>
      <c r="T147" s="91" t="str">
        <f aca="false">IF($B147="","",COUNTIF($B144:$B147,T$21)+COUNTIF($B144:$B147,$A$3))</f>
        <v/>
      </c>
      <c r="U147" s="73" t="str">
        <f aca="false">IF($C147="","",COUNTIF($C144:$C147,T$21)+COUNTIF($C144:$C147,$A$3))</f>
        <v/>
      </c>
      <c r="V147" s="73" t="str">
        <f aca="false">IF($D147="","",COUNTIF($D144:$D147,T$21)+COUNTIF($D144:$D147,$A$3))</f>
        <v/>
      </c>
      <c r="W147" s="73" t="str">
        <f aca="false">IF($E147="","",COUNTIF($E144:$E147,T$21)+COUNTIF($E144:$E147,$A$3))</f>
        <v/>
      </c>
      <c r="X147" s="92" t="str">
        <f aca="false">IF($F147="","",COUNTIF($F144:$F147,T$21)+COUNTIF($F144:$F147,$A$3))</f>
        <v/>
      </c>
      <c r="Z147" s="91" t="str">
        <f aca="false">IF($B147="","",COUNTIF($B144:$B147,Z$21)+COUNTIF($B144:$B147,$A$3))</f>
        <v/>
      </c>
      <c r="AA147" s="73" t="str">
        <f aca="false">IF($C147="","",COUNTIF($C144:$C147,Z$21)+COUNTIF($C144:$C147,$A$3))</f>
        <v/>
      </c>
      <c r="AB147" s="73" t="str">
        <f aca="false">IF($D147="","",COUNTIF($D144:$D147,Z$21)+COUNTIF($D144:$D147,$A$3))</f>
        <v/>
      </c>
      <c r="AC147" s="73" t="str">
        <f aca="false">IF($E147="","",COUNTIF($E144:$E147,Z$21)+COUNTIF($E144:$E147,$A$3))</f>
        <v/>
      </c>
      <c r="AD147" s="92" t="str">
        <f aca="false">IF($F147="","",COUNTIF($F144:$F147,Z$21)+COUNTIF($F144:$F147,$A$3))</f>
        <v/>
      </c>
      <c r="AF147" s="91" t="str">
        <f aca="false">IF($B147="","",COUNTIF($B144:$B147,AF$21)+COUNTIF($B144:$B147,$A$3))</f>
        <v/>
      </c>
      <c r="AG147" s="73" t="str">
        <f aca="false">IF($C147="","",COUNTIF($C144:$C147,AF$21)+COUNTIF($C144:$C147,$A$3))</f>
        <v/>
      </c>
      <c r="AH147" s="73" t="str">
        <f aca="false">IF($D147="","",COUNTIF($D144:$D147,AF$21)+COUNTIF($D144:$D147,$A$3))</f>
        <v/>
      </c>
      <c r="AI147" s="73" t="str">
        <f aca="false">IF($E147="","",COUNTIF($E144:$E147,AF$21)+COUNTIF($E144:$E147,$A$3))</f>
        <v/>
      </c>
      <c r="AJ147" s="92" t="str">
        <f aca="false">IF($F147="","",COUNTIF($F144:$F147,AF$21)+COUNTIF($F144:$F147,$A$3))</f>
        <v/>
      </c>
      <c r="AL147" s="91" t="str">
        <f aca="false">IF($B147="","",COUNTIF($B144:$B147,AL$21)+COUNTIF($B144:$B147,$A$3))</f>
        <v/>
      </c>
      <c r="AM147" s="73" t="str">
        <f aca="false">IF($C147="","",COUNTIF($C144:$C147,AL$21)+COUNTIF($C144:$C147,$A$3))</f>
        <v/>
      </c>
      <c r="AN147" s="73" t="str">
        <f aca="false">IF($D147="","",COUNTIF($D144:$D147,AL$21)+COUNTIF($D144:$D147,$A$3))</f>
        <v/>
      </c>
      <c r="AO147" s="73" t="str">
        <f aca="false">IF($E147="","",COUNTIF($E144:$E147,AL$21)+COUNTIF($E144:$E147,$A$3))</f>
        <v/>
      </c>
      <c r="AP147" s="92" t="str">
        <f aca="false">IF($F147="","",COUNTIF($F144:$F147,AL$21)+COUNTIF($F144:$F147,$A$3))</f>
        <v/>
      </c>
      <c r="AR147" s="91" t="str">
        <f aca="false">IF($B147="","",COUNTIF($B144:$B147,AR$21)+COUNTIF($B144:$B147,$A$3))</f>
        <v/>
      </c>
      <c r="AS147" s="73" t="str">
        <f aca="false">IF($C147="","",COUNTIF($C144:$C147,AR$21)+COUNTIF($C144:$C147,$A$3))</f>
        <v/>
      </c>
      <c r="AT147" s="73" t="str">
        <f aca="false">IF($D147="","",COUNTIF($D144:$D147,AR$21)+COUNTIF($D144:$D147,$A$3))</f>
        <v/>
      </c>
      <c r="AU147" s="73" t="str">
        <f aca="false">IF($E147="","",COUNTIF($E144:$E147,AR$21)+COUNTIF($E144:$E147,$A$3))</f>
        <v/>
      </c>
      <c r="AV147" s="92" t="str">
        <f aca="false">IF($F147="","",COUNTIF($F144:$F147,AR$21)+COUNTIF($F144:$F147,$A$3))</f>
        <v/>
      </c>
      <c r="AX147" s="91" t="str">
        <f aca="false">IF($B147="","",COUNTIF($B144:$B147,AX$21)+COUNTIF($B144:$B147,$A$3))</f>
        <v/>
      </c>
      <c r="AY147" s="73" t="str">
        <f aca="false">IF($C147="","",COUNTIF($C144:$C147,AX$21)+COUNTIF($C144:$C147,$A$3))</f>
        <v/>
      </c>
      <c r="AZ147" s="73" t="str">
        <f aca="false">IF($D147="","",COUNTIF($D144:$D147,AX$21)+COUNTIF($D144:$D147,$A$3))</f>
        <v/>
      </c>
      <c r="BA147" s="73" t="str">
        <f aca="false">IF($E147="","",COUNTIF($E144:$E147,AX$21)+COUNTIF($E144:$E147,$A$3))</f>
        <v/>
      </c>
      <c r="BB147" s="92" t="str">
        <f aca="false">IF($F147="","",COUNTIF($F144:$F147,AX$21)+COUNTIF($F144:$F147,$A$3))</f>
        <v/>
      </c>
      <c r="BD147" s="91" t="str">
        <f aca="false">IF($B147="","",COUNTIF($B144:$B147,BD$21)+COUNTIF($B144:$B147,$A$3))</f>
        <v/>
      </c>
      <c r="BE147" s="73" t="str">
        <f aca="false">IF($C147="","",COUNTIF($C144:$C147,BD$21)+COUNTIF($C144:$C147,$A$3))</f>
        <v/>
      </c>
      <c r="BF147" s="73" t="str">
        <f aca="false">IF($D147="","",COUNTIF($D144:$D147,BD$21)+COUNTIF($D144:$D147,$A$3))</f>
        <v/>
      </c>
      <c r="BG147" s="73" t="str">
        <f aca="false">IF($E147="","",COUNTIF($E144:$E147,BD$21)+COUNTIF($E144:$E147,$A$3))</f>
        <v/>
      </c>
      <c r="BH147" s="92" t="str">
        <f aca="false">IF($F147="","",COUNTIF($F144:$F147,BD$21)+COUNTIF($F144:$F147,$A$3))</f>
        <v/>
      </c>
      <c r="BJ147" s="91" t="str">
        <f aca="false">IF($B147="","",COUNTIF($B144:$B147,BJ$21)+COUNTIF($B144:$B147,$A$3))</f>
        <v/>
      </c>
      <c r="BK147" s="73" t="str">
        <f aca="false">IF($C147="","",COUNTIF($C144:$C147,BJ$21)+COUNTIF($C144:$C147,$A$3))</f>
        <v/>
      </c>
      <c r="BL147" s="73" t="str">
        <f aca="false">IF($D147="","",COUNTIF($D144:$D147,BJ$21)+COUNTIF($D144:$D147,$A$3))</f>
        <v/>
      </c>
      <c r="BM147" s="73" t="str">
        <f aca="false">IF($E147="","",COUNTIF($E144:$E147,BJ$21)+COUNTIF($E144:$E147,$A$3))</f>
        <v/>
      </c>
      <c r="BN147" s="92" t="str">
        <f aca="false">IF($F147="","",COUNTIF($F144:$F147,BJ$21)+COUNTIF($F144:$F147,$A$3))</f>
        <v/>
      </c>
      <c r="BP147" s="91" t="str">
        <f aca="false">IF($B147="","",COUNTIF($B144:$B147,BP$21)+COUNTIF($B144:$B147,$A$3))</f>
        <v/>
      </c>
      <c r="BQ147" s="73" t="str">
        <f aca="false">IF($C147="","",COUNTIF($C144:$C147,BP$21)+COUNTIF($C144:$C147,$A$3))</f>
        <v/>
      </c>
      <c r="BR147" s="73" t="str">
        <f aca="false">IF($D147="","",COUNTIF($D144:$D147,BP$21)+COUNTIF($D144:$D147,$A$3))</f>
        <v/>
      </c>
      <c r="BS147" s="73" t="str">
        <f aca="false">IF($E147="","",COUNTIF($E144:$E147,BP$21)+COUNTIF($E144:$E147,$A$3))</f>
        <v/>
      </c>
      <c r="BT147" s="92" t="str">
        <f aca="false">IF($F147="","",COUNTIF($F144:$F147,BP$21)+COUNTIF($F144:$F147,$A$3))</f>
        <v/>
      </c>
    </row>
    <row r="148" customFormat="false" ht="15" hidden="false" customHeight="false" outlineLevel="0" collapsed="false">
      <c r="A148" s="13" t="n">
        <v>126</v>
      </c>
      <c r="B148" s="116" t="str">
        <f aca="false">IF('Game Info'!Q131="","",'Game Info'!Q131)</f>
        <v/>
      </c>
      <c r="C148" s="116" t="str">
        <f aca="false">IF('Game Info'!R131="","",'Game Info'!R131)</f>
        <v/>
      </c>
      <c r="D148" s="116" t="str">
        <f aca="false">IF('Game Info'!S131="","",'Game Info'!S131)</f>
        <v/>
      </c>
      <c r="E148" s="116" t="str">
        <f aca="false">IF('Game Info'!T131="","",'Game Info'!T131)</f>
        <v/>
      </c>
      <c r="F148" s="117" t="str">
        <f aca="false">IF('Game Info'!U131="","",'Game Info'!U131)</f>
        <v/>
      </c>
      <c r="H148" s="91" t="str">
        <f aca="false">IF($B148="","",COUNTIF($B145:$B148,H$21)+COUNTIF($B145:$B148,$A$3))</f>
        <v/>
      </c>
      <c r="I148" s="73" t="str">
        <f aca="false">IF($C148="","",COUNTIF($C145:$C148,H$21)+COUNTIF($C145:$C148,$A$3))</f>
        <v/>
      </c>
      <c r="J148" s="73" t="str">
        <f aca="false">IF($D148="","",COUNTIF($D145:$D148,H$21)+COUNTIF($D145:$D148,$A$3))</f>
        <v/>
      </c>
      <c r="K148" s="73" t="str">
        <f aca="false">IF($E148="","",COUNTIF($E145:$E148,H$21)+COUNTIF($E145:$E148,$A$3))</f>
        <v/>
      </c>
      <c r="L148" s="92" t="str">
        <f aca="false">IF($F148="","",COUNTIF($F145:$F148,H$21)+COUNTIF($F145:$F148,$A$3))</f>
        <v/>
      </c>
      <c r="N148" s="91" t="str">
        <f aca="false">IF($B148="","",COUNTIF($B145:$B148,N$21)+COUNTIF($B145:$B148,$A$3))</f>
        <v/>
      </c>
      <c r="O148" s="73" t="str">
        <f aca="false">IF($C148="","",COUNTIF($C145:$C148,N$21)+COUNTIF($C145:$C148,$A$3))</f>
        <v/>
      </c>
      <c r="P148" s="73" t="str">
        <f aca="false">IF($D148="","",COUNTIF($D145:$D148,N$21)+COUNTIF($D145:$D148,$A$3))</f>
        <v/>
      </c>
      <c r="Q148" s="73" t="str">
        <f aca="false">IF($E148="","",COUNTIF($E145:$E148,N$21)+COUNTIF($E145:$E148,$A$3))</f>
        <v/>
      </c>
      <c r="R148" s="92" t="str">
        <f aca="false">IF($F148="","",COUNTIF($F145:$F148,N$21)+COUNTIF($F145:$F148,$A$3))</f>
        <v/>
      </c>
      <c r="T148" s="91" t="str">
        <f aca="false">IF($B148="","",COUNTIF($B145:$B148,T$21)+COUNTIF($B145:$B148,$A$3))</f>
        <v/>
      </c>
      <c r="U148" s="73" t="str">
        <f aca="false">IF($C148="","",COUNTIF($C145:$C148,T$21)+COUNTIF($C145:$C148,$A$3))</f>
        <v/>
      </c>
      <c r="V148" s="73" t="str">
        <f aca="false">IF($D148="","",COUNTIF($D145:$D148,T$21)+COUNTIF($D145:$D148,$A$3))</f>
        <v/>
      </c>
      <c r="W148" s="73" t="str">
        <f aca="false">IF($E148="","",COUNTIF($E145:$E148,T$21)+COUNTIF($E145:$E148,$A$3))</f>
        <v/>
      </c>
      <c r="X148" s="92" t="str">
        <f aca="false">IF($F148="","",COUNTIF($F145:$F148,T$21)+COUNTIF($F145:$F148,$A$3))</f>
        <v/>
      </c>
      <c r="Z148" s="91" t="str">
        <f aca="false">IF($B148="","",COUNTIF($B145:$B148,Z$21)+COUNTIF($B145:$B148,$A$3))</f>
        <v/>
      </c>
      <c r="AA148" s="73" t="str">
        <f aca="false">IF($C148="","",COUNTIF($C145:$C148,Z$21)+COUNTIF($C145:$C148,$A$3))</f>
        <v/>
      </c>
      <c r="AB148" s="73" t="str">
        <f aca="false">IF($D148="","",COUNTIF($D145:$D148,Z$21)+COUNTIF($D145:$D148,$A$3))</f>
        <v/>
      </c>
      <c r="AC148" s="73" t="str">
        <f aca="false">IF($E148="","",COUNTIF($E145:$E148,Z$21)+COUNTIF($E145:$E148,$A$3))</f>
        <v/>
      </c>
      <c r="AD148" s="92" t="str">
        <f aca="false">IF($F148="","",COUNTIF($F145:$F148,Z$21)+COUNTIF($F145:$F148,$A$3))</f>
        <v/>
      </c>
      <c r="AF148" s="91" t="str">
        <f aca="false">IF($B148="","",COUNTIF($B145:$B148,AF$21)+COUNTIF($B145:$B148,$A$3))</f>
        <v/>
      </c>
      <c r="AG148" s="73" t="str">
        <f aca="false">IF($C148="","",COUNTIF($C145:$C148,AF$21)+COUNTIF($C145:$C148,$A$3))</f>
        <v/>
      </c>
      <c r="AH148" s="73" t="str">
        <f aca="false">IF($D148="","",COUNTIF($D145:$D148,AF$21)+COUNTIF($D145:$D148,$A$3))</f>
        <v/>
      </c>
      <c r="AI148" s="73" t="str">
        <f aca="false">IF($E148="","",COUNTIF($E145:$E148,AF$21)+COUNTIF($E145:$E148,$A$3))</f>
        <v/>
      </c>
      <c r="AJ148" s="92" t="str">
        <f aca="false">IF($F148="","",COUNTIF($F145:$F148,AF$21)+COUNTIF($F145:$F148,$A$3))</f>
        <v/>
      </c>
      <c r="AL148" s="91" t="str">
        <f aca="false">IF($B148="","",COUNTIF($B145:$B148,AL$21)+COUNTIF($B145:$B148,$A$3))</f>
        <v/>
      </c>
      <c r="AM148" s="73" t="str">
        <f aca="false">IF($C148="","",COUNTIF($C145:$C148,AL$21)+COUNTIF($C145:$C148,$A$3))</f>
        <v/>
      </c>
      <c r="AN148" s="73" t="str">
        <f aca="false">IF($D148="","",COUNTIF($D145:$D148,AL$21)+COUNTIF($D145:$D148,$A$3))</f>
        <v/>
      </c>
      <c r="AO148" s="73" t="str">
        <f aca="false">IF($E148="","",COUNTIF($E145:$E148,AL$21)+COUNTIF($E145:$E148,$A$3))</f>
        <v/>
      </c>
      <c r="AP148" s="92" t="str">
        <f aca="false">IF($F148="","",COUNTIF($F145:$F148,AL$21)+COUNTIF($F145:$F148,$A$3))</f>
        <v/>
      </c>
      <c r="AR148" s="91" t="str">
        <f aca="false">IF($B148="","",COUNTIF($B145:$B148,AR$21)+COUNTIF($B145:$B148,$A$3))</f>
        <v/>
      </c>
      <c r="AS148" s="73" t="str">
        <f aca="false">IF($C148="","",COUNTIF($C145:$C148,AR$21)+COUNTIF($C145:$C148,$A$3))</f>
        <v/>
      </c>
      <c r="AT148" s="73" t="str">
        <f aca="false">IF($D148="","",COUNTIF($D145:$D148,AR$21)+COUNTIF($D145:$D148,$A$3))</f>
        <v/>
      </c>
      <c r="AU148" s="73" t="str">
        <f aca="false">IF($E148="","",COUNTIF($E145:$E148,AR$21)+COUNTIF($E145:$E148,$A$3))</f>
        <v/>
      </c>
      <c r="AV148" s="92" t="str">
        <f aca="false">IF($F148="","",COUNTIF($F145:$F148,AR$21)+COUNTIF($F145:$F148,$A$3))</f>
        <v/>
      </c>
      <c r="AX148" s="91" t="str">
        <f aca="false">IF($B148="","",COUNTIF($B145:$B148,AX$21)+COUNTIF($B145:$B148,$A$3))</f>
        <v/>
      </c>
      <c r="AY148" s="73" t="str">
        <f aca="false">IF($C148="","",COUNTIF($C145:$C148,AX$21)+COUNTIF($C145:$C148,$A$3))</f>
        <v/>
      </c>
      <c r="AZ148" s="73" t="str">
        <f aca="false">IF($D148="","",COUNTIF($D145:$D148,AX$21)+COUNTIF($D145:$D148,$A$3))</f>
        <v/>
      </c>
      <c r="BA148" s="73" t="str">
        <f aca="false">IF($E148="","",COUNTIF($E145:$E148,AX$21)+COUNTIF($E145:$E148,$A$3))</f>
        <v/>
      </c>
      <c r="BB148" s="92" t="str">
        <f aca="false">IF($F148="","",COUNTIF($F145:$F148,AX$21)+COUNTIF($F145:$F148,$A$3))</f>
        <v/>
      </c>
      <c r="BD148" s="91" t="str">
        <f aca="false">IF($B148="","",COUNTIF($B145:$B148,BD$21)+COUNTIF($B145:$B148,$A$3))</f>
        <v/>
      </c>
      <c r="BE148" s="73" t="str">
        <f aca="false">IF($C148="","",COUNTIF($C145:$C148,BD$21)+COUNTIF($C145:$C148,$A$3))</f>
        <v/>
      </c>
      <c r="BF148" s="73" t="str">
        <f aca="false">IF($D148="","",COUNTIF($D145:$D148,BD$21)+COUNTIF($D145:$D148,$A$3))</f>
        <v/>
      </c>
      <c r="BG148" s="73" t="str">
        <f aca="false">IF($E148="","",COUNTIF($E145:$E148,BD$21)+COUNTIF($E145:$E148,$A$3))</f>
        <v/>
      </c>
      <c r="BH148" s="92" t="str">
        <f aca="false">IF($F148="","",COUNTIF($F145:$F148,BD$21)+COUNTIF($F145:$F148,$A$3))</f>
        <v/>
      </c>
      <c r="BJ148" s="91" t="str">
        <f aca="false">IF($B148="","",COUNTIF($B145:$B148,BJ$21)+COUNTIF($B145:$B148,$A$3))</f>
        <v/>
      </c>
      <c r="BK148" s="73" t="str">
        <f aca="false">IF($C148="","",COUNTIF($C145:$C148,BJ$21)+COUNTIF($C145:$C148,$A$3))</f>
        <v/>
      </c>
      <c r="BL148" s="73" t="str">
        <f aca="false">IF($D148="","",COUNTIF($D145:$D148,BJ$21)+COUNTIF($D145:$D148,$A$3))</f>
        <v/>
      </c>
      <c r="BM148" s="73" t="str">
        <f aca="false">IF($E148="","",COUNTIF($E145:$E148,BJ$21)+COUNTIF($E145:$E148,$A$3))</f>
        <v/>
      </c>
      <c r="BN148" s="92" t="str">
        <f aca="false">IF($F148="","",COUNTIF($F145:$F148,BJ$21)+COUNTIF($F145:$F148,$A$3))</f>
        <v/>
      </c>
      <c r="BP148" s="91" t="str">
        <f aca="false">IF($B148="","",COUNTIF($B145:$B148,BP$21)+COUNTIF($B145:$B148,$A$3))</f>
        <v/>
      </c>
      <c r="BQ148" s="73" t="str">
        <f aca="false">IF($C148="","",COUNTIF($C145:$C148,BP$21)+COUNTIF($C145:$C148,$A$3))</f>
        <v/>
      </c>
      <c r="BR148" s="73" t="str">
        <f aca="false">IF($D148="","",COUNTIF($D145:$D148,BP$21)+COUNTIF($D145:$D148,$A$3))</f>
        <v/>
      </c>
      <c r="BS148" s="73" t="str">
        <f aca="false">IF($E148="","",COUNTIF($E145:$E148,BP$21)+COUNTIF($E145:$E148,$A$3))</f>
        <v/>
      </c>
      <c r="BT148" s="92" t="str">
        <f aca="false">IF($F148="","",COUNTIF($F145:$F148,BP$21)+COUNTIF($F145:$F148,$A$3))</f>
        <v/>
      </c>
    </row>
    <row r="149" customFormat="false" ht="15" hidden="false" customHeight="false" outlineLevel="0" collapsed="false">
      <c r="A149" s="13" t="n">
        <v>127</v>
      </c>
      <c r="B149" s="116" t="str">
        <f aca="false">IF('Game Info'!Q132="","",'Game Info'!Q132)</f>
        <v/>
      </c>
      <c r="C149" s="116" t="str">
        <f aca="false">IF('Game Info'!R132="","",'Game Info'!R132)</f>
        <v/>
      </c>
      <c r="D149" s="116" t="str">
        <f aca="false">IF('Game Info'!S132="","",'Game Info'!S132)</f>
        <v/>
      </c>
      <c r="E149" s="116" t="str">
        <f aca="false">IF('Game Info'!T132="","",'Game Info'!T132)</f>
        <v/>
      </c>
      <c r="F149" s="117" t="str">
        <f aca="false">IF('Game Info'!U132="","",'Game Info'!U132)</f>
        <v/>
      </c>
      <c r="H149" s="91" t="str">
        <f aca="false">IF($B149="","",COUNTIF($B146:$B149,H$21)+COUNTIF($B146:$B149,$A$3))</f>
        <v/>
      </c>
      <c r="I149" s="73" t="str">
        <f aca="false">IF($C149="","",COUNTIF($C146:$C149,H$21)+COUNTIF($C146:$C149,$A$3))</f>
        <v/>
      </c>
      <c r="J149" s="73" t="str">
        <f aca="false">IF($D149="","",COUNTIF($D146:$D149,H$21)+COUNTIF($D146:$D149,$A$3))</f>
        <v/>
      </c>
      <c r="K149" s="73" t="str">
        <f aca="false">IF($E149="","",COUNTIF($E146:$E149,H$21)+COUNTIF($E146:$E149,$A$3))</f>
        <v/>
      </c>
      <c r="L149" s="92" t="str">
        <f aca="false">IF($F149="","",COUNTIF($F146:$F149,H$21)+COUNTIF($F146:$F149,$A$3))</f>
        <v/>
      </c>
      <c r="N149" s="91" t="str">
        <f aca="false">IF($B149="","",COUNTIF($B146:$B149,N$21)+COUNTIF($B146:$B149,$A$3))</f>
        <v/>
      </c>
      <c r="O149" s="73" t="str">
        <f aca="false">IF($C149="","",COUNTIF($C146:$C149,N$21)+COUNTIF($C146:$C149,$A$3))</f>
        <v/>
      </c>
      <c r="P149" s="73" t="str">
        <f aca="false">IF($D149="","",COUNTIF($D146:$D149,N$21)+COUNTIF($D146:$D149,$A$3))</f>
        <v/>
      </c>
      <c r="Q149" s="73" t="str">
        <f aca="false">IF($E149="","",COUNTIF($E146:$E149,N$21)+COUNTIF($E146:$E149,$A$3))</f>
        <v/>
      </c>
      <c r="R149" s="92" t="str">
        <f aca="false">IF($F149="","",COUNTIF($F146:$F149,N$21)+COUNTIF($F146:$F149,$A$3))</f>
        <v/>
      </c>
      <c r="T149" s="91" t="str">
        <f aca="false">IF($B149="","",COUNTIF($B146:$B149,T$21)+COUNTIF($B146:$B149,$A$3))</f>
        <v/>
      </c>
      <c r="U149" s="73" t="str">
        <f aca="false">IF($C149="","",COUNTIF($C146:$C149,T$21)+COUNTIF($C146:$C149,$A$3))</f>
        <v/>
      </c>
      <c r="V149" s="73" t="str">
        <f aca="false">IF($D149="","",COUNTIF($D146:$D149,T$21)+COUNTIF($D146:$D149,$A$3))</f>
        <v/>
      </c>
      <c r="W149" s="73" t="str">
        <f aca="false">IF($E149="","",COUNTIF($E146:$E149,T$21)+COUNTIF($E146:$E149,$A$3))</f>
        <v/>
      </c>
      <c r="X149" s="92" t="str">
        <f aca="false">IF($F149="","",COUNTIF($F146:$F149,T$21)+COUNTIF($F146:$F149,$A$3))</f>
        <v/>
      </c>
      <c r="Z149" s="91" t="str">
        <f aca="false">IF($B149="","",COUNTIF($B146:$B149,Z$21)+COUNTIF($B146:$B149,$A$3))</f>
        <v/>
      </c>
      <c r="AA149" s="73" t="str">
        <f aca="false">IF($C149="","",COUNTIF($C146:$C149,Z$21)+COUNTIF($C146:$C149,$A$3))</f>
        <v/>
      </c>
      <c r="AB149" s="73" t="str">
        <f aca="false">IF($D149="","",COUNTIF($D146:$D149,Z$21)+COUNTIF($D146:$D149,$A$3))</f>
        <v/>
      </c>
      <c r="AC149" s="73" t="str">
        <f aca="false">IF($E149="","",COUNTIF($E146:$E149,Z$21)+COUNTIF($E146:$E149,$A$3))</f>
        <v/>
      </c>
      <c r="AD149" s="92" t="str">
        <f aca="false">IF($F149="","",COUNTIF($F146:$F149,Z$21)+COUNTIF($F146:$F149,$A$3))</f>
        <v/>
      </c>
      <c r="AF149" s="91" t="str">
        <f aca="false">IF($B149="","",COUNTIF($B146:$B149,AF$21)+COUNTIF($B146:$B149,$A$3))</f>
        <v/>
      </c>
      <c r="AG149" s="73" t="str">
        <f aca="false">IF($C149="","",COUNTIF($C146:$C149,AF$21)+COUNTIF($C146:$C149,$A$3))</f>
        <v/>
      </c>
      <c r="AH149" s="73" t="str">
        <f aca="false">IF($D149="","",COUNTIF($D146:$D149,AF$21)+COUNTIF($D146:$D149,$A$3))</f>
        <v/>
      </c>
      <c r="AI149" s="73" t="str">
        <f aca="false">IF($E149="","",COUNTIF($E146:$E149,AF$21)+COUNTIF($E146:$E149,$A$3))</f>
        <v/>
      </c>
      <c r="AJ149" s="92" t="str">
        <f aca="false">IF($F149="","",COUNTIF($F146:$F149,AF$21)+COUNTIF($F146:$F149,$A$3))</f>
        <v/>
      </c>
      <c r="AL149" s="91" t="str">
        <f aca="false">IF($B149="","",COUNTIF($B146:$B149,AL$21)+COUNTIF($B146:$B149,$A$3))</f>
        <v/>
      </c>
      <c r="AM149" s="73" t="str">
        <f aca="false">IF($C149="","",COUNTIF($C146:$C149,AL$21)+COUNTIF($C146:$C149,$A$3))</f>
        <v/>
      </c>
      <c r="AN149" s="73" t="str">
        <f aca="false">IF($D149="","",COUNTIF($D146:$D149,AL$21)+COUNTIF($D146:$D149,$A$3))</f>
        <v/>
      </c>
      <c r="AO149" s="73" t="str">
        <f aca="false">IF($E149="","",COUNTIF($E146:$E149,AL$21)+COUNTIF($E146:$E149,$A$3))</f>
        <v/>
      </c>
      <c r="AP149" s="92" t="str">
        <f aca="false">IF($F149="","",COUNTIF($F146:$F149,AL$21)+COUNTIF($F146:$F149,$A$3))</f>
        <v/>
      </c>
      <c r="AR149" s="91" t="str">
        <f aca="false">IF($B149="","",COUNTIF($B146:$B149,AR$21)+COUNTIF($B146:$B149,$A$3))</f>
        <v/>
      </c>
      <c r="AS149" s="73" t="str">
        <f aca="false">IF($C149="","",COUNTIF($C146:$C149,AR$21)+COUNTIF($C146:$C149,$A$3))</f>
        <v/>
      </c>
      <c r="AT149" s="73" t="str">
        <f aca="false">IF($D149="","",COUNTIF($D146:$D149,AR$21)+COUNTIF($D146:$D149,$A$3))</f>
        <v/>
      </c>
      <c r="AU149" s="73" t="str">
        <f aca="false">IF($E149="","",COUNTIF($E146:$E149,AR$21)+COUNTIF($E146:$E149,$A$3))</f>
        <v/>
      </c>
      <c r="AV149" s="92" t="str">
        <f aca="false">IF($F149="","",COUNTIF($F146:$F149,AR$21)+COUNTIF($F146:$F149,$A$3))</f>
        <v/>
      </c>
      <c r="AX149" s="91" t="str">
        <f aca="false">IF($B149="","",COUNTIF($B146:$B149,AX$21)+COUNTIF($B146:$B149,$A$3))</f>
        <v/>
      </c>
      <c r="AY149" s="73" t="str">
        <f aca="false">IF($C149="","",COUNTIF($C146:$C149,AX$21)+COUNTIF($C146:$C149,$A$3))</f>
        <v/>
      </c>
      <c r="AZ149" s="73" t="str">
        <f aca="false">IF($D149="","",COUNTIF($D146:$D149,AX$21)+COUNTIF($D146:$D149,$A$3))</f>
        <v/>
      </c>
      <c r="BA149" s="73" t="str">
        <f aca="false">IF($E149="","",COUNTIF($E146:$E149,AX$21)+COUNTIF($E146:$E149,$A$3))</f>
        <v/>
      </c>
      <c r="BB149" s="92" t="str">
        <f aca="false">IF($F149="","",COUNTIF($F146:$F149,AX$21)+COUNTIF($F146:$F149,$A$3))</f>
        <v/>
      </c>
      <c r="BD149" s="91" t="str">
        <f aca="false">IF($B149="","",COUNTIF($B146:$B149,BD$21)+COUNTIF($B146:$B149,$A$3))</f>
        <v/>
      </c>
      <c r="BE149" s="73" t="str">
        <f aca="false">IF($C149="","",COUNTIF($C146:$C149,BD$21)+COUNTIF($C146:$C149,$A$3))</f>
        <v/>
      </c>
      <c r="BF149" s="73" t="str">
        <f aca="false">IF($D149="","",COUNTIF($D146:$D149,BD$21)+COUNTIF($D146:$D149,$A$3))</f>
        <v/>
      </c>
      <c r="BG149" s="73" t="str">
        <f aca="false">IF($E149="","",COUNTIF($E146:$E149,BD$21)+COUNTIF($E146:$E149,$A$3))</f>
        <v/>
      </c>
      <c r="BH149" s="92" t="str">
        <f aca="false">IF($F149="","",COUNTIF($F146:$F149,BD$21)+COUNTIF($F146:$F149,$A$3))</f>
        <v/>
      </c>
      <c r="BJ149" s="91" t="str">
        <f aca="false">IF($B149="","",COUNTIF($B146:$B149,BJ$21)+COUNTIF($B146:$B149,$A$3))</f>
        <v/>
      </c>
      <c r="BK149" s="73" t="str">
        <f aca="false">IF($C149="","",COUNTIF($C146:$C149,BJ$21)+COUNTIF($C146:$C149,$A$3))</f>
        <v/>
      </c>
      <c r="BL149" s="73" t="str">
        <f aca="false">IF($D149="","",COUNTIF($D146:$D149,BJ$21)+COUNTIF($D146:$D149,$A$3))</f>
        <v/>
      </c>
      <c r="BM149" s="73" t="str">
        <f aca="false">IF($E149="","",COUNTIF($E146:$E149,BJ$21)+COUNTIF($E146:$E149,$A$3))</f>
        <v/>
      </c>
      <c r="BN149" s="92" t="str">
        <f aca="false">IF($F149="","",COUNTIF($F146:$F149,BJ$21)+COUNTIF($F146:$F149,$A$3))</f>
        <v/>
      </c>
      <c r="BP149" s="91" t="str">
        <f aca="false">IF($B149="","",COUNTIF($B146:$B149,BP$21)+COUNTIF($B146:$B149,$A$3))</f>
        <v/>
      </c>
      <c r="BQ149" s="73" t="str">
        <f aca="false">IF($C149="","",COUNTIF($C146:$C149,BP$21)+COUNTIF($C146:$C149,$A$3))</f>
        <v/>
      </c>
      <c r="BR149" s="73" t="str">
        <f aca="false">IF($D149="","",COUNTIF($D146:$D149,BP$21)+COUNTIF($D146:$D149,$A$3))</f>
        <v/>
      </c>
      <c r="BS149" s="73" t="str">
        <f aca="false">IF($E149="","",COUNTIF($E146:$E149,BP$21)+COUNTIF($E146:$E149,$A$3))</f>
        <v/>
      </c>
      <c r="BT149" s="92" t="str">
        <f aca="false">IF($F149="","",COUNTIF($F146:$F149,BP$21)+COUNTIF($F146:$F149,$A$3))</f>
        <v/>
      </c>
    </row>
    <row r="150" customFormat="false" ht="15" hidden="false" customHeight="false" outlineLevel="0" collapsed="false">
      <c r="A150" s="13" t="n">
        <v>128</v>
      </c>
      <c r="B150" s="116" t="str">
        <f aca="false">IF('Game Info'!Q133="","",'Game Info'!Q133)</f>
        <v/>
      </c>
      <c r="C150" s="116" t="str">
        <f aca="false">IF('Game Info'!R133="","",'Game Info'!R133)</f>
        <v/>
      </c>
      <c r="D150" s="116" t="str">
        <f aca="false">IF('Game Info'!S133="","",'Game Info'!S133)</f>
        <v/>
      </c>
      <c r="E150" s="116" t="str">
        <f aca="false">IF('Game Info'!T133="","",'Game Info'!T133)</f>
        <v/>
      </c>
      <c r="F150" s="117" t="str">
        <f aca="false">IF('Game Info'!U133="","",'Game Info'!U133)</f>
        <v/>
      </c>
      <c r="H150" s="91" t="str">
        <f aca="false">IF($B150="","",COUNTIF($B147:$B150,H$21)+COUNTIF($B147:$B150,$A$3))</f>
        <v/>
      </c>
      <c r="I150" s="73" t="str">
        <f aca="false">IF($C150="","",COUNTIF($C147:$C150,H$21)+COUNTIF($C147:$C150,$A$3))</f>
        <v/>
      </c>
      <c r="J150" s="73" t="str">
        <f aca="false">IF($D150="","",COUNTIF($D147:$D150,H$21)+COUNTIF($D147:$D150,$A$3))</f>
        <v/>
      </c>
      <c r="K150" s="73" t="str">
        <f aca="false">IF($E150="","",COUNTIF($E147:$E150,H$21)+COUNTIF($E147:$E150,$A$3))</f>
        <v/>
      </c>
      <c r="L150" s="92" t="str">
        <f aca="false">IF($F150="","",COUNTIF($F147:$F150,H$21)+COUNTIF($F147:$F150,$A$3))</f>
        <v/>
      </c>
      <c r="N150" s="91" t="str">
        <f aca="false">IF($B150="","",COUNTIF($B147:$B150,N$21)+COUNTIF($B147:$B150,$A$3))</f>
        <v/>
      </c>
      <c r="O150" s="73" t="str">
        <f aca="false">IF($C150="","",COUNTIF($C147:$C150,N$21)+COUNTIF($C147:$C150,$A$3))</f>
        <v/>
      </c>
      <c r="P150" s="73" t="str">
        <f aca="false">IF($D150="","",COUNTIF($D147:$D150,N$21)+COUNTIF($D147:$D150,$A$3))</f>
        <v/>
      </c>
      <c r="Q150" s="73" t="str">
        <f aca="false">IF($E150="","",COUNTIF($E147:$E150,N$21)+COUNTIF($E147:$E150,$A$3))</f>
        <v/>
      </c>
      <c r="R150" s="92" t="str">
        <f aca="false">IF($F150="","",COUNTIF($F147:$F150,N$21)+COUNTIF($F147:$F150,$A$3))</f>
        <v/>
      </c>
      <c r="T150" s="91" t="str">
        <f aca="false">IF($B150="","",COUNTIF($B147:$B150,T$21)+COUNTIF($B147:$B150,$A$3))</f>
        <v/>
      </c>
      <c r="U150" s="73" t="str">
        <f aca="false">IF($C150="","",COUNTIF($C147:$C150,T$21)+COUNTIF($C147:$C150,$A$3))</f>
        <v/>
      </c>
      <c r="V150" s="73" t="str">
        <f aca="false">IF($D150="","",COUNTIF($D147:$D150,T$21)+COUNTIF($D147:$D150,$A$3))</f>
        <v/>
      </c>
      <c r="W150" s="73" t="str">
        <f aca="false">IF($E150="","",COUNTIF($E147:$E150,T$21)+COUNTIF($E147:$E150,$A$3))</f>
        <v/>
      </c>
      <c r="X150" s="92" t="str">
        <f aca="false">IF($F150="","",COUNTIF($F147:$F150,T$21)+COUNTIF($F147:$F150,$A$3))</f>
        <v/>
      </c>
      <c r="Z150" s="91" t="str">
        <f aca="false">IF($B150="","",COUNTIF($B147:$B150,Z$21)+COUNTIF($B147:$B150,$A$3))</f>
        <v/>
      </c>
      <c r="AA150" s="73" t="str">
        <f aca="false">IF($C150="","",COUNTIF($C147:$C150,Z$21)+COUNTIF($C147:$C150,$A$3))</f>
        <v/>
      </c>
      <c r="AB150" s="73" t="str">
        <f aca="false">IF($D150="","",COUNTIF($D147:$D150,Z$21)+COUNTIF($D147:$D150,$A$3))</f>
        <v/>
      </c>
      <c r="AC150" s="73" t="str">
        <f aca="false">IF($E150="","",COUNTIF($E147:$E150,Z$21)+COUNTIF($E147:$E150,$A$3))</f>
        <v/>
      </c>
      <c r="AD150" s="92" t="str">
        <f aca="false">IF($F150="","",COUNTIF($F147:$F150,Z$21)+COUNTIF($F147:$F150,$A$3))</f>
        <v/>
      </c>
      <c r="AF150" s="91" t="str">
        <f aca="false">IF($B150="","",COUNTIF($B147:$B150,AF$21)+COUNTIF($B147:$B150,$A$3))</f>
        <v/>
      </c>
      <c r="AG150" s="73" t="str">
        <f aca="false">IF($C150="","",COUNTIF($C147:$C150,AF$21)+COUNTIF($C147:$C150,$A$3))</f>
        <v/>
      </c>
      <c r="AH150" s="73" t="str">
        <f aca="false">IF($D150="","",COUNTIF($D147:$D150,AF$21)+COUNTIF($D147:$D150,$A$3))</f>
        <v/>
      </c>
      <c r="AI150" s="73" t="str">
        <f aca="false">IF($E150="","",COUNTIF($E147:$E150,AF$21)+COUNTIF($E147:$E150,$A$3))</f>
        <v/>
      </c>
      <c r="AJ150" s="92" t="str">
        <f aca="false">IF($F150="","",COUNTIF($F147:$F150,AF$21)+COUNTIF($F147:$F150,$A$3))</f>
        <v/>
      </c>
      <c r="AL150" s="91" t="str">
        <f aca="false">IF($B150="","",COUNTIF($B147:$B150,AL$21)+COUNTIF($B147:$B150,$A$3))</f>
        <v/>
      </c>
      <c r="AM150" s="73" t="str">
        <f aca="false">IF($C150="","",COUNTIF($C147:$C150,AL$21)+COUNTIF($C147:$C150,$A$3))</f>
        <v/>
      </c>
      <c r="AN150" s="73" t="str">
        <f aca="false">IF($D150="","",COUNTIF($D147:$D150,AL$21)+COUNTIF($D147:$D150,$A$3))</f>
        <v/>
      </c>
      <c r="AO150" s="73" t="str">
        <f aca="false">IF($E150="","",COUNTIF($E147:$E150,AL$21)+COUNTIF($E147:$E150,$A$3))</f>
        <v/>
      </c>
      <c r="AP150" s="92" t="str">
        <f aca="false">IF($F150="","",COUNTIF($F147:$F150,AL$21)+COUNTIF($F147:$F150,$A$3))</f>
        <v/>
      </c>
      <c r="AR150" s="91" t="str">
        <f aca="false">IF($B150="","",COUNTIF($B147:$B150,AR$21)+COUNTIF($B147:$B150,$A$3))</f>
        <v/>
      </c>
      <c r="AS150" s="73" t="str">
        <f aca="false">IF($C150="","",COUNTIF($C147:$C150,AR$21)+COUNTIF($C147:$C150,$A$3))</f>
        <v/>
      </c>
      <c r="AT150" s="73" t="str">
        <f aca="false">IF($D150="","",COUNTIF($D147:$D150,AR$21)+COUNTIF($D147:$D150,$A$3))</f>
        <v/>
      </c>
      <c r="AU150" s="73" t="str">
        <f aca="false">IF($E150="","",COUNTIF($E147:$E150,AR$21)+COUNTIF($E147:$E150,$A$3))</f>
        <v/>
      </c>
      <c r="AV150" s="92" t="str">
        <f aca="false">IF($F150="","",COUNTIF($F147:$F150,AR$21)+COUNTIF($F147:$F150,$A$3))</f>
        <v/>
      </c>
      <c r="AX150" s="91" t="str">
        <f aca="false">IF($B150="","",COUNTIF($B147:$B150,AX$21)+COUNTIF($B147:$B150,$A$3))</f>
        <v/>
      </c>
      <c r="AY150" s="73" t="str">
        <f aca="false">IF($C150="","",COUNTIF($C147:$C150,AX$21)+COUNTIF($C147:$C150,$A$3))</f>
        <v/>
      </c>
      <c r="AZ150" s="73" t="str">
        <f aca="false">IF($D150="","",COUNTIF($D147:$D150,AX$21)+COUNTIF($D147:$D150,$A$3))</f>
        <v/>
      </c>
      <c r="BA150" s="73" t="str">
        <f aca="false">IF($E150="","",COUNTIF($E147:$E150,AX$21)+COUNTIF($E147:$E150,$A$3))</f>
        <v/>
      </c>
      <c r="BB150" s="92" t="str">
        <f aca="false">IF($F150="","",COUNTIF($F147:$F150,AX$21)+COUNTIF($F147:$F150,$A$3))</f>
        <v/>
      </c>
      <c r="BD150" s="91" t="str">
        <f aca="false">IF($B150="","",COUNTIF($B147:$B150,BD$21)+COUNTIF($B147:$B150,$A$3))</f>
        <v/>
      </c>
      <c r="BE150" s="73" t="str">
        <f aca="false">IF($C150="","",COUNTIF($C147:$C150,BD$21)+COUNTIF($C147:$C150,$A$3))</f>
        <v/>
      </c>
      <c r="BF150" s="73" t="str">
        <f aca="false">IF($D150="","",COUNTIF($D147:$D150,BD$21)+COUNTIF($D147:$D150,$A$3))</f>
        <v/>
      </c>
      <c r="BG150" s="73" t="str">
        <f aca="false">IF($E150="","",COUNTIF($E147:$E150,BD$21)+COUNTIF($E147:$E150,$A$3))</f>
        <v/>
      </c>
      <c r="BH150" s="92" t="str">
        <f aca="false">IF($F150="","",COUNTIF($F147:$F150,BD$21)+COUNTIF($F147:$F150,$A$3))</f>
        <v/>
      </c>
      <c r="BJ150" s="91" t="str">
        <f aca="false">IF($B150="","",COUNTIF($B147:$B150,BJ$21)+COUNTIF($B147:$B150,$A$3))</f>
        <v/>
      </c>
      <c r="BK150" s="73" t="str">
        <f aca="false">IF($C150="","",COUNTIF($C147:$C150,BJ$21)+COUNTIF($C147:$C150,$A$3))</f>
        <v/>
      </c>
      <c r="BL150" s="73" t="str">
        <f aca="false">IF($D150="","",COUNTIF($D147:$D150,BJ$21)+COUNTIF($D147:$D150,$A$3))</f>
        <v/>
      </c>
      <c r="BM150" s="73" t="str">
        <f aca="false">IF($E150="","",COUNTIF($E147:$E150,BJ$21)+COUNTIF($E147:$E150,$A$3))</f>
        <v/>
      </c>
      <c r="BN150" s="92" t="str">
        <f aca="false">IF($F150="","",COUNTIF($F147:$F150,BJ$21)+COUNTIF($F147:$F150,$A$3))</f>
        <v/>
      </c>
      <c r="BP150" s="91" t="str">
        <f aca="false">IF($B150="","",COUNTIF($B147:$B150,BP$21)+COUNTIF($B147:$B150,$A$3))</f>
        <v/>
      </c>
      <c r="BQ150" s="73" t="str">
        <f aca="false">IF($C150="","",COUNTIF($C147:$C150,BP$21)+COUNTIF($C147:$C150,$A$3))</f>
        <v/>
      </c>
      <c r="BR150" s="73" t="str">
        <f aca="false">IF($D150="","",COUNTIF($D147:$D150,BP$21)+COUNTIF($D147:$D150,$A$3))</f>
        <v/>
      </c>
      <c r="BS150" s="73" t="str">
        <f aca="false">IF($E150="","",COUNTIF($E147:$E150,BP$21)+COUNTIF($E147:$E150,$A$3))</f>
        <v/>
      </c>
      <c r="BT150" s="92" t="str">
        <f aca="false">IF($F150="","",COUNTIF($F147:$F150,BP$21)+COUNTIF($F147:$F150,$A$3))</f>
        <v/>
      </c>
    </row>
    <row r="151" customFormat="false" ht="15" hidden="false" customHeight="false" outlineLevel="0" collapsed="false">
      <c r="A151" s="13" t="n">
        <v>129</v>
      </c>
      <c r="B151" s="116" t="str">
        <f aca="false">IF('Game Info'!Q134="","",'Game Info'!Q134)</f>
        <v/>
      </c>
      <c r="C151" s="116" t="str">
        <f aca="false">IF('Game Info'!R134="","",'Game Info'!R134)</f>
        <v/>
      </c>
      <c r="D151" s="116" t="str">
        <f aca="false">IF('Game Info'!S134="","",'Game Info'!S134)</f>
        <v/>
      </c>
      <c r="E151" s="116" t="str">
        <f aca="false">IF('Game Info'!T134="","",'Game Info'!T134)</f>
        <v/>
      </c>
      <c r="F151" s="117" t="str">
        <f aca="false">IF('Game Info'!U134="","",'Game Info'!U134)</f>
        <v/>
      </c>
      <c r="H151" s="91" t="str">
        <f aca="false">IF($B151="","",COUNTIF($B148:$B151,H$21)+COUNTIF($B148:$B151,$A$3))</f>
        <v/>
      </c>
      <c r="I151" s="73" t="str">
        <f aca="false">IF($C151="","",COUNTIF($C148:$C151,H$21)+COUNTIF($C148:$C151,$A$3))</f>
        <v/>
      </c>
      <c r="J151" s="73" t="str">
        <f aca="false">IF($D151="","",COUNTIF($D148:$D151,H$21)+COUNTIF($D148:$D151,$A$3))</f>
        <v/>
      </c>
      <c r="K151" s="73" t="str">
        <f aca="false">IF($E151="","",COUNTIF($E148:$E151,H$21)+COUNTIF($E148:$E151,$A$3))</f>
        <v/>
      </c>
      <c r="L151" s="92" t="str">
        <f aca="false">IF($F151="","",COUNTIF($F148:$F151,H$21)+COUNTIF($F148:$F151,$A$3))</f>
        <v/>
      </c>
      <c r="N151" s="91" t="str">
        <f aca="false">IF($B151="","",COUNTIF($B148:$B151,N$21)+COUNTIF($B148:$B151,$A$3))</f>
        <v/>
      </c>
      <c r="O151" s="73" t="str">
        <f aca="false">IF($C151="","",COUNTIF($C148:$C151,N$21)+COUNTIF($C148:$C151,$A$3))</f>
        <v/>
      </c>
      <c r="P151" s="73" t="str">
        <f aca="false">IF($D151="","",COUNTIF($D148:$D151,N$21)+COUNTIF($D148:$D151,$A$3))</f>
        <v/>
      </c>
      <c r="Q151" s="73" t="str">
        <f aca="false">IF($E151="","",COUNTIF($E148:$E151,N$21)+COUNTIF($E148:$E151,$A$3))</f>
        <v/>
      </c>
      <c r="R151" s="92" t="str">
        <f aca="false">IF($F151="","",COUNTIF($F148:$F151,N$21)+COUNTIF($F148:$F151,$A$3))</f>
        <v/>
      </c>
      <c r="T151" s="91" t="str">
        <f aca="false">IF($B151="","",COUNTIF($B148:$B151,T$21)+COUNTIF($B148:$B151,$A$3))</f>
        <v/>
      </c>
      <c r="U151" s="73" t="str">
        <f aca="false">IF($C151="","",COUNTIF($C148:$C151,T$21)+COUNTIF($C148:$C151,$A$3))</f>
        <v/>
      </c>
      <c r="V151" s="73" t="str">
        <f aca="false">IF($D151="","",COUNTIF($D148:$D151,T$21)+COUNTIF($D148:$D151,$A$3))</f>
        <v/>
      </c>
      <c r="W151" s="73" t="str">
        <f aca="false">IF($E151="","",COUNTIF($E148:$E151,T$21)+COUNTIF($E148:$E151,$A$3))</f>
        <v/>
      </c>
      <c r="X151" s="92" t="str">
        <f aca="false">IF($F151="","",COUNTIF($F148:$F151,T$21)+COUNTIF($F148:$F151,$A$3))</f>
        <v/>
      </c>
      <c r="Z151" s="91" t="str">
        <f aca="false">IF($B151="","",COUNTIF($B148:$B151,Z$21)+COUNTIF($B148:$B151,$A$3))</f>
        <v/>
      </c>
      <c r="AA151" s="73" t="str">
        <f aca="false">IF($C151="","",COUNTIF($C148:$C151,Z$21)+COUNTIF($C148:$C151,$A$3))</f>
        <v/>
      </c>
      <c r="AB151" s="73" t="str">
        <f aca="false">IF($D151="","",COUNTIF($D148:$D151,Z$21)+COUNTIF($D148:$D151,$A$3))</f>
        <v/>
      </c>
      <c r="AC151" s="73" t="str">
        <f aca="false">IF($E151="","",COUNTIF($E148:$E151,Z$21)+COUNTIF($E148:$E151,$A$3))</f>
        <v/>
      </c>
      <c r="AD151" s="92" t="str">
        <f aca="false">IF($F151="","",COUNTIF($F148:$F151,Z$21)+COUNTIF($F148:$F151,$A$3))</f>
        <v/>
      </c>
      <c r="AF151" s="91" t="str">
        <f aca="false">IF($B151="","",COUNTIF($B148:$B151,AF$21)+COUNTIF($B148:$B151,$A$3))</f>
        <v/>
      </c>
      <c r="AG151" s="73" t="str">
        <f aca="false">IF($C151="","",COUNTIF($C148:$C151,AF$21)+COUNTIF($C148:$C151,$A$3))</f>
        <v/>
      </c>
      <c r="AH151" s="73" t="str">
        <f aca="false">IF($D151="","",COUNTIF($D148:$D151,AF$21)+COUNTIF($D148:$D151,$A$3))</f>
        <v/>
      </c>
      <c r="AI151" s="73" t="str">
        <f aca="false">IF($E151="","",COUNTIF($E148:$E151,AF$21)+COUNTIF($E148:$E151,$A$3))</f>
        <v/>
      </c>
      <c r="AJ151" s="92" t="str">
        <f aca="false">IF($F151="","",COUNTIF($F148:$F151,AF$21)+COUNTIF($F148:$F151,$A$3))</f>
        <v/>
      </c>
      <c r="AL151" s="91" t="str">
        <f aca="false">IF($B151="","",COUNTIF($B148:$B151,AL$21)+COUNTIF($B148:$B151,$A$3))</f>
        <v/>
      </c>
      <c r="AM151" s="73" t="str">
        <f aca="false">IF($C151="","",COUNTIF($C148:$C151,AL$21)+COUNTIF($C148:$C151,$A$3))</f>
        <v/>
      </c>
      <c r="AN151" s="73" t="str">
        <f aca="false">IF($D151="","",COUNTIF($D148:$D151,AL$21)+COUNTIF($D148:$D151,$A$3))</f>
        <v/>
      </c>
      <c r="AO151" s="73" t="str">
        <f aca="false">IF($E151="","",COUNTIF($E148:$E151,AL$21)+COUNTIF($E148:$E151,$A$3))</f>
        <v/>
      </c>
      <c r="AP151" s="92" t="str">
        <f aca="false">IF($F151="","",COUNTIF($F148:$F151,AL$21)+COUNTIF($F148:$F151,$A$3))</f>
        <v/>
      </c>
      <c r="AR151" s="91" t="str">
        <f aca="false">IF($B151="","",COUNTIF($B148:$B151,AR$21)+COUNTIF($B148:$B151,$A$3))</f>
        <v/>
      </c>
      <c r="AS151" s="73" t="str">
        <f aca="false">IF($C151="","",COUNTIF($C148:$C151,AR$21)+COUNTIF($C148:$C151,$A$3))</f>
        <v/>
      </c>
      <c r="AT151" s="73" t="str">
        <f aca="false">IF($D151="","",COUNTIF($D148:$D151,AR$21)+COUNTIF($D148:$D151,$A$3))</f>
        <v/>
      </c>
      <c r="AU151" s="73" t="str">
        <f aca="false">IF($E151="","",COUNTIF($E148:$E151,AR$21)+COUNTIF($E148:$E151,$A$3))</f>
        <v/>
      </c>
      <c r="AV151" s="92" t="str">
        <f aca="false">IF($F151="","",COUNTIF($F148:$F151,AR$21)+COUNTIF($F148:$F151,$A$3))</f>
        <v/>
      </c>
      <c r="AX151" s="91" t="str">
        <f aca="false">IF($B151="","",COUNTIF($B148:$B151,AX$21)+COUNTIF($B148:$B151,$A$3))</f>
        <v/>
      </c>
      <c r="AY151" s="73" t="str">
        <f aca="false">IF($C151="","",COUNTIF($C148:$C151,AX$21)+COUNTIF($C148:$C151,$A$3))</f>
        <v/>
      </c>
      <c r="AZ151" s="73" t="str">
        <f aca="false">IF($D151="","",COUNTIF($D148:$D151,AX$21)+COUNTIF($D148:$D151,$A$3))</f>
        <v/>
      </c>
      <c r="BA151" s="73" t="str">
        <f aca="false">IF($E151="","",COUNTIF($E148:$E151,AX$21)+COUNTIF($E148:$E151,$A$3))</f>
        <v/>
      </c>
      <c r="BB151" s="92" t="str">
        <f aca="false">IF($F151="","",COUNTIF($F148:$F151,AX$21)+COUNTIF($F148:$F151,$A$3))</f>
        <v/>
      </c>
      <c r="BD151" s="91" t="str">
        <f aca="false">IF($B151="","",COUNTIF($B148:$B151,BD$21)+COUNTIF($B148:$B151,$A$3))</f>
        <v/>
      </c>
      <c r="BE151" s="73" t="str">
        <f aca="false">IF($C151="","",COUNTIF($C148:$C151,BD$21)+COUNTIF($C148:$C151,$A$3))</f>
        <v/>
      </c>
      <c r="BF151" s="73" t="str">
        <f aca="false">IF($D151="","",COUNTIF($D148:$D151,BD$21)+COUNTIF($D148:$D151,$A$3))</f>
        <v/>
      </c>
      <c r="BG151" s="73" t="str">
        <f aca="false">IF($E151="","",COUNTIF($E148:$E151,BD$21)+COUNTIF($E148:$E151,$A$3))</f>
        <v/>
      </c>
      <c r="BH151" s="92" t="str">
        <f aca="false">IF($F151="","",COUNTIF($F148:$F151,BD$21)+COUNTIF($F148:$F151,$A$3))</f>
        <v/>
      </c>
      <c r="BJ151" s="91" t="str">
        <f aca="false">IF($B151="","",COUNTIF($B148:$B151,BJ$21)+COUNTIF($B148:$B151,$A$3))</f>
        <v/>
      </c>
      <c r="BK151" s="73" t="str">
        <f aca="false">IF($C151="","",COUNTIF($C148:$C151,BJ$21)+COUNTIF($C148:$C151,$A$3))</f>
        <v/>
      </c>
      <c r="BL151" s="73" t="str">
        <f aca="false">IF($D151="","",COUNTIF($D148:$D151,BJ$21)+COUNTIF($D148:$D151,$A$3))</f>
        <v/>
      </c>
      <c r="BM151" s="73" t="str">
        <f aca="false">IF($E151="","",COUNTIF($E148:$E151,BJ$21)+COUNTIF($E148:$E151,$A$3))</f>
        <v/>
      </c>
      <c r="BN151" s="92" t="str">
        <f aca="false">IF($F151="","",COUNTIF($F148:$F151,BJ$21)+COUNTIF($F148:$F151,$A$3))</f>
        <v/>
      </c>
      <c r="BP151" s="91" t="str">
        <f aca="false">IF($B151="","",COUNTIF($B148:$B151,BP$21)+COUNTIF($B148:$B151,$A$3))</f>
        <v/>
      </c>
      <c r="BQ151" s="73" t="str">
        <f aca="false">IF($C151="","",COUNTIF($C148:$C151,BP$21)+COUNTIF($C148:$C151,$A$3))</f>
        <v/>
      </c>
      <c r="BR151" s="73" t="str">
        <f aca="false">IF($D151="","",COUNTIF($D148:$D151,BP$21)+COUNTIF($D148:$D151,$A$3))</f>
        <v/>
      </c>
      <c r="BS151" s="73" t="str">
        <f aca="false">IF($E151="","",COUNTIF($E148:$E151,BP$21)+COUNTIF($E148:$E151,$A$3))</f>
        <v/>
      </c>
      <c r="BT151" s="92" t="str">
        <f aca="false">IF($F151="","",COUNTIF($F148:$F151,BP$21)+COUNTIF($F148:$F151,$A$3))</f>
        <v/>
      </c>
    </row>
    <row r="152" customFormat="false" ht="15" hidden="false" customHeight="false" outlineLevel="0" collapsed="false">
      <c r="A152" s="13" t="n">
        <v>130</v>
      </c>
      <c r="B152" s="116" t="str">
        <f aca="false">IF('Game Info'!Q135="","",'Game Info'!Q135)</f>
        <v/>
      </c>
      <c r="C152" s="116" t="str">
        <f aca="false">IF('Game Info'!R135="","",'Game Info'!R135)</f>
        <v/>
      </c>
      <c r="D152" s="116" t="str">
        <f aca="false">IF('Game Info'!S135="","",'Game Info'!S135)</f>
        <v/>
      </c>
      <c r="E152" s="116" t="str">
        <f aca="false">IF('Game Info'!T135="","",'Game Info'!T135)</f>
        <v/>
      </c>
      <c r="F152" s="117" t="str">
        <f aca="false">IF('Game Info'!U135="","",'Game Info'!U135)</f>
        <v/>
      </c>
      <c r="H152" s="91" t="str">
        <f aca="false">IF($B152="","",COUNTIF($B149:$B152,H$21)+COUNTIF($B149:$B152,$A$3))</f>
        <v/>
      </c>
      <c r="I152" s="73" t="str">
        <f aca="false">IF($C152="","",COUNTIF($C149:$C152,H$21)+COUNTIF($C149:$C152,$A$3))</f>
        <v/>
      </c>
      <c r="J152" s="73" t="str">
        <f aca="false">IF($D152="","",COUNTIF($D149:$D152,H$21)+COUNTIF($D149:$D152,$A$3))</f>
        <v/>
      </c>
      <c r="K152" s="73" t="str">
        <f aca="false">IF($E152="","",COUNTIF($E149:$E152,H$21)+COUNTIF($E149:$E152,$A$3))</f>
        <v/>
      </c>
      <c r="L152" s="92" t="str">
        <f aca="false">IF($F152="","",COUNTIF($F149:$F152,H$21)+COUNTIF($F149:$F152,$A$3))</f>
        <v/>
      </c>
      <c r="N152" s="91" t="str">
        <f aca="false">IF($B152="","",COUNTIF($B149:$B152,N$21)+COUNTIF($B149:$B152,$A$3))</f>
        <v/>
      </c>
      <c r="O152" s="73" t="str">
        <f aca="false">IF($C152="","",COUNTIF($C149:$C152,N$21)+COUNTIF($C149:$C152,$A$3))</f>
        <v/>
      </c>
      <c r="P152" s="73" t="str">
        <f aca="false">IF($D152="","",COUNTIF($D149:$D152,N$21)+COUNTIF($D149:$D152,$A$3))</f>
        <v/>
      </c>
      <c r="Q152" s="73" t="str">
        <f aca="false">IF($E152="","",COUNTIF($E149:$E152,N$21)+COUNTIF($E149:$E152,$A$3))</f>
        <v/>
      </c>
      <c r="R152" s="92" t="str">
        <f aca="false">IF($F152="","",COUNTIF($F149:$F152,N$21)+COUNTIF($F149:$F152,$A$3))</f>
        <v/>
      </c>
      <c r="T152" s="91" t="str">
        <f aca="false">IF($B152="","",COUNTIF($B149:$B152,T$21)+COUNTIF($B149:$B152,$A$3))</f>
        <v/>
      </c>
      <c r="U152" s="73" t="str">
        <f aca="false">IF($C152="","",COUNTIF($C149:$C152,T$21)+COUNTIF($C149:$C152,$A$3))</f>
        <v/>
      </c>
      <c r="V152" s="73" t="str">
        <f aca="false">IF($D152="","",COUNTIF($D149:$D152,T$21)+COUNTIF($D149:$D152,$A$3))</f>
        <v/>
      </c>
      <c r="W152" s="73" t="str">
        <f aca="false">IF($E152="","",COUNTIF($E149:$E152,T$21)+COUNTIF($E149:$E152,$A$3))</f>
        <v/>
      </c>
      <c r="X152" s="92" t="str">
        <f aca="false">IF($F152="","",COUNTIF($F149:$F152,T$21)+COUNTIF($F149:$F152,$A$3))</f>
        <v/>
      </c>
      <c r="Z152" s="91" t="str">
        <f aca="false">IF($B152="","",COUNTIF($B149:$B152,Z$21)+COUNTIF($B149:$B152,$A$3))</f>
        <v/>
      </c>
      <c r="AA152" s="73" t="str">
        <f aca="false">IF($C152="","",COUNTIF($C149:$C152,Z$21)+COUNTIF($C149:$C152,$A$3))</f>
        <v/>
      </c>
      <c r="AB152" s="73" t="str">
        <f aca="false">IF($D152="","",COUNTIF($D149:$D152,Z$21)+COUNTIF($D149:$D152,$A$3))</f>
        <v/>
      </c>
      <c r="AC152" s="73" t="str">
        <f aca="false">IF($E152="","",COUNTIF($E149:$E152,Z$21)+COUNTIF($E149:$E152,$A$3))</f>
        <v/>
      </c>
      <c r="AD152" s="92" t="str">
        <f aca="false">IF($F152="","",COUNTIF($F149:$F152,Z$21)+COUNTIF($F149:$F152,$A$3))</f>
        <v/>
      </c>
      <c r="AF152" s="91" t="str">
        <f aca="false">IF($B152="","",COUNTIF($B149:$B152,AF$21)+COUNTIF($B149:$B152,$A$3))</f>
        <v/>
      </c>
      <c r="AG152" s="73" t="str">
        <f aca="false">IF($C152="","",COUNTIF($C149:$C152,AF$21)+COUNTIF($C149:$C152,$A$3))</f>
        <v/>
      </c>
      <c r="AH152" s="73" t="str">
        <f aca="false">IF($D152="","",COUNTIF($D149:$D152,AF$21)+COUNTIF($D149:$D152,$A$3))</f>
        <v/>
      </c>
      <c r="AI152" s="73" t="str">
        <f aca="false">IF($E152="","",COUNTIF($E149:$E152,AF$21)+COUNTIF($E149:$E152,$A$3))</f>
        <v/>
      </c>
      <c r="AJ152" s="92" t="str">
        <f aca="false">IF($F152="","",COUNTIF($F149:$F152,AF$21)+COUNTIF($F149:$F152,$A$3))</f>
        <v/>
      </c>
      <c r="AL152" s="91" t="str">
        <f aca="false">IF($B152="","",COUNTIF($B149:$B152,AL$21)+COUNTIF($B149:$B152,$A$3))</f>
        <v/>
      </c>
      <c r="AM152" s="73" t="str">
        <f aca="false">IF($C152="","",COUNTIF($C149:$C152,AL$21)+COUNTIF($C149:$C152,$A$3))</f>
        <v/>
      </c>
      <c r="AN152" s="73" t="str">
        <f aca="false">IF($D152="","",COUNTIF($D149:$D152,AL$21)+COUNTIF($D149:$D152,$A$3))</f>
        <v/>
      </c>
      <c r="AO152" s="73" t="str">
        <f aca="false">IF($E152="","",COUNTIF($E149:$E152,AL$21)+COUNTIF($E149:$E152,$A$3))</f>
        <v/>
      </c>
      <c r="AP152" s="92" t="str">
        <f aca="false">IF($F152="","",COUNTIF($F149:$F152,AL$21)+COUNTIF($F149:$F152,$A$3))</f>
        <v/>
      </c>
      <c r="AR152" s="91" t="str">
        <f aca="false">IF($B152="","",COUNTIF($B149:$B152,AR$21)+COUNTIF($B149:$B152,$A$3))</f>
        <v/>
      </c>
      <c r="AS152" s="73" t="str">
        <f aca="false">IF($C152="","",COUNTIF($C149:$C152,AR$21)+COUNTIF($C149:$C152,$A$3))</f>
        <v/>
      </c>
      <c r="AT152" s="73" t="str">
        <f aca="false">IF($D152="","",COUNTIF($D149:$D152,AR$21)+COUNTIF($D149:$D152,$A$3))</f>
        <v/>
      </c>
      <c r="AU152" s="73" t="str">
        <f aca="false">IF($E152="","",COUNTIF($E149:$E152,AR$21)+COUNTIF($E149:$E152,$A$3))</f>
        <v/>
      </c>
      <c r="AV152" s="92" t="str">
        <f aca="false">IF($F152="","",COUNTIF($F149:$F152,AR$21)+COUNTIF($F149:$F152,$A$3))</f>
        <v/>
      </c>
      <c r="AX152" s="91" t="str">
        <f aca="false">IF($B152="","",COUNTIF($B149:$B152,AX$21)+COUNTIF($B149:$B152,$A$3))</f>
        <v/>
      </c>
      <c r="AY152" s="73" t="str">
        <f aca="false">IF($C152="","",COUNTIF($C149:$C152,AX$21)+COUNTIF($C149:$C152,$A$3))</f>
        <v/>
      </c>
      <c r="AZ152" s="73" t="str">
        <f aca="false">IF($D152="","",COUNTIF($D149:$D152,AX$21)+COUNTIF($D149:$D152,$A$3))</f>
        <v/>
      </c>
      <c r="BA152" s="73" t="str">
        <f aca="false">IF($E152="","",COUNTIF($E149:$E152,AX$21)+COUNTIF($E149:$E152,$A$3))</f>
        <v/>
      </c>
      <c r="BB152" s="92" t="str">
        <f aca="false">IF($F152="","",COUNTIF($F149:$F152,AX$21)+COUNTIF($F149:$F152,$A$3))</f>
        <v/>
      </c>
      <c r="BD152" s="91" t="str">
        <f aca="false">IF($B152="","",COUNTIF($B149:$B152,BD$21)+COUNTIF($B149:$B152,$A$3))</f>
        <v/>
      </c>
      <c r="BE152" s="73" t="str">
        <f aca="false">IF($C152="","",COUNTIF($C149:$C152,BD$21)+COUNTIF($C149:$C152,$A$3))</f>
        <v/>
      </c>
      <c r="BF152" s="73" t="str">
        <f aca="false">IF($D152="","",COUNTIF($D149:$D152,BD$21)+COUNTIF($D149:$D152,$A$3))</f>
        <v/>
      </c>
      <c r="BG152" s="73" t="str">
        <f aca="false">IF($E152="","",COUNTIF($E149:$E152,BD$21)+COUNTIF($E149:$E152,$A$3))</f>
        <v/>
      </c>
      <c r="BH152" s="92" t="str">
        <f aca="false">IF($F152="","",COUNTIF($F149:$F152,BD$21)+COUNTIF($F149:$F152,$A$3))</f>
        <v/>
      </c>
      <c r="BJ152" s="91" t="str">
        <f aca="false">IF($B152="","",COUNTIF($B149:$B152,BJ$21)+COUNTIF($B149:$B152,$A$3))</f>
        <v/>
      </c>
      <c r="BK152" s="73" t="str">
        <f aca="false">IF($C152="","",COUNTIF($C149:$C152,BJ$21)+COUNTIF($C149:$C152,$A$3))</f>
        <v/>
      </c>
      <c r="BL152" s="73" t="str">
        <f aca="false">IF($D152="","",COUNTIF($D149:$D152,BJ$21)+COUNTIF($D149:$D152,$A$3))</f>
        <v/>
      </c>
      <c r="BM152" s="73" t="str">
        <f aca="false">IF($E152="","",COUNTIF($E149:$E152,BJ$21)+COUNTIF($E149:$E152,$A$3))</f>
        <v/>
      </c>
      <c r="BN152" s="92" t="str">
        <f aca="false">IF($F152="","",COUNTIF($F149:$F152,BJ$21)+COUNTIF($F149:$F152,$A$3))</f>
        <v/>
      </c>
      <c r="BP152" s="91" t="str">
        <f aca="false">IF($B152="","",COUNTIF($B149:$B152,BP$21)+COUNTIF($B149:$B152,$A$3))</f>
        <v/>
      </c>
      <c r="BQ152" s="73" t="str">
        <f aca="false">IF($C152="","",COUNTIF($C149:$C152,BP$21)+COUNTIF($C149:$C152,$A$3))</f>
        <v/>
      </c>
      <c r="BR152" s="73" t="str">
        <f aca="false">IF($D152="","",COUNTIF($D149:$D152,BP$21)+COUNTIF($D149:$D152,$A$3))</f>
        <v/>
      </c>
      <c r="BS152" s="73" t="str">
        <f aca="false">IF($E152="","",COUNTIF($E149:$E152,BP$21)+COUNTIF($E149:$E152,$A$3))</f>
        <v/>
      </c>
      <c r="BT152" s="92" t="str">
        <f aca="false">IF($F152="","",COUNTIF($F149:$F152,BP$21)+COUNTIF($F149:$F152,$A$3))</f>
        <v/>
      </c>
    </row>
    <row r="153" customFormat="false" ht="15" hidden="false" customHeight="false" outlineLevel="0" collapsed="false">
      <c r="A153" s="13" t="n">
        <v>131</v>
      </c>
      <c r="B153" s="116" t="str">
        <f aca="false">IF('Game Info'!Q136="","",'Game Info'!Q136)</f>
        <v/>
      </c>
      <c r="C153" s="116" t="str">
        <f aca="false">IF('Game Info'!R136="","",'Game Info'!R136)</f>
        <v/>
      </c>
      <c r="D153" s="116" t="str">
        <f aca="false">IF('Game Info'!S136="","",'Game Info'!S136)</f>
        <v/>
      </c>
      <c r="E153" s="116" t="str">
        <f aca="false">IF('Game Info'!T136="","",'Game Info'!T136)</f>
        <v/>
      </c>
      <c r="F153" s="117" t="str">
        <f aca="false">IF('Game Info'!U136="","",'Game Info'!U136)</f>
        <v/>
      </c>
      <c r="H153" s="91" t="str">
        <f aca="false">IF($B153="","",COUNTIF($B150:$B153,H$21)+COUNTIF($B150:$B153,$A$3))</f>
        <v/>
      </c>
      <c r="I153" s="73" t="str">
        <f aca="false">IF($C153="","",COUNTIF($C150:$C153,H$21)+COUNTIF($C150:$C153,$A$3))</f>
        <v/>
      </c>
      <c r="J153" s="73" t="str">
        <f aca="false">IF($D153="","",COUNTIF($D150:$D153,H$21)+COUNTIF($D150:$D153,$A$3))</f>
        <v/>
      </c>
      <c r="K153" s="73" t="str">
        <f aca="false">IF($E153="","",COUNTIF($E150:$E153,H$21)+COUNTIF($E150:$E153,$A$3))</f>
        <v/>
      </c>
      <c r="L153" s="92" t="str">
        <f aca="false">IF($F153="","",COUNTIF($F150:$F153,H$21)+COUNTIF($F150:$F153,$A$3))</f>
        <v/>
      </c>
      <c r="N153" s="91" t="str">
        <f aca="false">IF($B153="","",COUNTIF($B150:$B153,N$21)+COUNTIF($B150:$B153,$A$3))</f>
        <v/>
      </c>
      <c r="O153" s="73" t="str">
        <f aca="false">IF($C153="","",COUNTIF($C150:$C153,N$21)+COUNTIF($C150:$C153,$A$3))</f>
        <v/>
      </c>
      <c r="P153" s="73" t="str">
        <f aca="false">IF($D153="","",COUNTIF($D150:$D153,N$21)+COUNTIF($D150:$D153,$A$3))</f>
        <v/>
      </c>
      <c r="Q153" s="73" t="str">
        <f aca="false">IF($E153="","",COUNTIF($E150:$E153,N$21)+COUNTIF($E150:$E153,$A$3))</f>
        <v/>
      </c>
      <c r="R153" s="92" t="str">
        <f aca="false">IF($F153="","",COUNTIF($F150:$F153,N$21)+COUNTIF($F150:$F153,$A$3))</f>
        <v/>
      </c>
      <c r="T153" s="91" t="str">
        <f aca="false">IF($B153="","",COUNTIF($B150:$B153,T$21)+COUNTIF($B150:$B153,$A$3))</f>
        <v/>
      </c>
      <c r="U153" s="73" t="str">
        <f aca="false">IF($C153="","",COUNTIF($C150:$C153,T$21)+COUNTIF($C150:$C153,$A$3))</f>
        <v/>
      </c>
      <c r="V153" s="73" t="str">
        <f aca="false">IF($D153="","",COUNTIF($D150:$D153,T$21)+COUNTIF($D150:$D153,$A$3))</f>
        <v/>
      </c>
      <c r="W153" s="73" t="str">
        <f aca="false">IF($E153="","",COUNTIF($E150:$E153,T$21)+COUNTIF($E150:$E153,$A$3))</f>
        <v/>
      </c>
      <c r="X153" s="92" t="str">
        <f aca="false">IF($F153="","",COUNTIF($F150:$F153,T$21)+COUNTIF($F150:$F153,$A$3))</f>
        <v/>
      </c>
      <c r="Z153" s="91" t="str">
        <f aca="false">IF($B153="","",COUNTIF($B150:$B153,Z$21)+COUNTIF($B150:$B153,$A$3))</f>
        <v/>
      </c>
      <c r="AA153" s="73" t="str">
        <f aca="false">IF($C153="","",COUNTIF($C150:$C153,Z$21)+COUNTIF($C150:$C153,$A$3))</f>
        <v/>
      </c>
      <c r="AB153" s="73" t="str">
        <f aca="false">IF($D153="","",COUNTIF($D150:$D153,Z$21)+COUNTIF($D150:$D153,$A$3))</f>
        <v/>
      </c>
      <c r="AC153" s="73" t="str">
        <f aca="false">IF($E153="","",COUNTIF($E150:$E153,Z$21)+COUNTIF($E150:$E153,$A$3))</f>
        <v/>
      </c>
      <c r="AD153" s="92" t="str">
        <f aca="false">IF($F153="","",COUNTIF($F150:$F153,Z$21)+COUNTIF($F150:$F153,$A$3))</f>
        <v/>
      </c>
      <c r="AF153" s="91" t="str">
        <f aca="false">IF($B153="","",COUNTIF($B150:$B153,AF$21)+COUNTIF($B150:$B153,$A$3))</f>
        <v/>
      </c>
      <c r="AG153" s="73" t="str">
        <f aca="false">IF($C153="","",COUNTIF($C150:$C153,AF$21)+COUNTIF($C150:$C153,$A$3))</f>
        <v/>
      </c>
      <c r="AH153" s="73" t="str">
        <f aca="false">IF($D153="","",COUNTIF($D150:$D153,AF$21)+COUNTIF($D150:$D153,$A$3))</f>
        <v/>
      </c>
      <c r="AI153" s="73" t="str">
        <f aca="false">IF($E153="","",COUNTIF($E150:$E153,AF$21)+COUNTIF($E150:$E153,$A$3))</f>
        <v/>
      </c>
      <c r="AJ153" s="92" t="str">
        <f aca="false">IF($F153="","",COUNTIF($F150:$F153,AF$21)+COUNTIF($F150:$F153,$A$3))</f>
        <v/>
      </c>
      <c r="AL153" s="91" t="str">
        <f aca="false">IF($B153="","",COUNTIF($B150:$B153,AL$21)+COUNTIF($B150:$B153,$A$3))</f>
        <v/>
      </c>
      <c r="AM153" s="73" t="str">
        <f aca="false">IF($C153="","",COUNTIF($C150:$C153,AL$21)+COUNTIF($C150:$C153,$A$3))</f>
        <v/>
      </c>
      <c r="AN153" s="73" t="str">
        <f aca="false">IF($D153="","",COUNTIF($D150:$D153,AL$21)+COUNTIF($D150:$D153,$A$3))</f>
        <v/>
      </c>
      <c r="AO153" s="73" t="str">
        <f aca="false">IF($E153="","",COUNTIF($E150:$E153,AL$21)+COUNTIF($E150:$E153,$A$3))</f>
        <v/>
      </c>
      <c r="AP153" s="92" t="str">
        <f aca="false">IF($F153="","",COUNTIF($F150:$F153,AL$21)+COUNTIF($F150:$F153,$A$3))</f>
        <v/>
      </c>
      <c r="AR153" s="91" t="str">
        <f aca="false">IF($B153="","",COUNTIF($B150:$B153,AR$21)+COUNTIF($B150:$B153,$A$3))</f>
        <v/>
      </c>
      <c r="AS153" s="73" t="str">
        <f aca="false">IF($C153="","",COUNTIF($C150:$C153,AR$21)+COUNTIF($C150:$C153,$A$3))</f>
        <v/>
      </c>
      <c r="AT153" s="73" t="str">
        <f aca="false">IF($D153="","",COUNTIF($D150:$D153,AR$21)+COUNTIF($D150:$D153,$A$3))</f>
        <v/>
      </c>
      <c r="AU153" s="73" t="str">
        <f aca="false">IF($E153="","",COUNTIF($E150:$E153,AR$21)+COUNTIF($E150:$E153,$A$3))</f>
        <v/>
      </c>
      <c r="AV153" s="92" t="str">
        <f aca="false">IF($F153="","",COUNTIF($F150:$F153,AR$21)+COUNTIF($F150:$F153,$A$3))</f>
        <v/>
      </c>
      <c r="AX153" s="91" t="str">
        <f aca="false">IF($B153="","",COUNTIF($B150:$B153,AX$21)+COUNTIF($B150:$B153,$A$3))</f>
        <v/>
      </c>
      <c r="AY153" s="73" t="str">
        <f aca="false">IF($C153="","",COUNTIF($C150:$C153,AX$21)+COUNTIF($C150:$C153,$A$3))</f>
        <v/>
      </c>
      <c r="AZ153" s="73" t="str">
        <f aca="false">IF($D153="","",COUNTIF($D150:$D153,AX$21)+COUNTIF($D150:$D153,$A$3))</f>
        <v/>
      </c>
      <c r="BA153" s="73" t="str">
        <f aca="false">IF($E153="","",COUNTIF($E150:$E153,AX$21)+COUNTIF($E150:$E153,$A$3))</f>
        <v/>
      </c>
      <c r="BB153" s="92" t="str">
        <f aca="false">IF($F153="","",COUNTIF($F150:$F153,AX$21)+COUNTIF($F150:$F153,$A$3))</f>
        <v/>
      </c>
      <c r="BD153" s="91" t="str">
        <f aca="false">IF($B153="","",COUNTIF($B150:$B153,BD$21)+COUNTIF($B150:$B153,$A$3))</f>
        <v/>
      </c>
      <c r="BE153" s="73" t="str">
        <f aca="false">IF($C153="","",COUNTIF($C150:$C153,BD$21)+COUNTIF($C150:$C153,$A$3))</f>
        <v/>
      </c>
      <c r="BF153" s="73" t="str">
        <f aca="false">IF($D153="","",COUNTIF($D150:$D153,BD$21)+COUNTIF($D150:$D153,$A$3))</f>
        <v/>
      </c>
      <c r="BG153" s="73" t="str">
        <f aca="false">IF($E153="","",COUNTIF($E150:$E153,BD$21)+COUNTIF($E150:$E153,$A$3))</f>
        <v/>
      </c>
      <c r="BH153" s="92" t="str">
        <f aca="false">IF($F153="","",COUNTIF($F150:$F153,BD$21)+COUNTIF($F150:$F153,$A$3))</f>
        <v/>
      </c>
      <c r="BJ153" s="91" t="str">
        <f aca="false">IF($B153="","",COUNTIF($B150:$B153,BJ$21)+COUNTIF($B150:$B153,$A$3))</f>
        <v/>
      </c>
      <c r="BK153" s="73" t="str">
        <f aca="false">IF($C153="","",COUNTIF($C150:$C153,BJ$21)+COUNTIF($C150:$C153,$A$3))</f>
        <v/>
      </c>
      <c r="BL153" s="73" t="str">
        <f aca="false">IF($D153="","",COUNTIF($D150:$D153,BJ$21)+COUNTIF($D150:$D153,$A$3))</f>
        <v/>
      </c>
      <c r="BM153" s="73" t="str">
        <f aca="false">IF($E153="","",COUNTIF($E150:$E153,BJ$21)+COUNTIF($E150:$E153,$A$3))</f>
        <v/>
      </c>
      <c r="BN153" s="92" t="str">
        <f aca="false">IF($F153="","",COUNTIF($F150:$F153,BJ$21)+COUNTIF($F150:$F153,$A$3))</f>
        <v/>
      </c>
      <c r="BP153" s="91" t="str">
        <f aca="false">IF($B153="","",COUNTIF($B150:$B153,BP$21)+COUNTIF($B150:$B153,$A$3))</f>
        <v/>
      </c>
      <c r="BQ153" s="73" t="str">
        <f aca="false">IF($C153="","",COUNTIF($C150:$C153,BP$21)+COUNTIF($C150:$C153,$A$3))</f>
        <v/>
      </c>
      <c r="BR153" s="73" t="str">
        <f aca="false">IF($D153="","",COUNTIF($D150:$D153,BP$21)+COUNTIF($D150:$D153,$A$3))</f>
        <v/>
      </c>
      <c r="BS153" s="73" t="str">
        <f aca="false">IF($E153="","",COUNTIF($E150:$E153,BP$21)+COUNTIF($E150:$E153,$A$3))</f>
        <v/>
      </c>
      <c r="BT153" s="92" t="str">
        <f aca="false">IF($F153="","",COUNTIF($F150:$F153,BP$21)+COUNTIF($F150:$F153,$A$3))</f>
        <v/>
      </c>
    </row>
    <row r="154" customFormat="false" ht="15" hidden="false" customHeight="false" outlineLevel="0" collapsed="false">
      <c r="A154" s="13" t="n">
        <v>132</v>
      </c>
      <c r="B154" s="116" t="str">
        <f aca="false">IF('Game Info'!Q137="","",'Game Info'!Q137)</f>
        <v/>
      </c>
      <c r="C154" s="116" t="str">
        <f aca="false">IF('Game Info'!R137="","",'Game Info'!R137)</f>
        <v/>
      </c>
      <c r="D154" s="116" t="str">
        <f aca="false">IF('Game Info'!S137="","",'Game Info'!S137)</f>
        <v/>
      </c>
      <c r="E154" s="116" t="str">
        <f aca="false">IF('Game Info'!T137="","",'Game Info'!T137)</f>
        <v/>
      </c>
      <c r="F154" s="117" t="str">
        <f aca="false">IF('Game Info'!U137="","",'Game Info'!U137)</f>
        <v/>
      </c>
      <c r="H154" s="91" t="str">
        <f aca="false">IF($B154="","",COUNTIF($B151:$B154,H$21)+COUNTIF($B151:$B154,$A$3))</f>
        <v/>
      </c>
      <c r="I154" s="73" t="str">
        <f aca="false">IF($C154="","",COUNTIF($C151:$C154,H$21)+COUNTIF($C151:$C154,$A$3))</f>
        <v/>
      </c>
      <c r="J154" s="73" t="str">
        <f aca="false">IF($D154="","",COUNTIF($D151:$D154,H$21)+COUNTIF($D151:$D154,$A$3))</f>
        <v/>
      </c>
      <c r="K154" s="73" t="str">
        <f aca="false">IF($E154="","",COUNTIF($E151:$E154,H$21)+COUNTIF($E151:$E154,$A$3))</f>
        <v/>
      </c>
      <c r="L154" s="92" t="str">
        <f aca="false">IF($F154="","",COUNTIF($F151:$F154,H$21)+COUNTIF($F151:$F154,$A$3))</f>
        <v/>
      </c>
      <c r="N154" s="91" t="str">
        <f aca="false">IF($B154="","",COUNTIF($B151:$B154,N$21)+COUNTIF($B151:$B154,$A$3))</f>
        <v/>
      </c>
      <c r="O154" s="73" t="str">
        <f aca="false">IF($C154="","",COUNTIF($C151:$C154,N$21)+COUNTIF($C151:$C154,$A$3))</f>
        <v/>
      </c>
      <c r="P154" s="73" t="str">
        <f aca="false">IF($D154="","",COUNTIF($D151:$D154,N$21)+COUNTIF($D151:$D154,$A$3))</f>
        <v/>
      </c>
      <c r="Q154" s="73" t="str">
        <f aca="false">IF($E154="","",COUNTIF($E151:$E154,N$21)+COUNTIF($E151:$E154,$A$3))</f>
        <v/>
      </c>
      <c r="R154" s="92" t="str">
        <f aca="false">IF($F154="","",COUNTIF($F151:$F154,N$21)+COUNTIF($F151:$F154,$A$3))</f>
        <v/>
      </c>
      <c r="T154" s="91" t="str">
        <f aca="false">IF($B154="","",COUNTIF($B151:$B154,T$21)+COUNTIF($B151:$B154,$A$3))</f>
        <v/>
      </c>
      <c r="U154" s="73" t="str">
        <f aca="false">IF($C154="","",COUNTIF($C151:$C154,T$21)+COUNTIF($C151:$C154,$A$3))</f>
        <v/>
      </c>
      <c r="V154" s="73" t="str">
        <f aca="false">IF($D154="","",COUNTIF($D151:$D154,T$21)+COUNTIF($D151:$D154,$A$3))</f>
        <v/>
      </c>
      <c r="W154" s="73" t="str">
        <f aca="false">IF($E154="","",COUNTIF($E151:$E154,T$21)+COUNTIF($E151:$E154,$A$3))</f>
        <v/>
      </c>
      <c r="X154" s="92" t="str">
        <f aca="false">IF($F154="","",COUNTIF($F151:$F154,T$21)+COUNTIF($F151:$F154,$A$3))</f>
        <v/>
      </c>
      <c r="Z154" s="91" t="str">
        <f aca="false">IF($B154="","",COUNTIF($B151:$B154,Z$21)+COUNTIF($B151:$B154,$A$3))</f>
        <v/>
      </c>
      <c r="AA154" s="73" t="str">
        <f aca="false">IF($C154="","",COUNTIF($C151:$C154,Z$21)+COUNTIF($C151:$C154,$A$3))</f>
        <v/>
      </c>
      <c r="AB154" s="73" t="str">
        <f aca="false">IF($D154="","",COUNTIF($D151:$D154,Z$21)+COUNTIF($D151:$D154,$A$3))</f>
        <v/>
      </c>
      <c r="AC154" s="73" t="str">
        <f aca="false">IF($E154="","",COUNTIF($E151:$E154,Z$21)+COUNTIF($E151:$E154,$A$3))</f>
        <v/>
      </c>
      <c r="AD154" s="92" t="str">
        <f aca="false">IF($F154="","",COUNTIF($F151:$F154,Z$21)+COUNTIF($F151:$F154,$A$3))</f>
        <v/>
      </c>
      <c r="AF154" s="91" t="str">
        <f aca="false">IF($B154="","",COUNTIF($B151:$B154,AF$21)+COUNTIF($B151:$B154,$A$3))</f>
        <v/>
      </c>
      <c r="AG154" s="73" t="str">
        <f aca="false">IF($C154="","",COUNTIF($C151:$C154,AF$21)+COUNTIF($C151:$C154,$A$3))</f>
        <v/>
      </c>
      <c r="AH154" s="73" t="str">
        <f aca="false">IF($D154="","",COUNTIF($D151:$D154,AF$21)+COUNTIF($D151:$D154,$A$3))</f>
        <v/>
      </c>
      <c r="AI154" s="73" t="str">
        <f aca="false">IF($E154="","",COUNTIF($E151:$E154,AF$21)+COUNTIF($E151:$E154,$A$3))</f>
        <v/>
      </c>
      <c r="AJ154" s="92" t="str">
        <f aca="false">IF($F154="","",COUNTIF($F151:$F154,AF$21)+COUNTIF($F151:$F154,$A$3))</f>
        <v/>
      </c>
      <c r="AL154" s="91" t="str">
        <f aca="false">IF($B154="","",COUNTIF($B151:$B154,AL$21)+COUNTIF($B151:$B154,$A$3))</f>
        <v/>
      </c>
      <c r="AM154" s="73" t="str">
        <f aca="false">IF($C154="","",COUNTIF($C151:$C154,AL$21)+COUNTIF($C151:$C154,$A$3))</f>
        <v/>
      </c>
      <c r="AN154" s="73" t="str">
        <f aca="false">IF($D154="","",COUNTIF($D151:$D154,AL$21)+COUNTIF($D151:$D154,$A$3))</f>
        <v/>
      </c>
      <c r="AO154" s="73" t="str">
        <f aca="false">IF($E154="","",COUNTIF($E151:$E154,AL$21)+COUNTIF($E151:$E154,$A$3))</f>
        <v/>
      </c>
      <c r="AP154" s="92" t="str">
        <f aca="false">IF($F154="","",COUNTIF($F151:$F154,AL$21)+COUNTIF($F151:$F154,$A$3))</f>
        <v/>
      </c>
      <c r="AR154" s="91" t="str">
        <f aca="false">IF($B154="","",COUNTIF($B151:$B154,AR$21)+COUNTIF($B151:$B154,$A$3))</f>
        <v/>
      </c>
      <c r="AS154" s="73" t="str">
        <f aca="false">IF($C154="","",COUNTIF($C151:$C154,AR$21)+COUNTIF($C151:$C154,$A$3))</f>
        <v/>
      </c>
      <c r="AT154" s="73" t="str">
        <f aca="false">IF($D154="","",COUNTIF($D151:$D154,AR$21)+COUNTIF($D151:$D154,$A$3))</f>
        <v/>
      </c>
      <c r="AU154" s="73" t="str">
        <f aca="false">IF($E154="","",COUNTIF($E151:$E154,AR$21)+COUNTIF($E151:$E154,$A$3))</f>
        <v/>
      </c>
      <c r="AV154" s="92" t="str">
        <f aca="false">IF($F154="","",COUNTIF($F151:$F154,AR$21)+COUNTIF($F151:$F154,$A$3))</f>
        <v/>
      </c>
      <c r="AX154" s="91" t="str">
        <f aca="false">IF($B154="","",COUNTIF($B151:$B154,AX$21)+COUNTIF($B151:$B154,$A$3))</f>
        <v/>
      </c>
      <c r="AY154" s="73" t="str">
        <f aca="false">IF($C154="","",COUNTIF($C151:$C154,AX$21)+COUNTIF($C151:$C154,$A$3))</f>
        <v/>
      </c>
      <c r="AZ154" s="73" t="str">
        <f aca="false">IF($D154="","",COUNTIF($D151:$D154,AX$21)+COUNTIF($D151:$D154,$A$3))</f>
        <v/>
      </c>
      <c r="BA154" s="73" t="str">
        <f aca="false">IF($E154="","",COUNTIF($E151:$E154,AX$21)+COUNTIF($E151:$E154,$A$3))</f>
        <v/>
      </c>
      <c r="BB154" s="92" t="str">
        <f aca="false">IF($F154="","",COUNTIF($F151:$F154,AX$21)+COUNTIF($F151:$F154,$A$3))</f>
        <v/>
      </c>
      <c r="BD154" s="91" t="str">
        <f aca="false">IF($B154="","",COUNTIF($B151:$B154,BD$21)+COUNTIF($B151:$B154,$A$3))</f>
        <v/>
      </c>
      <c r="BE154" s="73" t="str">
        <f aca="false">IF($C154="","",COUNTIF($C151:$C154,BD$21)+COUNTIF($C151:$C154,$A$3))</f>
        <v/>
      </c>
      <c r="BF154" s="73" t="str">
        <f aca="false">IF($D154="","",COUNTIF($D151:$D154,BD$21)+COUNTIF($D151:$D154,$A$3))</f>
        <v/>
      </c>
      <c r="BG154" s="73" t="str">
        <f aca="false">IF($E154="","",COUNTIF($E151:$E154,BD$21)+COUNTIF($E151:$E154,$A$3))</f>
        <v/>
      </c>
      <c r="BH154" s="92" t="str">
        <f aca="false">IF($F154="","",COUNTIF($F151:$F154,BD$21)+COUNTIF($F151:$F154,$A$3))</f>
        <v/>
      </c>
      <c r="BJ154" s="91" t="str">
        <f aca="false">IF($B154="","",COUNTIF($B151:$B154,BJ$21)+COUNTIF($B151:$B154,$A$3))</f>
        <v/>
      </c>
      <c r="BK154" s="73" t="str">
        <f aca="false">IF($C154="","",COUNTIF($C151:$C154,BJ$21)+COUNTIF($C151:$C154,$A$3))</f>
        <v/>
      </c>
      <c r="BL154" s="73" t="str">
        <f aca="false">IF($D154="","",COUNTIF($D151:$D154,BJ$21)+COUNTIF($D151:$D154,$A$3))</f>
        <v/>
      </c>
      <c r="BM154" s="73" t="str">
        <f aca="false">IF($E154="","",COUNTIF($E151:$E154,BJ$21)+COUNTIF($E151:$E154,$A$3))</f>
        <v/>
      </c>
      <c r="BN154" s="92" t="str">
        <f aca="false">IF($F154="","",COUNTIF($F151:$F154,BJ$21)+COUNTIF($F151:$F154,$A$3))</f>
        <v/>
      </c>
      <c r="BP154" s="91" t="str">
        <f aca="false">IF($B154="","",COUNTIF($B151:$B154,BP$21)+COUNTIF($B151:$B154,$A$3))</f>
        <v/>
      </c>
      <c r="BQ154" s="73" t="str">
        <f aca="false">IF($C154="","",COUNTIF($C151:$C154,BP$21)+COUNTIF($C151:$C154,$A$3))</f>
        <v/>
      </c>
      <c r="BR154" s="73" t="str">
        <f aca="false">IF($D154="","",COUNTIF($D151:$D154,BP$21)+COUNTIF($D151:$D154,$A$3))</f>
        <v/>
      </c>
      <c r="BS154" s="73" t="str">
        <f aca="false">IF($E154="","",COUNTIF($E151:$E154,BP$21)+COUNTIF($E151:$E154,$A$3))</f>
        <v/>
      </c>
      <c r="BT154" s="92" t="str">
        <f aca="false">IF($F154="","",COUNTIF($F151:$F154,BP$21)+COUNTIF($F151:$F154,$A$3))</f>
        <v/>
      </c>
    </row>
    <row r="155" customFormat="false" ht="15" hidden="false" customHeight="false" outlineLevel="0" collapsed="false">
      <c r="A155" s="13" t="n">
        <v>133</v>
      </c>
      <c r="B155" s="116" t="str">
        <f aca="false">IF('Game Info'!Q138="","",'Game Info'!Q138)</f>
        <v/>
      </c>
      <c r="C155" s="116" t="str">
        <f aca="false">IF('Game Info'!R138="","",'Game Info'!R138)</f>
        <v/>
      </c>
      <c r="D155" s="116" t="str">
        <f aca="false">IF('Game Info'!S138="","",'Game Info'!S138)</f>
        <v/>
      </c>
      <c r="E155" s="116" t="str">
        <f aca="false">IF('Game Info'!T138="","",'Game Info'!T138)</f>
        <v/>
      </c>
      <c r="F155" s="117" t="str">
        <f aca="false">IF('Game Info'!U138="","",'Game Info'!U138)</f>
        <v/>
      </c>
      <c r="H155" s="91" t="str">
        <f aca="false">IF($B155="","",COUNTIF($B152:$B155,H$21)+COUNTIF($B152:$B155,$A$3))</f>
        <v/>
      </c>
      <c r="I155" s="73" t="str">
        <f aca="false">IF($C155="","",COUNTIF($C152:$C155,H$21)+COUNTIF($C152:$C155,$A$3))</f>
        <v/>
      </c>
      <c r="J155" s="73" t="str">
        <f aca="false">IF($D155="","",COUNTIF($D152:$D155,H$21)+COUNTIF($D152:$D155,$A$3))</f>
        <v/>
      </c>
      <c r="K155" s="73" t="str">
        <f aca="false">IF($E155="","",COUNTIF($E152:$E155,H$21)+COUNTIF($E152:$E155,$A$3))</f>
        <v/>
      </c>
      <c r="L155" s="92" t="str">
        <f aca="false">IF($F155="","",COUNTIF($F152:$F155,H$21)+COUNTIF($F152:$F155,$A$3))</f>
        <v/>
      </c>
      <c r="N155" s="91" t="str">
        <f aca="false">IF($B155="","",COUNTIF($B152:$B155,N$21)+COUNTIF($B152:$B155,$A$3))</f>
        <v/>
      </c>
      <c r="O155" s="73" t="str">
        <f aca="false">IF($C155="","",COUNTIF($C152:$C155,N$21)+COUNTIF($C152:$C155,$A$3))</f>
        <v/>
      </c>
      <c r="P155" s="73" t="str">
        <f aca="false">IF($D155="","",COUNTIF($D152:$D155,N$21)+COUNTIF($D152:$D155,$A$3))</f>
        <v/>
      </c>
      <c r="Q155" s="73" t="str">
        <f aca="false">IF($E155="","",COUNTIF($E152:$E155,N$21)+COUNTIF($E152:$E155,$A$3))</f>
        <v/>
      </c>
      <c r="R155" s="92" t="str">
        <f aca="false">IF($F155="","",COUNTIF($F152:$F155,N$21)+COUNTIF($F152:$F155,$A$3))</f>
        <v/>
      </c>
      <c r="T155" s="91" t="str">
        <f aca="false">IF($B155="","",COUNTIF($B152:$B155,T$21)+COUNTIF($B152:$B155,$A$3))</f>
        <v/>
      </c>
      <c r="U155" s="73" t="str">
        <f aca="false">IF($C155="","",COUNTIF($C152:$C155,T$21)+COUNTIF($C152:$C155,$A$3))</f>
        <v/>
      </c>
      <c r="V155" s="73" t="str">
        <f aca="false">IF($D155="","",COUNTIF($D152:$D155,T$21)+COUNTIF($D152:$D155,$A$3))</f>
        <v/>
      </c>
      <c r="W155" s="73" t="str">
        <f aca="false">IF($E155="","",COUNTIF($E152:$E155,T$21)+COUNTIF($E152:$E155,$A$3))</f>
        <v/>
      </c>
      <c r="X155" s="92" t="str">
        <f aca="false">IF($F155="","",COUNTIF($F152:$F155,T$21)+COUNTIF($F152:$F155,$A$3))</f>
        <v/>
      </c>
      <c r="Z155" s="91" t="str">
        <f aca="false">IF($B155="","",COUNTIF($B152:$B155,Z$21)+COUNTIF($B152:$B155,$A$3))</f>
        <v/>
      </c>
      <c r="AA155" s="73" t="str">
        <f aca="false">IF($C155="","",COUNTIF($C152:$C155,Z$21)+COUNTIF($C152:$C155,$A$3))</f>
        <v/>
      </c>
      <c r="AB155" s="73" t="str">
        <f aca="false">IF($D155="","",COUNTIF($D152:$D155,Z$21)+COUNTIF($D152:$D155,$A$3))</f>
        <v/>
      </c>
      <c r="AC155" s="73" t="str">
        <f aca="false">IF($E155="","",COUNTIF($E152:$E155,Z$21)+COUNTIF($E152:$E155,$A$3))</f>
        <v/>
      </c>
      <c r="AD155" s="92" t="str">
        <f aca="false">IF($F155="","",COUNTIF($F152:$F155,Z$21)+COUNTIF($F152:$F155,$A$3))</f>
        <v/>
      </c>
      <c r="AF155" s="91" t="str">
        <f aca="false">IF($B155="","",COUNTIF($B152:$B155,AF$21)+COUNTIF($B152:$B155,$A$3))</f>
        <v/>
      </c>
      <c r="AG155" s="73" t="str">
        <f aca="false">IF($C155="","",COUNTIF($C152:$C155,AF$21)+COUNTIF($C152:$C155,$A$3))</f>
        <v/>
      </c>
      <c r="AH155" s="73" t="str">
        <f aca="false">IF($D155="","",COUNTIF($D152:$D155,AF$21)+COUNTIF($D152:$D155,$A$3))</f>
        <v/>
      </c>
      <c r="AI155" s="73" t="str">
        <f aca="false">IF($E155="","",COUNTIF($E152:$E155,AF$21)+COUNTIF($E152:$E155,$A$3))</f>
        <v/>
      </c>
      <c r="AJ155" s="92" t="str">
        <f aca="false">IF($F155="","",COUNTIF($F152:$F155,AF$21)+COUNTIF($F152:$F155,$A$3))</f>
        <v/>
      </c>
      <c r="AL155" s="91" t="str">
        <f aca="false">IF($B155="","",COUNTIF($B152:$B155,AL$21)+COUNTIF($B152:$B155,$A$3))</f>
        <v/>
      </c>
      <c r="AM155" s="73" t="str">
        <f aca="false">IF($C155="","",COUNTIF($C152:$C155,AL$21)+COUNTIF($C152:$C155,$A$3))</f>
        <v/>
      </c>
      <c r="AN155" s="73" t="str">
        <f aca="false">IF($D155="","",COUNTIF($D152:$D155,AL$21)+COUNTIF($D152:$D155,$A$3))</f>
        <v/>
      </c>
      <c r="AO155" s="73" t="str">
        <f aca="false">IF($E155="","",COUNTIF($E152:$E155,AL$21)+COUNTIF($E152:$E155,$A$3))</f>
        <v/>
      </c>
      <c r="AP155" s="92" t="str">
        <f aca="false">IF($F155="","",COUNTIF($F152:$F155,AL$21)+COUNTIF($F152:$F155,$A$3))</f>
        <v/>
      </c>
      <c r="AR155" s="91" t="str">
        <f aca="false">IF($B155="","",COUNTIF($B152:$B155,AR$21)+COUNTIF($B152:$B155,$A$3))</f>
        <v/>
      </c>
      <c r="AS155" s="73" t="str">
        <f aca="false">IF($C155="","",COUNTIF($C152:$C155,AR$21)+COUNTIF($C152:$C155,$A$3))</f>
        <v/>
      </c>
      <c r="AT155" s="73" t="str">
        <f aca="false">IF($D155="","",COUNTIF($D152:$D155,AR$21)+COUNTIF($D152:$D155,$A$3))</f>
        <v/>
      </c>
      <c r="AU155" s="73" t="str">
        <f aca="false">IF($E155="","",COUNTIF($E152:$E155,AR$21)+COUNTIF($E152:$E155,$A$3))</f>
        <v/>
      </c>
      <c r="AV155" s="92" t="str">
        <f aca="false">IF($F155="","",COUNTIF($F152:$F155,AR$21)+COUNTIF($F152:$F155,$A$3))</f>
        <v/>
      </c>
      <c r="AX155" s="91" t="str">
        <f aca="false">IF($B155="","",COUNTIF($B152:$B155,AX$21)+COUNTIF($B152:$B155,$A$3))</f>
        <v/>
      </c>
      <c r="AY155" s="73" t="str">
        <f aca="false">IF($C155="","",COUNTIF($C152:$C155,AX$21)+COUNTIF($C152:$C155,$A$3))</f>
        <v/>
      </c>
      <c r="AZ155" s="73" t="str">
        <f aca="false">IF($D155="","",COUNTIF($D152:$D155,AX$21)+COUNTIF($D152:$D155,$A$3))</f>
        <v/>
      </c>
      <c r="BA155" s="73" t="str">
        <f aca="false">IF($E155="","",COUNTIF($E152:$E155,AX$21)+COUNTIF($E152:$E155,$A$3))</f>
        <v/>
      </c>
      <c r="BB155" s="92" t="str">
        <f aca="false">IF($F155="","",COUNTIF($F152:$F155,AX$21)+COUNTIF($F152:$F155,$A$3))</f>
        <v/>
      </c>
      <c r="BD155" s="91" t="str">
        <f aca="false">IF($B155="","",COUNTIF($B152:$B155,BD$21)+COUNTIF($B152:$B155,$A$3))</f>
        <v/>
      </c>
      <c r="BE155" s="73" t="str">
        <f aca="false">IF($C155="","",COUNTIF($C152:$C155,BD$21)+COUNTIF($C152:$C155,$A$3))</f>
        <v/>
      </c>
      <c r="BF155" s="73" t="str">
        <f aca="false">IF($D155="","",COUNTIF($D152:$D155,BD$21)+COUNTIF($D152:$D155,$A$3))</f>
        <v/>
      </c>
      <c r="BG155" s="73" t="str">
        <f aca="false">IF($E155="","",COUNTIF($E152:$E155,BD$21)+COUNTIF($E152:$E155,$A$3))</f>
        <v/>
      </c>
      <c r="BH155" s="92" t="str">
        <f aca="false">IF($F155="","",COUNTIF($F152:$F155,BD$21)+COUNTIF($F152:$F155,$A$3))</f>
        <v/>
      </c>
      <c r="BJ155" s="91" t="str">
        <f aca="false">IF($B155="","",COUNTIF($B152:$B155,BJ$21)+COUNTIF($B152:$B155,$A$3))</f>
        <v/>
      </c>
      <c r="BK155" s="73" t="str">
        <f aca="false">IF($C155="","",COUNTIF($C152:$C155,BJ$21)+COUNTIF($C152:$C155,$A$3))</f>
        <v/>
      </c>
      <c r="BL155" s="73" t="str">
        <f aca="false">IF($D155="","",COUNTIF($D152:$D155,BJ$21)+COUNTIF($D152:$D155,$A$3))</f>
        <v/>
      </c>
      <c r="BM155" s="73" t="str">
        <f aca="false">IF($E155="","",COUNTIF($E152:$E155,BJ$21)+COUNTIF($E152:$E155,$A$3))</f>
        <v/>
      </c>
      <c r="BN155" s="92" t="str">
        <f aca="false">IF($F155="","",COUNTIF($F152:$F155,BJ$21)+COUNTIF($F152:$F155,$A$3))</f>
        <v/>
      </c>
      <c r="BP155" s="91" t="str">
        <f aca="false">IF($B155="","",COUNTIF($B152:$B155,BP$21)+COUNTIF($B152:$B155,$A$3))</f>
        <v/>
      </c>
      <c r="BQ155" s="73" t="str">
        <f aca="false">IF($C155="","",COUNTIF($C152:$C155,BP$21)+COUNTIF($C152:$C155,$A$3))</f>
        <v/>
      </c>
      <c r="BR155" s="73" t="str">
        <f aca="false">IF($D155="","",COUNTIF($D152:$D155,BP$21)+COUNTIF($D152:$D155,$A$3))</f>
        <v/>
      </c>
      <c r="BS155" s="73" t="str">
        <f aca="false">IF($E155="","",COUNTIF($E152:$E155,BP$21)+COUNTIF($E152:$E155,$A$3))</f>
        <v/>
      </c>
      <c r="BT155" s="92" t="str">
        <f aca="false">IF($F155="","",COUNTIF($F152:$F155,BP$21)+COUNTIF($F152:$F155,$A$3))</f>
        <v/>
      </c>
    </row>
    <row r="156" customFormat="false" ht="15" hidden="false" customHeight="false" outlineLevel="0" collapsed="false">
      <c r="A156" s="13" t="n">
        <v>134</v>
      </c>
      <c r="B156" s="116" t="str">
        <f aca="false">IF('Game Info'!Q139="","",'Game Info'!Q139)</f>
        <v/>
      </c>
      <c r="C156" s="116" t="str">
        <f aca="false">IF('Game Info'!R139="","",'Game Info'!R139)</f>
        <v/>
      </c>
      <c r="D156" s="116" t="str">
        <f aca="false">IF('Game Info'!S139="","",'Game Info'!S139)</f>
        <v/>
      </c>
      <c r="E156" s="116" t="str">
        <f aca="false">IF('Game Info'!T139="","",'Game Info'!T139)</f>
        <v/>
      </c>
      <c r="F156" s="117" t="str">
        <f aca="false">IF('Game Info'!U139="","",'Game Info'!U139)</f>
        <v/>
      </c>
      <c r="H156" s="91" t="str">
        <f aca="false">IF($B156="","",COUNTIF($B153:$B156,H$21)+COUNTIF($B153:$B156,$A$3))</f>
        <v/>
      </c>
      <c r="I156" s="73" t="str">
        <f aca="false">IF($C156="","",COUNTIF($C153:$C156,H$21)+COUNTIF($C153:$C156,$A$3))</f>
        <v/>
      </c>
      <c r="J156" s="73" t="str">
        <f aca="false">IF($D156="","",COUNTIF($D153:$D156,H$21)+COUNTIF($D153:$D156,$A$3))</f>
        <v/>
      </c>
      <c r="K156" s="73" t="str">
        <f aca="false">IF($E156="","",COUNTIF($E153:$E156,H$21)+COUNTIF($E153:$E156,$A$3))</f>
        <v/>
      </c>
      <c r="L156" s="92" t="str">
        <f aca="false">IF($F156="","",COUNTIF($F153:$F156,H$21)+COUNTIF($F153:$F156,$A$3))</f>
        <v/>
      </c>
      <c r="N156" s="91" t="str">
        <f aca="false">IF($B156="","",COUNTIF($B153:$B156,N$21)+COUNTIF($B153:$B156,$A$3))</f>
        <v/>
      </c>
      <c r="O156" s="73" t="str">
        <f aca="false">IF($C156="","",COUNTIF($C153:$C156,N$21)+COUNTIF($C153:$C156,$A$3))</f>
        <v/>
      </c>
      <c r="P156" s="73" t="str">
        <f aca="false">IF($D156="","",COUNTIF($D153:$D156,N$21)+COUNTIF($D153:$D156,$A$3))</f>
        <v/>
      </c>
      <c r="Q156" s="73" t="str">
        <f aca="false">IF($E156="","",COUNTIF($E153:$E156,N$21)+COUNTIF($E153:$E156,$A$3))</f>
        <v/>
      </c>
      <c r="R156" s="92" t="str">
        <f aca="false">IF($F156="","",COUNTIF($F153:$F156,N$21)+COUNTIF($F153:$F156,$A$3))</f>
        <v/>
      </c>
      <c r="T156" s="91" t="str">
        <f aca="false">IF($B156="","",COUNTIF($B153:$B156,T$21)+COUNTIF($B153:$B156,$A$3))</f>
        <v/>
      </c>
      <c r="U156" s="73" t="str">
        <f aca="false">IF($C156="","",COUNTIF($C153:$C156,T$21)+COUNTIF($C153:$C156,$A$3))</f>
        <v/>
      </c>
      <c r="V156" s="73" t="str">
        <f aca="false">IF($D156="","",COUNTIF($D153:$D156,T$21)+COUNTIF($D153:$D156,$A$3))</f>
        <v/>
      </c>
      <c r="W156" s="73" t="str">
        <f aca="false">IF($E156="","",COUNTIF($E153:$E156,T$21)+COUNTIF($E153:$E156,$A$3))</f>
        <v/>
      </c>
      <c r="X156" s="92" t="str">
        <f aca="false">IF($F156="","",COUNTIF($F153:$F156,T$21)+COUNTIF($F153:$F156,$A$3))</f>
        <v/>
      </c>
      <c r="Z156" s="91" t="str">
        <f aca="false">IF($B156="","",COUNTIF($B153:$B156,Z$21)+COUNTIF($B153:$B156,$A$3))</f>
        <v/>
      </c>
      <c r="AA156" s="73" t="str">
        <f aca="false">IF($C156="","",COUNTIF($C153:$C156,Z$21)+COUNTIF($C153:$C156,$A$3))</f>
        <v/>
      </c>
      <c r="AB156" s="73" t="str">
        <f aca="false">IF($D156="","",COUNTIF($D153:$D156,Z$21)+COUNTIF($D153:$D156,$A$3))</f>
        <v/>
      </c>
      <c r="AC156" s="73" t="str">
        <f aca="false">IF($E156="","",COUNTIF($E153:$E156,Z$21)+COUNTIF($E153:$E156,$A$3))</f>
        <v/>
      </c>
      <c r="AD156" s="92" t="str">
        <f aca="false">IF($F156="","",COUNTIF($F153:$F156,Z$21)+COUNTIF($F153:$F156,$A$3))</f>
        <v/>
      </c>
      <c r="AF156" s="91" t="str">
        <f aca="false">IF($B156="","",COUNTIF($B153:$B156,AF$21)+COUNTIF($B153:$B156,$A$3))</f>
        <v/>
      </c>
      <c r="AG156" s="73" t="str">
        <f aca="false">IF($C156="","",COUNTIF($C153:$C156,AF$21)+COUNTIF($C153:$C156,$A$3))</f>
        <v/>
      </c>
      <c r="AH156" s="73" t="str">
        <f aca="false">IF($D156="","",COUNTIF($D153:$D156,AF$21)+COUNTIF($D153:$D156,$A$3))</f>
        <v/>
      </c>
      <c r="AI156" s="73" t="str">
        <f aca="false">IF($E156="","",COUNTIF($E153:$E156,AF$21)+COUNTIF($E153:$E156,$A$3))</f>
        <v/>
      </c>
      <c r="AJ156" s="92" t="str">
        <f aca="false">IF($F156="","",COUNTIF($F153:$F156,AF$21)+COUNTIF($F153:$F156,$A$3))</f>
        <v/>
      </c>
      <c r="AL156" s="91" t="str">
        <f aca="false">IF($B156="","",COUNTIF($B153:$B156,AL$21)+COUNTIF($B153:$B156,$A$3))</f>
        <v/>
      </c>
      <c r="AM156" s="73" t="str">
        <f aca="false">IF($C156="","",COUNTIF($C153:$C156,AL$21)+COUNTIF($C153:$C156,$A$3))</f>
        <v/>
      </c>
      <c r="AN156" s="73" t="str">
        <f aca="false">IF($D156="","",COUNTIF($D153:$D156,AL$21)+COUNTIF($D153:$D156,$A$3))</f>
        <v/>
      </c>
      <c r="AO156" s="73" t="str">
        <f aca="false">IF($E156="","",COUNTIF($E153:$E156,AL$21)+COUNTIF($E153:$E156,$A$3))</f>
        <v/>
      </c>
      <c r="AP156" s="92" t="str">
        <f aca="false">IF($F156="","",COUNTIF($F153:$F156,AL$21)+COUNTIF($F153:$F156,$A$3))</f>
        <v/>
      </c>
      <c r="AR156" s="91" t="str">
        <f aca="false">IF($B156="","",COUNTIF($B153:$B156,AR$21)+COUNTIF($B153:$B156,$A$3))</f>
        <v/>
      </c>
      <c r="AS156" s="73" t="str">
        <f aca="false">IF($C156="","",COUNTIF($C153:$C156,AR$21)+COUNTIF($C153:$C156,$A$3))</f>
        <v/>
      </c>
      <c r="AT156" s="73" t="str">
        <f aca="false">IF($D156="","",COUNTIF($D153:$D156,AR$21)+COUNTIF($D153:$D156,$A$3))</f>
        <v/>
      </c>
      <c r="AU156" s="73" t="str">
        <f aca="false">IF($E156="","",COUNTIF($E153:$E156,AR$21)+COUNTIF($E153:$E156,$A$3))</f>
        <v/>
      </c>
      <c r="AV156" s="92" t="str">
        <f aca="false">IF($F156="","",COUNTIF($F153:$F156,AR$21)+COUNTIF($F153:$F156,$A$3))</f>
        <v/>
      </c>
      <c r="AX156" s="91" t="str">
        <f aca="false">IF($B156="","",COUNTIF($B153:$B156,AX$21)+COUNTIF($B153:$B156,$A$3))</f>
        <v/>
      </c>
      <c r="AY156" s="73" t="str">
        <f aca="false">IF($C156="","",COUNTIF($C153:$C156,AX$21)+COUNTIF($C153:$C156,$A$3))</f>
        <v/>
      </c>
      <c r="AZ156" s="73" t="str">
        <f aca="false">IF($D156="","",COUNTIF($D153:$D156,AX$21)+COUNTIF($D153:$D156,$A$3))</f>
        <v/>
      </c>
      <c r="BA156" s="73" t="str">
        <f aca="false">IF($E156="","",COUNTIF($E153:$E156,AX$21)+COUNTIF($E153:$E156,$A$3))</f>
        <v/>
      </c>
      <c r="BB156" s="92" t="str">
        <f aca="false">IF($F156="","",COUNTIF($F153:$F156,AX$21)+COUNTIF($F153:$F156,$A$3))</f>
        <v/>
      </c>
      <c r="BD156" s="91" t="str">
        <f aca="false">IF($B156="","",COUNTIF($B153:$B156,BD$21)+COUNTIF($B153:$B156,$A$3))</f>
        <v/>
      </c>
      <c r="BE156" s="73" t="str">
        <f aca="false">IF($C156="","",COUNTIF($C153:$C156,BD$21)+COUNTIF($C153:$C156,$A$3))</f>
        <v/>
      </c>
      <c r="BF156" s="73" t="str">
        <f aca="false">IF($D156="","",COUNTIF($D153:$D156,BD$21)+COUNTIF($D153:$D156,$A$3))</f>
        <v/>
      </c>
      <c r="BG156" s="73" t="str">
        <f aca="false">IF($E156="","",COUNTIF($E153:$E156,BD$21)+COUNTIF($E153:$E156,$A$3))</f>
        <v/>
      </c>
      <c r="BH156" s="92" t="str">
        <f aca="false">IF($F156="","",COUNTIF($F153:$F156,BD$21)+COUNTIF($F153:$F156,$A$3))</f>
        <v/>
      </c>
      <c r="BJ156" s="91" t="str">
        <f aca="false">IF($B156="","",COUNTIF($B153:$B156,BJ$21)+COUNTIF($B153:$B156,$A$3))</f>
        <v/>
      </c>
      <c r="BK156" s="73" t="str">
        <f aca="false">IF($C156="","",COUNTIF($C153:$C156,BJ$21)+COUNTIF($C153:$C156,$A$3))</f>
        <v/>
      </c>
      <c r="BL156" s="73" t="str">
        <f aca="false">IF($D156="","",COUNTIF($D153:$D156,BJ$21)+COUNTIF($D153:$D156,$A$3))</f>
        <v/>
      </c>
      <c r="BM156" s="73" t="str">
        <f aca="false">IF($E156="","",COUNTIF($E153:$E156,BJ$21)+COUNTIF($E153:$E156,$A$3))</f>
        <v/>
      </c>
      <c r="BN156" s="92" t="str">
        <f aca="false">IF($F156="","",COUNTIF($F153:$F156,BJ$21)+COUNTIF($F153:$F156,$A$3))</f>
        <v/>
      </c>
      <c r="BP156" s="91" t="str">
        <f aca="false">IF($B156="","",COUNTIF($B153:$B156,BP$21)+COUNTIF($B153:$B156,$A$3))</f>
        <v/>
      </c>
      <c r="BQ156" s="73" t="str">
        <f aca="false">IF($C156="","",COUNTIF($C153:$C156,BP$21)+COUNTIF($C153:$C156,$A$3))</f>
        <v/>
      </c>
      <c r="BR156" s="73" t="str">
        <f aca="false">IF($D156="","",COUNTIF($D153:$D156,BP$21)+COUNTIF($D153:$D156,$A$3))</f>
        <v/>
      </c>
      <c r="BS156" s="73" t="str">
        <f aca="false">IF($E156="","",COUNTIF($E153:$E156,BP$21)+COUNTIF($E153:$E156,$A$3))</f>
        <v/>
      </c>
      <c r="BT156" s="92" t="str">
        <f aca="false">IF($F156="","",COUNTIF($F153:$F156,BP$21)+COUNTIF($F153:$F156,$A$3))</f>
        <v/>
      </c>
    </row>
    <row r="157" customFormat="false" ht="15" hidden="false" customHeight="false" outlineLevel="0" collapsed="false">
      <c r="A157" s="13" t="n">
        <v>135</v>
      </c>
      <c r="B157" s="116" t="str">
        <f aca="false">IF('Game Info'!Q140="","",'Game Info'!Q140)</f>
        <v/>
      </c>
      <c r="C157" s="116" t="str">
        <f aca="false">IF('Game Info'!R140="","",'Game Info'!R140)</f>
        <v/>
      </c>
      <c r="D157" s="116" t="str">
        <f aca="false">IF('Game Info'!S140="","",'Game Info'!S140)</f>
        <v/>
      </c>
      <c r="E157" s="116" t="str">
        <f aca="false">IF('Game Info'!T140="","",'Game Info'!T140)</f>
        <v/>
      </c>
      <c r="F157" s="117" t="str">
        <f aca="false">IF('Game Info'!U140="","",'Game Info'!U140)</f>
        <v/>
      </c>
      <c r="H157" s="91" t="str">
        <f aca="false">IF($B157="","",COUNTIF($B154:$B157,H$21)+COUNTIF($B154:$B157,$A$3))</f>
        <v/>
      </c>
      <c r="I157" s="73" t="str">
        <f aca="false">IF($C157="","",COUNTIF($C154:$C157,H$21)+COUNTIF($C154:$C157,$A$3))</f>
        <v/>
      </c>
      <c r="J157" s="73" t="str">
        <f aca="false">IF($D157="","",COUNTIF($D154:$D157,H$21)+COUNTIF($D154:$D157,$A$3))</f>
        <v/>
      </c>
      <c r="K157" s="73" t="str">
        <f aca="false">IF($E157="","",COUNTIF($E154:$E157,H$21)+COUNTIF($E154:$E157,$A$3))</f>
        <v/>
      </c>
      <c r="L157" s="92" t="str">
        <f aca="false">IF($F157="","",COUNTIF($F154:$F157,H$21)+COUNTIF($F154:$F157,$A$3))</f>
        <v/>
      </c>
      <c r="N157" s="91" t="str">
        <f aca="false">IF($B157="","",COUNTIF($B154:$B157,N$21)+COUNTIF($B154:$B157,$A$3))</f>
        <v/>
      </c>
      <c r="O157" s="73" t="str">
        <f aca="false">IF($C157="","",COUNTIF($C154:$C157,N$21)+COUNTIF($C154:$C157,$A$3))</f>
        <v/>
      </c>
      <c r="P157" s="73" t="str">
        <f aca="false">IF($D157="","",COUNTIF($D154:$D157,N$21)+COUNTIF($D154:$D157,$A$3))</f>
        <v/>
      </c>
      <c r="Q157" s="73" t="str">
        <f aca="false">IF($E157="","",COUNTIF($E154:$E157,N$21)+COUNTIF($E154:$E157,$A$3))</f>
        <v/>
      </c>
      <c r="R157" s="92" t="str">
        <f aca="false">IF($F157="","",COUNTIF($F154:$F157,N$21)+COUNTIF($F154:$F157,$A$3))</f>
        <v/>
      </c>
      <c r="T157" s="91" t="str">
        <f aca="false">IF($B157="","",COUNTIF($B154:$B157,T$21)+COUNTIF($B154:$B157,$A$3))</f>
        <v/>
      </c>
      <c r="U157" s="73" t="str">
        <f aca="false">IF($C157="","",COUNTIF($C154:$C157,T$21)+COUNTIF($C154:$C157,$A$3))</f>
        <v/>
      </c>
      <c r="V157" s="73" t="str">
        <f aca="false">IF($D157="","",COUNTIF($D154:$D157,T$21)+COUNTIF($D154:$D157,$A$3))</f>
        <v/>
      </c>
      <c r="W157" s="73" t="str">
        <f aca="false">IF($E157="","",COUNTIF($E154:$E157,T$21)+COUNTIF($E154:$E157,$A$3))</f>
        <v/>
      </c>
      <c r="X157" s="92" t="str">
        <f aca="false">IF($F157="","",COUNTIF($F154:$F157,T$21)+COUNTIF($F154:$F157,$A$3))</f>
        <v/>
      </c>
      <c r="Z157" s="91" t="str">
        <f aca="false">IF($B157="","",COUNTIF($B154:$B157,Z$21)+COUNTIF($B154:$B157,$A$3))</f>
        <v/>
      </c>
      <c r="AA157" s="73" t="str">
        <f aca="false">IF($C157="","",COUNTIF($C154:$C157,Z$21)+COUNTIF($C154:$C157,$A$3))</f>
        <v/>
      </c>
      <c r="AB157" s="73" t="str">
        <f aca="false">IF($D157="","",COUNTIF($D154:$D157,Z$21)+COUNTIF($D154:$D157,$A$3))</f>
        <v/>
      </c>
      <c r="AC157" s="73" t="str">
        <f aca="false">IF($E157="","",COUNTIF($E154:$E157,Z$21)+COUNTIF($E154:$E157,$A$3))</f>
        <v/>
      </c>
      <c r="AD157" s="92" t="str">
        <f aca="false">IF($F157="","",COUNTIF($F154:$F157,Z$21)+COUNTIF($F154:$F157,$A$3))</f>
        <v/>
      </c>
      <c r="AF157" s="91" t="str">
        <f aca="false">IF($B157="","",COUNTIF($B154:$B157,AF$21)+COUNTIF($B154:$B157,$A$3))</f>
        <v/>
      </c>
      <c r="AG157" s="73" t="str">
        <f aca="false">IF($C157="","",COUNTIF($C154:$C157,AF$21)+COUNTIF($C154:$C157,$A$3))</f>
        <v/>
      </c>
      <c r="AH157" s="73" t="str">
        <f aca="false">IF($D157="","",COUNTIF($D154:$D157,AF$21)+COUNTIF($D154:$D157,$A$3))</f>
        <v/>
      </c>
      <c r="AI157" s="73" t="str">
        <f aca="false">IF($E157="","",COUNTIF($E154:$E157,AF$21)+COUNTIF($E154:$E157,$A$3))</f>
        <v/>
      </c>
      <c r="AJ157" s="92" t="str">
        <f aca="false">IF($F157="","",COUNTIF($F154:$F157,AF$21)+COUNTIF($F154:$F157,$A$3))</f>
        <v/>
      </c>
      <c r="AL157" s="91" t="str">
        <f aca="false">IF($B157="","",COUNTIF($B154:$B157,AL$21)+COUNTIF($B154:$B157,$A$3))</f>
        <v/>
      </c>
      <c r="AM157" s="73" t="str">
        <f aca="false">IF($C157="","",COUNTIF($C154:$C157,AL$21)+COUNTIF($C154:$C157,$A$3))</f>
        <v/>
      </c>
      <c r="AN157" s="73" t="str">
        <f aca="false">IF($D157="","",COUNTIF($D154:$D157,AL$21)+COUNTIF($D154:$D157,$A$3))</f>
        <v/>
      </c>
      <c r="AO157" s="73" t="str">
        <f aca="false">IF($E157="","",COUNTIF($E154:$E157,AL$21)+COUNTIF($E154:$E157,$A$3))</f>
        <v/>
      </c>
      <c r="AP157" s="92" t="str">
        <f aca="false">IF($F157="","",COUNTIF($F154:$F157,AL$21)+COUNTIF($F154:$F157,$A$3))</f>
        <v/>
      </c>
      <c r="AR157" s="91" t="str">
        <f aca="false">IF($B157="","",COUNTIF($B154:$B157,AR$21)+COUNTIF($B154:$B157,$A$3))</f>
        <v/>
      </c>
      <c r="AS157" s="73" t="str">
        <f aca="false">IF($C157="","",COUNTIF($C154:$C157,AR$21)+COUNTIF($C154:$C157,$A$3))</f>
        <v/>
      </c>
      <c r="AT157" s="73" t="str">
        <f aca="false">IF($D157="","",COUNTIF($D154:$D157,AR$21)+COUNTIF($D154:$D157,$A$3))</f>
        <v/>
      </c>
      <c r="AU157" s="73" t="str">
        <f aca="false">IF($E157="","",COUNTIF($E154:$E157,AR$21)+COUNTIF($E154:$E157,$A$3))</f>
        <v/>
      </c>
      <c r="AV157" s="92" t="str">
        <f aca="false">IF($F157="","",COUNTIF($F154:$F157,AR$21)+COUNTIF($F154:$F157,$A$3))</f>
        <v/>
      </c>
      <c r="AX157" s="91" t="str">
        <f aca="false">IF($B157="","",COUNTIF($B154:$B157,AX$21)+COUNTIF($B154:$B157,$A$3))</f>
        <v/>
      </c>
      <c r="AY157" s="73" t="str">
        <f aca="false">IF($C157="","",COUNTIF($C154:$C157,AX$21)+COUNTIF($C154:$C157,$A$3))</f>
        <v/>
      </c>
      <c r="AZ157" s="73" t="str">
        <f aca="false">IF($D157="","",COUNTIF($D154:$D157,AX$21)+COUNTIF($D154:$D157,$A$3))</f>
        <v/>
      </c>
      <c r="BA157" s="73" t="str">
        <f aca="false">IF($E157="","",COUNTIF($E154:$E157,AX$21)+COUNTIF($E154:$E157,$A$3))</f>
        <v/>
      </c>
      <c r="BB157" s="92" t="str">
        <f aca="false">IF($F157="","",COUNTIF($F154:$F157,AX$21)+COUNTIF($F154:$F157,$A$3))</f>
        <v/>
      </c>
      <c r="BD157" s="91" t="str">
        <f aca="false">IF($B157="","",COUNTIF($B154:$B157,BD$21)+COUNTIF($B154:$B157,$A$3))</f>
        <v/>
      </c>
      <c r="BE157" s="73" t="str">
        <f aca="false">IF($C157="","",COUNTIF($C154:$C157,BD$21)+COUNTIF($C154:$C157,$A$3))</f>
        <v/>
      </c>
      <c r="BF157" s="73" t="str">
        <f aca="false">IF($D157="","",COUNTIF($D154:$D157,BD$21)+COUNTIF($D154:$D157,$A$3))</f>
        <v/>
      </c>
      <c r="BG157" s="73" t="str">
        <f aca="false">IF($E157="","",COUNTIF($E154:$E157,BD$21)+COUNTIF($E154:$E157,$A$3))</f>
        <v/>
      </c>
      <c r="BH157" s="92" t="str">
        <f aca="false">IF($F157="","",COUNTIF($F154:$F157,BD$21)+COUNTIF($F154:$F157,$A$3))</f>
        <v/>
      </c>
      <c r="BJ157" s="91" t="str">
        <f aca="false">IF($B157="","",COUNTIF($B154:$B157,BJ$21)+COUNTIF($B154:$B157,$A$3))</f>
        <v/>
      </c>
      <c r="BK157" s="73" t="str">
        <f aca="false">IF($C157="","",COUNTIF($C154:$C157,BJ$21)+COUNTIF($C154:$C157,$A$3))</f>
        <v/>
      </c>
      <c r="BL157" s="73" t="str">
        <f aca="false">IF($D157="","",COUNTIF($D154:$D157,BJ$21)+COUNTIF($D154:$D157,$A$3))</f>
        <v/>
      </c>
      <c r="BM157" s="73" t="str">
        <f aca="false">IF($E157="","",COUNTIF($E154:$E157,BJ$21)+COUNTIF($E154:$E157,$A$3))</f>
        <v/>
      </c>
      <c r="BN157" s="92" t="str">
        <f aca="false">IF($F157="","",COUNTIF($F154:$F157,BJ$21)+COUNTIF($F154:$F157,$A$3))</f>
        <v/>
      </c>
      <c r="BP157" s="91" t="str">
        <f aca="false">IF($B157="","",COUNTIF($B154:$B157,BP$21)+COUNTIF($B154:$B157,$A$3))</f>
        <v/>
      </c>
      <c r="BQ157" s="73" t="str">
        <f aca="false">IF($C157="","",COUNTIF($C154:$C157,BP$21)+COUNTIF($C154:$C157,$A$3))</f>
        <v/>
      </c>
      <c r="BR157" s="73" t="str">
        <f aca="false">IF($D157="","",COUNTIF($D154:$D157,BP$21)+COUNTIF($D154:$D157,$A$3))</f>
        <v/>
      </c>
      <c r="BS157" s="73" t="str">
        <f aca="false">IF($E157="","",COUNTIF($E154:$E157,BP$21)+COUNTIF($E154:$E157,$A$3))</f>
        <v/>
      </c>
      <c r="BT157" s="92" t="str">
        <f aca="false">IF($F157="","",COUNTIF($F154:$F157,BP$21)+COUNTIF($F154:$F157,$A$3))</f>
        <v/>
      </c>
    </row>
    <row r="158" customFormat="false" ht="15" hidden="false" customHeight="false" outlineLevel="0" collapsed="false">
      <c r="A158" s="13" t="n">
        <v>136</v>
      </c>
      <c r="B158" s="116" t="str">
        <f aca="false">IF('Game Info'!Q141="","",'Game Info'!Q141)</f>
        <v/>
      </c>
      <c r="C158" s="116" t="str">
        <f aca="false">IF('Game Info'!R141="","",'Game Info'!R141)</f>
        <v/>
      </c>
      <c r="D158" s="116" t="str">
        <f aca="false">IF('Game Info'!S141="","",'Game Info'!S141)</f>
        <v/>
      </c>
      <c r="E158" s="116" t="str">
        <f aca="false">IF('Game Info'!T141="","",'Game Info'!T141)</f>
        <v/>
      </c>
      <c r="F158" s="117" t="str">
        <f aca="false">IF('Game Info'!U141="","",'Game Info'!U141)</f>
        <v/>
      </c>
      <c r="H158" s="91" t="str">
        <f aca="false">IF($B158="","",COUNTIF($B155:$B158,H$21)+COUNTIF($B155:$B158,$A$3))</f>
        <v/>
      </c>
      <c r="I158" s="73" t="str">
        <f aca="false">IF($C158="","",COUNTIF($C155:$C158,H$21)+COUNTIF($C155:$C158,$A$3))</f>
        <v/>
      </c>
      <c r="J158" s="73" t="str">
        <f aca="false">IF($D158="","",COUNTIF($D155:$D158,H$21)+COUNTIF($D155:$D158,$A$3))</f>
        <v/>
      </c>
      <c r="K158" s="73" t="str">
        <f aca="false">IF($E158="","",COUNTIF($E155:$E158,H$21)+COUNTIF($E155:$E158,$A$3))</f>
        <v/>
      </c>
      <c r="L158" s="92" t="str">
        <f aca="false">IF($F158="","",COUNTIF($F155:$F158,H$21)+COUNTIF($F155:$F158,$A$3))</f>
        <v/>
      </c>
      <c r="N158" s="91" t="str">
        <f aca="false">IF($B158="","",COUNTIF($B155:$B158,N$21)+COUNTIF($B155:$B158,$A$3))</f>
        <v/>
      </c>
      <c r="O158" s="73" t="str">
        <f aca="false">IF($C158="","",COUNTIF($C155:$C158,N$21)+COUNTIF($C155:$C158,$A$3))</f>
        <v/>
      </c>
      <c r="P158" s="73" t="str">
        <f aca="false">IF($D158="","",COUNTIF($D155:$D158,N$21)+COUNTIF($D155:$D158,$A$3))</f>
        <v/>
      </c>
      <c r="Q158" s="73" t="str">
        <f aca="false">IF($E158="","",COUNTIF($E155:$E158,N$21)+COUNTIF($E155:$E158,$A$3))</f>
        <v/>
      </c>
      <c r="R158" s="92" t="str">
        <f aca="false">IF($F158="","",COUNTIF($F155:$F158,N$21)+COUNTIF($F155:$F158,$A$3))</f>
        <v/>
      </c>
      <c r="T158" s="91" t="str">
        <f aca="false">IF($B158="","",COUNTIF($B155:$B158,T$21)+COUNTIF($B155:$B158,$A$3))</f>
        <v/>
      </c>
      <c r="U158" s="73" t="str">
        <f aca="false">IF($C158="","",COUNTIF($C155:$C158,T$21)+COUNTIF($C155:$C158,$A$3))</f>
        <v/>
      </c>
      <c r="V158" s="73" t="str">
        <f aca="false">IF($D158="","",COUNTIF($D155:$D158,T$21)+COUNTIF($D155:$D158,$A$3))</f>
        <v/>
      </c>
      <c r="W158" s="73" t="str">
        <f aca="false">IF($E158="","",COUNTIF($E155:$E158,T$21)+COUNTIF($E155:$E158,$A$3))</f>
        <v/>
      </c>
      <c r="X158" s="92" t="str">
        <f aca="false">IF($F158="","",COUNTIF($F155:$F158,T$21)+COUNTIF($F155:$F158,$A$3))</f>
        <v/>
      </c>
      <c r="Z158" s="91" t="str">
        <f aca="false">IF($B158="","",COUNTIF($B155:$B158,Z$21)+COUNTIF($B155:$B158,$A$3))</f>
        <v/>
      </c>
      <c r="AA158" s="73" t="str">
        <f aca="false">IF($C158="","",COUNTIF($C155:$C158,Z$21)+COUNTIF($C155:$C158,$A$3))</f>
        <v/>
      </c>
      <c r="AB158" s="73" t="str">
        <f aca="false">IF($D158="","",COUNTIF($D155:$D158,Z$21)+COUNTIF($D155:$D158,$A$3))</f>
        <v/>
      </c>
      <c r="AC158" s="73" t="str">
        <f aca="false">IF($E158="","",COUNTIF($E155:$E158,Z$21)+COUNTIF($E155:$E158,$A$3))</f>
        <v/>
      </c>
      <c r="AD158" s="92" t="str">
        <f aca="false">IF($F158="","",COUNTIF($F155:$F158,Z$21)+COUNTIF($F155:$F158,$A$3))</f>
        <v/>
      </c>
      <c r="AF158" s="91" t="str">
        <f aca="false">IF($B158="","",COUNTIF($B155:$B158,AF$21)+COUNTIF($B155:$B158,$A$3))</f>
        <v/>
      </c>
      <c r="AG158" s="73" t="str">
        <f aca="false">IF($C158="","",COUNTIF($C155:$C158,AF$21)+COUNTIF($C155:$C158,$A$3))</f>
        <v/>
      </c>
      <c r="AH158" s="73" t="str">
        <f aca="false">IF($D158="","",COUNTIF($D155:$D158,AF$21)+COUNTIF($D155:$D158,$A$3))</f>
        <v/>
      </c>
      <c r="AI158" s="73" t="str">
        <f aca="false">IF($E158="","",COUNTIF($E155:$E158,AF$21)+COUNTIF($E155:$E158,$A$3))</f>
        <v/>
      </c>
      <c r="AJ158" s="92" t="str">
        <f aca="false">IF($F158="","",COUNTIF($F155:$F158,AF$21)+COUNTIF($F155:$F158,$A$3))</f>
        <v/>
      </c>
      <c r="AL158" s="91" t="str">
        <f aca="false">IF($B158="","",COUNTIF($B155:$B158,AL$21)+COUNTIF($B155:$B158,$A$3))</f>
        <v/>
      </c>
      <c r="AM158" s="73" t="str">
        <f aca="false">IF($C158="","",COUNTIF($C155:$C158,AL$21)+COUNTIF($C155:$C158,$A$3))</f>
        <v/>
      </c>
      <c r="AN158" s="73" t="str">
        <f aca="false">IF($D158="","",COUNTIF($D155:$D158,AL$21)+COUNTIF($D155:$D158,$A$3))</f>
        <v/>
      </c>
      <c r="AO158" s="73" t="str">
        <f aca="false">IF($E158="","",COUNTIF($E155:$E158,AL$21)+COUNTIF($E155:$E158,$A$3))</f>
        <v/>
      </c>
      <c r="AP158" s="92" t="str">
        <f aca="false">IF($F158="","",COUNTIF($F155:$F158,AL$21)+COUNTIF($F155:$F158,$A$3))</f>
        <v/>
      </c>
      <c r="AR158" s="91" t="str">
        <f aca="false">IF($B158="","",COUNTIF($B155:$B158,AR$21)+COUNTIF($B155:$B158,$A$3))</f>
        <v/>
      </c>
      <c r="AS158" s="73" t="str">
        <f aca="false">IF($C158="","",COUNTIF($C155:$C158,AR$21)+COUNTIF($C155:$C158,$A$3))</f>
        <v/>
      </c>
      <c r="AT158" s="73" t="str">
        <f aca="false">IF($D158="","",COUNTIF($D155:$D158,AR$21)+COUNTIF($D155:$D158,$A$3))</f>
        <v/>
      </c>
      <c r="AU158" s="73" t="str">
        <f aca="false">IF($E158="","",COUNTIF($E155:$E158,AR$21)+COUNTIF($E155:$E158,$A$3))</f>
        <v/>
      </c>
      <c r="AV158" s="92" t="str">
        <f aca="false">IF($F158="","",COUNTIF($F155:$F158,AR$21)+COUNTIF($F155:$F158,$A$3))</f>
        <v/>
      </c>
      <c r="AX158" s="91" t="str">
        <f aca="false">IF($B158="","",COUNTIF($B155:$B158,AX$21)+COUNTIF($B155:$B158,$A$3))</f>
        <v/>
      </c>
      <c r="AY158" s="73" t="str">
        <f aca="false">IF($C158="","",COUNTIF($C155:$C158,AX$21)+COUNTIF($C155:$C158,$A$3))</f>
        <v/>
      </c>
      <c r="AZ158" s="73" t="str">
        <f aca="false">IF($D158="","",COUNTIF($D155:$D158,AX$21)+COUNTIF($D155:$D158,$A$3))</f>
        <v/>
      </c>
      <c r="BA158" s="73" t="str">
        <f aca="false">IF($E158="","",COUNTIF($E155:$E158,AX$21)+COUNTIF($E155:$E158,$A$3))</f>
        <v/>
      </c>
      <c r="BB158" s="92" t="str">
        <f aca="false">IF($F158="","",COUNTIF($F155:$F158,AX$21)+COUNTIF($F155:$F158,$A$3))</f>
        <v/>
      </c>
      <c r="BD158" s="91" t="str">
        <f aca="false">IF($B158="","",COUNTIF($B155:$B158,BD$21)+COUNTIF($B155:$B158,$A$3))</f>
        <v/>
      </c>
      <c r="BE158" s="73" t="str">
        <f aca="false">IF($C158="","",COUNTIF($C155:$C158,BD$21)+COUNTIF($C155:$C158,$A$3))</f>
        <v/>
      </c>
      <c r="BF158" s="73" t="str">
        <f aca="false">IF($D158="","",COUNTIF($D155:$D158,BD$21)+COUNTIF($D155:$D158,$A$3))</f>
        <v/>
      </c>
      <c r="BG158" s="73" t="str">
        <f aca="false">IF($E158="","",COUNTIF($E155:$E158,BD$21)+COUNTIF($E155:$E158,$A$3))</f>
        <v/>
      </c>
      <c r="BH158" s="92" t="str">
        <f aca="false">IF($F158="","",COUNTIF($F155:$F158,BD$21)+COUNTIF($F155:$F158,$A$3))</f>
        <v/>
      </c>
      <c r="BJ158" s="91" t="str">
        <f aca="false">IF($B158="","",COUNTIF($B155:$B158,BJ$21)+COUNTIF($B155:$B158,$A$3))</f>
        <v/>
      </c>
      <c r="BK158" s="73" t="str">
        <f aca="false">IF($C158="","",COUNTIF($C155:$C158,BJ$21)+COUNTIF($C155:$C158,$A$3))</f>
        <v/>
      </c>
      <c r="BL158" s="73" t="str">
        <f aca="false">IF($D158="","",COUNTIF($D155:$D158,BJ$21)+COUNTIF($D155:$D158,$A$3))</f>
        <v/>
      </c>
      <c r="BM158" s="73" t="str">
        <f aca="false">IF($E158="","",COUNTIF($E155:$E158,BJ$21)+COUNTIF($E155:$E158,$A$3))</f>
        <v/>
      </c>
      <c r="BN158" s="92" t="str">
        <f aca="false">IF($F158="","",COUNTIF($F155:$F158,BJ$21)+COUNTIF($F155:$F158,$A$3))</f>
        <v/>
      </c>
      <c r="BP158" s="91" t="str">
        <f aca="false">IF($B158="","",COUNTIF($B155:$B158,BP$21)+COUNTIF($B155:$B158,$A$3))</f>
        <v/>
      </c>
      <c r="BQ158" s="73" t="str">
        <f aca="false">IF($C158="","",COUNTIF($C155:$C158,BP$21)+COUNTIF($C155:$C158,$A$3))</f>
        <v/>
      </c>
      <c r="BR158" s="73" t="str">
        <f aca="false">IF($D158="","",COUNTIF($D155:$D158,BP$21)+COUNTIF($D155:$D158,$A$3))</f>
        <v/>
      </c>
      <c r="BS158" s="73" t="str">
        <f aca="false">IF($E158="","",COUNTIF($E155:$E158,BP$21)+COUNTIF($E155:$E158,$A$3))</f>
        <v/>
      </c>
      <c r="BT158" s="92" t="str">
        <f aca="false">IF($F158="","",COUNTIF($F155:$F158,BP$21)+COUNTIF($F155:$F158,$A$3))</f>
        <v/>
      </c>
    </row>
    <row r="159" customFormat="false" ht="15" hidden="false" customHeight="false" outlineLevel="0" collapsed="false">
      <c r="A159" s="13" t="n">
        <v>137</v>
      </c>
      <c r="B159" s="116" t="str">
        <f aca="false">IF('Game Info'!Q142="","",'Game Info'!Q142)</f>
        <v/>
      </c>
      <c r="C159" s="116" t="str">
        <f aca="false">IF('Game Info'!R142="","",'Game Info'!R142)</f>
        <v/>
      </c>
      <c r="D159" s="116" t="str">
        <f aca="false">IF('Game Info'!S142="","",'Game Info'!S142)</f>
        <v/>
      </c>
      <c r="E159" s="116" t="str">
        <f aca="false">IF('Game Info'!T142="","",'Game Info'!T142)</f>
        <v/>
      </c>
      <c r="F159" s="117" t="str">
        <f aca="false">IF('Game Info'!U142="","",'Game Info'!U142)</f>
        <v/>
      </c>
      <c r="H159" s="91" t="str">
        <f aca="false">IF($B159="","",COUNTIF($B156:$B159,H$21)+COUNTIF($B156:$B159,$A$3))</f>
        <v/>
      </c>
      <c r="I159" s="73" t="str">
        <f aca="false">IF($C159="","",COUNTIF($C156:$C159,H$21)+COUNTIF($C156:$C159,$A$3))</f>
        <v/>
      </c>
      <c r="J159" s="73" t="str">
        <f aca="false">IF($D159="","",COUNTIF($D156:$D159,H$21)+COUNTIF($D156:$D159,$A$3))</f>
        <v/>
      </c>
      <c r="K159" s="73" t="str">
        <f aca="false">IF($E159="","",COUNTIF($E156:$E159,H$21)+COUNTIF($E156:$E159,$A$3))</f>
        <v/>
      </c>
      <c r="L159" s="92" t="str">
        <f aca="false">IF($F159="","",COUNTIF($F156:$F159,H$21)+COUNTIF($F156:$F159,$A$3))</f>
        <v/>
      </c>
      <c r="N159" s="91" t="str">
        <f aca="false">IF($B159="","",COUNTIF($B156:$B159,N$21)+COUNTIF($B156:$B159,$A$3))</f>
        <v/>
      </c>
      <c r="O159" s="73" t="str">
        <f aca="false">IF($C159="","",COUNTIF($C156:$C159,N$21)+COUNTIF($C156:$C159,$A$3))</f>
        <v/>
      </c>
      <c r="P159" s="73" t="str">
        <f aca="false">IF($D159="","",COUNTIF($D156:$D159,N$21)+COUNTIF($D156:$D159,$A$3))</f>
        <v/>
      </c>
      <c r="Q159" s="73" t="str">
        <f aca="false">IF($E159="","",COUNTIF($E156:$E159,N$21)+COUNTIF($E156:$E159,$A$3))</f>
        <v/>
      </c>
      <c r="R159" s="92" t="str">
        <f aca="false">IF($F159="","",COUNTIF($F156:$F159,N$21)+COUNTIF($F156:$F159,$A$3))</f>
        <v/>
      </c>
      <c r="T159" s="91" t="str">
        <f aca="false">IF($B159="","",COUNTIF($B156:$B159,T$21)+COUNTIF($B156:$B159,$A$3))</f>
        <v/>
      </c>
      <c r="U159" s="73" t="str">
        <f aca="false">IF($C159="","",COUNTIF($C156:$C159,T$21)+COUNTIF($C156:$C159,$A$3))</f>
        <v/>
      </c>
      <c r="V159" s="73" t="str">
        <f aca="false">IF($D159="","",COUNTIF($D156:$D159,T$21)+COUNTIF($D156:$D159,$A$3))</f>
        <v/>
      </c>
      <c r="W159" s="73" t="str">
        <f aca="false">IF($E159="","",COUNTIF($E156:$E159,T$21)+COUNTIF($E156:$E159,$A$3))</f>
        <v/>
      </c>
      <c r="X159" s="92" t="str">
        <f aca="false">IF($F159="","",COUNTIF($F156:$F159,T$21)+COUNTIF($F156:$F159,$A$3))</f>
        <v/>
      </c>
      <c r="Z159" s="91" t="str">
        <f aca="false">IF($B159="","",COUNTIF($B156:$B159,Z$21)+COUNTIF($B156:$B159,$A$3))</f>
        <v/>
      </c>
      <c r="AA159" s="73" t="str">
        <f aca="false">IF($C159="","",COUNTIF($C156:$C159,Z$21)+COUNTIF($C156:$C159,$A$3))</f>
        <v/>
      </c>
      <c r="AB159" s="73" t="str">
        <f aca="false">IF($D159="","",COUNTIF($D156:$D159,Z$21)+COUNTIF($D156:$D159,$A$3))</f>
        <v/>
      </c>
      <c r="AC159" s="73" t="str">
        <f aca="false">IF($E159="","",COUNTIF($E156:$E159,Z$21)+COUNTIF($E156:$E159,$A$3))</f>
        <v/>
      </c>
      <c r="AD159" s="92" t="str">
        <f aca="false">IF($F159="","",COUNTIF($F156:$F159,Z$21)+COUNTIF($F156:$F159,$A$3))</f>
        <v/>
      </c>
      <c r="AF159" s="91" t="str">
        <f aca="false">IF($B159="","",COUNTIF($B156:$B159,AF$21)+COUNTIF($B156:$B159,$A$3))</f>
        <v/>
      </c>
      <c r="AG159" s="73" t="str">
        <f aca="false">IF($C159="","",COUNTIF($C156:$C159,AF$21)+COUNTIF($C156:$C159,$A$3))</f>
        <v/>
      </c>
      <c r="AH159" s="73" t="str">
        <f aca="false">IF($D159="","",COUNTIF($D156:$D159,AF$21)+COUNTIF($D156:$D159,$A$3))</f>
        <v/>
      </c>
      <c r="AI159" s="73" t="str">
        <f aca="false">IF($E159="","",COUNTIF($E156:$E159,AF$21)+COUNTIF($E156:$E159,$A$3))</f>
        <v/>
      </c>
      <c r="AJ159" s="92" t="str">
        <f aca="false">IF($F159="","",COUNTIF($F156:$F159,AF$21)+COUNTIF($F156:$F159,$A$3))</f>
        <v/>
      </c>
      <c r="AL159" s="91" t="str">
        <f aca="false">IF($B159="","",COUNTIF($B156:$B159,AL$21)+COUNTIF($B156:$B159,$A$3))</f>
        <v/>
      </c>
      <c r="AM159" s="73" t="str">
        <f aca="false">IF($C159="","",COUNTIF($C156:$C159,AL$21)+COUNTIF($C156:$C159,$A$3))</f>
        <v/>
      </c>
      <c r="AN159" s="73" t="str">
        <f aca="false">IF($D159="","",COUNTIF($D156:$D159,AL$21)+COUNTIF($D156:$D159,$A$3))</f>
        <v/>
      </c>
      <c r="AO159" s="73" t="str">
        <f aca="false">IF($E159="","",COUNTIF($E156:$E159,AL$21)+COUNTIF($E156:$E159,$A$3))</f>
        <v/>
      </c>
      <c r="AP159" s="92" t="str">
        <f aca="false">IF($F159="","",COUNTIF($F156:$F159,AL$21)+COUNTIF($F156:$F159,$A$3))</f>
        <v/>
      </c>
      <c r="AR159" s="91" t="str">
        <f aca="false">IF($B159="","",COUNTIF($B156:$B159,AR$21)+COUNTIF($B156:$B159,$A$3))</f>
        <v/>
      </c>
      <c r="AS159" s="73" t="str">
        <f aca="false">IF($C159="","",COUNTIF($C156:$C159,AR$21)+COUNTIF($C156:$C159,$A$3))</f>
        <v/>
      </c>
      <c r="AT159" s="73" t="str">
        <f aca="false">IF($D159="","",COUNTIF($D156:$D159,AR$21)+COUNTIF($D156:$D159,$A$3))</f>
        <v/>
      </c>
      <c r="AU159" s="73" t="str">
        <f aca="false">IF($E159="","",COUNTIF($E156:$E159,AR$21)+COUNTIF($E156:$E159,$A$3))</f>
        <v/>
      </c>
      <c r="AV159" s="92" t="str">
        <f aca="false">IF($F159="","",COUNTIF($F156:$F159,AR$21)+COUNTIF($F156:$F159,$A$3))</f>
        <v/>
      </c>
      <c r="AX159" s="91" t="str">
        <f aca="false">IF($B159="","",COUNTIF($B156:$B159,AX$21)+COUNTIF($B156:$B159,$A$3))</f>
        <v/>
      </c>
      <c r="AY159" s="73" t="str">
        <f aca="false">IF($C159="","",COUNTIF($C156:$C159,AX$21)+COUNTIF($C156:$C159,$A$3))</f>
        <v/>
      </c>
      <c r="AZ159" s="73" t="str">
        <f aca="false">IF($D159="","",COUNTIF($D156:$D159,AX$21)+COUNTIF($D156:$D159,$A$3))</f>
        <v/>
      </c>
      <c r="BA159" s="73" t="str">
        <f aca="false">IF($E159="","",COUNTIF($E156:$E159,AX$21)+COUNTIF($E156:$E159,$A$3))</f>
        <v/>
      </c>
      <c r="BB159" s="92" t="str">
        <f aca="false">IF($F159="","",COUNTIF($F156:$F159,AX$21)+COUNTIF($F156:$F159,$A$3))</f>
        <v/>
      </c>
      <c r="BD159" s="91" t="str">
        <f aca="false">IF($B159="","",COUNTIF($B156:$B159,BD$21)+COUNTIF($B156:$B159,$A$3))</f>
        <v/>
      </c>
      <c r="BE159" s="73" t="str">
        <f aca="false">IF($C159="","",COUNTIF($C156:$C159,BD$21)+COUNTIF($C156:$C159,$A$3))</f>
        <v/>
      </c>
      <c r="BF159" s="73" t="str">
        <f aca="false">IF($D159="","",COUNTIF($D156:$D159,BD$21)+COUNTIF($D156:$D159,$A$3))</f>
        <v/>
      </c>
      <c r="BG159" s="73" t="str">
        <f aca="false">IF($E159="","",COUNTIF($E156:$E159,BD$21)+COUNTIF($E156:$E159,$A$3))</f>
        <v/>
      </c>
      <c r="BH159" s="92" t="str">
        <f aca="false">IF($F159="","",COUNTIF($F156:$F159,BD$21)+COUNTIF($F156:$F159,$A$3))</f>
        <v/>
      </c>
      <c r="BJ159" s="91" t="str">
        <f aca="false">IF($B159="","",COUNTIF($B156:$B159,BJ$21)+COUNTIF($B156:$B159,$A$3))</f>
        <v/>
      </c>
      <c r="BK159" s="73" t="str">
        <f aca="false">IF($C159="","",COUNTIF($C156:$C159,BJ$21)+COUNTIF($C156:$C159,$A$3))</f>
        <v/>
      </c>
      <c r="BL159" s="73" t="str">
        <f aca="false">IF($D159="","",COUNTIF($D156:$D159,BJ$21)+COUNTIF($D156:$D159,$A$3))</f>
        <v/>
      </c>
      <c r="BM159" s="73" t="str">
        <f aca="false">IF($E159="","",COUNTIF($E156:$E159,BJ$21)+COUNTIF($E156:$E159,$A$3))</f>
        <v/>
      </c>
      <c r="BN159" s="92" t="str">
        <f aca="false">IF($F159="","",COUNTIF($F156:$F159,BJ$21)+COUNTIF($F156:$F159,$A$3))</f>
        <v/>
      </c>
      <c r="BP159" s="91" t="str">
        <f aca="false">IF($B159="","",COUNTIF($B156:$B159,BP$21)+COUNTIF($B156:$B159,$A$3))</f>
        <v/>
      </c>
      <c r="BQ159" s="73" t="str">
        <f aca="false">IF($C159="","",COUNTIF($C156:$C159,BP$21)+COUNTIF($C156:$C159,$A$3))</f>
        <v/>
      </c>
      <c r="BR159" s="73" t="str">
        <f aca="false">IF($D159="","",COUNTIF($D156:$D159,BP$21)+COUNTIF($D156:$D159,$A$3))</f>
        <v/>
      </c>
      <c r="BS159" s="73" t="str">
        <f aca="false">IF($E159="","",COUNTIF($E156:$E159,BP$21)+COUNTIF($E156:$E159,$A$3))</f>
        <v/>
      </c>
      <c r="BT159" s="92" t="str">
        <f aca="false">IF($F159="","",COUNTIF($F156:$F159,BP$21)+COUNTIF($F156:$F159,$A$3))</f>
        <v/>
      </c>
    </row>
    <row r="160" customFormat="false" ht="15" hidden="false" customHeight="false" outlineLevel="0" collapsed="false">
      <c r="A160" s="13" t="n">
        <v>138</v>
      </c>
      <c r="B160" s="116" t="str">
        <f aca="false">IF('Game Info'!Q143="","",'Game Info'!Q143)</f>
        <v/>
      </c>
      <c r="C160" s="116" t="str">
        <f aca="false">IF('Game Info'!R143="","",'Game Info'!R143)</f>
        <v/>
      </c>
      <c r="D160" s="116" t="str">
        <f aca="false">IF('Game Info'!S143="","",'Game Info'!S143)</f>
        <v/>
      </c>
      <c r="E160" s="116" t="str">
        <f aca="false">IF('Game Info'!T143="","",'Game Info'!T143)</f>
        <v/>
      </c>
      <c r="F160" s="117" t="str">
        <f aca="false">IF('Game Info'!U143="","",'Game Info'!U143)</f>
        <v/>
      </c>
      <c r="H160" s="91" t="str">
        <f aca="false">IF($B160="","",COUNTIF($B157:$B160,H$21)+COUNTIF($B157:$B160,$A$3))</f>
        <v/>
      </c>
      <c r="I160" s="73" t="str">
        <f aca="false">IF($C160="","",COUNTIF($C157:$C160,H$21)+COUNTIF($C157:$C160,$A$3))</f>
        <v/>
      </c>
      <c r="J160" s="73" t="str">
        <f aca="false">IF($D160="","",COUNTIF($D157:$D160,H$21)+COUNTIF($D157:$D160,$A$3))</f>
        <v/>
      </c>
      <c r="K160" s="73" t="str">
        <f aca="false">IF($E160="","",COUNTIF($E157:$E160,H$21)+COUNTIF($E157:$E160,$A$3))</f>
        <v/>
      </c>
      <c r="L160" s="92" t="str">
        <f aca="false">IF($F160="","",COUNTIF($F157:$F160,H$21)+COUNTIF($F157:$F160,$A$3))</f>
        <v/>
      </c>
      <c r="N160" s="91" t="str">
        <f aca="false">IF($B160="","",COUNTIF($B157:$B160,N$21)+COUNTIF($B157:$B160,$A$3))</f>
        <v/>
      </c>
      <c r="O160" s="73" t="str">
        <f aca="false">IF($C160="","",COUNTIF($C157:$C160,N$21)+COUNTIF($C157:$C160,$A$3))</f>
        <v/>
      </c>
      <c r="P160" s="73" t="str">
        <f aca="false">IF($D160="","",COUNTIF($D157:$D160,N$21)+COUNTIF($D157:$D160,$A$3))</f>
        <v/>
      </c>
      <c r="Q160" s="73" t="str">
        <f aca="false">IF($E160="","",COUNTIF($E157:$E160,N$21)+COUNTIF($E157:$E160,$A$3))</f>
        <v/>
      </c>
      <c r="R160" s="92" t="str">
        <f aca="false">IF($F160="","",COUNTIF($F157:$F160,N$21)+COUNTIF($F157:$F160,$A$3))</f>
        <v/>
      </c>
      <c r="T160" s="91" t="str">
        <f aca="false">IF($B160="","",COUNTIF($B157:$B160,T$21)+COUNTIF($B157:$B160,$A$3))</f>
        <v/>
      </c>
      <c r="U160" s="73" t="str">
        <f aca="false">IF($C160="","",COUNTIF($C157:$C160,T$21)+COUNTIF($C157:$C160,$A$3))</f>
        <v/>
      </c>
      <c r="V160" s="73" t="str">
        <f aca="false">IF($D160="","",COUNTIF($D157:$D160,T$21)+COUNTIF($D157:$D160,$A$3))</f>
        <v/>
      </c>
      <c r="W160" s="73" t="str">
        <f aca="false">IF($E160="","",COUNTIF($E157:$E160,T$21)+COUNTIF($E157:$E160,$A$3))</f>
        <v/>
      </c>
      <c r="X160" s="92" t="str">
        <f aca="false">IF($F160="","",COUNTIF($F157:$F160,T$21)+COUNTIF($F157:$F160,$A$3))</f>
        <v/>
      </c>
      <c r="Z160" s="91" t="str">
        <f aca="false">IF($B160="","",COUNTIF($B157:$B160,Z$21)+COUNTIF($B157:$B160,$A$3))</f>
        <v/>
      </c>
      <c r="AA160" s="73" t="str">
        <f aca="false">IF($C160="","",COUNTIF($C157:$C160,Z$21)+COUNTIF($C157:$C160,$A$3))</f>
        <v/>
      </c>
      <c r="AB160" s="73" t="str">
        <f aca="false">IF($D160="","",COUNTIF($D157:$D160,Z$21)+COUNTIF($D157:$D160,$A$3))</f>
        <v/>
      </c>
      <c r="AC160" s="73" t="str">
        <f aca="false">IF($E160="","",COUNTIF($E157:$E160,Z$21)+COUNTIF($E157:$E160,$A$3))</f>
        <v/>
      </c>
      <c r="AD160" s="92" t="str">
        <f aca="false">IF($F160="","",COUNTIF($F157:$F160,Z$21)+COUNTIF($F157:$F160,$A$3))</f>
        <v/>
      </c>
      <c r="AF160" s="91" t="str">
        <f aca="false">IF($B160="","",COUNTIF($B157:$B160,AF$21)+COUNTIF($B157:$B160,$A$3))</f>
        <v/>
      </c>
      <c r="AG160" s="73" t="str">
        <f aca="false">IF($C160="","",COUNTIF($C157:$C160,AF$21)+COUNTIF($C157:$C160,$A$3))</f>
        <v/>
      </c>
      <c r="AH160" s="73" t="str">
        <f aca="false">IF($D160="","",COUNTIF($D157:$D160,AF$21)+COUNTIF($D157:$D160,$A$3))</f>
        <v/>
      </c>
      <c r="AI160" s="73" t="str">
        <f aca="false">IF($E160="","",COUNTIF($E157:$E160,AF$21)+COUNTIF($E157:$E160,$A$3))</f>
        <v/>
      </c>
      <c r="AJ160" s="92" t="str">
        <f aca="false">IF($F160="","",COUNTIF($F157:$F160,AF$21)+COUNTIF($F157:$F160,$A$3))</f>
        <v/>
      </c>
      <c r="AL160" s="91" t="str">
        <f aca="false">IF($B160="","",COUNTIF($B157:$B160,AL$21)+COUNTIF($B157:$B160,$A$3))</f>
        <v/>
      </c>
      <c r="AM160" s="73" t="str">
        <f aca="false">IF($C160="","",COUNTIF($C157:$C160,AL$21)+COUNTIF($C157:$C160,$A$3))</f>
        <v/>
      </c>
      <c r="AN160" s="73" t="str">
        <f aca="false">IF($D160="","",COUNTIF($D157:$D160,AL$21)+COUNTIF($D157:$D160,$A$3))</f>
        <v/>
      </c>
      <c r="AO160" s="73" t="str">
        <f aca="false">IF($E160="","",COUNTIF($E157:$E160,AL$21)+COUNTIF($E157:$E160,$A$3))</f>
        <v/>
      </c>
      <c r="AP160" s="92" t="str">
        <f aca="false">IF($F160="","",COUNTIF($F157:$F160,AL$21)+COUNTIF($F157:$F160,$A$3))</f>
        <v/>
      </c>
      <c r="AR160" s="91" t="str">
        <f aca="false">IF($B160="","",COUNTIF($B157:$B160,AR$21)+COUNTIF($B157:$B160,$A$3))</f>
        <v/>
      </c>
      <c r="AS160" s="73" t="str">
        <f aca="false">IF($C160="","",COUNTIF($C157:$C160,AR$21)+COUNTIF($C157:$C160,$A$3))</f>
        <v/>
      </c>
      <c r="AT160" s="73" t="str">
        <f aca="false">IF($D160="","",COUNTIF($D157:$D160,AR$21)+COUNTIF($D157:$D160,$A$3))</f>
        <v/>
      </c>
      <c r="AU160" s="73" t="str">
        <f aca="false">IF($E160="","",COUNTIF($E157:$E160,AR$21)+COUNTIF($E157:$E160,$A$3))</f>
        <v/>
      </c>
      <c r="AV160" s="92" t="str">
        <f aca="false">IF($F160="","",COUNTIF($F157:$F160,AR$21)+COUNTIF($F157:$F160,$A$3))</f>
        <v/>
      </c>
      <c r="AX160" s="91" t="str">
        <f aca="false">IF($B160="","",COUNTIF($B157:$B160,AX$21)+COUNTIF($B157:$B160,$A$3))</f>
        <v/>
      </c>
      <c r="AY160" s="73" t="str">
        <f aca="false">IF($C160="","",COUNTIF($C157:$C160,AX$21)+COUNTIF($C157:$C160,$A$3))</f>
        <v/>
      </c>
      <c r="AZ160" s="73" t="str">
        <f aca="false">IF($D160="","",COUNTIF($D157:$D160,AX$21)+COUNTIF($D157:$D160,$A$3))</f>
        <v/>
      </c>
      <c r="BA160" s="73" t="str">
        <f aca="false">IF($E160="","",COUNTIF($E157:$E160,AX$21)+COUNTIF($E157:$E160,$A$3))</f>
        <v/>
      </c>
      <c r="BB160" s="92" t="str">
        <f aca="false">IF($F160="","",COUNTIF($F157:$F160,AX$21)+COUNTIF($F157:$F160,$A$3))</f>
        <v/>
      </c>
      <c r="BD160" s="91" t="str">
        <f aca="false">IF($B160="","",COUNTIF($B157:$B160,BD$21)+COUNTIF($B157:$B160,$A$3))</f>
        <v/>
      </c>
      <c r="BE160" s="73" t="str">
        <f aca="false">IF($C160="","",COUNTIF($C157:$C160,BD$21)+COUNTIF($C157:$C160,$A$3))</f>
        <v/>
      </c>
      <c r="BF160" s="73" t="str">
        <f aca="false">IF($D160="","",COUNTIF($D157:$D160,BD$21)+COUNTIF($D157:$D160,$A$3))</f>
        <v/>
      </c>
      <c r="BG160" s="73" t="str">
        <f aca="false">IF($E160="","",COUNTIF($E157:$E160,BD$21)+COUNTIF($E157:$E160,$A$3))</f>
        <v/>
      </c>
      <c r="BH160" s="92" t="str">
        <f aca="false">IF($F160="","",COUNTIF($F157:$F160,BD$21)+COUNTIF($F157:$F160,$A$3))</f>
        <v/>
      </c>
      <c r="BJ160" s="91" t="str">
        <f aca="false">IF($B160="","",COUNTIF($B157:$B160,BJ$21)+COUNTIF($B157:$B160,$A$3))</f>
        <v/>
      </c>
      <c r="BK160" s="73" t="str">
        <f aca="false">IF($C160="","",COUNTIF($C157:$C160,BJ$21)+COUNTIF($C157:$C160,$A$3))</f>
        <v/>
      </c>
      <c r="BL160" s="73" t="str">
        <f aca="false">IF($D160="","",COUNTIF($D157:$D160,BJ$21)+COUNTIF($D157:$D160,$A$3))</f>
        <v/>
      </c>
      <c r="BM160" s="73" t="str">
        <f aca="false">IF($E160="","",COUNTIF($E157:$E160,BJ$21)+COUNTIF($E157:$E160,$A$3))</f>
        <v/>
      </c>
      <c r="BN160" s="92" t="str">
        <f aca="false">IF($F160="","",COUNTIF($F157:$F160,BJ$21)+COUNTIF($F157:$F160,$A$3))</f>
        <v/>
      </c>
      <c r="BP160" s="91" t="str">
        <f aca="false">IF($B160="","",COUNTIF($B157:$B160,BP$21)+COUNTIF($B157:$B160,$A$3))</f>
        <v/>
      </c>
      <c r="BQ160" s="73" t="str">
        <f aca="false">IF($C160="","",COUNTIF($C157:$C160,BP$21)+COUNTIF($C157:$C160,$A$3))</f>
        <v/>
      </c>
      <c r="BR160" s="73" t="str">
        <f aca="false">IF($D160="","",COUNTIF($D157:$D160,BP$21)+COUNTIF($D157:$D160,$A$3))</f>
        <v/>
      </c>
      <c r="BS160" s="73" t="str">
        <f aca="false">IF($E160="","",COUNTIF($E157:$E160,BP$21)+COUNTIF($E157:$E160,$A$3))</f>
        <v/>
      </c>
      <c r="BT160" s="92" t="str">
        <f aca="false">IF($F160="","",COUNTIF($F157:$F160,BP$21)+COUNTIF($F157:$F160,$A$3))</f>
        <v/>
      </c>
    </row>
    <row r="161" customFormat="false" ht="15" hidden="false" customHeight="false" outlineLevel="0" collapsed="false">
      <c r="A161" s="13" t="n">
        <v>139</v>
      </c>
      <c r="B161" s="116" t="str">
        <f aca="false">IF('Game Info'!Q144="","",'Game Info'!Q144)</f>
        <v/>
      </c>
      <c r="C161" s="116" t="str">
        <f aca="false">IF('Game Info'!R144="","",'Game Info'!R144)</f>
        <v/>
      </c>
      <c r="D161" s="116" t="str">
        <f aca="false">IF('Game Info'!S144="","",'Game Info'!S144)</f>
        <v/>
      </c>
      <c r="E161" s="116" t="str">
        <f aca="false">IF('Game Info'!T144="","",'Game Info'!T144)</f>
        <v/>
      </c>
      <c r="F161" s="117" t="str">
        <f aca="false">IF('Game Info'!U144="","",'Game Info'!U144)</f>
        <v/>
      </c>
      <c r="H161" s="91" t="str">
        <f aca="false">IF($B161="","",COUNTIF($B158:$B161,H$21)+COUNTIF($B158:$B161,$A$3))</f>
        <v/>
      </c>
      <c r="I161" s="73" t="str">
        <f aca="false">IF($C161="","",COUNTIF($C158:$C161,H$21)+COUNTIF($C158:$C161,$A$3))</f>
        <v/>
      </c>
      <c r="J161" s="73" t="str">
        <f aca="false">IF($D161="","",COUNTIF($D158:$D161,H$21)+COUNTIF($D158:$D161,$A$3))</f>
        <v/>
      </c>
      <c r="K161" s="73" t="str">
        <f aca="false">IF($E161="","",COUNTIF($E158:$E161,H$21)+COUNTIF($E158:$E161,$A$3))</f>
        <v/>
      </c>
      <c r="L161" s="92" t="str">
        <f aca="false">IF($F161="","",COUNTIF($F158:$F161,H$21)+COUNTIF($F158:$F161,$A$3))</f>
        <v/>
      </c>
      <c r="N161" s="91" t="str">
        <f aca="false">IF($B161="","",COUNTIF($B158:$B161,N$21)+COUNTIF($B158:$B161,$A$3))</f>
        <v/>
      </c>
      <c r="O161" s="73" t="str">
        <f aca="false">IF($C161="","",COUNTIF($C158:$C161,N$21)+COUNTIF($C158:$C161,$A$3))</f>
        <v/>
      </c>
      <c r="P161" s="73" t="str">
        <f aca="false">IF($D161="","",COUNTIF($D158:$D161,N$21)+COUNTIF($D158:$D161,$A$3))</f>
        <v/>
      </c>
      <c r="Q161" s="73" t="str">
        <f aca="false">IF($E161="","",COUNTIF($E158:$E161,N$21)+COUNTIF($E158:$E161,$A$3))</f>
        <v/>
      </c>
      <c r="R161" s="92" t="str">
        <f aca="false">IF($F161="","",COUNTIF($F158:$F161,N$21)+COUNTIF($F158:$F161,$A$3))</f>
        <v/>
      </c>
      <c r="T161" s="91" t="str">
        <f aca="false">IF($B161="","",COUNTIF($B158:$B161,T$21)+COUNTIF($B158:$B161,$A$3))</f>
        <v/>
      </c>
      <c r="U161" s="73" t="str">
        <f aca="false">IF($C161="","",COUNTIF($C158:$C161,T$21)+COUNTIF($C158:$C161,$A$3))</f>
        <v/>
      </c>
      <c r="V161" s="73" t="str">
        <f aca="false">IF($D161="","",COUNTIF($D158:$D161,T$21)+COUNTIF($D158:$D161,$A$3))</f>
        <v/>
      </c>
      <c r="W161" s="73" t="str">
        <f aca="false">IF($E161="","",COUNTIF($E158:$E161,T$21)+COUNTIF($E158:$E161,$A$3))</f>
        <v/>
      </c>
      <c r="X161" s="92" t="str">
        <f aca="false">IF($F161="","",COUNTIF($F158:$F161,T$21)+COUNTIF($F158:$F161,$A$3))</f>
        <v/>
      </c>
      <c r="Z161" s="91" t="str">
        <f aca="false">IF($B161="","",COUNTIF($B158:$B161,Z$21)+COUNTIF($B158:$B161,$A$3))</f>
        <v/>
      </c>
      <c r="AA161" s="73" t="str">
        <f aca="false">IF($C161="","",COUNTIF($C158:$C161,Z$21)+COUNTIF($C158:$C161,$A$3))</f>
        <v/>
      </c>
      <c r="AB161" s="73" t="str">
        <f aca="false">IF($D161="","",COUNTIF($D158:$D161,Z$21)+COUNTIF($D158:$D161,$A$3))</f>
        <v/>
      </c>
      <c r="AC161" s="73" t="str">
        <f aca="false">IF($E161="","",COUNTIF($E158:$E161,Z$21)+COUNTIF($E158:$E161,$A$3))</f>
        <v/>
      </c>
      <c r="AD161" s="92" t="str">
        <f aca="false">IF($F161="","",COUNTIF($F158:$F161,Z$21)+COUNTIF($F158:$F161,$A$3))</f>
        <v/>
      </c>
      <c r="AF161" s="91" t="str">
        <f aca="false">IF($B161="","",COUNTIF($B158:$B161,AF$21)+COUNTIF($B158:$B161,$A$3))</f>
        <v/>
      </c>
      <c r="AG161" s="73" t="str">
        <f aca="false">IF($C161="","",COUNTIF($C158:$C161,AF$21)+COUNTIF($C158:$C161,$A$3))</f>
        <v/>
      </c>
      <c r="AH161" s="73" t="str">
        <f aca="false">IF($D161="","",COUNTIF($D158:$D161,AF$21)+COUNTIF($D158:$D161,$A$3))</f>
        <v/>
      </c>
      <c r="AI161" s="73" t="str">
        <f aca="false">IF($E161="","",COUNTIF($E158:$E161,AF$21)+COUNTIF($E158:$E161,$A$3))</f>
        <v/>
      </c>
      <c r="AJ161" s="92" t="str">
        <f aca="false">IF($F161="","",COUNTIF($F158:$F161,AF$21)+COUNTIF($F158:$F161,$A$3))</f>
        <v/>
      </c>
      <c r="AL161" s="91" t="str">
        <f aca="false">IF($B161="","",COUNTIF($B158:$B161,AL$21)+COUNTIF($B158:$B161,$A$3))</f>
        <v/>
      </c>
      <c r="AM161" s="73" t="str">
        <f aca="false">IF($C161="","",COUNTIF($C158:$C161,AL$21)+COUNTIF($C158:$C161,$A$3))</f>
        <v/>
      </c>
      <c r="AN161" s="73" t="str">
        <f aca="false">IF($D161="","",COUNTIF($D158:$D161,AL$21)+COUNTIF($D158:$D161,$A$3))</f>
        <v/>
      </c>
      <c r="AO161" s="73" t="str">
        <f aca="false">IF($E161="","",COUNTIF($E158:$E161,AL$21)+COUNTIF($E158:$E161,$A$3))</f>
        <v/>
      </c>
      <c r="AP161" s="92" t="str">
        <f aca="false">IF($F161="","",COUNTIF($F158:$F161,AL$21)+COUNTIF($F158:$F161,$A$3))</f>
        <v/>
      </c>
      <c r="AR161" s="91" t="str">
        <f aca="false">IF($B161="","",COUNTIF($B158:$B161,AR$21)+COUNTIF($B158:$B161,$A$3))</f>
        <v/>
      </c>
      <c r="AS161" s="73" t="str">
        <f aca="false">IF($C161="","",COUNTIF($C158:$C161,AR$21)+COUNTIF($C158:$C161,$A$3))</f>
        <v/>
      </c>
      <c r="AT161" s="73" t="str">
        <f aca="false">IF($D161="","",COUNTIF($D158:$D161,AR$21)+COUNTIF($D158:$D161,$A$3))</f>
        <v/>
      </c>
      <c r="AU161" s="73" t="str">
        <f aca="false">IF($E161="","",COUNTIF($E158:$E161,AR$21)+COUNTIF($E158:$E161,$A$3))</f>
        <v/>
      </c>
      <c r="AV161" s="92" t="str">
        <f aca="false">IF($F161="","",COUNTIF($F158:$F161,AR$21)+COUNTIF($F158:$F161,$A$3))</f>
        <v/>
      </c>
      <c r="AX161" s="91" t="str">
        <f aca="false">IF($B161="","",COUNTIF($B158:$B161,AX$21)+COUNTIF($B158:$B161,$A$3))</f>
        <v/>
      </c>
      <c r="AY161" s="73" t="str">
        <f aca="false">IF($C161="","",COUNTIF($C158:$C161,AX$21)+COUNTIF($C158:$C161,$A$3))</f>
        <v/>
      </c>
      <c r="AZ161" s="73" t="str">
        <f aca="false">IF($D161="","",COUNTIF($D158:$D161,AX$21)+COUNTIF($D158:$D161,$A$3))</f>
        <v/>
      </c>
      <c r="BA161" s="73" t="str">
        <f aca="false">IF($E161="","",COUNTIF($E158:$E161,AX$21)+COUNTIF($E158:$E161,$A$3))</f>
        <v/>
      </c>
      <c r="BB161" s="92" t="str">
        <f aca="false">IF($F161="","",COUNTIF($F158:$F161,AX$21)+COUNTIF($F158:$F161,$A$3))</f>
        <v/>
      </c>
      <c r="BD161" s="91" t="str">
        <f aca="false">IF($B161="","",COUNTIF($B158:$B161,BD$21)+COUNTIF($B158:$B161,$A$3))</f>
        <v/>
      </c>
      <c r="BE161" s="73" t="str">
        <f aca="false">IF($C161="","",COUNTIF($C158:$C161,BD$21)+COUNTIF($C158:$C161,$A$3))</f>
        <v/>
      </c>
      <c r="BF161" s="73" t="str">
        <f aca="false">IF($D161="","",COUNTIF($D158:$D161,BD$21)+COUNTIF($D158:$D161,$A$3))</f>
        <v/>
      </c>
      <c r="BG161" s="73" t="str">
        <f aca="false">IF($E161="","",COUNTIF($E158:$E161,BD$21)+COUNTIF($E158:$E161,$A$3))</f>
        <v/>
      </c>
      <c r="BH161" s="92" t="str">
        <f aca="false">IF($F161="","",COUNTIF($F158:$F161,BD$21)+COUNTIF($F158:$F161,$A$3))</f>
        <v/>
      </c>
      <c r="BJ161" s="91" t="str">
        <f aca="false">IF($B161="","",COUNTIF($B158:$B161,BJ$21)+COUNTIF($B158:$B161,$A$3))</f>
        <v/>
      </c>
      <c r="BK161" s="73" t="str">
        <f aca="false">IF($C161="","",COUNTIF($C158:$C161,BJ$21)+COUNTIF($C158:$C161,$A$3))</f>
        <v/>
      </c>
      <c r="BL161" s="73" t="str">
        <f aca="false">IF($D161="","",COUNTIF($D158:$D161,BJ$21)+COUNTIF($D158:$D161,$A$3))</f>
        <v/>
      </c>
      <c r="BM161" s="73" t="str">
        <f aca="false">IF($E161="","",COUNTIF($E158:$E161,BJ$21)+COUNTIF($E158:$E161,$A$3))</f>
        <v/>
      </c>
      <c r="BN161" s="92" t="str">
        <f aca="false">IF($F161="","",COUNTIF($F158:$F161,BJ$21)+COUNTIF($F158:$F161,$A$3))</f>
        <v/>
      </c>
      <c r="BP161" s="91" t="str">
        <f aca="false">IF($B161="","",COUNTIF($B158:$B161,BP$21)+COUNTIF($B158:$B161,$A$3))</f>
        <v/>
      </c>
      <c r="BQ161" s="73" t="str">
        <f aca="false">IF($C161="","",COUNTIF($C158:$C161,BP$21)+COUNTIF($C158:$C161,$A$3))</f>
        <v/>
      </c>
      <c r="BR161" s="73" t="str">
        <f aca="false">IF($D161="","",COUNTIF($D158:$D161,BP$21)+COUNTIF($D158:$D161,$A$3))</f>
        <v/>
      </c>
      <c r="BS161" s="73" t="str">
        <f aca="false">IF($E161="","",COUNTIF($E158:$E161,BP$21)+COUNTIF($E158:$E161,$A$3))</f>
        <v/>
      </c>
      <c r="BT161" s="92" t="str">
        <f aca="false">IF($F161="","",COUNTIF($F158:$F161,BP$21)+COUNTIF($F158:$F161,$A$3))</f>
        <v/>
      </c>
    </row>
    <row r="162" customFormat="false" ht="15" hidden="false" customHeight="false" outlineLevel="0" collapsed="false">
      <c r="A162" s="13" t="n">
        <v>140</v>
      </c>
      <c r="B162" s="116" t="str">
        <f aca="false">IF('Game Info'!Q145="","",'Game Info'!Q145)</f>
        <v/>
      </c>
      <c r="C162" s="116" t="str">
        <f aca="false">IF('Game Info'!R145="","",'Game Info'!R145)</f>
        <v/>
      </c>
      <c r="D162" s="116" t="str">
        <f aca="false">IF('Game Info'!S145="","",'Game Info'!S145)</f>
        <v/>
      </c>
      <c r="E162" s="116" t="str">
        <f aca="false">IF('Game Info'!T145="","",'Game Info'!T145)</f>
        <v/>
      </c>
      <c r="F162" s="117" t="str">
        <f aca="false">IF('Game Info'!U145="","",'Game Info'!U145)</f>
        <v/>
      </c>
      <c r="H162" s="91" t="str">
        <f aca="false">IF($B162="","",COUNTIF($B159:$B162,H$21)+COUNTIF($B159:$B162,$A$3))</f>
        <v/>
      </c>
      <c r="I162" s="73" t="str">
        <f aca="false">IF($C162="","",COUNTIF($C159:$C162,H$21)+COUNTIF($C159:$C162,$A$3))</f>
        <v/>
      </c>
      <c r="J162" s="73" t="str">
        <f aca="false">IF($D162="","",COUNTIF($D159:$D162,H$21)+COUNTIF($D159:$D162,$A$3))</f>
        <v/>
      </c>
      <c r="K162" s="73" t="str">
        <f aca="false">IF($E162="","",COUNTIF($E159:$E162,H$21)+COUNTIF($E159:$E162,$A$3))</f>
        <v/>
      </c>
      <c r="L162" s="92" t="str">
        <f aca="false">IF($F162="","",COUNTIF($F159:$F162,H$21)+COUNTIF($F159:$F162,$A$3))</f>
        <v/>
      </c>
      <c r="N162" s="91" t="str">
        <f aca="false">IF($B162="","",COUNTIF($B159:$B162,N$21)+COUNTIF($B159:$B162,$A$3))</f>
        <v/>
      </c>
      <c r="O162" s="73" t="str">
        <f aca="false">IF($C162="","",COUNTIF($C159:$C162,N$21)+COUNTIF($C159:$C162,$A$3))</f>
        <v/>
      </c>
      <c r="P162" s="73" t="str">
        <f aca="false">IF($D162="","",COUNTIF($D159:$D162,N$21)+COUNTIF($D159:$D162,$A$3))</f>
        <v/>
      </c>
      <c r="Q162" s="73" t="str">
        <f aca="false">IF($E162="","",COUNTIF($E159:$E162,N$21)+COUNTIF($E159:$E162,$A$3))</f>
        <v/>
      </c>
      <c r="R162" s="92" t="str">
        <f aca="false">IF($F162="","",COUNTIF($F159:$F162,N$21)+COUNTIF($F159:$F162,$A$3))</f>
        <v/>
      </c>
      <c r="T162" s="91" t="str">
        <f aca="false">IF($B162="","",COUNTIF($B159:$B162,T$21)+COUNTIF($B159:$B162,$A$3))</f>
        <v/>
      </c>
      <c r="U162" s="73" t="str">
        <f aca="false">IF($C162="","",COUNTIF($C159:$C162,T$21)+COUNTIF($C159:$C162,$A$3))</f>
        <v/>
      </c>
      <c r="V162" s="73" t="str">
        <f aca="false">IF($D162="","",COUNTIF($D159:$D162,T$21)+COUNTIF($D159:$D162,$A$3))</f>
        <v/>
      </c>
      <c r="W162" s="73" t="str">
        <f aca="false">IF($E162="","",COUNTIF($E159:$E162,T$21)+COUNTIF($E159:$E162,$A$3))</f>
        <v/>
      </c>
      <c r="X162" s="92" t="str">
        <f aca="false">IF($F162="","",COUNTIF($F159:$F162,T$21)+COUNTIF($F159:$F162,$A$3))</f>
        <v/>
      </c>
      <c r="Z162" s="91" t="str">
        <f aca="false">IF($B162="","",COUNTIF($B159:$B162,Z$21)+COUNTIF($B159:$B162,$A$3))</f>
        <v/>
      </c>
      <c r="AA162" s="73" t="str">
        <f aca="false">IF($C162="","",COUNTIF($C159:$C162,Z$21)+COUNTIF($C159:$C162,$A$3))</f>
        <v/>
      </c>
      <c r="AB162" s="73" t="str">
        <f aca="false">IF($D162="","",COUNTIF($D159:$D162,Z$21)+COUNTIF($D159:$D162,$A$3))</f>
        <v/>
      </c>
      <c r="AC162" s="73" t="str">
        <f aca="false">IF($E162="","",COUNTIF($E159:$E162,Z$21)+COUNTIF($E159:$E162,$A$3))</f>
        <v/>
      </c>
      <c r="AD162" s="92" t="str">
        <f aca="false">IF($F162="","",COUNTIF($F159:$F162,Z$21)+COUNTIF($F159:$F162,$A$3))</f>
        <v/>
      </c>
      <c r="AF162" s="91" t="str">
        <f aca="false">IF($B162="","",COUNTIF($B159:$B162,AF$21)+COUNTIF($B159:$B162,$A$3))</f>
        <v/>
      </c>
      <c r="AG162" s="73" t="str">
        <f aca="false">IF($C162="","",COUNTIF($C159:$C162,AF$21)+COUNTIF($C159:$C162,$A$3))</f>
        <v/>
      </c>
      <c r="AH162" s="73" t="str">
        <f aca="false">IF($D162="","",COUNTIF($D159:$D162,AF$21)+COUNTIF($D159:$D162,$A$3))</f>
        <v/>
      </c>
      <c r="AI162" s="73" t="str">
        <f aca="false">IF($E162="","",COUNTIF($E159:$E162,AF$21)+COUNTIF($E159:$E162,$A$3))</f>
        <v/>
      </c>
      <c r="AJ162" s="92" t="str">
        <f aca="false">IF($F162="","",COUNTIF($F159:$F162,AF$21)+COUNTIF($F159:$F162,$A$3))</f>
        <v/>
      </c>
      <c r="AL162" s="91" t="str">
        <f aca="false">IF($B162="","",COUNTIF($B159:$B162,AL$21)+COUNTIF($B159:$B162,$A$3))</f>
        <v/>
      </c>
      <c r="AM162" s="73" t="str">
        <f aca="false">IF($C162="","",COUNTIF($C159:$C162,AL$21)+COUNTIF($C159:$C162,$A$3))</f>
        <v/>
      </c>
      <c r="AN162" s="73" t="str">
        <f aca="false">IF($D162="","",COUNTIF($D159:$D162,AL$21)+COUNTIF($D159:$D162,$A$3))</f>
        <v/>
      </c>
      <c r="AO162" s="73" t="str">
        <f aca="false">IF($E162="","",COUNTIF($E159:$E162,AL$21)+COUNTIF($E159:$E162,$A$3))</f>
        <v/>
      </c>
      <c r="AP162" s="92" t="str">
        <f aca="false">IF($F162="","",COUNTIF($F159:$F162,AL$21)+COUNTIF($F159:$F162,$A$3))</f>
        <v/>
      </c>
      <c r="AR162" s="91" t="str">
        <f aca="false">IF($B162="","",COUNTIF($B159:$B162,AR$21)+COUNTIF($B159:$B162,$A$3))</f>
        <v/>
      </c>
      <c r="AS162" s="73" t="str">
        <f aca="false">IF($C162="","",COUNTIF($C159:$C162,AR$21)+COUNTIF($C159:$C162,$A$3))</f>
        <v/>
      </c>
      <c r="AT162" s="73" t="str">
        <f aca="false">IF($D162="","",COUNTIF($D159:$D162,AR$21)+COUNTIF($D159:$D162,$A$3))</f>
        <v/>
      </c>
      <c r="AU162" s="73" t="str">
        <f aca="false">IF($E162="","",COUNTIF($E159:$E162,AR$21)+COUNTIF($E159:$E162,$A$3))</f>
        <v/>
      </c>
      <c r="AV162" s="92" t="str">
        <f aca="false">IF($F162="","",COUNTIF($F159:$F162,AR$21)+COUNTIF($F159:$F162,$A$3))</f>
        <v/>
      </c>
      <c r="AX162" s="91" t="str">
        <f aca="false">IF($B162="","",COUNTIF($B159:$B162,AX$21)+COUNTIF($B159:$B162,$A$3))</f>
        <v/>
      </c>
      <c r="AY162" s="73" t="str">
        <f aca="false">IF($C162="","",COUNTIF($C159:$C162,AX$21)+COUNTIF($C159:$C162,$A$3))</f>
        <v/>
      </c>
      <c r="AZ162" s="73" t="str">
        <f aca="false">IF($D162="","",COUNTIF($D159:$D162,AX$21)+COUNTIF($D159:$D162,$A$3))</f>
        <v/>
      </c>
      <c r="BA162" s="73" t="str">
        <f aca="false">IF($E162="","",COUNTIF($E159:$E162,AX$21)+COUNTIF($E159:$E162,$A$3))</f>
        <v/>
      </c>
      <c r="BB162" s="92" t="str">
        <f aca="false">IF($F162="","",COUNTIF($F159:$F162,AX$21)+COUNTIF($F159:$F162,$A$3))</f>
        <v/>
      </c>
      <c r="BD162" s="91" t="str">
        <f aca="false">IF($B162="","",COUNTIF($B159:$B162,BD$21)+COUNTIF($B159:$B162,$A$3))</f>
        <v/>
      </c>
      <c r="BE162" s="73" t="str">
        <f aca="false">IF($C162="","",COUNTIF($C159:$C162,BD$21)+COUNTIF($C159:$C162,$A$3))</f>
        <v/>
      </c>
      <c r="BF162" s="73" t="str">
        <f aca="false">IF($D162="","",COUNTIF($D159:$D162,BD$21)+COUNTIF($D159:$D162,$A$3))</f>
        <v/>
      </c>
      <c r="BG162" s="73" t="str">
        <f aca="false">IF($E162="","",COUNTIF($E159:$E162,BD$21)+COUNTIF($E159:$E162,$A$3))</f>
        <v/>
      </c>
      <c r="BH162" s="92" t="str">
        <f aca="false">IF($F162="","",COUNTIF($F159:$F162,BD$21)+COUNTIF($F159:$F162,$A$3))</f>
        <v/>
      </c>
      <c r="BJ162" s="91" t="str">
        <f aca="false">IF($B162="","",COUNTIF($B159:$B162,BJ$21)+COUNTIF($B159:$B162,$A$3))</f>
        <v/>
      </c>
      <c r="BK162" s="73" t="str">
        <f aca="false">IF($C162="","",COUNTIF($C159:$C162,BJ$21)+COUNTIF($C159:$C162,$A$3))</f>
        <v/>
      </c>
      <c r="BL162" s="73" t="str">
        <f aca="false">IF($D162="","",COUNTIF($D159:$D162,BJ$21)+COUNTIF($D159:$D162,$A$3))</f>
        <v/>
      </c>
      <c r="BM162" s="73" t="str">
        <f aca="false">IF($E162="","",COUNTIF($E159:$E162,BJ$21)+COUNTIF($E159:$E162,$A$3))</f>
        <v/>
      </c>
      <c r="BN162" s="92" t="str">
        <f aca="false">IF($F162="","",COUNTIF($F159:$F162,BJ$21)+COUNTIF($F159:$F162,$A$3))</f>
        <v/>
      </c>
      <c r="BP162" s="91" t="str">
        <f aca="false">IF($B162="","",COUNTIF($B159:$B162,BP$21)+COUNTIF($B159:$B162,$A$3))</f>
        <v/>
      </c>
      <c r="BQ162" s="73" t="str">
        <f aca="false">IF($C162="","",COUNTIF($C159:$C162,BP$21)+COUNTIF($C159:$C162,$A$3))</f>
        <v/>
      </c>
      <c r="BR162" s="73" t="str">
        <f aca="false">IF($D162="","",COUNTIF($D159:$D162,BP$21)+COUNTIF($D159:$D162,$A$3))</f>
        <v/>
      </c>
      <c r="BS162" s="73" t="str">
        <f aca="false">IF($E162="","",COUNTIF($E159:$E162,BP$21)+COUNTIF($E159:$E162,$A$3))</f>
        <v/>
      </c>
      <c r="BT162" s="92" t="str">
        <f aca="false">IF($F162="","",COUNTIF($F159:$F162,BP$21)+COUNTIF($F159:$F162,$A$3))</f>
        <v/>
      </c>
    </row>
    <row r="163" customFormat="false" ht="15" hidden="false" customHeight="false" outlineLevel="0" collapsed="false">
      <c r="A163" s="13" t="n">
        <v>141</v>
      </c>
      <c r="B163" s="116" t="str">
        <f aca="false">IF('Game Info'!Q146="","",'Game Info'!Q146)</f>
        <v/>
      </c>
      <c r="C163" s="116" t="str">
        <f aca="false">IF('Game Info'!R146="","",'Game Info'!R146)</f>
        <v/>
      </c>
      <c r="D163" s="116" t="str">
        <f aca="false">IF('Game Info'!S146="","",'Game Info'!S146)</f>
        <v/>
      </c>
      <c r="E163" s="116" t="str">
        <f aca="false">IF('Game Info'!T146="","",'Game Info'!T146)</f>
        <v/>
      </c>
      <c r="F163" s="117" t="str">
        <f aca="false">IF('Game Info'!U146="","",'Game Info'!U146)</f>
        <v/>
      </c>
      <c r="H163" s="91" t="str">
        <f aca="false">IF($B163="","",COUNTIF($B160:$B163,H$21)+COUNTIF($B160:$B163,$A$3))</f>
        <v/>
      </c>
      <c r="I163" s="73" t="str">
        <f aca="false">IF($C163="","",COUNTIF($C160:$C163,H$21)+COUNTIF($C160:$C163,$A$3))</f>
        <v/>
      </c>
      <c r="J163" s="73" t="str">
        <f aca="false">IF($D163="","",COUNTIF($D160:$D163,H$21)+COUNTIF($D160:$D163,$A$3))</f>
        <v/>
      </c>
      <c r="K163" s="73" t="str">
        <f aca="false">IF($E163="","",COUNTIF($E160:$E163,H$21)+COUNTIF($E160:$E163,$A$3))</f>
        <v/>
      </c>
      <c r="L163" s="92" t="str">
        <f aca="false">IF($F163="","",COUNTIF($F160:$F163,H$21)+COUNTIF($F160:$F163,$A$3))</f>
        <v/>
      </c>
      <c r="N163" s="91" t="str">
        <f aca="false">IF($B163="","",COUNTIF($B160:$B163,N$21)+COUNTIF($B160:$B163,$A$3))</f>
        <v/>
      </c>
      <c r="O163" s="73" t="str">
        <f aca="false">IF($C163="","",COUNTIF($C160:$C163,N$21)+COUNTIF($C160:$C163,$A$3))</f>
        <v/>
      </c>
      <c r="P163" s="73" t="str">
        <f aca="false">IF($D163="","",COUNTIF($D160:$D163,N$21)+COUNTIF($D160:$D163,$A$3))</f>
        <v/>
      </c>
      <c r="Q163" s="73" t="str">
        <f aca="false">IF($E163="","",COUNTIF($E160:$E163,N$21)+COUNTIF($E160:$E163,$A$3))</f>
        <v/>
      </c>
      <c r="R163" s="92" t="str">
        <f aca="false">IF($F163="","",COUNTIF($F160:$F163,N$21)+COUNTIF($F160:$F163,$A$3))</f>
        <v/>
      </c>
      <c r="T163" s="91" t="str">
        <f aca="false">IF($B163="","",COUNTIF($B160:$B163,T$21)+COUNTIF($B160:$B163,$A$3))</f>
        <v/>
      </c>
      <c r="U163" s="73" t="str">
        <f aca="false">IF($C163="","",COUNTIF($C160:$C163,T$21)+COUNTIF($C160:$C163,$A$3))</f>
        <v/>
      </c>
      <c r="V163" s="73" t="str">
        <f aca="false">IF($D163="","",COUNTIF($D160:$D163,T$21)+COUNTIF($D160:$D163,$A$3))</f>
        <v/>
      </c>
      <c r="W163" s="73" t="str">
        <f aca="false">IF($E163="","",COUNTIF($E160:$E163,T$21)+COUNTIF($E160:$E163,$A$3))</f>
        <v/>
      </c>
      <c r="X163" s="92" t="str">
        <f aca="false">IF($F163="","",COUNTIF($F160:$F163,T$21)+COUNTIF($F160:$F163,$A$3))</f>
        <v/>
      </c>
      <c r="Z163" s="91" t="str">
        <f aca="false">IF($B163="","",COUNTIF($B160:$B163,Z$21)+COUNTIF($B160:$B163,$A$3))</f>
        <v/>
      </c>
      <c r="AA163" s="73" t="str">
        <f aca="false">IF($C163="","",COUNTIF($C160:$C163,Z$21)+COUNTIF($C160:$C163,$A$3))</f>
        <v/>
      </c>
      <c r="AB163" s="73" t="str">
        <f aca="false">IF($D163="","",COUNTIF($D160:$D163,Z$21)+COUNTIF($D160:$D163,$A$3))</f>
        <v/>
      </c>
      <c r="AC163" s="73" t="str">
        <f aca="false">IF($E163="","",COUNTIF($E160:$E163,Z$21)+COUNTIF($E160:$E163,$A$3))</f>
        <v/>
      </c>
      <c r="AD163" s="92" t="str">
        <f aca="false">IF($F163="","",COUNTIF($F160:$F163,Z$21)+COUNTIF($F160:$F163,$A$3))</f>
        <v/>
      </c>
      <c r="AF163" s="91" t="str">
        <f aca="false">IF($B163="","",COUNTIF($B160:$B163,AF$21)+COUNTIF($B160:$B163,$A$3))</f>
        <v/>
      </c>
      <c r="AG163" s="73" t="str">
        <f aca="false">IF($C163="","",COUNTIF($C160:$C163,AF$21)+COUNTIF($C160:$C163,$A$3))</f>
        <v/>
      </c>
      <c r="AH163" s="73" t="str">
        <f aca="false">IF($D163="","",COUNTIF($D160:$D163,AF$21)+COUNTIF($D160:$D163,$A$3))</f>
        <v/>
      </c>
      <c r="AI163" s="73" t="str">
        <f aca="false">IF($E163="","",COUNTIF($E160:$E163,AF$21)+COUNTIF($E160:$E163,$A$3))</f>
        <v/>
      </c>
      <c r="AJ163" s="92" t="str">
        <f aca="false">IF($F163="","",COUNTIF($F160:$F163,AF$21)+COUNTIF($F160:$F163,$A$3))</f>
        <v/>
      </c>
      <c r="AL163" s="91" t="str">
        <f aca="false">IF($B163="","",COUNTIF($B160:$B163,AL$21)+COUNTIF($B160:$B163,$A$3))</f>
        <v/>
      </c>
      <c r="AM163" s="73" t="str">
        <f aca="false">IF($C163="","",COUNTIF($C160:$C163,AL$21)+COUNTIF($C160:$C163,$A$3))</f>
        <v/>
      </c>
      <c r="AN163" s="73" t="str">
        <f aca="false">IF($D163="","",COUNTIF($D160:$D163,AL$21)+COUNTIF($D160:$D163,$A$3))</f>
        <v/>
      </c>
      <c r="AO163" s="73" t="str">
        <f aca="false">IF($E163="","",COUNTIF($E160:$E163,AL$21)+COUNTIF($E160:$E163,$A$3))</f>
        <v/>
      </c>
      <c r="AP163" s="92" t="str">
        <f aca="false">IF($F163="","",COUNTIF($F160:$F163,AL$21)+COUNTIF($F160:$F163,$A$3))</f>
        <v/>
      </c>
      <c r="AR163" s="91" t="str">
        <f aca="false">IF($B163="","",COUNTIF($B160:$B163,AR$21)+COUNTIF($B160:$B163,$A$3))</f>
        <v/>
      </c>
      <c r="AS163" s="73" t="str">
        <f aca="false">IF($C163="","",COUNTIF($C160:$C163,AR$21)+COUNTIF($C160:$C163,$A$3))</f>
        <v/>
      </c>
      <c r="AT163" s="73" t="str">
        <f aca="false">IF($D163="","",COUNTIF($D160:$D163,AR$21)+COUNTIF($D160:$D163,$A$3))</f>
        <v/>
      </c>
      <c r="AU163" s="73" t="str">
        <f aca="false">IF($E163="","",COUNTIF($E160:$E163,AR$21)+COUNTIF($E160:$E163,$A$3))</f>
        <v/>
      </c>
      <c r="AV163" s="92" t="str">
        <f aca="false">IF($F163="","",COUNTIF($F160:$F163,AR$21)+COUNTIF($F160:$F163,$A$3))</f>
        <v/>
      </c>
      <c r="AX163" s="91" t="str">
        <f aca="false">IF($B163="","",COUNTIF($B160:$B163,AX$21)+COUNTIF($B160:$B163,$A$3))</f>
        <v/>
      </c>
      <c r="AY163" s="73" t="str">
        <f aca="false">IF($C163="","",COUNTIF($C160:$C163,AX$21)+COUNTIF($C160:$C163,$A$3))</f>
        <v/>
      </c>
      <c r="AZ163" s="73" t="str">
        <f aca="false">IF($D163="","",COUNTIF($D160:$D163,AX$21)+COUNTIF($D160:$D163,$A$3))</f>
        <v/>
      </c>
      <c r="BA163" s="73" t="str">
        <f aca="false">IF($E163="","",COUNTIF($E160:$E163,AX$21)+COUNTIF($E160:$E163,$A$3))</f>
        <v/>
      </c>
      <c r="BB163" s="92" t="str">
        <f aca="false">IF($F163="","",COUNTIF($F160:$F163,AX$21)+COUNTIF($F160:$F163,$A$3))</f>
        <v/>
      </c>
      <c r="BD163" s="91" t="str">
        <f aca="false">IF($B163="","",COUNTIF($B160:$B163,BD$21)+COUNTIF($B160:$B163,$A$3))</f>
        <v/>
      </c>
      <c r="BE163" s="73" t="str">
        <f aca="false">IF($C163="","",COUNTIF($C160:$C163,BD$21)+COUNTIF($C160:$C163,$A$3))</f>
        <v/>
      </c>
      <c r="BF163" s="73" t="str">
        <f aca="false">IF($D163="","",COUNTIF($D160:$D163,BD$21)+COUNTIF($D160:$D163,$A$3))</f>
        <v/>
      </c>
      <c r="BG163" s="73" t="str">
        <f aca="false">IF($E163="","",COUNTIF($E160:$E163,BD$21)+COUNTIF($E160:$E163,$A$3))</f>
        <v/>
      </c>
      <c r="BH163" s="92" t="str">
        <f aca="false">IF($F163="","",COUNTIF($F160:$F163,BD$21)+COUNTIF($F160:$F163,$A$3))</f>
        <v/>
      </c>
      <c r="BJ163" s="91" t="str">
        <f aca="false">IF($B163="","",COUNTIF($B160:$B163,BJ$21)+COUNTIF($B160:$B163,$A$3))</f>
        <v/>
      </c>
      <c r="BK163" s="73" t="str">
        <f aca="false">IF($C163="","",COUNTIF($C160:$C163,BJ$21)+COUNTIF($C160:$C163,$A$3))</f>
        <v/>
      </c>
      <c r="BL163" s="73" t="str">
        <f aca="false">IF($D163="","",COUNTIF($D160:$D163,BJ$21)+COUNTIF($D160:$D163,$A$3))</f>
        <v/>
      </c>
      <c r="BM163" s="73" t="str">
        <f aca="false">IF($E163="","",COUNTIF($E160:$E163,BJ$21)+COUNTIF($E160:$E163,$A$3))</f>
        <v/>
      </c>
      <c r="BN163" s="92" t="str">
        <f aca="false">IF($F163="","",COUNTIF($F160:$F163,BJ$21)+COUNTIF($F160:$F163,$A$3))</f>
        <v/>
      </c>
      <c r="BP163" s="91" t="str">
        <f aca="false">IF($B163="","",COUNTIF($B160:$B163,BP$21)+COUNTIF($B160:$B163,$A$3))</f>
        <v/>
      </c>
      <c r="BQ163" s="73" t="str">
        <f aca="false">IF($C163="","",COUNTIF($C160:$C163,BP$21)+COUNTIF($C160:$C163,$A$3))</f>
        <v/>
      </c>
      <c r="BR163" s="73" t="str">
        <f aca="false">IF($D163="","",COUNTIF($D160:$D163,BP$21)+COUNTIF($D160:$D163,$A$3))</f>
        <v/>
      </c>
      <c r="BS163" s="73" t="str">
        <f aca="false">IF($E163="","",COUNTIF($E160:$E163,BP$21)+COUNTIF($E160:$E163,$A$3))</f>
        <v/>
      </c>
      <c r="BT163" s="92" t="str">
        <f aca="false">IF($F163="","",COUNTIF($F160:$F163,BP$21)+COUNTIF($F160:$F163,$A$3))</f>
        <v/>
      </c>
    </row>
    <row r="164" customFormat="false" ht="15" hidden="false" customHeight="false" outlineLevel="0" collapsed="false">
      <c r="A164" s="13" t="n">
        <v>142</v>
      </c>
      <c r="B164" s="116" t="str">
        <f aca="false">IF('Game Info'!Q147="","",'Game Info'!Q147)</f>
        <v/>
      </c>
      <c r="C164" s="116" t="str">
        <f aca="false">IF('Game Info'!R147="","",'Game Info'!R147)</f>
        <v/>
      </c>
      <c r="D164" s="116" t="str">
        <f aca="false">IF('Game Info'!S147="","",'Game Info'!S147)</f>
        <v/>
      </c>
      <c r="E164" s="116" t="str">
        <f aca="false">IF('Game Info'!T147="","",'Game Info'!T147)</f>
        <v/>
      </c>
      <c r="F164" s="117" t="str">
        <f aca="false">IF('Game Info'!U147="","",'Game Info'!U147)</f>
        <v/>
      </c>
      <c r="H164" s="91" t="str">
        <f aca="false">IF($B164="","",COUNTIF($B161:$B164,H$21)+COUNTIF($B161:$B164,$A$3))</f>
        <v/>
      </c>
      <c r="I164" s="73" t="str">
        <f aca="false">IF($C164="","",COUNTIF($C161:$C164,H$21)+COUNTIF($C161:$C164,$A$3))</f>
        <v/>
      </c>
      <c r="J164" s="73" t="str">
        <f aca="false">IF($D164="","",COUNTIF($D161:$D164,H$21)+COUNTIF($D161:$D164,$A$3))</f>
        <v/>
      </c>
      <c r="K164" s="73" t="str">
        <f aca="false">IF($E164="","",COUNTIF($E161:$E164,H$21)+COUNTIF($E161:$E164,$A$3))</f>
        <v/>
      </c>
      <c r="L164" s="92" t="str">
        <f aca="false">IF($F164="","",COUNTIF($F161:$F164,H$21)+COUNTIF($F161:$F164,$A$3))</f>
        <v/>
      </c>
      <c r="N164" s="91" t="str">
        <f aca="false">IF($B164="","",COUNTIF($B161:$B164,N$21)+COUNTIF($B161:$B164,$A$3))</f>
        <v/>
      </c>
      <c r="O164" s="73" t="str">
        <f aca="false">IF($C164="","",COUNTIF($C161:$C164,N$21)+COUNTIF($C161:$C164,$A$3))</f>
        <v/>
      </c>
      <c r="P164" s="73" t="str">
        <f aca="false">IF($D164="","",COUNTIF($D161:$D164,N$21)+COUNTIF($D161:$D164,$A$3))</f>
        <v/>
      </c>
      <c r="Q164" s="73" t="str">
        <f aca="false">IF($E164="","",COUNTIF($E161:$E164,N$21)+COUNTIF($E161:$E164,$A$3))</f>
        <v/>
      </c>
      <c r="R164" s="92" t="str">
        <f aca="false">IF($F164="","",COUNTIF($F161:$F164,N$21)+COUNTIF($F161:$F164,$A$3))</f>
        <v/>
      </c>
      <c r="T164" s="91" t="str">
        <f aca="false">IF($B164="","",COUNTIF($B161:$B164,T$21)+COUNTIF($B161:$B164,$A$3))</f>
        <v/>
      </c>
      <c r="U164" s="73" t="str">
        <f aca="false">IF($C164="","",COUNTIF($C161:$C164,T$21)+COUNTIF($C161:$C164,$A$3))</f>
        <v/>
      </c>
      <c r="V164" s="73" t="str">
        <f aca="false">IF($D164="","",COUNTIF($D161:$D164,T$21)+COUNTIF($D161:$D164,$A$3))</f>
        <v/>
      </c>
      <c r="W164" s="73" t="str">
        <f aca="false">IF($E164="","",COUNTIF($E161:$E164,T$21)+COUNTIF($E161:$E164,$A$3))</f>
        <v/>
      </c>
      <c r="X164" s="92" t="str">
        <f aca="false">IF($F164="","",COUNTIF($F161:$F164,T$21)+COUNTIF($F161:$F164,$A$3))</f>
        <v/>
      </c>
      <c r="Z164" s="91" t="str">
        <f aca="false">IF($B164="","",COUNTIF($B161:$B164,Z$21)+COUNTIF($B161:$B164,$A$3))</f>
        <v/>
      </c>
      <c r="AA164" s="73" t="str">
        <f aca="false">IF($C164="","",COUNTIF($C161:$C164,Z$21)+COUNTIF($C161:$C164,$A$3))</f>
        <v/>
      </c>
      <c r="AB164" s="73" t="str">
        <f aca="false">IF($D164="","",COUNTIF($D161:$D164,Z$21)+COUNTIF($D161:$D164,$A$3))</f>
        <v/>
      </c>
      <c r="AC164" s="73" t="str">
        <f aca="false">IF($E164="","",COUNTIF($E161:$E164,Z$21)+COUNTIF($E161:$E164,$A$3))</f>
        <v/>
      </c>
      <c r="AD164" s="92" t="str">
        <f aca="false">IF($F164="","",COUNTIF($F161:$F164,Z$21)+COUNTIF($F161:$F164,$A$3))</f>
        <v/>
      </c>
      <c r="AF164" s="91" t="str">
        <f aca="false">IF($B164="","",COUNTIF($B161:$B164,AF$21)+COUNTIF($B161:$B164,$A$3))</f>
        <v/>
      </c>
      <c r="AG164" s="73" t="str">
        <f aca="false">IF($C164="","",COUNTIF($C161:$C164,AF$21)+COUNTIF($C161:$C164,$A$3))</f>
        <v/>
      </c>
      <c r="AH164" s="73" t="str">
        <f aca="false">IF($D164="","",COUNTIF($D161:$D164,AF$21)+COUNTIF($D161:$D164,$A$3))</f>
        <v/>
      </c>
      <c r="AI164" s="73" t="str">
        <f aca="false">IF($E164="","",COUNTIF($E161:$E164,AF$21)+COUNTIF($E161:$E164,$A$3))</f>
        <v/>
      </c>
      <c r="AJ164" s="92" t="str">
        <f aca="false">IF($F164="","",COUNTIF($F161:$F164,AF$21)+COUNTIF($F161:$F164,$A$3))</f>
        <v/>
      </c>
      <c r="AL164" s="91" t="str">
        <f aca="false">IF($B164="","",COUNTIF($B161:$B164,AL$21)+COUNTIF($B161:$B164,$A$3))</f>
        <v/>
      </c>
      <c r="AM164" s="73" t="str">
        <f aca="false">IF($C164="","",COUNTIF($C161:$C164,AL$21)+COUNTIF($C161:$C164,$A$3))</f>
        <v/>
      </c>
      <c r="AN164" s="73" t="str">
        <f aca="false">IF($D164="","",COUNTIF($D161:$D164,AL$21)+COUNTIF($D161:$D164,$A$3))</f>
        <v/>
      </c>
      <c r="AO164" s="73" t="str">
        <f aca="false">IF($E164="","",COUNTIF($E161:$E164,AL$21)+COUNTIF($E161:$E164,$A$3))</f>
        <v/>
      </c>
      <c r="AP164" s="92" t="str">
        <f aca="false">IF($F164="","",COUNTIF($F161:$F164,AL$21)+COUNTIF($F161:$F164,$A$3))</f>
        <v/>
      </c>
      <c r="AR164" s="91" t="str">
        <f aca="false">IF($B164="","",COUNTIF($B161:$B164,AR$21)+COUNTIF($B161:$B164,$A$3))</f>
        <v/>
      </c>
      <c r="AS164" s="73" t="str">
        <f aca="false">IF($C164="","",COUNTIF($C161:$C164,AR$21)+COUNTIF($C161:$C164,$A$3))</f>
        <v/>
      </c>
      <c r="AT164" s="73" t="str">
        <f aca="false">IF($D164="","",COUNTIF($D161:$D164,AR$21)+COUNTIF($D161:$D164,$A$3))</f>
        <v/>
      </c>
      <c r="AU164" s="73" t="str">
        <f aca="false">IF($E164="","",COUNTIF($E161:$E164,AR$21)+COUNTIF($E161:$E164,$A$3))</f>
        <v/>
      </c>
      <c r="AV164" s="92" t="str">
        <f aca="false">IF($F164="","",COUNTIF($F161:$F164,AR$21)+COUNTIF($F161:$F164,$A$3))</f>
        <v/>
      </c>
      <c r="AX164" s="91" t="str">
        <f aca="false">IF($B164="","",COUNTIF($B161:$B164,AX$21)+COUNTIF($B161:$B164,$A$3))</f>
        <v/>
      </c>
      <c r="AY164" s="73" t="str">
        <f aca="false">IF($C164="","",COUNTIF($C161:$C164,AX$21)+COUNTIF($C161:$C164,$A$3))</f>
        <v/>
      </c>
      <c r="AZ164" s="73" t="str">
        <f aca="false">IF($D164="","",COUNTIF($D161:$D164,AX$21)+COUNTIF($D161:$D164,$A$3))</f>
        <v/>
      </c>
      <c r="BA164" s="73" t="str">
        <f aca="false">IF($E164="","",COUNTIF($E161:$E164,AX$21)+COUNTIF($E161:$E164,$A$3))</f>
        <v/>
      </c>
      <c r="BB164" s="92" t="str">
        <f aca="false">IF($F164="","",COUNTIF($F161:$F164,AX$21)+COUNTIF($F161:$F164,$A$3))</f>
        <v/>
      </c>
      <c r="BD164" s="91" t="str">
        <f aca="false">IF($B164="","",COUNTIF($B161:$B164,BD$21)+COUNTIF($B161:$B164,$A$3))</f>
        <v/>
      </c>
      <c r="BE164" s="73" t="str">
        <f aca="false">IF($C164="","",COUNTIF($C161:$C164,BD$21)+COUNTIF($C161:$C164,$A$3))</f>
        <v/>
      </c>
      <c r="BF164" s="73" t="str">
        <f aca="false">IF($D164="","",COUNTIF($D161:$D164,BD$21)+COUNTIF($D161:$D164,$A$3))</f>
        <v/>
      </c>
      <c r="BG164" s="73" t="str">
        <f aca="false">IF($E164="","",COUNTIF($E161:$E164,BD$21)+COUNTIF($E161:$E164,$A$3))</f>
        <v/>
      </c>
      <c r="BH164" s="92" t="str">
        <f aca="false">IF($F164="","",COUNTIF($F161:$F164,BD$21)+COUNTIF($F161:$F164,$A$3))</f>
        <v/>
      </c>
      <c r="BJ164" s="91" t="str">
        <f aca="false">IF($B164="","",COUNTIF($B161:$B164,BJ$21)+COUNTIF($B161:$B164,$A$3))</f>
        <v/>
      </c>
      <c r="BK164" s="73" t="str">
        <f aca="false">IF($C164="","",COUNTIF($C161:$C164,BJ$21)+COUNTIF($C161:$C164,$A$3))</f>
        <v/>
      </c>
      <c r="BL164" s="73" t="str">
        <f aca="false">IF($D164="","",COUNTIF($D161:$D164,BJ$21)+COUNTIF($D161:$D164,$A$3))</f>
        <v/>
      </c>
      <c r="BM164" s="73" t="str">
        <f aca="false">IF($E164="","",COUNTIF($E161:$E164,BJ$21)+COUNTIF($E161:$E164,$A$3))</f>
        <v/>
      </c>
      <c r="BN164" s="92" t="str">
        <f aca="false">IF($F164="","",COUNTIF($F161:$F164,BJ$21)+COUNTIF($F161:$F164,$A$3))</f>
        <v/>
      </c>
      <c r="BP164" s="91" t="str">
        <f aca="false">IF($B164="","",COUNTIF($B161:$B164,BP$21)+COUNTIF($B161:$B164,$A$3))</f>
        <v/>
      </c>
      <c r="BQ164" s="73" t="str">
        <f aca="false">IF($C164="","",COUNTIF($C161:$C164,BP$21)+COUNTIF($C161:$C164,$A$3))</f>
        <v/>
      </c>
      <c r="BR164" s="73" t="str">
        <f aca="false">IF($D164="","",COUNTIF($D161:$D164,BP$21)+COUNTIF($D161:$D164,$A$3))</f>
        <v/>
      </c>
      <c r="BS164" s="73" t="str">
        <f aca="false">IF($E164="","",COUNTIF($E161:$E164,BP$21)+COUNTIF($E161:$E164,$A$3))</f>
        <v/>
      </c>
      <c r="BT164" s="92" t="str">
        <f aca="false">IF($F164="","",COUNTIF($F161:$F164,BP$21)+COUNTIF($F161:$F164,$A$3))</f>
        <v/>
      </c>
    </row>
    <row r="165" customFormat="false" ht="15" hidden="false" customHeight="false" outlineLevel="0" collapsed="false">
      <c r="A165" s="13" t="n">
        <v>143</v>
      </c>
      <c r="B165" s="116" t="str">
        <f aca="false">IF('Game Info'!Q148="","",'Game Info'!Q148)</f>
        <v/>
      </c>
      <c r="C165" s="116" t="str">
        <f aca="false">IF('Game Info'!R148="","",'Game Info'!R148)</f>
        <v/>
      </c>
      <c r="D165" s="116" t="str">
        <f aca="false">IF('Game Info'!S148="","",'Game Info'!S148)</f>
        <v/>
      </c>
      <c r="E165" s="116" t="str">
        <f aca="false">IF('Game Info'!T148="","",'Game Info'!T148)</f>
        <v/>
      </c>
      <c r="F165" s="117" t="str">
        <f aca="false">IF('Game Info'!U148="","",'Game Info'!U148)</f>
        <v/>
      </c>
      <c r="H165" s="91" t="str">
        <f aca="false">IF($B165="","",COUNTIF($B162:$B165,H$21)+COUNTIF($B162:$B165,$A$3))</f>
        <v/>
      </c>
      <c r="I165" s="73" t="str">
        <f aca="false">IF($C165="","",COUNTIF($C162:$C165,H$21)+COUNTIF($C162:$C165,$A$3))</f>
        <v/>
      </c>
      <c r="J165" s="73" t="str">
        <f aca="false">IF($D165="","",COUNTIF($D162:$D165,H$21)+COUNTIF($D162:$D165,$A$3))</f>
        <v/>
      </c>
      <c r="K165" s="73" t="str">
        <f aca="false">IF($E165="","",COUNTIF($E162:$E165,H$21)+COUNTIF($E162:$E165,$A$3))</f>
        <v/>
      </c>
      <c r="L165" s="92" t="str">
        <f aca="false">IF($F165="","",COUNTIF($F162:$F165,H$21)+COUNTIF($F162:$F165,$A$3))</f>
        <v/>
      </c>
      <c r="N165" s="91" t="str">
        <f aca="false">IF($B165="","",COUNTIF($B162:$B165,N$21)+COUNTIF($B162:$B165,$A$3))</f>
        <v/>
      </c>
      <c r="O165" s="73" t="str">
        <f aca="false">IF($C165="","",COUNTIF($C162:$C165,N$21)+COUNTIF($C162:$C165,$A$3))</f>
        <v/>
      </c>
      <c r="P165" s="73" t="str">
        <f aca="false">IF($D165="","",COUNTIF($D162:$D165,N$21)+COUNTIF($D162:$D165,$A$3))</f>
        <v/>
      </c>
      <c r="Q165" s="73" t="str">
        <f aca="false">IF($E165="","",COUNTIF($E162:$E165,N$21)+COUNTIF($E162:$E165,$A$3))</f>
        <v/>
      </c>
      <c r="R165" s="92" t="str">
        <f aca="false">IF($F165="","",COUNTIF($F162:$F165,N$21)+COUNTIF($F162:$F165,$A$3))</f>
        <v/>
      </c>
      <c r="T165" s="91" t="str">
        <f aca="false">IF($B165="","",COUNTIF($B162:$B165,T$21)+COUNTIF($B162:$B165,$A$3))</f>
        <v/>
      </c>
      <c r="U165" s="73" t="str">
        <f aca="false">IF($C165="","",COUNTIF($C162:$C165,T$21)+COUNTIF($C162:$C165,$A$3))</f>
        <v/>
      </c>
      <c r="V165" s="73" t="str">
        <f aca="false">IF($D165="","",COUNTIF($D162:$D165,T$21)+COUNTIF($D162:$D165,$A$3))</f>
        <v/>
      </c>
      <c r="W165" s="73" t="str">
        <f aca="false">IF($E165="","",COUNTIF($E162:$E165,T$21)+COUNTIF($E162:$E165,$A$3))</f>
        <v/>
      </c>
      <c r="X165" s="92" t="str">
        <f aca="false">IF($F165="","",COUNTIF($F162:$F165,T$21)+COUNTIF($F162:$F165,$A$3))</f>
        <v/>
      </c>
      <c r="Z165" s="91" t="str">
        <f aca="false">IF($B165="","",COUNTIF($B162:$B165,Z$21)+COUNTIF($B162:$B165,$A$3))</f>
        <v/>
      </c>
      <c r="AA165" s="73" t="str">
        <f aca="false">IF($C165="","",COUNTIF($C162:$C165,Z$21)+COUNTIF($C162:$C165,$A$3))</f>
        <v/>
      </c>
      <c r="AB165" s="73" t="str">
        <f aca="false">IF($D165="","",COUNTIF($D162:$D165,Z$21)+COUNTIF($D162:$D165,$A$3))</f>
        <v/>
      </c>
      <c r="AC165" s="73" t="str">
        <f aca="false">IF($E165="","",COUNTIF($E162:$E165,Z$21)+COUNTIF($E162:$E165,$A$3))</f>
        <v/>
      </c>
      <c r="AD165" s="92" t="str">
        <f aca="false">IF($F165="","",COUNTIF($F162:$F165,Z$21)+COUNTIF($F162:$F165,$A$3))</f>
        <v/>
      </c>
      <c r="AF165" s="91" t="str">
        <f aca="false">IF($B165="","",COUNTIF($B162:$B165,AF$21)+COUNTIF($B162:$B165,$A$3))</f>
        <v/>
      </c>
      <c r="AG165" s="73" t="str">
        <f aca="false">IF($C165="","",COUNTIF($C162:$C165,AF$21)+COUNTIF($C162:$C165,$A$3))</f>
        <v/>
      </c>
      <c r="AH165" s="73" t="str">
        <f aca="false">IF($D165="","",COUNTIF($D162:$D165,AF$21)+COUNTIF($D162:$D165,$A$3))</f>
        <v/>
      </c>
      <c r="AI165" s="73" t="str">
        <f aca="false">IF($E165="","",COUNTIF($E162:$E165,AF$21)+COUNTIF($E162:$E165,$A$3))</f>
        <v/>
      </c>
      <c r="AJ165" s="92" t="str">
        <f aca="false">IF($F165="","",COUNTIF($F162:$F165,AF$21)+COUNTIF($F162:$F165,$A$3))</f>
        <v/>
      </c>
      <c r="AL165" s="91" t="str">
        <f aca="false">IF($B165="","",COUNTIF($B162:$B165,AL$21)+COUNTIF($B162:$B165,$A$3))</f>
        <v/>
      </c>
      <c r="AM165" s="73" t="str">
        <f aca="false">IF($C165="","",COUNTIF($C162:$C165,AL$21)+COUNTIF($C162:$C165,$A$3))</f>
        <v/>
      </c>
      <c r="AN165" s="73" t="str">
        <f aca="false">IF($D165="","",COUNTIF($D162:$D165,AL$21)+COUNTIF($D162:$D165,$A$3))</f>
        <v/>
      </c>
      <c r="AO165" s="73" t="str">
        <f aca="false">IF($E165="","",COUNTIF($E162:$E165,AL$21)+COUNTIF($E162:$E165,$A$3))</f>
        <v/>
      </c>
      <c r="AP165" s="92" t="str">
        <f aca="false">IF($F165="","",COUNTIF($F162:$F165,AL$21)+COUNTIF($F162:$F165,$A$3))</f>
        <v/>
      </c>
      <c r="AR165" s="91" t="str">
        <f aca="false">IF($B165="","",COUNTIF($B162:$B165,AR$21)+COUNTIF($B162:$B165,$A$3))</f>
        <v/>
      </c>
      <c r="AS165" s="73" t="str">
        <f aca="false">IF($C165="","",COUNTIF($C162:$C165,AR$21)+COUNTIF($C162:$C165,$A$3))</f>
        <v/>
      </c>
      <c r="AT165" s="73" t="str">
        <f aca="false">IF($D165="","",COUNTIF($D162:$D165,AR$21)+COUNTIF($D162:$D165,$A$3))</f>
        <v/>
      </c>
      <c r="AU165" s="73" t="str">
        <f aca="false">IF($E165="","",COUNTIF($E162:$E165,AR$21)+COUNTIF($E162:$E165,$A$3))</f>
        <v/>
      </c>
      <c r="AV165" s="92" t="str">
        <f aca="false">IF($F165="","",COUNTIF($F162:$F165,AR$21)+COUNTIF($F162:$F165,$A$3))</f>
        <v/>
      </c>
      <c r="AX165" s="91" t="str">
        <f aca="false">IF($B165="","",COUNTIF($B162:$B165,AX$21)+COUNTIF($B162:$B165,$A$3))</f>
        <v/>
      </c>
      <c r="AY165" s="73" t="str">
        <f aca="false">IF($C165="","",COUNTIF($C162:$C165,AX$21)+COUNTIF($C162:$C165,$A$3))</f>
        <v/>
      </c>
      <c r="AZ165" s="73" t="str">
        <f aca="false">IF($D165="","",COUNTIF($D162:$D165,AX$21)+COUNTIF($D162:$D165,$A$3))</f>
        <v/>
      </c>
      <c r="BA165" s="73" t="str">
        <f aca="false">IF($E165="","",COUNTIF($E162:$E165,AX$21)+COUNTIF($E162:$E165,$A$3))</f>
        <v/>
      </c>
      <c r="BB165" s="92" t="str">
        <f aca="false">IF($F165="","",COUNTIF($F162:$F165,AX$21)+COUNTIF($F162:$F165,$A$3))</f>
        <v/>
      </c>
      <c r="BD165" s="91" t="str">
        <f aca="false">IF($B165="","",COUNTIF($B162:$B165,BD$21)+COUNTIF($B162:$B165,$A$3))</f>
        <v/>
      </c>
      <c r="BE165" s="73" t="str">
        <f aca="false">IF($C165="","",COUNTIF($C162:$C165,BD$21)+COUNTIF($C162:$C165,$A$3))</f>
        <v/>
      </c>
      <c r="BF165" s="73" t="str">
        <f aca="false">IF($D165="","",COUNTIF($D162:$D165,BD$21)+COUNTIF($D162:$D165,$A$3))</f>
        <v/>
      </c>
      <c r="BG165" s="73" t="str">
        <f aca="false">IF($E165="","",COUNTIF($E162:$E165,BD$21)+COUNTIF($E162:$E165,$A$3))</f>
        <v/>
      </c>
      <c r="BH165" s="92" t="str">
        <f aca="false">IF($F165="","",COUNTIF($F162:$F165,BD$21)+COUNTIF($F162:$F165,$A$3))</f>
        <v/>
      </c>
      <c r="BJ165" s="91" t="str">
        <f aca="false">IF($B165="","",COUNTIF($B162:$B165,BJ$21)+COUNTIF($B162:$B165,$A$3))</f>
        <v/>
      </c>
      <c r="BK165" s="73" t="str">
        <f aca="false">IF($C165="","",COUNTIF($C162:$C165,BJ$21)+COUNTIF($C162:$C165,$A$3))</f>
        <v/>
      </c>
      <c r="BL165" s="73" t="str">
        <f aca="false">IF($D165="","",COUNTIF($D162:$D165,BJ$21)+COUNTIF($D162:$D165,$A$3))</f>
        <v/>
      </c>
      <c r="BM165" s="73" t="str">
        <f aca="false">IF($E165="","",COUNTIF($E162:$E165,BJ$21)+COUNTIF($E162:$E165,$A$3))</f>
        <v/>
      </c>
      <c r="BN165" s="92" t="str">
        <f aca="false">IF($F165="","",COUNTIF($F162:$F165,BJ$21)+COUNTIF($F162:$F165,$A$3))</f>
        <v/>
      </c>
      <c r="BP165" s="91" t="str">
        <f aca="false">IF($B165="","",COUNTIF($B162:$B165,BP$21)+COUNTIF($B162:$B165,$A$3))</f>
        <v/>
      </c>
      <c r="BQ165" s="73" t="str">
        <f aca="false">IF($C165="","",COUNTIF($C162:$C165,BP$21)+COUNTIF($C162:$C165,$A$3))</f>
        <v/>
      </c>
      <c r="BR165" s="73" t="str">
        <f aca="false">IF($D165="","",COUNTIF($D162:$D165,BP$21)+COUNTIF($D162:$D165,$A$3))</f>
        <v/>
      </c>
      <c r="BS165" s="73" t="str">
        <f aca="false">IF($E165="","",COUNTIF($E162:$E165,BP$21)+COUNTIF($E162:$E165,$A$3))</f>
        <v/>
      </c>
      <c r="BT165" s="92" t="str">
        <f aca="false">IF($F165="","",COUNTIF($F162:$F165,BP$21)+COUNTIF($F162:$F165,$A$3))</f>
        <v/>
      </c>
    </row>
    <row r="166" customFormat="false" ht="15" hidden="false" customHeight="false" outlineLevel="0" collapsed="false">
      <c r="A166" s="13" t="n">
        <v>144</v>
      </c>
      <c r="B166" s="116" t="str">
        <f aca="false">IF('Game Info'!Q149="","",'Game Info'!Q149)</f>
        <v/>
      </c>
      <c r="C166" s="116" t="str">
        <f aca="false">IF('Game Info'!R149="","",'Game Info'!R149)</f>
        <v/>
      </c>
      <c r="D166" s="116" t="str">
        <f aca="false">IF('Game Info'!S149="","",'Game Info'!S149)</f>
        <v/>
      </c>
      <c r="E166" s="116" t="str">
        <f aca="false">IF('Game Info'!T149="","",'Game Info'!T149)</f>
        <v/>
      </c>
      <c r="F166" s="117" t="str">
        <f aca="false">IF('Game Info'!U149="","",'Game Info'!U149)</f>
        <v/>
      </c>
      <c r="H166" s="91" t="str">
        <f aca="false">IF($B166="","",COUNTIF($B163:$B166,H$21)+COUNTIF($B163:$B166,$A$3))</f>
        <v/>
      </c>
      <c r="I166" s="73" t="str">
        <f aca="false">IF($C166="","",COUNTIF($C163:$C166,H$21)+COUNTIF($C163:$C166,$A$3))</f>
        <v/>
      </c>
      <c r="J166" s="73" t="str">
        <f aca="false">IF($D166="","",COUNTIF($D163:$D166,H$21)+COUNTIF($D163:$D166,$A$3))</f>
        <v/>
      </c>
      <c r="K166" s="73" t="str">
        <f aca="false">IF($E166="","",COUNTIF($E163:$E166,H$21)+COUNTIF($E163:$E166,$A$3))</f>
        <v/>
      </c>
      <c r="L166" s="92" t="str">
        <f aca="false">IF($F166="","",COUNTIF($F163:$F166,H$21)+COUNTIF($F163:$F166,$A$3))</f>
        <v/>
      </c>
      <c r="N166" s="91" t="str">
        <f aca="false">IF($B166="","",COUNTIF($B163:$B166,N$21)+COUNTIF($B163:$B166,$A$3))</f>
        <v/>
      </c>
      <c r="O166" s="73" t="str">
        <f aca="false">IF($C166="","",COUNTIF($C163:$C166,N$21)+COUNTIF($C163:$C166,$A$3))</f>
        <v/>
      </c>
      <c r="P166" s="73" t="str">
        <f aca="false">IF($D166="","",COUNTIF($D163:$D166,N$21)+COUNTIF($D163:$D166,$A$3))</f>
        <v/>
      </c>
      <c r="Q166" s="73" t="str">
        <f aca="false">IF($E166="","",COUNTIF($E163:$E166,N$21)+COUNTIF($E163:$E166,$A$3))</f>
        <v/>
      </c>
      <c r="R166" s="92" t="str">
        <f aca="false">IF($F166="","",COUNTIF($F163:$F166,N$21)+COUNTIF($F163:$F166,$A$3))</f>
        <v/>
      </c>
      <c r="T166" s="91" t="str">
        <f aca="false">IF($B166="","",COUNTIF($B163:$B166,T$21)+COUNTIF($B163:$B166,$A$3))</f>
        <v/>
      </c>
      <c r="U166" s="73" t="str">
        <f aca="false">IF($C166="","",COUNTIF($C163:$C166,T$21)+COUNTIF($C163:$C166,$A$3))</f>
        <v/>
      </c>
      <c r="V166" s="73" t="str">
        <f aca="false">IF($D166="","",COUNTIF($D163:$D166,T$21)+COUNTIF($D163:$D166,$A$3))</f>
        <v/>
      </c>
      <c r="W166" s="73" t="str">
        <f aca="false">IF($E166="","",COUNTIF($E163:$E166,T$21)+COUNTIF($E163:$E166,$A$3))</f>
        <v/>
      </c>
      <c r="X166" s="92" t="str">
        <f aca="false">IF($F166="","",COUNTIF($F163:$F166,T$21)+COUNTIF($F163:$F166,$A$3))</f>
        <v/>
      </c>
      <c r="Z166" s="91" t="str">
        <f aca="false">IF($B166="","",COUNTIF($B163:$B166,Z$21)+COUNTIF($B163:$B166,$A$3))</f>
        <v/>
      </c>
      <c r="AA166" s="73" t="str">
        <f aca="false">IF($C166="","",COUNTIF($C163:$C166,Z$21)+COUNTIF($C163:$C166,$A$3))</f>
        <v/>
      </c>
      <c r="AB166" s="73" t="str">
        <f aca="false">IF($D166="","",COUNTIF($D163:$D166,Z$21)+COUNTIF($D163:$D166,$A$3))</f>
        <v/>
      </c>
      <c r="AC166" s="73" t="str">
        <f aca="false">IF($E166="","",COUNTIF($E163:$E166,Z$21)+COUNTIF($E163:$E166,$A$3))</f>
        <v/>
      </c>
      <c r="AD166" s="92" t="str">
        <f aca="false">IF($F166="","",COUNTIF($F163:$F166,Z$21)+COUNTIF($F163:$F166,$A$3))</f>
        <v/>
      </c>
      <c r="AF166" s="91" t="str">
        <f aca="false">IF($B166="","",COUNTIF($B163:$B166,AF$21)+COUNTIF($B163:$B166,$A$3))</f>
        <v/>
      </c>
      <c r="AG166" s="73" t="str">
        <f aca="false">IF($C166="","",COUNTIF($C163:$C166,AF$21)+COUNTIF($C163:$C166,$A$3))</f>
        <v/>
      </c>
      <c r="AH166" s="73" t="str">
        <f aca="false">IF($D166="","",COUNTIF($D163:$D166,AF$21)+COUNTIF($D163:$D166,$A$3))</f>
        <v/>
      </c>
      <c r="AI166" s="73" t="str">
        <f aca="false">IF($E166="","",COUNTIF($E163:$E166,AF$21)+COUNTIF($E163:$E166,$A$3))</f>
        <v/>
      </c>
      <c r="AJ166" s="92" t="str">
        <f aca="false">IF($F166="","",COUNTIF($F163:$F166,AF$21)+COUNTIF($F163:$F166,$A$3))</f>
        <v/>
      </c>
      <c r="AL166" s="91" t="str">
        <f aca="false">IF($B166="","",COUNTIF($B163:$B166,AL$21)+COUNTIF($B163:$B166,$A$3))</f>
        <v/>
      </c>
      <c r="AM166" s="73" t="str">
        <f aca="false">IF($C166="","",COUNTIF($C163:$C166,AL$21)+COUNTIF($C163:$C166,$A$3))</f>
        <v/>
      </c>
      <c r="AN166" s="73" t="str">
        <f aca="false">IF($D166="","",COUNTIF($D163:$D166,AL$21)+COUNTIF($D163:$D166,$A$3))</f>
        <v/>
      </c>
      <c r="AO166" s="73" t="str">
        <f aca="false">IF($E166="","",COUNTIF($E163:$E166,AL$21)+COUNTIF($E163:$E166,$A$3))</f>
        <v/>
      </c>
      <c r="AP166" s="92" t="str">
        <f aca="false">IF($F166="","",COUNTIF($F163:$F166,AL$21)+COUNTIF($F163:$F166,$A$3))</f>
        <v/>
      </c>
      <c r="AR166" s="91" t="str">
        <f aca="false">IF($B166="","",COUNTIF($B163:$B166,AR$21)+COUNTIF($B163:$B166,$A$3))</f>
        <v/>
      </c>
      <c r="AS166" s="73" t="str">
        <f aca="false">IF($C166="","",COUNTIF($C163:$C166,AR$21)+COUNTIF($C163:$C166,$A$3))</f>
        <v/>
      </c>
      <c r="AT166" s="73" t="str">
        <f aca="false">IF($D166="","",COUNTIF($D163:$D166,AR$21)+COUNTIF($D163:$D166,$A$3))</f>
        <v/>
      </c>
      <c r="AU166" s="73" t="str">
        <f aca="false">IF($E166="","",COUNTIF($E163:$E166,AR$21)+COUNTIF($E163:$E166,$A$3))</f>
        <v/>
      </c>
      <c r="AV166" s="92" t="str">
        <f aca="false">IF($F166="","",COUNTIF($F163:$F166,AR$21)+COUNTIF($F163:$F166,$A$3))</f>
        <v/>
      </c>
      <c r="AX166" s="91" t="str">
        <f aca="false">IF($B166="","",COUNTIF($B163:$B166,AX$21)+COUNTIF($B163:$B166,$A$3))</f>
        <v/>
      </c>
      <c r="AY166" s="73" t="str">
        <f aca="false">IF($C166="","",COUNTIF($C163:$C166,AX$21)+COUNTIF($C163:$C166,$A$3))</f>
        <v/>
      </c>
      <c r="AZ166" s="73" t="str">
        <f aca="false">IF($D166="","",COUNTIF($D163:$D166,AX$21)+COUNTIF($D163:$D166,$A$3))</f>
        <v/>
      </c>
      <c r="BA166" s="73" t="str">
        <f aca="false">IF($E166="","",COUNTIF($E163:$E166,AX$21)+COUNTIF($E163:$E166,$A$3))</f>
        <v/>
      </c>
      <c r="BB166" s="92" t="str">
        <f aca="false">IF($F166="","",COUNTIF($F163:$F166,AX$21)+COUNTIF($F163:$F166,$A$3))</f>
        <v/>
      </c>
      <c r="BD166" s="91" t="str">
        <f aca="false">IF($B166="","",COUNTIF($B163:$B166,BD$21)+COUNTIF($B163:$B166,$A$3))</f>
        <v/>
      </c>
      <c r="BE166" s="73" t="str">
        <f aca="false">IF($C166="","",COUNTIF($C163:$C166,BD$21)+COUNTIF($C163:$C166,$A$3))</f>
        <v/>
      </c>
      <c r="BF166" s="73" t="str">
        <f aca="false">IF($D166="","",COUNTIF($D163:$D166,BD$21)+COUNTIF($D163:$D166,$A$3))</f>
        <v/>
      </c>
      <c r="BG166" s="73" t="str">
        <f aca="false">IF($E166="","",COUNTIF($E163:$E166,BD$21)+COUNTIF($E163:$E166,$A$3))</f>
        <v/>
      </c>
      <c r="BH166" s="92" t="str">
        <f aca="false">IF($F166="","",COUNTIF($F163:$F166,BD$21)+COUNTIF($F163:$F166,$A$3))</f>
        <v/>
      </c>
      <c r="BJ166" s="91" t="str">
        <f aca="false">IF($B166="","",COUNTIF($B163:$B166,BJ$21)+COUNTIF($B163:$B166,$A$3))</f>
        <v/>
      </c>
      <c r="BK166" s="73" t="str">
        <f aca="false">IF($C166="","",COUNTIF($C163:$C166,BJ$21)+COUNTIF($C163:$C166,$A$3))</f>
        <v/>
      </c>
      <c r="BL166" s="73" t="str">
        <f aca="false">IF($D166="","",COUNTIF($D163:$D166,BJ$21)+COUNTIF($D163:$D166,$A$3))</f>
        <v/>
      </c>
      <c r="BM166" s="73" t="str">
        <f aca="false">IF($E166="","",COUNTIF($E163:$E166,BJ$21)+COUNTIF($E163:$E166,$A$3))</f>
        <v/>
      </c>
      <c r="BN166" s="92" t="str">
        <f aca="false">IF($F166="","",COUNTIF($F163:$F166,BJ$21)+COUNTIF($F163:$F166,$A$3))</f>
        <v/>
      </c>
      <c r="BP166" s="91" t="str">
        <f aca="false">IF($B166="","",COUNTIF($B163:$B166,BP$21)+COUNTIF($B163:$B166,$A$3))</f>
        <v/>
      </c>
      <c r="BQ166" s="73" t="str">
        <f aca="false">IF($C166="","",COUNTIF($C163:$C166,BP$21)+COUNTIF($C163:$C166,$A$3))</f>
        <v/>
      </c>
      <c r="BR166" s="73" t="str">
        <f aca="false">IF($D166="","",COUNTIF($D163:$D166,BP$21)+COUNTIF($D163:$D166,$A$3))</f>
        <v/>
      </c>
      <c r="BS166" s="73" t="str">
        <f aca="false">IF($E166="","",COUNTIF($E163:$E166,BP$21)+COUNTIF($E163:$E166,$A$3))</f>
        <v/>
      </c>
      <c r="BT166" s="92" t="str">
        <f aca="false">IF($F166="","",COUNTIF($F163:$F166,BP$21)+COUNTIF($F163:$F166,$A$3))</f>
        <v/>
      </c>
    </row>
    <row r="167" customFormat="false" ht="15" hidden="false" customHeight="false" outlineLevel="0" collapsed="false">
      <c r="A167" s="13" t="n">
        <v>145</v>
      </c>
      <c r="B167" s="116" t="str">
        <f aca="false">IF('Game Info'!Q150="","",'Game Info'!Q150)</f>
        <v/>
      </c>
      <c r="C167" s="116" t="str">
        <f aca="false">IF('Game Info'!R150="","",'Game Info'!R150)</f>
        <v/>
      </c>
      <c r="D167" s="116" t="str">
        <f aca="false">IF('Game Info'!S150="","",'Game Info'!S150)</f>
        <v/>
      </c>
      <c r="E167" s="116" t="str">
        <f aca="false">IF('Game Info'!T150="","",'Game Info'!T150)</f>
        <v/>
      </c>
      <c r="F167" s="117" t="str">
        <f aca="false">IF('Game Info'!U150="","",'Game Info'!U150)</f>
        <v/>
      </c>
      <c r="H167" s="91" t="str">
        <f aca="false">IF($B167="","",COUNTIF($B164:$B167,H$21)+COUNTIF($B164:$B167,$A$3))</f>
        <v/>
      </c>
      <c r="I167" s="73" t="str">
        <f aca="false">IF($C167="","",COUNTIF($C164:$C167,H$21)+COUNTIF($C164:$C167,$A$3))</f>
        <v/>
      </c>
      <c r="J167" s="73" t="str">
        <f aca="false">IF($D167="","",COUNTIF($D164:$D167,H$21)+COUNTIF($D164:$D167,$A$3))</f>
        <v/>
      </c>
      <c r="K167" s="73" t="str">
        <f aca="false">IF($E167="","",COUNTIF($E164:$E167,H$21)+COUNTIF($E164:$E167,$A$3))</f>
        <v/>
      </c>
      <c r="L167" s="92" t="str">
        <f aca="false">IF($F167="","",COUNTIF($F164:$F167,H$21)+COUNTIF($F164:$F167,$A$3))</f>
        <v/>
      </c>
      <c r="N167" s="91" t="str">
        <f aca="false">IF($B167="","",COUNTIF($B164:$B167,N$21)+COUNTIF($B164:$B167,$A$3))</f>
        <v/>
      </c>
      <c r="O167" s="73" t="str">
        <f aca="false">IF($C167="","",COUNTIF($C164:$C167,N$21)+COUNTIF($C164:$C167,$A$3))</f>
        <v/>
      </c>
      <c r="P167" s="73" t="str">
        <f aca="false">IF($D167="","",COUNTIF($D164:$D167,N$21)+COUNTIF($D164:$D167,$A$3))</f>
        <v/>
      </c>
      <c r="Q167" s="73" t="str">
        <f aca="false">IF($E167="","",COUNTIF($E164:$E167,N$21)+COUNTIF($E164:$E167,$A$3))</f>
        <v/>
      </c>
      <c r="R167" s="92" t="str">
        <f aca="false">IF($F167="","",COUNTIF($F164:$F167,N$21)+COUNTIF($F164:$F167,$A$3))</f>
        <v/>
      </c>
      <c r="T167" s="91" t="str">
        <f aca="false">IF($B167="","",COUNTIF($B164:$B167,T$21)+COUNTIF($B164:$B167,$A$3))</f>
        <v/>
      </c>
      <c r="U167" s="73" t="str">
        <f aca="false">IF($C167="","",COUNTIF($C164:$C167,T$21)+COUNTIF($C164:$C167,$A$3))</f>
        <v/>
      </c>
      <c r="V167" s="73" t="str">
        <f aca="false">IF($D167="","",COUNTIF($D164:$D167,T$21)+COUNTIF($D164:$D167,$A$3))</f>
        <v/>
      </c>
      <c r="W167" s="73" t="str">
        <f aca="false">IF($E167="","",COUNTIF($E164:$E167,T$21)+COUNTIF($E164:$E167,$A$3))</f>
        <v/>
      </c>
      <c r="X167" s="92" t="str">
        <f aca="false">IF($F167="","",COUNTIF($F164:$F167,T$21)+COUNTIF($F164:$F167,$A$3))</f>
        <v/>
      </c>
      <c r="Z167" s="91" t="str">
        <f aca="false">IF($B167="","",COUNTIF($B164:$B167,Z$21)+COUNTIF($B164:$B167,$A$3))</f>
        <v/>
      </c>
      <c r="AA167" s="73" t="str">
        <f aca="false">IF($C167="","",COUNTIF($C164:$C167,Z$21)+COUNTIF($C164:$C167,$A$3))</f>
        <v/>
      </c>
      <c r="AB167" s="73" t="str">
        <f aca="false">IF($D167="","",COUNTIF($D164:$D167,Z$21)+COUNTIF($D164:$D167,$A$3))</f>
        <v/>
      </c>
      <c r="AC167" s="73" t="str">
        <f aca="false">IF($E167="","",COUNTIF($E164:$E167,Z$21)+COUNTIF($E164:$E167,$A$3))</f>
        <v/>
      </c>
      <c r="AD167" s="92" t="str">
        <f aca="false">IF($F167="","",COUNTIF($F164:$F167,Z$21)+COUNTIF($F164:$F167,$A$3))</f>
        <v/>
      </c>
      <c r="AF167" s="91" t="str">
        <f aca="false">IF($B167="","",COUNTIF($B164:$B167,AF$21)+COUNTIF($B164:$B167,$A$3))</f>
        <v/>
      </c>
      <c r="AG167" s="73" t="str">
        <f aca="false">IF($C167="","",COUNTIF($C164:$C167,AF$21)+COUNTIF($C164:$C167,$A$3))</f>
        <v/>
      </c>
      <c r="AH167" s="73" t="str">
        <f aca="false">IF($D167="","",COUNTIF($D164:$D167,AF$21)+COUNTIF($D164:$D167,$A$3))</f>
        <v/>
      </c>
      <c r="AI167" s="73" t="str">
        <f aca="false">IF($E167="","",COUNTIF($E164:$E167,AF$21)+COUNTIF($E164:$E167,$A$3))</f>
        <v/>
      </c>
      <c r="AJ167" s="92" t="str">
        <f aca="false">IF($F167="","",COUNTIF($F164:$F167,AF$21)+COUNTIF($F164:$F167,$A$3))</f>
        <v/>
      </c>
      <c r="AL167" s="91" t="str">
        <f aca="false">IF($B167="","",COUNTIF($B164:$B167,AL$21)+COUNTIF($B164:$B167,$A$3))</f>
        <v/>
      </c>
      <c r="AM167" s="73" t="str">
        <f aca="false">IF($C167="","",COUNTIF($C164:$C167,AL$21)+COUNTIF($C164:$C167,$A$3))</f>
        <v/>
      </c>
      <c r="AN167" s="73" t="str">
        <f aca="false">IF($D167="","",COUNTIF($D164:$D167,AL$21)+COUNTIF($D164:$D167,$A$3))</f>
        <v/>
      </c>
      <c r="AO167" s="73" t="str">
        <f aca="false">IF($E167="","",COUNTIF($E164:$E167,AL$21)+COUNTIF($E164:$E167,$A$3))</f>
        <v/>
      </c>
      <c r="AP167" s="92" t="str">
        <f aca="false">IF($F167="","",COUNTIF($F164:$F167,AL$21)+COUNTIF($F164:$F167,$A$3))</f>
        <v/>
      </c>
      <c r="AR167" s="91" t="str">
        <f aca="false">IF($B167="","",COUNTIF($B164:$B167,AR$21)+COUNTIF($B164:$B167,$A$3))</f>
        <v/>
      </c>
      <c r="AS167" s="73" t="str">
        <f aca="false">IF($C167="","",COUNTIF($C164:$C167,AR$21)+COUNTIF($C164:$C167,$A$3))</f>
        <v/>
      </c>
      <c r="AT167" s="73" t="str">
        <f aca="false">IF($D167="","",COUNTIF($D164:$D167,AR$21)+COUNTIF($D164:$D167,$A$3))</f>
        <v/>
      </c>
      <c r="AU167" s="73" t="str">
        <f aca="false">IF($E167="","",COUNTIF($E164:$E167,AR$21)+COUNTIF($E164:$E167,$A$3))</f>
        <v/>
      </c>
      <c r="AV167" s="92" t="str">
        <f aca="false">IF($F167="","",COUNTIF($F164:$F167,AR$21)+COUNTIF($F164:$F167,$A$3))</f>
        <v/>
      </c>
      <c r="AX167" s="91" t="str">
        <f aca="false">IF($B167="","",COUNTIF($B164:$B167,AX$21)+COUNTIF($B164:$B167,$A$3))</f>
        <v/>
      </c>
      <c r="AY167" s="73" t="str">
        <f aca="false">IF($C167="","",COUNTIF($C164:$C167,AX$21)+COUNTIF($C164:$C167,$A$3))</f>
        <v/>
      </c>
      <c r="AZ167" s="73" t="str">
        <f aca="false">IF($D167="","",COUNTIF($D164:$D167,AX$21)+COUNTIF($D164:$D167,$A$3))</f>
        <v/>
      </c>
      <c r="BA167" s="73" t="str">
        <f aca="false">IF($E167="","",COUNTIF($E164:$E167,AX$21)+COUNTIF($E164:$E167,$A$3))</f>
        <v/>
      </c>
      <c r="BB167" s="92" t="str">
        <f aca="false">IF($F167="","",COUNTIF($F164:$F167,AX$21)+COUNTIF($F164:$F167,$A$3))</f>
        <v/>
      </c>
      <c r="BD167" s="91" t="str">
        <f aca="false">IF($B167="","",COUNTIF($B164:$B167,BD$21)+COUNTIF($B164:$B167,$A$3))</f>
        <v/>
      </c>
      <c r="BE167" s="73" t="str">
        <f aca="false">IF($C167="","",COUNTIF($C164:$C167,BD$21)+COUNTIF($C164:$C167,$A$3))</f>
        <v/>
      </c>
      <c r="BF167" s="73" t="str">
        <f aca="false">IF($D167="","",COUNTIF($D164:$D167,BD$21)+COUNTIF($D164:$D167,$A$3))</f>
        <v/>
      </c>
      <c r="BG167" s="73" t="str">
        <f aca="false">IF($E167="","",COUNTIF($E164:$E167,BD$21)+COUNTIF($E164:$E167,$A$3))</f>
        <v/>
      </c>
      <c r="BH167" s="92" t="str">
        <f aca="false">IF($F167="","",COUNTIF($F164:$F167,BD$21)+COUNTIF($F164:$F167,$A$3))</f>
        <v/>
      </c>
      <c r="BJ167" s="91" t="str">
        <f aca="false">IF($B167="","",COUNTIF($B164:$B167,BJ$21)+COUNTIF($B164:$B167,$A$3))</f>
        <v/>
      </c>
      <c r="BK167" s="73" t="str">
        <f aca="false">IF($C167="","",COUNTIF($C164:$C167,BJ$21)+COUNTIF($C164:$C167,$A$3))</f>
        <v/>
      </c>
      <c r="BL167" s="73" t="str">
        <f aca="false">IF($D167="","",COUNTIF($D164:$D167,BJ$21)+COUNTIF($D164:$D167,$A$3))</f>
        <v/>
      </c>
      <c r="BM167" s="73" t="str">
        <f aca="false">IF($E167="","",COUNTIF($E164:$E167,BJ$21)+COUNTIF($E164:$E167,$A$3))</f>
        <v/>
      </c>
      <c r="BN167" s="92" t="str">
        <f aca="false">IF($F167="","",COUNTIF($F164:$F167,BJ$21)+COUNTIF($F164:$F167,$A$3))</f>
        <v/>
      </c>
      <c r="BP167" s="91" t="str">
        <f aca="false">IF($B167="","",COUNTIF($B164:$B167,BP$21)+COUNTIF($B164:$B167,$A$3))</f>
        <v/>
      </c>
      <c r="BQ167" s="73" t="str">
        <f aca="false">IF($C167="","",COUNTIF($C164:$C167,BP$21)+COUNTIF($C164:$C167,$A$3))</f>
        <v/>
      </c>
      <c r="BR167" s="73" t="str">
        <f aca="false">IF($D167="","",COUNTIF($D164:$D167,BP$21)+COUNTIF($D164:$D167,$A$3))</f>
        <v/>
      </c>
      <c r="BS167" s="73" t="str">
        <f aca="false">IF($E167="","",COUNTIF($E164:$E167,BP$21)+COUNTIF($E164:$E167,$A$3))</f>
        <v/>
      </c>
      <c r="BT167" s="92" t="str">
        <f aca="false">IF($F167="","",COUNTIF($F164:$F167,BP$21)+COUNTIF($F164:$F167,$A$3))</f>
        <v/>
      </c>
    </row>
    <row r="168" customFormat="false" ht="15" hidden="false" customHeight="false" outlineLevel="0" collapsed="false">
      <c r="A168" s="13" t="n">
        <v>146</v>
      </c>
      <c r="B168" s="116" t="str">
        <f aca="false">IF('Game Info'!Q151="","",'Game Info'!Q151)</f>
        <v/>
      </c>
      <c r="C168" s="116" t="str">
        <f aca="false">IF('Game Info'!R151="","",'Game Info'!R151)</f>
        <v/>
      </c>
      <c r="D168" s="116" t="str">
        <f aca="false">IF('Game Info'!S151="","",'Game Info'!S151)</f>
        <v/>
      </c>
      <c r="E168" s="116" t="str">
        <f aca="false">IF('Game Info'!T151="","",'Game Info'!T151)</f>
        <v/>
      </c>
      <c r="F168" s="117" t="str">
        <f aca="false">IF('Game Info'!U151="","",'Game Info'!U151)</f>
        <v/>
      </c>
      <c r="H168" s="91" t="str">
        <f aca="false">IF($B168="","",COUNTIF($B165:$B168,H$21)+COUNTIF($B165:$B168,$A$3))</f>
        <v/>
      </c>
      <c r="I168" s="73" t="str">
        <f aca="false">IF($C168="","",COUNTIF($C165:$C168,H$21)+COUNTIF($C165:$C168,$A$3))</f>
        <v/>
      </c>
      <c r="J168" s="73" t="str">
        <f aca="false">IF($D168="","",COUNTIF($D165:$D168,H$21)+COUNTIF($D165:$D168,$A$3))</f>
        <v/>
      </c>
      <c r="K168" s="73" t="str">
        <f aca="false">IF($E168="","",COUNTIF($E165:$E168,H$21)+COUNTIF($E165:$E168,$A$3))</f>
        <v/>
      </c>
      <c r="L168" s="92" t="str">
        <f aca="false">IF($F168="","",COUNTIF($F165:$F168,H$21)+COUNTIF($F165:$F168,$A$3))</f>
        <v/>
      </c>
      <c r="N168" s="91" t="str">
        <f aca="false">IF($B168="","",COUNTIF($B165:$B168,N$21)+COUNTIF($B165:$B168,$A$3))</f>
        <v/>
      </c>
      <c r="O168" s="73" t="str">
        <f aca="false">IF($C168="","",COUNTIF($C165:$C168,N$21)+COUNTIF($C165:$C168,$A$3))</f>
        <v/>
      </c>
      <c r="P168" s="73" t="str">
        <f aca="false">IF($D168="","",COUNTIF($D165:$D168,N$21)+COUNTIF($D165:$D168,$A$3))</f>
        <v/>
      </c>
      <c r="Q168" s="73" t="str">
        <f aca="false">IF($E168="","",COUNTIF($E165:$E168,N$21)+COUNTIF($E165:$E168,$A$3))</f>
        <v/>
      </c>
      <c r="R168" s="92" t="str">
        <f aca="false">IF($F168="","",COUNTIF($F165:$F168,N$21)+COUNTIF($F165:$F168,$A$3))</f>
        <v/>
      </c>
      <c r="T168" s="91" t="str">
        <f aca="false">IF($B168="","",COUNTIF($B165:$B168,T$21)+COUNTIF($B165:$B168,$A$3))</f>
        <v/>
      </c>
      <c r="U168" s="73" t="str">
        <f aca="false">IF($C168="","",COUNTIF($C165:$C168,T$21)+COUNTIF($C165:$C168,$A$3))</f>
        <v/>
      </c>
      <c r="V168" s="73" t="str">
        <f aca="false">IF($D168="","",COUNTIF($D165:$D168,T$21)+COUNTIF($D165:$D168,$A$3))</f>
        <v/>
      </c>
      <c r="W168" s="73" t="str">
        <f aca="false">IF($E168="","",COUNTIF($E165:$E168,T$21)+COUNTIF($E165:$E168,$A$3))</f>
        <v/>
      </c>
      <c r="X168" s="92" t="str">
        <f aca="false">IF($F168="","",COUNTIF($F165:$F168,T$21)+COUNTIF($F165:$F168,$A$3))</f>
        <v/>
      </c>
      <c r="Z168" s="91" t="str">
        <f aca="false">IF($B168="","",COUNTIF($B165:$B168,Z$21)+COUNTIF($B165:$B168,$A$3))</f>
        <v/>
      </c>
      <c r="AA168" s="73" t="str">
        <f aca="false">IF($C168="","",COUNTIF($C165:$C168,Z$21)+COUNTIF($C165:$C168,$A$3))</f>
        <v/>
      </c>
      <c r="AB168" s="73" t="str">
        <f aca="false">IF($D168="","",COUNTIF($D165:$D168,Z$21)+COUNTIF($D165:$D168,$A$3))</f>
        <v/>
      </c>
      <c r="AC168" s="73" t="str">
        <f aca="false">IF($E168="","",COUNTIF($E165:$E168,Z$21)+COUNTIF($E165:$E168,$A$3))</f>
        <v/>
      </c>
      <c r="AD168" s="92" t="str">
        <f aca="false">IF($F168="","",COUNTIF($F165:$F168,Z$21)+COUNTIF($F165:$F168,$A$3))</f>
        <v/>
      </c>
      <c r="AF168" s="91" t="str">
        <f aca="false">IF($B168="","",COUNTIF($B165:$B168,AF$21)+COUNTIF($B165:$B168,$A$3))</f>
        <v/>
      </c>
      <c r="AG168" s="73" t="str">
        <f aca="false">IF($C168="","",COUNTIF($C165:$C168,AF$21)+COUNTIF($C165:$C168,$A$3))</f>
        <v/>
      </c>
      <c r="AH168" s="73" t="str">
        <f aca="false">IF($D168="","",COUNTIF($D165:$D168,AF$21)+COUNTIF($D165:$D168,$A$3))</f>
        <v/>
      </c>
      <c r="AI168" s="73" t="str">
        <f aca="false">IF($E168="","",COUNTIF($E165:$E168,AF$21)+COUNTIF($E165:$E168,$A$3))</f>
        <v/>
      </c>
      <c r="AJ168" s="92" t="str">
        <f aca="false">IF($F168="","",COUNTIF($F165:$F168,AF$21)+COUNTIF($F165:$F168,$A$3))</f>
        <v/>
      </c>
      <c r="AL168" s="91" t="str">
        <f aca="false">IF($B168="","",COUNTIF($B165:$B168,AL$21)+COUNTIF($B165:$B168,$A$3))</f>
        <v/>
      </c>
      <c r="AM168" s="73" t="str">
        <f aca="false">IF($C168="","",COUNTIF($C165:$C168,AL$21)+COUNTIF($C165:$C168,$A$3))</f>
        <v/>
      </c>
      <c r="AN168" s="73" t="str">
        <f aca="false">IF($D168="","",COUNTIF($D165:$D168,AL$21)+COUNTIF($D165:$D168,$A$3))</f>
        <v/>
      </c>
      <c r="AO168" s="73" t="str">
        <f aca="false">IF($E168="","",COUNTIF($E165:$E168,AL$21)+COUNTIF($E165:$E168,$A$3))</f>
        <v/>
      </c>
      <c r="AP168" s="92" t="str">
        <f aca="false">IF($F168="","",COUNTIF($F165:$F168,AL$21)+COUNTIF($F165:$F168,$A$3))</f>
        <v/>
      </c>
      <c r="AR168" s="91" t="str">
        <f aca="false">IF($B168="","",COUNTIF($B165:$B168,AR$21)+COUNTIF($B165:$B168,$A$3))</f>
        <v/>
      </c>
      <c r="AS168" s="73" t="str">
        <f aca="false">IF($C168="","",COUNTIF($C165:$C168,AR$21)+COUNTIF($C165:$C168,$A$3))</f>
        <v/>
      </c>
      <c r="AT168" s="73" t="str">
        <f aca="false">IF($D168="","",COUNTIF($D165:$D168,AR$21)+COUNTIF($D165:$D168,$A$3))</f>
        <v/>
      </c>
      <c r="AU168" s="73" t="str">
        <f aca="false">IF($E168="","",COUNTIF($E165:$E168,AR$21)+COUNTIF($E165:$E168,$A$3))</f>
        <v/>
      </c>
      <c r="AV168" s="92" t="str">
        <f aca="false">IF($F168="","",COUNTIF($F165:$F168,AR$21)+COUNTIF($F165:$F168,$A$3))</f>
        <v/>
      </c>
      <c r="AX168" s="91" t="str">
        <f aca="false">IF($B168="","",COUNTIF($B165:$B168,AX$21)+COUNTIF($B165:$B168,$A$3))</f>
        <v/>
      </c>
      <c r="AY168" s="73" t="str">
        <f aca="false">IF($C168="","",COUNTIF($C165:$C168,AX$21)+COUNTIF($C165:$C168,$A$3))</f>
        <v/>
      </c>
      <c r="AZ168" s="73" t="str">
        <f aca="false">IF($D168="","",COUNTIF($D165:$D168,AX$21)+COUNTIF($D165:$D168,$A$3))</f>
        <v/>
      </c>
      <c r="BA168" s="73" t="str">
        <f aca="false">IF($E168="","",COUNTIF($E165:$E168,AX$21)+COUNTIF($E165:$E168,$A$3))</f>
        <v/>
      </c>
      <c r="BB168" s="92" t="str">
        <f aca="false">IF($F168="","",COUNTIF($F165:$F168,AX$21)+COUNTIF($F165:$F168,$A$3))</f>
        <v/>
      </c>
      <c r="BD168" s="91" t="str">
        <f aca="false">IF($B168="","",COUNTIF($B165:$B168,BD$21)+COUNTIF($B165:$B168,$A$3))</f>
        <v/>
      </c>
      <c r="BE168" s="73" t="str">
        <f aca="false">IF($C168="","",COUNTIF($C165:$C168,BD$21)+COUNTIF($C165:$C168,$A$3))</f>
        <v/>
      </c>
      <c r="BF168" s="73" t="str">
        <f aca="false">IF($D168="","",COUNTIF($D165:$D168,BD$21)+COUNTIF($D165:$D168,$A$3))</f>
        <v/>
      </c>
      <c r="BG168" s="73" t="str">
        <f aca="false">IF($E168="","",COUNTIF($E165:$E168,BD$21)+COUNTIF($E165:$E168,$A$3))</f>
        <v/>
      </c>
      <c r="BH168" s="92" t="str">
        <f aca="false">IF($F168="","",COUNTIF($F165:$F168,BD$21)+COUNTIF($F165:$F168,$A$3))</f>
        <v/>
      </c>
      <c r="BJ168" s="91" t="str">
        <f aca="false">IF($B168="","",COUNTIF($B165:$B168,BJ$21)+COUNTIF($B165:$B168,$A$3))</f>
        <v/>
      </c>
      <c r="BK168" s="73" t="str">
        <f aca="false">IF($C168="","",COUNTIF($C165:$C168,BJ$21)+COUNTIF($C165:$C168,$A$3))</f>
        <v/>
      </c>
      <c r="BL168" s="73" t="str">
        <f aca="false">IF($D168="","",COUNTIF($D165:$D168,BJ$21)+COUNTIF($D165:$D168,$A$3))</f>
        <v/>
      </c>
      <c r="BM168" s="73" t="str">
        <f aca="false">IF($E168="","",COUNTIF($E165:$E168,BJ$21)+COUNTIF($E165:$E168,$A$3))</f>
        <v/>
      </c>
      <c r="BN168" s="92" t="str">
        <f aca="false">IF($F168="","",COUNTIF($F165:$F168,BJ$21)+COUNTIF($F165:$F168,$A$3))</f>
        <v/>
      </c>
      <c r="BP168" s="91" t="str">
        <f aca="false">IF($B168="","",COUNTIF($B165:$B168,BP$21)+COUNTIF($B165:$B168,$A$3))</f>
        <v/>
      </c>
      <c r="BQ168" s="73" t="str">
        <f aca="false">IF($C168="","",COUNTIF($C165:$C168,BP$21)+COUNTIF($C165:$C168,$A$3))</f>
        <v/>
      </c>
      <c r="BR168" s="73" t="str">
        <f aca="false">IF($D168="","",COUNTIF($D165:$D168,BP$21)+COUNTIF($D165:$D168,$A$3))</f>
        <v/>
      </c>
      <c r="BS168" s="73" t="str">
        <f aca="false">IF($E168="","",COUNTIF($E165:$E168,BP$21)+COUNTIF($E165:$E168,$A$3))</f>
        <v/>
      </c>
      <c r="BT168" s="92" t="str">
        <f aca="false">IF($F168="","",COUNTIF($F165:$F168,BP$21)+COUNTIF($F165:$F168,$A$3))</f>
        <v/>
      </c>
    </row>
    <row r="169" customFormat="false" ht="15" hidden="false" customHeight="false" outlineLevel="0" collapsed="false">
      <c r="A169" s="13" t="n">
        <v>147</v>
      </c>
      <c r="B169" s="116" t="str">
        <f aca="false">IF('Game Info'!Q152="","",'Game Info'!Q152)</f>
        <v/>
      </c>
      <c r="C169" s="116" t="str">
        <f aca="false">IF('Game Info'!R152="","",'Game Info'!R152)</f>
        <v/>
      </c>
      <c r="D169" s="116" t="str">
        <f aca="false">IF('Game Info'!S152="","",'Game Info'!S152)</f>
        <v/>
      </c>
      <c r="E169" s="116" t="str">
        <f aca="false">IF('Game Info'!T152="","",'Game Info'!T152)</f>
        <v/>
      </c>
      <c r="F169" s="117" t="str">
        <f aca="false">IF('Game Info'!U152="","",'Game Info'!U152)</f>
        <v/>
      </c>
      <c r="H169" s="91" t="str">
        <f aca="false">IF($B169="","",COUNTIF($B166:$B169,H$21)+COUNTIF($B166:$B169,$A$3))</f>
        <v/>
      </c>
      <c r="I169" s="73" t="str">
        <f aca="false">IF($C169="","",COUNTIF($C166:$C169,H$21)+COUNTIF($C166:$C169,$A$3))</f>
        <v/>
      </c>
      <c r="J169" s="73" t="str">
        <f aca="false">IF($D169="","",COUNTIF($D166:$D169,H$21)+COUNTIF($D166:$D169,$A$3))</f>
        <v/>
      </c>
      <c r="K169" s="73" t="str">
        <f aca="false">IF($E169="","",COUNTIF($E166:$E169,H$21)+COUNTIF($E166:$E169,$A$3))</f>
        <v/>
      </c>
      <c r="L169" s="92" t="str">
        <f aca="false">IF($F169="","",COUNTIF($F166:$F169,H$21)+COUNTIF($F166:$F169,$A$3))</f>
        <v/>
      </c>
      <c r="N169" s="91" t="str">
        <f aca="false">IF($B169="","",COUNTIF($B166:$B169,N$21)+COUNTIF($B166:$B169,$A$3))</f>
        <v/>
      </c>
      <c r="O169" s="73" t="str">
        <f aca="false">IF($C169="","",COUNTIF($C166:$C169,N$21)+COUNTIF($C166:$C169,$A$3))</f>
        <v/>
      </c>
      <c r="P169" s="73" t="str">
        <f aca="false">IF($D169="","",COUNTIF($D166:$D169,N$21)+COUNTIF($D166:$D169,$A$3))</f>
        <v/>
      </c>
      <c r="Q169" s="73" t="str">
        <f aca="false">IF($E169="","",COUNTIF($E166:$E169,N$21)+COUNTIF($E166:$E169,$A$3))</f>
        <v/>
      </c>
      <c r="R169" s="92" t="str">
        <f aca="false">IF($F169="","",COUNTIF($F166:$F169,N$21)+COUNTIF($F166:$F169,$A$3))</f>
        <v/>
      </c>
      <c r="T169" s="91" t="str">
        <f aca="false">IF($B169="","",COUNTIF($B166:$B169,T$21)+COUNTIF($B166:$B169,$A$3))</f>
        <v/>
      </c>
      <c r="U169" s="73" t="str">
        <f aca="false">IF($C169="","",COUNTIF($C166:$C169,T$21)+COUNTIF($C166:$C169,$A$3))</f>
        <v/>
      </c>
      <c r="V169" s="73" t="str">
        <f aca="false">IF($D169="","",COUNTIF($D166:$D169,T$21)+COUNTIF($D166:$D169,$A$3))</f>
        <v/>
      </c>
      <c r="W169" s="73" t="str">
        <f aca="false">IF($E169="","",COUNTIF($E166:$E169,T$21)+COUNTIF($E166:$E169,$A$3))</f>
        <v/>
      </c>
      <c r="X169" s="92" t="str">
        <f aca="false">IF($F169="","",COUNTIF($F166:$F169,T$21)+COUNTIF($F166:$F169,$A$3))</f>
        <v/>
      </c>
      <c r="Z169" s="91" t="str">
        <f aca="false">IF($B169="","",COUNTIF($B166:$B169,Z$21)+COUNTIF($B166:$B169,$A$3))</f>
        <v/>
      </c>
      <c r="AA169" s="73" t="str">
        <f aca="false">IF($C169="","",COUNTIF($C166:$C169,Z$21)+COUNTIF($C166:$C169,$A$3))</f>
        <v/>
      </c>
      <c r="AB169" s="73" t="str">
        <f aca="false">IF($D169="","",COUNTIF($D166:$D169,Z$21)+COUNTIF($D166:$D169,$A$3))</f>
        <v/>
      </c>
      <c r="AC169" s="73" t="str">
        <f aca="false">IF($E169="","",COUNTIF($E166:$E169,Z$21)+COUNTIF($E166:$E169,$A$3))</f>
        <v/>
      </c>
      <c r="AD169" s="92" t="str">
        <f aca="false">IF($F169="","",COUNTIF($F166:$F169,Z$21)+COUNTIF($F166:$F169,$A$3))</f>
        <v/>
      </c>
      <c r="AF169" s="91" t="str">
        <f aca="false">IF($B169="","",COUNTIF($B166:$B169,AF$21)+COUNTIF($B166:$B169,$A$3))</f>
        <v/>
      </c>
      <c r="AG169" s="73" t="str">
        <f aca="false">IF($C169="","",COUNTIF($C166:$C169,AF$21)+COUNTIF($C166:$C169,$A$3))</f>
        <v/>
      </c>
      <c r="AH169" s="73" t="str">
        <f aca="false">IF($D169="","",COUNTIF($D166:$D169,AF$21)+COUNTIF($D166:$D169,$A$3))</f>
        <v/>
      </c>
      <c r="AI169" s="73" t="str">
        <f aca="false">IF($E169="","",COUNTIF($E166:$E169,AF$21)+COUNTIF($E166:$E169,$A$3))</f>
        <v/>
      </c>
      <c r="AJ169" s="92" t="str">
        <f aca="false">IF($F169="","",COUNTIF($F166:$F169,AF$21)+COUNTIF($F166:$F169,$A$3))</f>
        <v/>
      </c>
      <c r="AL169" s="91" t="str">
        <f aca="false">IF($B169="","",COUNTIF($B166:$B169,AL$21)+COUNTIF($B166:$B169,$A$3))</f>
        <v/>
      </c>
      <c r="AM169" s="73" t="str">
        <f aca="false">IF($C169="","",COUNTIF($C166:$C169,AL$21)+COUNTIF($C166:$C169,$A$3))</f>
        <v/>
      </c>
      <c r="AN169" s="73" t="str">
        <f aca="false">IF($D169="","",COUNTIF($D166:$D169,AL$21)+COUNTIF($D166:$D169,$A$3))</f>
        <v/>
      </c>
      <c r="AO169" s="73" t="str">
        <f aca="false">IF($E169="","",COUNTIF($E166:$E169,AL$21)+COUNTIF($E166:$E169,$A$3))</f>
        <v/>
      </c>
      <c r="AP169" s="92" t="str">
        <f aca="false">IF($F169="","",COUNTIF($F166:$F169,AL$21)+COUNTIF($F166:$F169,$A$3))</f>
        <v/>
      </c>
      <c r="AR169" s="91" t="str">
        <f aca="false">IF($B169="","",COUNTIF($B166:$B169,AR$21)+COUNTIF($B166:$B169,$A$3))</f>
        <v/>
      </c>
      <c r="AS169" s="73" t="str">
        <f aca="false">IF($C169="","",COUNTIF($C166:$C169,AR$21)+COUNTIF($C166:$C169,$A$3))</f>
        <v/>
      </c>
      <c r="AT169" s="73" t="str">
        <f aca="false">IF($D169="","",COUNTIF($D166:$D169,AR$21)+COUNTIF($D166:$D169,$A$3))</f>
        <v/>
      </c>
      <c r="AU169" s="73" t="str">
        <f aca="false">IF($E169="","",COUNTIF($E166:$E169,AR$21)+COUNTIF($E166:$E169,$A$3))</f>
        <v/>
      </c>
      <c r="AV169" s="92" t="str">
        <f aca="false">IF($F169="","",COUNTIF($F166:$F169,AR$21)+COUNTIF($F166:$F169,$A$3))</f>
        <v/>
      </c>
      <c r="AX169" s="91" t="str">
        <f aca="false">IF($B169="","",COUNTIF($B166:$B169,AX$21)+COUNTIF($B166:$B169,$A$3))</f>
        <v/>
      </c>
      <c r="AY169" s="73" t="str">
        <f aca="false">IF($C169="","",COUNTIF($C166:$C169,AX$21)+COUNTIF($C166:$C169,$A$3))</f>
        <v/>
      </c>
      <c r="AZ169" s="73" t="str">
        <f aca="false">IF($D169="","",COUNTIF($D166:$D169,AX$21)+COUNTIF($D166:$D169,$A$3))</f>
        <v/>
      </c>
      <c r="BA169" s="73" t="str">
        <f aca="false">IF($E169="","",COUNTIF($E166:$E169,AX$21)+COUNTIF($E166:$E169,$A$3))</f>
        <v/>
      </c>
      <c r="BB169" s="92" t="str">
        <f aca="false">IF($F169="","",COUNTIF($F166:$F169,AX$21)+COUNTIF($F166:$F169,$A$3))</f>
        <v/>
      </c>
      <c r="BD169" s="91" t="str">
        <f aca="false">IF($B169="","",COUNTIF($B166:$B169,BD$21)+COUNTIF($B166:$B169,$A$3))</f>
        <v/>
      </c>
      <c r="BE169" s="73" t="str">
        <f aca="false">IF($C169="","",COUNTIF($C166:$C169,BD$21)+COUNTIF($C166:$C169,$A$3))</f>
        <v/>
      </c>
      <c r="BF169" s="73" t="str">
        <f aca="false">IF($D169="","",COUNTIF($D166:$D169,BD$21)+COUNTIF($D166:$D169,$A$3))</f>
        <v/>
      </c>
      <c r="BG169" s="73" t="str">
        <f aca="false">IF($E169="","",COUNTIF($E166:$E169,BD$21)+COUNTIF($E166:$E169,$A$3))</f>
        <v/>
      </c>
      <c r="BH169" s="92" t="str">
        <f aca="false">IF($F169="","",COUNTIF($F166:$F169,BD$21)+COUNTIF($F166:$F169,$A$3))</f>
        <v/>
      </c>
      <c r="BJ169" s="91" t="str">
        <f aca="false">IF($B169="","",COUNTIF($B166:$B169,BJ$21)+COUNTIF($B166:$B169,$A$3))</f>
        <v/>
      </c>
      <c r="BK169" s="73" t="str">
        <f aca="false">IF($C169="","",COUNTIF($C166:$C169,BJ$21)+COUNTIF($C166:$C169,$A$3))</f>
        <v/>
      </c>
      <c r="BL169" s="73" t="str">
        <f aca="false">IF($D169="","",COUNTIF($D166:$D169,BJ$21)+COUNTIF($D166:$D169,$A$3))</f>
        <v/>
      </c>
      <c r="BM169" s="73" t="str">
        <f aca="false">IF($E169="","",COUNTIF($E166:$E169,BJ$21)+COUNTIF($E166:$E169,$A$3))</f>
        <v/>
      </c>
      <c r="BN169" s="92" t="str">
        <f aca="false">IF($F169="","",COUNTIF($F166:$F169,BJ$21)+COUNTIF($F166:$F169,$A$3))</f>
        <v/>
      </c>
      <c r="BP169" s="91" t="str">
        <f aca="false">IF($B169="","",COUNTIF($B166:$B169,BP$21)+COUNTIF($B166:$B169,$A$3))</f>
        <v/>
      </c>
      <c r="BQ169" s="73" t="str">
        <f aca="false">IF($C169="","",COUNTIF($C166:$C169,BP$21)+COUNTIF($C166:$C169,$A$3))</f>
        <v/>
      </c>
      <c r="BR169" s="73" t="str">
        <f aca="false">IF($D169="","",COUNTIF($D166:$D169,BP$21)+COUNTIF($D166:$D169,$A$3))</f>
        <v/>
      </c>
      <c r="BS169" s="73" t="str">
        <f aca="false">IF($E169="","",COUNTIF($E166:$E169,BP$21)+COUNTIF($E166:$E169,$A$3))</f>
        <v/>
      </c>
      <c r="BT169" s="92" t="str">
        <f aca="false">IF($F169="","",COUNTIF($F166:$F169,BP$21)+COUNTIF($F166:$F169,$A$3))</f>
        <v/>
      </c>
    </row>
    <row r="170" customFormat="false" ht="15" hidden="false" customHeight="false" outlineLevel="0" collapsed="false">
      <c r="A170" s="13" t="n">
        <v>148</v>
      </c>
      <c r="B170" s="116" t="str">
        <f aca="false">IF('Game Info'!Q153="","",'Game Info'!Q153)</f>
        <v/>
      </c>
      <c r="C170" s="116" t="str">
        <f aca="false">IF('Game Info'!R153="","",'Game Info'!R153)</f>
        <v/>
      </c>
      <c r="D170" s="116" t="str">
        <f aca="false">IF('Game Info'!S153="","",'Game Info'!S153)</f>
        <v/>
      </c>
      <c r="E170" s="116" t="str">
        <f aca="false">IF('Game Info'!T153="","",'Game Info'!T153)</f>
        <v/>
      </c>
      <c r="F170" s="117" t="str">
        <f aca="false">IF('Game Info'!U153="","",'Game Info'!U153)</f>
        <v/>
      </c>
      <c r="H170" s="91" t="str">
        <f aca="false">IF($B170="","",COUNTIF($B167:$B170,H$21)+COUNTIF($B167:$B170,$A$3))</f>
        <v/>
      </c>
      <c r="I170" s="73" t="str">
        <f aca="false">IF($C170="","",COUNTIF($C167:$C170,H$21)+COUNTIF($C167:$C170,$A$3))</f>
        <v/>
      </c>
      <c r="J170" s="73" t="str">
        <f aca="false">IF($D170="","",COUNTIF($D167:$D170,H$21)+COUNTIF($D167:$D170,$A$3))</f>
        <v/>
      </c>
      <c r="K170" s="73" t="str">
        <f aca="false">IF($E170="","",COUNTIF($E167:$E170,H$21)+COUNTIF($E167:$E170,$A$3))</f>
        <v/>
      </c>
      <c r="L170" s="92" t="str">
        <f aca="false">IF($F170="","",COUNTIF($F167:$F170,H$21)+COUNTIF($F167:$F170,$A$3))</f>
        <v/>
      </c>
      <c r="N170" s="91" t="str">
        <f aca="false">IF($B170="","",COUNTIF($B167:$B170,N$21)+COUNTIF($B167:$B170,$A$3))</f>
        <v/>
      </c>
      <c r="O170" s="73" t="str">
        <f aca="false">IF($C170="","",COUNTIF($C167:$C170,N$21)+COUNTIF($C167:$C170,$A$3))</f>
        <v/>
      </c>
      <c r="P170" s="73" t="str">
        <f aca="false">IF($D170="","",COUNTIF($D167:$D170,N$21)+COUNTIF($D167:$D170,$A$3))</f>
        <v/>
      </c>
      <c r="Q170" s="73" t="str">
        <f aca="false">IF($E170="","",COUNTIF($E167:$E170,N$21)+COUNTIF($E167:$E170,$A$3))</f>
        <v/>
      </c>
      <c r="R170" s="92" t="str">
        <f aca="false">IF($F170="","",COUNTIF($F167:$F170,N$21)+COUNTIF($F167:$F170,$A$3))</f>
        <v/>
      </c>
      <c r="T170" s="91" t="str">
        <f aca="false">IF($B170="","",COUNTIF($B167:$B170,T$21)+COUNTIF($B167:$B170,$A$3))</f>
        <v/>
      </c>
      <c r="U170" s="73" t="str">
        <f aca="false">IF($C170="","",COUNTIF($C167:$C170,T$21)+COUNTIF($C167:$C170,$A$3))</f>
        <v/>
      </c>
      <c r="V170" s="73" t="str">
        <f aca="false">IF($D170="","",COUNTIF($D167:$D170,T$21)+COUNTIF($D167:$D170,$A$3))</f>
        <v/>
      </c>
      <c r="W170" s="73" t="str">
        <f aca="false">IF($E170="","",COUNTIF($E167:$E170,T$21)+COUNTIF($E167:$E170,$A$3))</f>
        <v/>
      </c>
      <c r="X170" s="92" t="str">
        <f aca="false">IF($F170="","",COUNTIF($F167:$F170,T$21)+COUNTIF($F167:$F170,$A$3))</f>
        <v/>
      </c>
      <c r="Z170" s="91" t="str">
        <f aca="false">IF($B170="","",COUNTIF($B167:$B170,Z$21)+COUNTIF($B167:$B170,$A$3))</f>
        <v/>
      </c>
      <c r="AA170" s="73" t="str">
        <f aca="false">IF($C170="","",COUNTIF($C167:$C170,Z$21)+COUNTIF($C167:$C170,$A$3))</f>
        <v/>
      </c>
      <c r="AB170" s="73" t="str">
        <f aca="false">IF($D170="","",COUNTIF($D167:$D170,Z$21)+COUNTIF($D167:$D170,$A$3))</f>
        <v/>
      </c>
      <c r="AC170" s="73" t="str">
        <f aca="false">IF($E170="","",COUNTIF($E167:$E170,Z$21)+COUNTIF($E167:$E170,$A$3))</f>
        <v/>
      </c>
      <c r="AD170" s="92" t="str">
        <f aca="false">IF($F170="","",COUNTIF($F167:$F170,Z$21)+COUNTIF($F167:$F170,$A$3))</f>
        <v/>
      </c>
      <c r="AF170" s="91" t="str">
        <f aca="false">IF($B170="","",COUNTIF($B167:$B170,AF$21)+COUNTIF($B167:$B170,$A$3))</f>
        <v/>
      </c>
      <c r="AG170" s="73" t="str">
        <f aca="false">IF($C170="","",COUNTIF($C167:$C170,AF$21)+COUNTIF($C167:$C170,$A$3))</f>
        <v/>
      </c>
      <c r="AH170" s="73" t="str">
        <f aca="false">IF($D170="","",COUNTIF($D167:$D170,AF$21)+COUNTIF($D167:$D170,$A$3))</f>
        <v/>
      </c>
      <c r="AI170" s="73" t="str">
        <f aca="false">IF($E170="","",COUNTIF($E167:$E170,AF$21)+COUNTIF($E167:$E170,$A$3))</f>
        <v/>
      </c>
      <c r="AJ170" s="92" t="str">
        <f aca="false">IF($F170="","",COUNTIF($F167:$F170,AF$21)+COUNTIF($F167:$F170,$A$3))</f>
        <v/>
      </c>
      <c r="AL170" s="91" t="str">
        <f aca="false">IF($B170="","",COUNTIF($B167:$B170,AL$21)+COUNTIF($B167:$B170,$A$3))</f>
        <v/>
      </c>
      <c r="AM170" s="73" t="str">
        <f aca="false">IF($C170="","",COUNTIF($C167:$C170,AL$21)+COUNTIF($C167:$C170,$A$3))</f>
        <v/>
      </c>
      <c r="AN170" s="73" t="str">
        <f aca="false">IF($D170="","",COUNTIF($D167:$D170,AL$21)+COUNTIF($D167:$D170,$A$3))</f>
        <v/>
      </c>
      <c r="AO170" s="73" t="str">
        <f aca="false">IF($E170="","",COUNTIF($E167:$E170,AL$21)+COUNTIF($E167:$E170,$A$3))</f>
        <v/>
      </c>
      <c r="AP170" s="92" t="str">
        <f aca="false">IF($F170="","",COUNTIF($F167:$F170,AL$21)+COUNTIF($F167:$F170,$A$3))</f>
        <v/>
      </c>
      <c r="AR170" s="91" t="str">
        <f aca="false">IF($B170="","",COUNTIF($B167:$B170,AR$21)+COUNTIF($B167:$B170,$A$3))</f>
        <v/>
      </c>
      <c r="AS170" s="73" t="str">
        <f aca="false">IF($C170="","",COUNTIF($C167:$C170,AR$21)+COUNTIF($C167:$C170,$A$3))</f>
        <v/>
      </c>
      <c r="AT170" s="73" t="str">
        <f aca="false">IF($D170="","",COUNTIF($D167:$D170,AR$21)+COUNTIF($D167:$D170,$A$3))</f>
        <v/>
      </c>
      <c r="AU170" s="73" t="str">
        <f aca="false">IF($E170="","",COUNTIF($E167:$E170,AR$21)+COUNTIF($E167:$E170,$A$3))</f>
        <v/>
      </c>
      <c r="AV170" s="92" t="str">
        <f aca="false">IF($F170="","",COUNTIF($F167:$F170,AR$21)+COUNTIF($F167:$F170,$A$3))</f>
        <v/>
      </c>
      <c r="AX170" s="91" t="str">
        <f aca="false">IF($B170="","",COUNTIF($B167:$B170,AX$21)+COUNTIF($B167:$B170,$A$3))</f>
        <v/>
      </c>
      <c r="AY170" s="73" t="str">
        <f aca="false">IF($C170="","",COUNTIF($C167:$C170,AX$21)+COUNTIF($C167:$C170,$A$3))</f>
        <v/>
      </c>
      <c r="AZ170" s="73" t="str">
        <f aca="false">IF($D170="","",COUNTIF($D167:$D170,AX$21)+COUNTIF($D167:$D170,$A$3))</f>
        <v/>
      </c>
      <c r="BA170" s="73" t="str">
        <f aca="false">IF($E170="","",COUNTIF($E167:$E170,AX$21)+COUNTIF($E167:$E170,$A$3))</f>
        <v/>
      </c>
      <c r="BB170" s="92" t="str">
        <f aca="false">IF($F170="","",COUNTIF($F167:$F170,AX$21)+COUNTIF($F167:$F170,$A$3))</f>
        <v/>
      </c>
      <c r="BD170" s="91" t="str">
        <f aca="false">IF($B170="","",COUNTIF($B167:$B170,BD$21)+COUNTIF($B167:$B170,$A$3))</f>
        <v/>
      </c>
      <c r="BE170" s="73" t="str">
        <f aca="false">IF($C170="","",COUNTIF($C167:$C170,BD$21)+COUNTIF($C167:$C170,$A$3))</f>
        <v/>
      </c>
      <c r="BF170" s="73" t="str">
        <f aca="false">IF($D170="","",COUNTIF($D167:$D170,BD$21)+COUNTIF($D167:$D170,$A$3))</f>
        <v/>
      </c>
      <c r="BG170" s="73" t="str">
        <f aca="false">IF($E170="","",COUNTIF($E167:$E170,BD$21)+COUNTIF($E167:$E170,$A$3))</f>
        <v/>
      </c>
      <c r="BH170" s="92" t="str">
        <f aca="false">IF($F170="","",COUNTIF($F167:$F170,BD$21)+COUNTIF($F167:$F170,$A$3))</f>
        <v/>
      </c>
      <c r="BJ170" s="91" t="str">
        <f aca="false">IF($B170="","",COUNTIF($B167:$B170,BJ$21)+COUNTIF($B167:$B170,$A$3))</f>
        <v/>
      </c>
      <c r="BK170" s="73" t="str">
        <f aca="false">IF($C170="","",COUNTIF($C167:$C170,BJ$21)+COUNTIF($C167:$C170,$A$3))</f>
        <v/>
      </c>
      <c r="BL170" s="73" t="str">
        <f aca="false">IF($D170="","",COUNTIF($D167:$D170,BJ$21)+COUNTIF($D167:$D170,$A$3))</f>
        <v/>
      </c>
      <c r="BM170" s="73" t="str">
        <f aca="false">IF($E170="","",COUNTIF($E167:$E170,BJ$21)+COUNTIF($E167:$E170,$A$3))</f>
        <v/>
      </c>
      <c r="BN170" s="92" t="str">
        <f aca="false">IF($F170="","",COUNTIF($F167:$F170,BJ$21)+COUNTIF($F167:$F170,$A$3))</f>
        <v/>
      </c>
      <c r="BP170" s="91" t="str">
        <f aca="false">IF($B170="","",COUNTIF($B167:$B170,BP$21)+COUNTIF($B167:$B170,$A$3))</f>
        <v/>
      </c>
      <c r="BQ170" s="73" t="str">
        <f aca="false">IF($C170="","",COUNTIF($C167:$C170,BP$21)+COUNTIF($C167:$C170,$A$3))</f>
        <v/>
      </c>
      <c r="BR170" s="73" t="str">
        <f aca="false">IF($D170="","",COUNTIF($D167:$D170,BP$21)+COUNTIF($D167:$D170,$A$3))</f>
        <v/>
      </c>
      <c r="BS170" s="73" t="str">
        <f aca="false">IF($E170="","",COUNTIF($E167:$E170,BP$21)+COUNTIF($E167:$E170,$A$3))</f>
        <v/>
      </c>
      <c r="BT170" s="92" t="str">
        <f aca="false">IF($F170="","",COUNTIF($F167:$F170,BP$21)+COUNTIF($F167:$F170,$A$3))</f>
        <v/>
      </c>
    </row>
    <row r="171" customFormat="false" ht="15" hidden="false" customHeight="false" outlineLevel="0" collapsed="false">
      <c r="A171" s="13" t="n">
        <v>149</v>
      </c>
      <c r="B171" s="93" t="str">
        <f aca="false">IF('Game Info'!Q154="","",'Game Info'!Q154)</f>
        <v/>
      </c>
      <c r="C171" s="93" t="str">
        <f aca="false">IF('Game Info'!R154="","",'Game Info'!R154)</f>
        <v/>
      </c>
      <c r="D171" s="93" t="str">
        <f aca="false">IF('Game Info'!S154="","",'Game Info'!S154)</f>
        <v/>
      </c>
      <c r="E171" s="93" t="str">
        <f aca="false">IF('Game Info'!T154="","",'Game Info'!T154)</f>
        <v/>
      </c>
      <c r="F171" s="118" t="str">
        <f aca="false">IF('Game Info'!U154="","",'Game Info'!U154)</f>
        <v/>
      </c>
      <c r="H171" s="91" t="str">
        <f aca="false">IF($B171="","",COUNTIF($B168:$B171,H$21)+COUNTIF($B168:$B171,$A$3))</f>
        <v/>
      </c>
      <c r="I171" s="73" t="str">
        <f aca="false">IF($C171="","",COUNTIF($C168:$C171,H$21)+COUNTIF($C168:$C171,$A$3))</f>
        <v/>
      </c>
      <c r="J171" s="73" t="str">
        <f aca="false">IF($D171="","",COUNTIF($D168:$D171,H$21)+COUNTIF($D168:$D171,$A$3))</f>
        <v/>
      </c>
      <c r="K171" s="73" t="str">
        <f aca="false">IF($E171="","",COUNTIF($E168:$E171,H$21)+COUNTIF($E168:$E171,$A$3))</f>
        <v/>
      </c>
      <c r="L171" s="92" t="str">
        <f aca="false">IF($F171="","",COUNTIF($F168:$F171,H$21)+COUNTIF($F168:$F171,$A$3))</f>
        <v/>
      </c>
      <c r="N171" s="91" t="str">
        <f aca="false">IF($B171="","",COUNTIF($B168:$B171,N$21)+COUNTIF($B168:$B171,$A$3))</f>
        <v/>
      </c>
      <c r="O171" s="73" t="str">
        <f aca="false">IF($C171="","",COUNTIF($C168:$C171,N$21)+COUNTIF($C168:$C171,$A$3))</f>
        <v/>
      </c>
      <c r="P171" s="73" t="str">
        <f aca="false">IF($D171="","",COUNTIF($D168:$D171,N$21)+COUNTIF($D168:$D171,$A$3))</f>
        <v/>
      </c>
      <c r="Q171" s="73" t="str">
        <f aca="false">IF($E171="","",COUNTIF($E168:$E171,N$21)+COUNTIF($E168:$E171,$A$3))</f>
        <v/>
      </c>
      <c r="R171" s="92" t="str">
        <f aca="false">IF($F171="","",COUNTIF($F168:$F171,N$21)+COUNTIF($F168:$F171,$A$3))</f>
        <v/>
      </c>
      <c r="T171" s="91" t="str">
        <f aca="false">IF($B171="","",COUNTIF($B168:$B171,T$21)+COUNTIF($B168:$B171,$A$3))</f>
        <v/>
      </c>
      <c r="U171" s="73" t="str">
        <f aca="false">IF($C171="","",COUNTIF($C168:$C171,T$21)+COUNTIF($C168:$C171,$A$3))</f>
        <v/>
      </c>
      <c r="V171" s="73" t="str">
        <f aca="false">IF($D171="","",COUNTIF($D168:$D171,T$21)+COUNTIF($D168:$D171,$A$3))</f>
        <v/>
      </c>
      <c r="W171" s="73" t="str">
        <f aca="false">IF($E171="","",COUNTIF($E168:$E171,T$21)+COUNTIF($E168:$E171,$A$3))</f>
        <v/>
      </c>
      <c r="X171" s="92" t="str">
        <f aca="false">IF($F171="","",COUNTIF($F168:$F171,T$21)+COUNTIF($F168:$F171,$A$3))</f>
        <v/>
      </c>
      <c r="Z171" s="91" t="str">
        <f aca="false">IF($B171="","",COUNTIF($B168:$B171,Z$21)+COUNTIF($B168:$B171,$A$3))</f>
        <v/>
      </c>
      <c r="AA171" s="73" t="str">
        <f aca="false">IF($C171="","",COUNTIF($C168:$C171,Z$21)+COUNTIF($C168:$C171,$A$3))</f>
        <v/>
      </c>
      <c r="AB171" s="73" t="str">
        <f aca="false">IF($D171="","",COUNTIF($D168:$D171,Z$21)+COUNTIF($D168:$D171,$A$3))</f>
        <v/>
      </c>
      <c r="AC171" s="73" t="str">
        <f aca="false">IF($E171="","",COUNTIF($E168:$E171,Z$21)+COUNTIF($E168:$E171,$A$3))</f>
        <v/>
      </c>
      <c r="AD171" s="92" t="str">
        <f aca="false">IF($F171="","",COUNTIF($F168:$F171,Z$21)+COUNTIF($F168:$F171,$A$3))</f>
        <v/>
      </c>
      <c r="AF171" s="91" t="str">
        <f aca="false">IF($B171="","",COUNTIF($B168:$B171,AF$21)+COUNTIF($B168:$B171,$A$3))</f>
        <v/>
      </c>
      <c r="AG171" s="73" t="str">
        <f aca="false">IF($C171="","",COUNTIF($C168:$C171,AF$21)+COUNTIF($C168:$C171,$A$3))</f>
        <v/>
      </c>
      <c r="AH171" s="73" t="str">
        <f aca="false">IF($D171="","",COUNTIF($D168:$D171,AF$21)+COUNTIF($D168:$D171,$A$3))</f>
        <v/>
      </c>
      <c r="AI171" s="73" t="str">
        <f aca="false">IF($E171="","",COUNTIF($E168:$E171,AF$21)+COUNTIF($E168:$E171,$A$3))</f>
        <v/>
      </c>
      <c r="AJ171" s="92" t="str">
        <f aca="false">IF($F171="","",COUNTIF($F168:$F171,AF$21)+COUNTIF($F168:$F171,$A$3))</f>
        <v/>
      </c>
      <c r="AL171" s="91" t="str">
        <f aca="false">IF($B171="","",COUNTIF($B168:$B171,AL$21)+COUNTIF($B168:$B171,$A$3))</f>
        <v/>
      </c>
      <c r="AM171" s="73" t="str">
        <f aca="false">IF($C171="","",COUNTIF($C168:$C171,AL$21)+COUNTIF($C168:$C171,$A$3))</f>
        <v/>
      </c>
      <c r="AN171" s="73" t="str">
        <f aca="false">IF($D171="","",COUNTIF($D168:$D171,AL$21)+COUNTIF($D168:$D171,$A$3))</f>
        <v/>
      </c>
      <c r="AO171" s="73" t="str">
        <f aca="false">IF($E171="","",COUNTIF($E168:$E171,AL$21)+COUNTIF($E168:$E171,$A$3))</f>
        <v/>
      </c>
      <c r="AP171" s="92" t="str">
        <f aca="false">IF($F171="","",COUNTIF($F168:$F171,AL$21)+COUNTIF($F168:$F171,$A$3))</f>
        <v/>
      </c>
      <c r="AR171" s="91" t="str">
        <f aca="false">IF($B171="","",COUNTIF($B168:$B171,AR$21)+COUNTIF($B168:$B171,$A$3))</f>
        <v/>
      </c>
      <c r="AS171" s="73" t="str">
        <f aca="false">IF($C171="","",COUNTIF($C168:$C171,AR$21)+COUNTIF($C168:$C171,$A$3))</f>
        <v/>
      </c>
      <c r="AT171" s="73" t="str">
        <f aca="false">IF($D171="","",COUNTIF($D168:$D171,AR$21)+COUNTIF($D168:$D171,$A$3))</f>
        <v/>
      </c>
      <c r="AU171" s="73" t="str">
        <f aca="false">IF($E171="","",COUNTIF($E168:$E171,AR$21)+COUNTIF($E168:$E171,$A$3))</f>
        <v/>
      </c>
      <c r="AV171" s="92" t="str">
        <f aca="false">IF($F171="","",COUNTIF($F168:$F171,AR$21)+COUNTIF($F168:$F171,$A$3))</f>
        <v/>
      </c>
      <c r="AX171" s="91" t="str">
        <f aca="false">IF($B171="","",COUNTIF($B168:$B171,AX$21)+COUNTIF($B168:$B171,$A$3))</f>
        <v/>
      </c>
      <c r="AY171" s="73" t="str">
        <f aca="false">IF($C171="","",COUNTIF($C168:$C171,AX$21)+COUNTIF($C168:$C171,$A$3))</f>
        <v/>
      </c>
      <c r="AZ171" s="73" t="str">
        <f aca="false">IF($D171="","",COUNTIF($D168:$D171,AX$21)+COUNTIF($D168:$D171,$A$3))</f>
        <v/>
      </c>
      <c r="BA171" s="73" t="str">
        <f aca="false">IF($E171="","",COUNTIF($E168:$E171,AX$21)+COUNTIF($E168:$E171,$A$3))</f>
        <v/>
      </c>
      <c r="BB171" s="92" t="str">
        <f aca="false">IF($F171="","",COUNTIF($F168:$F171,AX$21)+COUNTIF($F168:$F171,$A$3))</f>
        <v/>
      </c>
      <c r="BD171" s="91" t="str">
        <f aca="false">IF($B171="","",COUNTIF($B168:$B171,BD$21)+COUNTIF($B168:$B171,$A$3))</f>
        <v/>
      </c>
      <c r="BE171" s="73" t="str">
        <f aca="false">IF($C171="","",COUNTIF($C168:$C171,BD$21)+COUNTIF($C168:$C171,$A$3))</f>
        <v/>
      </c>
      <c r="BF171" s="73" t="str">
        <f aca="false">IF($D171="","",COUNTIF($D168:$D171,BD$21)+COUNTIF($D168:$D171,$A$3))</f>
        <v/>
      </c>
      <c r="BG171" s="73" t="str">
        <f aca="false">IF($E171="","",COUNTIF($E168:$E171,BD$21)+COUNTIF($E168:$E171,$A$3))</f>
        <v/>
      </c>
      <c r="BH171" s="92" t="str">
        <f aca="false">IF($F171="","",COUNTIF($F168:$F171,BD$21)+COUNTIF($F168:$F171,$A$3))</f>
        <v/>
      </c>
      <c r="BJ171" s="91" t="str">
        <f aca="false">IF($B171="","",COUNTIF($B168:$B171,BJ$21)+COUNTIF($B168:$B171,$A$3))</f>
        <v/>
      </c>
      <c r="BK171" s="73" t="str">
        <f aca="false">IF($C171="","",COUNTIF($C168:$C171,BJ$21)+COUNTIF($C168:$C171,$A$3))</f>
        <v/>
      </c>
      <c r="BL171" s="73" t="str">
        <f aca="false">IF($D171="","",COUNTIF($D168:$D171,BJ$21)+COUNTIF($D168:$D171,$A$3))</f>
        <v/>
      </c>
      <c r="BM171" s="73" t="str">
        <f aca="false">IF($E171="","",COUNTIF($E168:$E171,BJ$21)+COUNTIF($E168:$E171,$A$3))</f>
        <v/>
      </c>
      <c r="BN171" s="92" t="str">
        <f aca="false">IF($F171="","",COUNTIF($F168:$F171,BJ$21)+COUNTIF($F168:$F171,$A$3))</f>
        <v/>
      </c>
      <c r="BP171" s="91" t="str">
        <f aca="false">IF($B171="","",COUNTIF($B168:$B171,BP$21)+COUNTIF($B168:$B171,$A$3))</f>
        <v/>
      </c>
      <c r="BQ171" s="73" t="str">
        <f aca="false">IF($C171="","",COUNTIF($C168:$C171,BP$21)+COUNTIF($C168:$C171,$A$3))</f>
        <v/>
      </c>
      <c r="BR171" s="73" t="str">
        <f aca="false">IF($D171="","",COUNTIF($D168:$D171,BP$21)+COUNTIF($D168:$D171,$A$3))</f>
        <v/>
      </c>
      <c r="BS171" s="73" t="str">
        <f aca="false">IF($E171="","",COUNTIF($E168:$E171,BP$21)+COUNTIF($E168:$E171,$A$3))</f>
        <v/>
      </c>
      <c r="BT171" s="92" t="str">
        <f aca="false">IF($F171="","",COUNTIF($F168:$F171,BP$21)+COUNTIF($F168:$F171,$A$3))</f>
        <v/>
      </c>
    </row>
    <row r="172" customFormat="false" ht="15" hidden="false" customHeight="false" outlineLevel="0" collapsed="false">
      <c r="A172" s="41" t="n">
        <v>150</v>
      </c>
      <c r="B172" s="99" t="str">
        <f aca="false">IF('Game Info'!Q155="","",'Game Info'!Q155)</f>
        <v/>
      </c>
      <c r="C172" s="99" t="str">
        <f aca="false">IF('Game Info'!R155="","",'Game Info'!R155)</f>
        <v/>
      </c>
      <c r="D172" s="99" t="str">
        <f aca="false">IF('Game Info'!S155="","",'Game Info'!S155)</f>
        <v/>
      </c>
      <c r="E172" s="99" t="str">
        <f aca="false">IF('Game Info'!T155="","",'Game Info'!T155)</f>
        <v/>
      </c>
      <c r="F172" s="119" t="str">
        <f aca="false">IF('Game Info'!U155="","",'Game Info'!U155)</f>
        <v/>
      </c>
      <c r="H172" s="97" t="str">
        <f aca="false">IF($B172="","",COUNTIF($B169:$B172,H$21)+COUNTIF($B169:$B172,$A$3))</f>
        <v/>
      </c>
      <c r="I172" s="78" t="str">
        <f aca="false">IF($C172="","",COUNTIF($C169:$C172,H$21)+COUNTIF($C169:$C172,$A$3))</f>
        <v/>
      </c>
      <c r="J172" s="78" t="str">
        <f aca="false">IF($D172="","",COUNTIF($D169:$D172,H$21)+COUNTIF($D169:$D172,$A$3))</f>
        <v/>
      </c>
      <c r="K172" s="78" t="str">
        <f aca="false">IF($E172="","",COUNTIF($E169:$E172,H$21)+COUNTIF($E169:$E172,$A$3))</f>
        <v/>
      </c>
      <c r="L172" s="98" t="str">
        <f aca="false">IF($F172="","",COUNTIF($F169:$F172,H$21)+COUNTIF($F169:$F172,$A$3))</f>
        <v/>
      </c>
      <c r="N172" s="97" t="str">
        <f aca="false">IF($B172="","",COUNTIF($B169:$B172,N$21)+COUNTIF($B169:$B172,$A$3))</f>
        <v/>
      </c>
      <c r="O172" s="78" t="str">
        <f aca="false">IF($C172="","",COUNTIF($C169:$C172,N$21)+COUNTIF($C169:$C172,$A$3))</f>
        <v/>
      </c>
      <c r="P172" s="78" t="str">
        <f aca="false">IF($D172="","",COUNTIF($D169:$D172,N$21)+COUNTIF($D169:$D172,$A$3))</f>
        <v/>
      </c>
      <c r="Q172" s="78" t="str">
        <f aca="false">IF($E172="","",COUNTIF($E169:$E172,N$21)+COUNTIF($E169:$E172,$A$3))</f>
        <v/>
      </c>
      <c r="R172" s="98" t="str">
        <f aca="false">IF($F172="","",COUNTIF($F169:$F172,N$21)+COUNTIF($F169:$F172,$A$3))</f>
        <v/>
      </c>
      <c r="T172" s="97" t="str">
        <f aca="false">IF($B172="","",COUNTIF($B169:$B172,T$21)+COUNTIF($B169:$B172,$A$3))</f>
        <v/>
      </c>
      <c r="U172" s="78" t="str">
        <f aca="false">IF($C172="","",COUNTIF($C169:$C172,T$21)+COUNTIF($C169:$C172,$A$3))</f>
        <v/>
      </c>
      <c r="V172" s="78" t="str">
        <f aca="false">IF($D172="","",COUNTIF($D169:$D172,T$21)+COUNTIF($D169:$D172,$A$3))</f>
        <v/>
      </c>
      <c r="W172" s="78" t="str">
        <f aca="false">IF($E172="","",COUNTIF($E169:$E172,T$21)+COUNTIF($E169:$E172,$A$3))</f>
        <v/>
      </c>
      <c r="X172" s="98" t="str">
        <f aca="false">IF($F172="","",COUNTIF($F169:$F172,T$21)+COUNTIF($F169:$F172,$A$3))</f>
        <v/>
      </c>
      <c r="Z172" s="97" t="str">
        <f aca="false">IF($B172="","",COUNTIF($B169:$B172,Z$21)+COUNTIF($B169:$B172,$A$3))</f>
        <v/>
      </c>
      <c r="AA172" s="78" t="str">
        <f aca="false">IF($C172="","",COUNTIF($C169:$C172,Z$21)+COUNTIF($C169:$C172,$A$3))</f>
        <v/>
      </c>
      <c r="AB172" s="78" t="str">
        <f aca="false">IF($D172="","",COUNTIF($D169:$D172,Z$21)+COUNTIF($D169:$D172,$A$3))</f>
        <v/>
      </c>
      <c r="AC172" s="78" t="str">
        <f aca="false">IF($E172="","",COUNTIF($E169:$E172,Z$21)+COUNTIF($E169:$E172,$A$3))</f>
        <v/>
      </c>
      <c r="AD172" s="98" t="str">
        <f aca="false">IF($F172="","",COUNTIF($F169:$F172,Z$21)+COUNTIF($F169:$F172,$A$3))</f>
        <v/>
      </c>
      <c r="AF172" s="97" t="str">
        <f aca="false">IF($B172="","",COUNTIF($B169:$B172,AF$21)+COUNTIF($B169:$B172,$A$3))</f>
        <v/>
      </c>
      <c r="AG172" s="78" t="str">
        <f aca="false">IF($C172="","",COUNTIF($C169:$C172,AF$21)+COUNTIF($C169:$C172,$A$3))</f>
        <v/>
      </c>
      <c r="AH172" s="78" t="str">
        <f aca="false">IF($D172="","",COUNTIF($D169:$D172,AF$21)+COUNTIF($D169:$D172,$A$3))</f>
        <v/>
      </c>
      <c r="AI172" s="78" t="str">
        <f aca="false">IF($E172="","",COUNTIF($E169:$E172,AF$21)+COUNTIF($E169:$E172,$A$3))</f>
        <v/>
      </c>
      <c r="AJ172" s="98" t="str">
        <f aca="false">IF($F172="","",COUNTIF($F169:$F172,AF$21)+COUNTIF($F169:$F172,$A$3))</f>
        <v/>
      </c>
      <c r="AL172" s="97" t="str">
        <f aca="false">IF($B172="","",COUNTIF($B169:$B172,AL$21)+COUNTIF($B169:$B172,$A$3))</f>
        <v/>
      </c>
      <c r="AM172" s="78" t="str">
        <f aca="false">IF($C172="","",COUNTIF($C169:$C172,AL$21)+COUNTIF($C169:$C172,$A$3))</f>
        <v/>
      </c>
      <c r="AN172" s="78" t="str">
        <f aca="false">IF($D172="","",COUNTIF($D169:$D172,AL$21)+COUNTIF($D169:$D172,$A$3))</f>
        <v/>
      </c>
      <c r="AO172" s="78" t="str">
        <f aca="false">IF($E172="","",COUNTIF($E169:$E172,AL$21)+COUNTIF($E169:$E172,$A$3))</f>
        <v/>
      </c>
      <c r="AP172" s="98" t="str">
        <f aca="false">IF($F172="","",COUNTIF($F169:$F172,AL$21)+COUNTIF($F169:$F172,$A$3))</f>
        <v/>
      </c>
      <c r="AR172" s="97" t="str">
        <f aca="false">IF($B172="","",COUNTIF($B169:$B172,AR$21)+COUNTIF($B169:$B172,$A$3))</f>
        <v/>
      </c>
      <c r="AS172" s="78" t="str">
        <f aca="false">IF($C172="","",COUNTIF($C169:$C172,AR$21)+COUNTIF($C169:$C172,$A$3))</f>
        <v/>
      </c>
      <c r="AT172" s="78" t="str">
        <f aca="false">IF($D172="","",COUNTIF($D169:$D172,AR$21)+COUNTIF($D169:$D172,$A$3))</f>
        <v/>
      </c>
      <c r="AU172" s="78" t="str">
        <f aca="false">IF($E172="","",COUNTIF($E169:$E172,AR$21)+COUNTIF($E169:$E172,$A$3))</f>
        <v/>
      </c>
      <c r="AV172" s="98" t="str">
        <f aca="false">IF($F172="","",COUNTIF($F169:$F172,AR$21)+COUNTIF($F169:$F172,$A$3))</f>
        <v/>
      </c>
      <c r="AX172" s="97" t="str">
        <f aca="false">IF($B172="","",COUNTIF($B169:$B172,AX$21)+COUNTIF($B169:$B172,$A$3))</f>
        <v/>
      </c>
      <c r="AY172" s="78" t="str">
        <f aca="false">IF($C172="","",COUNTIF($C169:$C172,AX$21)+COUNTIF($C169:$C172,$A$3))</f>
        <v/>
      </c>
      <c r="AZ172" s="78" t="str">
        <f aca="false">IF($D172="","",COUNTIF($D169:$D172,AX$21)+COUNTIF($D169:$D172,$A$3))</f>
        <v/>
      </c>
      <c r="BA172" s="78" t="str">
        <f aca="false">IF($E172="","",COUNTIF($E169:$E172,AX$21)+COUNTIF($E169:$E172,$A$3))</f>
        <v/>
      </c>
      <c r="BB172" s="98" t="str">
        <f aca="false">IF($F172="","",COUNTIF($F169:$F172,AX$21)+COUNTIF($F169:$F172,$A$3))</f>
        <v/>
      </c>
      <c r="BD172" s="97" t="str">
        <f aca="false">IF($B172="","",COUNTIF($B169:$B172,BD$21)+COUNTIF($B169:$B172,$A$3))</f>
        <v/>
      </c>
      <c r="BE172" s="78" t="str">
        <f aca="false">IF($C172="","",COUNTIF($C169:$C172,BD$21)+COUNTIF($C169:$C172,$A$3))</f>
        <v/>
      </c>
      <c r="BF172" s="78" t="str">
        <f aca="false">IF($D172="","",COUNTIF($D169:$D172,BD$21)+COUNTIF($D169:$D172,$A$3))</f>
        <v/>
      </c>
      <c r="BG172" s="78" t="str">
        <f aca="false">IF($E172="","",COUNTIF($E169:$E172,BD$21)+COUNTIF($E169:$E172,$A$3))</f>
        <v/>
      </c>
      <c r="BH172" s="98" t="str">
        <f aca="false">IF($F172="","",COUNTIF($F169:$F172,BD$21)+COUNTIF($F169:$F172,$A$3))</f>
        <v/>
      </c>
      <c r="BJ172" s="97" t="str">
        <f aca="false">IF($B172="","",COUNTIF($B169:$B172,BJ$21)+COUNTIF($B169:$B172,$A$3))</f>
        <v/>
      </c>
      <c r="BK172" s="78" t="str">
        <f aca="false">IF($C172="","",COUNTIF($C169:$C172,BJ$21)+COUNTIF($C169:$C172,$A$3))</f>
        <v/>
      </c>
      <c r="BL172" s="78" t="str">
        <f aca="false">IF($D172="","",COUNTIF($D169:$D172,BJ$21)+COUNTIF($D169:$D172,$A$3))</f>
        <v/>
      </c>
      <c r="BM172" s="78" t="str">
        <f aca="false">IF($E172="","",COUNTIF($E169:$E172,BJ$21)+COUNTIF($E169:$E172,$A$3))</f>
        <v/>
      </c>
      <c r="BN172" s="98" t="str">
        <f aca="false">IF($F172="","",COUNTIF($F169:$F172,BJ$21)+COUNTIF($F169:$F172,$A$3))</f>
        <v/>
      </c>
      <c r="BP172" s="97" t="str">
        <f aca="false">IF($B172="","",COUNTIF($B169:$B172,BP$21)+COUNTIF($B169:$B172,$A$3))</f>
        <v/>
      </c>
      <c r="BQ172" s="78" t="str">
        <f aca="false">IF($C172="","",COUNTIF($C169:$C172,BP$21)+COUNTIF($C169:$C172,$A$3))</f>
        <v/>
      </c>
      <c r="BR172" s="78" t="str">
        <f aca="false">IF($D172="","",COUNTIF($D169:$D172,BP$21)+COUNTIF($D169:$D172,$A$3))</f>
        <v/>
      </c>
      <c r="BS172" s="78" t="str">
        <f aca="false">IF($E172="","",COUNTIF($E169:$E172,BP$21)+COUNTIF($E169:$E172,$A$3))</f>
        <v/>
      </c>
      <c r="BT172" s="98" t="str">
        <f aca="false">IF($F172="","",COUNTIF($F169:$F172,BP$21)+COUNTIF($F169:$F172,$A$3))</f>
        <v/>
      </c>
    </row>
  </sheetData>
  <conditionalFormatting sqref="BP21">
    <cfRule type="containsText" priority="2" operator="containsText" aboveAverage="0" equalAverage="0" bottom="0" percent="0" rank="0" text="SCAT" dxfId="26">
      <formula>NOT(ISERROR(SEARCH("SCAT",BP21)))</formula>
    </cfRule>
  </conditionalFormatting>
  <conditionalFormatting sqref="BP21">
    <cfRule type="containsText" priority="3" operator="containsText" aboveAverage="0" equalAverage="0" bottom="0" percent="0" rank="0" text="MYST" dxfId="27">
      <formula>NOT(ISERROR(SEARCH("MYST",BP21)))</formula>
    </cfRule>
  </conditionalFormatting>
  <conditionalFormatting sqref="BJ21">
    <cfRule type="containsText" priority="4" operator="containsText" aboveAverage="0" equalAverage="0" bottom="0" percent="0" rank="0" text="SCAT" dxfId="28">
      <formula>NOT(ISERROR(SEARCH("SCAT",BJ21)))</formula>
    </cfRule>
  </conditionalFormatting>
  <conditionalFormatting sqref="BJ21">
    <cfRule type="containsText" priority="5" operator="containsText" aboveAverage="0" equalAverage="0" bottom="0" percent="0" rank="0" text="MYST" dxfId="29">
      <formula>NOT(ISERROR(SEARCH("MYST",BJ21)))</formula>
    </cfRule>
  </conditionalFormatting>
  <conditionalFormatting sqref="T21 Z21 AF21 AL21 AR21 AX21 BD21">
    <cfRule type="containsText" priority="6" operator="containsText" aboveAverage="0" equalAverage="0" bottom="0" percent="0" rank="0" text="SCAT" dxfId="30">
      <formula>NOT(ISERROR(SEARCH("SCAT",T21)))</formula>
    </cfRule>
  </conditionalFormatting>
  <conditionalFormatting sqref="T21 Z21 AF21 AL21 AR21 AX21 BD21">
    <cfRule type="containsText" priority="7" operator="containsText" aboveAverage="0" equalAverage="0" bottom="0" percent="0" rank="0" text="MYST" dxfId="31">
      <formula>NOT(ISERROR(SEARCH("MYST",T21)))</formula>
    </cfRule>
  </conditionalFormatting>
  <conditionalFormatting sqref="N21">
    <cfRule type="containsText" priority="8" operator="containsText" aboveAverage="0" equalAverage="0" bottom="0" percent="0" rank="0" text="SCAT" dxfId="32">
      <formula>NOT(ISERROR(SEARCH("SCAT",N21)))</formula>
    </cfRule>
  </conditionalFormatting>
  <conditionalFormatting sqref="N21">
    <cfRule type="containsText" priority="9" operator="containsText" aboveAverage="0" equalAverage="0" bottom="0" percent="0" rank="0" text="MYST" dxfId="33">
      <formula>NOT(ISERROR(SEARCH("MYST",N21)))</formula>
    </cfRule>
  </conditionalFormatting>
  <conditionalFormatting sqref="B2:F2">
    <cfRule type="containsText" priority="10" operator="containsText" aboveAverage="0" equalAverage="0" bottom="0" percent="0" rank="0" text="SCAT" dxfId="34">
      <formula>NOT(ISERROR(SEARCH("SCAT",B2)))</formula>
    </cfRule>
  </conditionalFormatting>
  <conditionalFormatting sqref="B2:F2">
    <cfRule type="containsText" priority="11" operator="containsText" aboveAverage="0" equalAverage="0" bottom="0" percent="0" rank="0" text="MYST" dxfId="35">
      <formula>NOT(ISERROR(SEARCH("MYST",B2)))</formula>
    </cfRule>
  </conditionalFormatting>
  <conditionalFormatting sqref="A23:A172 H21 A18:F22">
    <cfRule type="containsText" priority="12" operator="containsText" aboveAverage="0" equalAverage="0" bottom="0" percent="0" rank="0" text="SCAT" dxfId="36">
      <formula>NOT(ISERROR(SEARCH("SCAT",A18)))</formula>
    </cfRule>
  </conditionalFormatting>
  <conditionalFormatting sqref="H21 B16:F22">
    <cfRule type="containsText" priority="13" operator="containsText" aboveAverage="0" equalAverage="0" bottom="0" percent="0" rank="0" text="MYST" dxfId="37">
      <formula>NOT(ISERROR(SEARCH("MYST",B16)))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2026-08-16T15:13:35Z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