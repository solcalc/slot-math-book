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 Ga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<sst xmlns="http://schemas.openxmlformats.org/spreadsheetml/2006/main" count="15" uniqueCount="15">
  <si>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GAME RULES</t>
  </si>
  <si>
    <t xml:space="preserve">Roulette Wheel</t>
  </si>
  <si>
    <t xml:space="preserve">You're presented with a fairly weighted, single zero, roullette wheel.
Every time you spin the wheel, you're offered a win amount equal to the value of the wheel.
If you reject the offer, you can spin the wheel again.
You can reject up to 3 offers.</t>
  </si>
  <si>
    <t xml:space="preserve">Value</t>
  </si>
  <si>
    <t xml:space="preserve">Weight</t>
  </si>
  <si>
    <t xml:space="preserve">Wheel Value</t>
  </si>
  <si>
    <t xml:space="preserve">Rejections Remaining</t>
  </si>
  <si>
    <t xml:space="preserve">Prob Accept</t>
  </si>
  <si>
    <t xml:space="preserve">Prob Reject</t>
  </si>
  <si>
    <t xml:space="preserve">Accept Value</t>
  </si>
  <si>
    <t xml:space="preserve">Round Value</t>
  </si>
  <si>
    <t xml:space="preserve">Round</t>
  </si>
  <si>
    <t xml:space="preserve">Prob End</t>
  </si>
  <si>
    <t xml:space="preserve">EV</t>
  </si>
  <si>
    <t xml:space="preserve">Game Value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</si>
</sst>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_);\(#,##0\)"/>
    <numFmt numFmtId="166" formatCode="_-* #,##0.00_-;\-* #,##0.00_-;_-* \-??_-;_-@_-"/>
    <numFmt numFmtId="167" formatCode="_(* #,##0.00_);_(* \(#,##0.00\);_(* \-??_);_(@_)"/>
    <numFmt numFmtId="168" formatCode="_(\$* #,##0.00_);_(\$* \(#,##0.00\);_(\$* \-??_);_(@_)"/>
    <numFmt numFmtId="169" formatCode="_-\$* #,##0.00_-;&quot;-$&quot;* #,##0.00_-;_-\$* \-??_-;_-@_-"/>
    <numFmt numFmtId="170" formatCode="0"/>
    <numFmt numFmtId="171" formatCode="0%"/>
    <numFmt numFmtId="172" formatCode="0.00%"/>
    <numFmt numFmtId="173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u val="single"/>
      <sz val="10"/>
      <color rgb="FF800080"/>
      <name val="Arial"/>
      <family val="2"/>
      <charset val="1"/>
    </font>
    <font>
      <sz val="11"/>
      <color rgb="FF9C6500"/>
      <name val="Calibri"/>
      <family val="2"/>
      <charset val="1"/>
    </font>
    <font>
      <sz val="12"/>
      <name val="Times New Roman"/>
      <family val="1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8"/>
      <color theme="3"/>
      <name val="Calibri Light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C0006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4" tint="0.3999"/>
        <bgColor rgb="FF8FAADC"/>
      </patternFill>
    </fill>
    <fill>
      <patternFill patternType="solid">
        <fgColor theme="5" tint="0.3999"/>
        <bgColor rgb="FFFFC7CE"/>
      </patternFill>
    </fill>
    <fill>
      <patternFill patternType="solid">
        <fgColor theme="6" tint="0.3999"/>
        <bgColor rgb="FF9DC3E6"/>
      </patternFill>
    </fill>
    <fill>
      <patternFill patternType="solid">
        <fgColor theme="7" tint="0.3999"/>
        <bgColor rgb="FFFFEB9C"/>
      </patternFill>
    </fill>
    <fill>
      <patternFill patternType="solid">
        <fgColor theme="8" tint="0.3999"/>
        <bgColor rgb="FF9DC3E6"/>
      </patternFill>
    </fill>
    <fill>
      <patternFill patternType="solid">
        <fgColor theme="9" tint="0.3999"/>
        <bgColor rgb="FFC9C9C9"/>
      </patternFill>
    </fill>
    <fill>
      <patternFill patternType="solid">
        <fgColor rgb="FFFFEB9C"/>
        <bgColor rgb="FFFFD966"/>
      </patternFill>
    </fill>
    <fill>
      <patternFill patternType="solid">
        <fgColor rgb="FFC6EFCE"/>
        <bgColor rgb="FFE2F0D9"/>
      </patternFill>
    </fill>
    <fill>
      <patternFill patternType="solid">
        <fgColor theme="8"/>
        <bgColor rgb="FF44546A"/>
      </patternFill>
    </fill>
    <fill>
      <patternFill patternType="solid">
        <fgColor rgb="FFFFC7CE"/>
        <bgColor rgb="FFC9C9C9"/>
      </patternFill>
    </fill>
    <fill>
      <patternFill patternType="solid">
        <fgColor theme="4" tint="0.7999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50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8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14" fillId="11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50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50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50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7" xfId="50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49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Besuchter Hyperlink" xfId="26"/>
    <cellStyle name="Comma 10" xfId="27"/>
    <cellStyle name="Comma 11" xfId="28"/>
    <cellStyle name="Comma 2" xfId="29"/>
    <cellStyle name="Comma 2 2" xfId="30"/>
    <cellStyle name="Comma 2 3" xfId="31"/>
    <cellStyle name="Comma 3" xfId="32"/>
    <cellStyle name="Comma 3 2" xfId="33"/>
    <cellStyle name="Comma 3 2 2" xfId="34"/>
    <cellStyle name="Comma 4" xfId="35"/>
    <cellStyle name="Comma 45" xfId="36"/>
    <cellStyle name="Comma 45 10" xfId="37"/>
    <cellStyle name="Comma 45 10 2" xfId="38"/>
    <cellStyle name="Comma 45 11" xfId="39"/>
    <cellStyle name="Comma 45 11 2" xfId="40"/>
    <cellStyle name="Comma 45 12" xfId="41"/>
    <cellStyle name="Comma 45 12 2" xfId="42"/>
    <cellStyle name="Comma 45 13" xfId="43"/>
    <cellStyle name="Comma 45 13 2" xfId="44"/>
    <cellStyle name="Comma 45 14" xfId="45"/>
    <cellStyle name="Comma 45 14 2" xfId="46"/>
    <cellStyle name="Comma 45 15" xfId="47"/>
    <cellStyle name="Comma 45 15 2" xfId="48"/>
    <cellStyle name="Comma 45 16" xfId="49"/>
    <cellStyle name="Comma 45 16 2" xfId="50"/>
    <cellStyle name="Comma 45 17" xfId="51"/>
    <cellStyle name="Comma 45 17 2" xfId="52"/>
    <cellStyle name="Comma 45 18" xfId="53"/>
    <cellStyle name="Comma 45 18 2" xfId="54"/>
    <cellStyle name="Comma 45 19" xfId="55"/>
    <cellStyle name="Comma 45 19 2" xfId="56"/>
    <cellStyle name="Comma 45 2" xfId="57"/>
    <cellStyle name="Comma 45 2 2" xfId="58"/>
    <cellStyle name="Comma 45 20" xfId="59"/>
    <cellStyle name="Comma 45 20 2" xfId="60"/>
    <cellStyle name="Comma 45 21" xfId="61"/>
    <cellStyle name="Comma 45 21 2" xfId="62"/>
    <cellStyle name="Comma 45 22" xfId="63"/>
    <cellStyle name="Comma 45 22 2" xfId="64"/>
    <cellStyle name="Comma 45 23" xfId="65"/>
    <cellStyle name="Comma 45 23 2" xfId="66"/>
    <cellStyle name="Comma 45 24" xfId="67"/>
    <cellStyle name="Comma 45 24 2" xfId="68"/>
    <cellStyle name="Comma 45 25" xfId="69"/>
    <cellStyle name="Comma 45 25 2" xfId="70"/>
    <cellStyle name="Comma 45 26" xfId="71"/>
    <cellStyle name="Comma 45 26 2" xfId="72"/>
    <cellStyle name="Comma 45 27" xfId="73"/>
    <cellStyle name="Comma 45 27 2" xfId="74"/>
    <cellStyle name="Comma 45 28" xfId="75"/>
    <cellStyle name="Comma 45 28 2" xfId="76"/>
    <cellStyle name="Comma 45 29" xfId="77"/>
    <cellStyle name="Comma 45 29 2" xfId="78"/>
    <cellStyle name="Comma 45 3" xfId="79"/>
    <cellStyle name="Comma 45 3 2" xfId="80"/>
    <cellStyle name="Comma 45 30" xfId="81"/>
    <cellStyle name="Comma 45 30 2" xfId="82"/>
    <cellStyle name="Comma 45 31" xfId="83"/>
    <cellStyle name="Comma 45 4" xfId="84"/>
    <cellStyle name="Comma 45 4 2" xfId="85"/>
    <cellStyle name="Comma 45 5" xfId="86"/>
    <cellStyle name="Comma 45 5 2" xfId="87"/>
    <cellStyle name="Comma 45 6" xfId="88"/>
    <cellStyle name="Comma 45 6 2" xfId="89"/>
    <cellStyle name="Comma 45 7" xfId="90"/>
    <cellStyle name="Comma 45 7 2" xfId="91"/>
    <cellStyle name="Comma 45 8" xfId="92"/>
    <cellStyle name="Comma 45 8 2" xfId="93"/>
    <cellStyle name="Comma 45 9" xfId="94"/>
    <cellStyle name="Comma 45 9 2" xfId="95"/>
    <cellStyle name="Comma 46" xfId="96"/>
    <cellStyle name="Comma 46 10" xfId="97"/>
    <cellStyle name="Comma 46 10 2" xfId="98"/>
    <cellStyle name="Comma 46 11" xfId="99"/>
    <cellStyle name="Comma 46 11 2" xfId="100"/>
    <cellStyle name="Comma 46 12" xfId="101"/>
    <cellStyle name="Comma 46 12 2" xfId="102"/>
    <cellStyle name="Comma 46 13" xfId="103"/>
    <cellStyle name="Comma 46 13 2" xfId="104"/>
    <cellStyle name="Comma 46 14" xfId="105"/>
    <cellStyle name="Comma 46 14 2" xfId="106"/>
    <cellStyle name="Comma 46 15" xfId="107"/>
    <cellStyle name="Comma 46 15 2" xfId="108"/>
    <cellStyle name="Comma 46 16" xfId="109"/>
    <cellStyle name="Comma 46 16 2" xfId="110"/>
    <cellStyle name="Comma 46 17" xfId="111"/>
    <cellStyle name="Comma 46 17 2" xfId="112"/>
    <cellStyle name="Comma 46 18" xfId="113"/>
    <cellStyle name="Comma 46 18 2" xfId="114"/>
    <cellStyle name="Comma 46 19" xfId="115"/>
    <cellStyle name="Comma 46 19 2" xfId="116"/>
    <cellStyle name="Comma 46 2" xfId="117"/>
    <cellStyle name="Comma 46 2 2" xfId="118"/>
    <cellStyle name="Comma 46 2 2 2" xfId="119"/>
    <cellStyle name="Comma 46 2 3" xfId="120"/>
    <cellStyle name="Comma 46 20" xfId="121"/>
    <cellStyle name="Comma 46 20 2" xfId="122"/>
    <cellStyle name="Comma 46 21" xfId="123"/>
    <cellStyle name="Comma 46 21 2" xfId="124"/>
    <cellStyle name="Comma 46 22" xfId="125"/>
    <cellStyle name="Comma 46 22 2" xfId="126"/>
    <cellStyle name="Comma 46 23" xfId="127"/>
    <cellStyle name="Comma 46 23 2" xfId="128"/>
    <cellStyle name="Comma 46 24" xfId="129"/>
    <cellStyle name="Comma 46 24 2" xfId="130"/>
    <cellStyle name="Comma 46 25" xfId="131"/>
    <cellStyle name="Comma 46 25 2" xfId="132"/>
    <cellStyle name="Comma 46 26" xfId="133"/>
    <cellStyle name="Comma 46 26 2" xfId="134"/>
    <cellStyle name="Comma 46 27" xfId="135"/>
    <cellStyle name="Comma 46 27 2" xfId="136"/>
    <cellStyle name="Comma 46 28" xfId="137"/>
    <cellStyle name="Comma 46 28 2" xfId="138"/>
    <cellStyle name="Comma 46 29" xfId="139"/>
    <cellStyle name="Comma 46 29 2" xfId="140"/>
    <cellStyle name="Comma 46 3" xfId="141"/>
    <cellStyle name="Comma 46 3 2" xfId="142"/>
    <cellStyle name="Comma 46 30" xfId="143"/>
    <cellStyle name="Comma 46 30 2" xfId="144"/>
    <cellStyle name="Comma 46 31" xfId="145"/>
    <cellStyle name="Comma 46 4" xfId="146"/>
    <cellStyle name="Comma 46 4 2" xfId="147"/>
    <cellStyle name="Comma 46 5" xfId="148"/>
    <cellStyle name="Comma 46 5 2" xfId="149"/>
    <cellStyle name="Comma 46 6" xfId="150"/>
    <cellStyle name="Comma 46 6 2" xfId="151"/>
    <cellStyle name="Comma 46 7" xfId="152"/>
    <cellStyle name="Comma 46 7 2" xfId="153"/>
    <cellStyle name="Comma 46 8" xfId="154"/>
    <cellStyle name="Comma 46 8 2" xfId="155"/>
    <cellStyle name="Comma 46 9" xfId="156"/>
    <cellStyle name="Comma 46 9 2" xfId="157"/>
    <cellStyle name="Comma 5" xfId="158"/>
    <cellStyle name="Comma 6" xfId="159"/>
    <cellStyle name="Comma 6 2" xfId="160"/>
    <cellStyle name="Comma 7" xfId="161"/>
    <cellStyle name="Comma 7 2" xfId="162"/>
    <cellStyle name="Comma 8" xfId="163"/>
    <cellStyle name="Comma 8 2" xfId="164"/>
    <cellStyle name="Comma 9" xfId="165"/>
    <cellStyle name="Currency 2" xfId="166"/>
    <cellStyle name="Currency 2 2" xfId="167"/>
    <cellStyle name="Currency 3" xfId="168"/>
    <cellStyle name="Currency 3 2" xfId="169"/>
    <cellStyle name="Euro" xfId="170"/>
    <cellStyle name="Neutral 2" xfId="171"/>
    <cellStyle name="Normal 10" xfId="172"/>
    <cellStyle name="Normal 10 2" xfId="173"/>
    <cellStyle name="Normal 10 3" xfId="174"/>
    <cellStyle name="Normal 11" xfId="175"/>
    <cellStyle name="Normal 11 2" xfId="176"/>
    <cellStyle name="Normal 11 2 2" xfId="177"/>
    <cellStyle name="Normal 11 3" xfId="178"/>
    <cellStyle name="Normal 12" xfId="179"/>
    <cellStyle name="Normal 13" xfId="180"/>
    <cellStyle name="Normal 13 2" xfId="181"/>
    <cellStyle name="Normal 14" xfId="182"/>
    <cellStyle name="Normal 15" xfId="183"/>
    <cellStyle name="Normal 15 2" xfId="184"/>
    <cellStyle name="Normal 16" xfId="185"/>
    <cellStyle name="Normal 17" xfId="186"/>
    <cellStyle name="Normal 18" xfId="187"/>
    <cellStyle name="Normal 19" xfId="188"/>
    <cellStyle name="Normal 2" xfId="189"/>
    <cellStyle name="Normal 2 10" xfId="190"/>
    <cellStyle name="Normal 2 10 2" xfId="191"/>
    <cellStyle name="Normal 2 11" xfId="192"/>
    <cellStyle name="Normal 2 11 2" xfId="193"/>
    <cellStyle name="Normal 2 12" xfId="194"/>
    <cellStyle name="Normal 2 12 2" xfId="195"/>
    <cellStyle name="Normal 2 13" xfId="196"/>
    <cellStyle name="Normal 2 13 2" xfId="197"/>
    <cellStyle name="Normal 2 14" xfId="198"/>
    <cellStyle name="Normal 2 15" xfId="199"/>
    <cellStyle name="Normal 2 16" xfId="200"/>
    <cellStyle name="Normal 2 17" xfId="201"/>
    <cellStyle name="Normal 2 18" xfId="202"/>
    <cellStyle name="Normal 2 19" xfId="203"/>
    <cellStyle name="Normal 2 2" xfId="204"/>
    <cellStyle name="Normal 2 2 2" xfId="205"/>
    <cellStyle name="Normal 2 2 3" xfId="206"/>
    <cellStyle name="Normal 2 2 4" xfId="207"/>
    <cellStyle name="Normal 2 2 5" xfId="208"/>
    <cellStyle name="Normal 2 2 6" xfId="209"/>
    <cellStyle name="Normal 2 20" xfId="210"/>
    <cellStyle name="Normal 2 21" xfId="211"/>
    <cellStyle name="Normal 2 22" xfId="212"/>
    <cellStyle name="Normal 2 23" xfId="213"/>
    <cellStyle name="Normal 2 24" xfId="214"/>
    <cellStyle name="Normal 2 25" xfId="215"/>
    <cellStyle name="Normal 2 26" xfId="216"/>
    <cellStyle name="Normal 2 27" xfId="217"/>
    <cellStyle name="Normal 2 28" xfId="218"/>
    <cellStyle name="Normal 2 29" xfId="219"/>
    <cellStyle name="Normal 2 3" xfId="220"/>
    <cellStyle name="Normal 2 3 2" xfId="221"/>
    <cellStyle name="Normal 2 30" xfId="222"/>
    <cellStyle name="Normal 2 31" xfId="223"/>
    <cellStyle name="Normal 2 32" xfId="224"/>
    <cellStyle name="Normal 2 4" xfId="225"/>
    <cellStyle name="Normal 2 4 2" xfId="226"/>
    <cellStyle name="Normal 2 5" xfId="227"/>
    <cellStyle name="Normal 2 5 2" xfId="228"/>
    <cellStyle name="Normal 2 6" xfId="229"/>
    <cellStyle name="Normal 2 6 2" xfId="230"/>
    <cellStyle name="Normal 2 7" xfId="231"/>
    <cellStyle name="Normal 2 7 2" xfId="232"/>
    <cellStyle name="Normal 2 8" xfId="233"/>
    <cellStyle name="Normal 2 8 2" xfId="234"/>
    <cellStyle name="Normal 2 9" xfId="235"/>
    <cellStyle name="Normal 2 9 2" xfId="236"/>
    <cellStyle name="Normal 20" xfId="237"/>
    <cellStyle name="Normal 3" xfId="238"/>
    <cellStyle name="Normal 3 10" xfId="239"/>
    <cellStyle name="Normal 3 11" xfId="240"/>
    <cellStyle name="Normal 3 11 2" xfId="241"/>
    <cellStyle name="Normal 3 12" xfId="242"/>
    <cellStyle name="Normal 3 12 2" xfId="243"/>
    <cellStyle name="Normal 3 13" xfId="244"/>
    <cellStyle name="Normal 3 14" xfId="245"/>
    <cellStyle name="Normal 3 15" xfId="246"/>
    <cellStyle name="Normal 3 16" xfId="247"/>
    <cellStyle name="Normal 3 17" xfId="248"/>
    <cellStyle name="Normal 3 18" xfId="249"/>
    <cellStyle name="Normal 3 19" xfId="250"/>
    <cellStyle name="Normal 3 2" xfId="251"/>
    <cellStyle name="Normal 3 2 2" xfId="252"/>
    <cellStyle name="Normal 3 20" xfId="253"/>
    <cellStyle name="Normal 3 21" xfId="254"/>
    <cellStyle name="Normal 3 22" xfId="255"/>
    <cellStyle name="Normal 3 23" xfId="256"/>
    <cellStyle name="Normal 3 24" xfId="257"/>
    <cellStyle name="Normal 3 25" xfId="258"/>
    <cellStyle name="Normal 3 26" xfId="259"/>
    <cellStyle name="Normal 3 27" xfId="260"/>
    <cellStyle name="Normal 3 28" xfId="261"/>
    <cellStyle name="Normal 3 29" xfId="262"/>
    <cellStyle name="Normal 3 3" xfId="263"/>
    <cellStyle name="Normal 3 30" xfId="264"/>
    <cellStyle name="Normal 3 4" xfId="265"/>
    <cellStyle name="Normal 3 5" xfId="266"/>
    <cellStyle name="Normal 3 6" xfId="267"/>
    <cellStyle name="Normal 3 7" xfId="268"/>
    <cellStyle name="Normal 3 8" xfId="269"/>
    <cellStyle name="Normal 3 9" xfId="270"/>
    <cellStyle name="Normal 4" xfId="271"/>
    <cellStyle name="Normal 4 10" xfId="272"/>
    <cellStyle name="Normal 4 11" xfId="273"/>
    <cellStyle name="Normal 4 12" xfId="274"/>
    <cellStyle name="Normal 4 13" xfId="275"/>
    <cellStyle name="Normal 4 14" xfId="276"/>
    <cellStyle name="Normal 4 15" xfId="277"/>
    <cellStyle name="Normal 4 16" xfId="278"/>
    <cellStyle name="Normal 4 17" xfId="279"/>
    <cellStyle name="Normal 4 18" xfId="280"/>
    <cellStyle name="Normal 4 19" xfId="281"/>
    <cellStyle name="Normal 4 2" xfId="282"/>
    <cellStyle name="Normal 4 2 2" xfId="283"/>
    <cellStyle name="Normal 4 20" xfId="284"/>
    <cellStyle name="Normal 4 21" xfId="285"/>
    <cellStyle name="Normal 4 22" xfId="286"/>
    <cellStyle name="Normal 4 23" xfId="287"/>
    <cellStyle name="Normal 4 24" xfId="288"/>
    <cellStyle name="Normal 4 25" xfId="289"/>
    <cellStyle name="Normal 4 26" xfId="290"/>
    <cellStyle name="Normal 4 27" xfId="291"/>
    <cellStyle name="Normal 4 28" xfId="292"/>
    <cellStyle name="Normal 4 29" xfId="293"/>
    <cellStyle name="Normal 4 3" xfId="294"/>
    <cellStyle name="Normal 4 30" xfId="295"/>
    <cellStyle name="Normal 4 4" xfId="296"/>
    <cellStyle name="Normal 4 5" xfId="297"/>
    <cellStyle name="Normal 4 6" xfId="298"/>
    <cellStyle name="Normal 4 7" xfId="299"/>
    <cellStyle name="Normal 4 8" xfId="300"/>
    <cellStyle name="Normal 4 9" xfId="301"/>
    <cellStyle name="Normal 40" xfId="302"/>
    <cellStyle name="Normal 40 10" xfId="303"/>
    <cellStyle name="Normal 40 11" xfId="304"/>
    <cellStyle name="Normal 40 12" xfId="305"/>
    <cellStyle name="Normal 40 13" xfId="306"/>
    <cellStyle name="Normal 40 2" xfId="307"/>
    <cellStyle name="Normal 40 3" xfId="308"/>
    <cellStyle name="Normal 40 4" xfId="309"/>
    <cellStyle name="Normal 40 5" xfId="310"/>
    <cellStyle name="Normal 40 6" xfId="311"/>
    <cellStyle name="Normal 40 7" xfId="312"/>
    <cellStyle name="Normal 40 8" xfId="313"/>
    <cellStyle name="Normal 40 9" xfId="314"/>
    <cellStyle name="Normal 48" xfId="315"/>
    <cellStyle name="Normal 5" xfId="316"/>
    <cellStyle name="Normal 5 10" xfId="317"/>
    <cellStyle name="Normal 5 11" xfId="318"/>
    <cellStyle name="Normal 5 12" xfId="319"/>
    <cellStyle name="Normal 5 13" xfId="320"/>
    <cellStyle name="Normal 5 14" xfId="321"/>
    <cellStyle name="Normal 5 15" xfId="322"/>
    <cellStyle name="Normal 5 16" xfId="323"/>
    <cellStyle name="Normal 5 17" xfId="324"/>
    <cellStyle name="Normal 5 18" xfId="325"/>
    <cellStyle name="Normal 5 19" xfId="326"/>
    <cellStyle name="Normal 5 2" xfId="327"/>
    <cellStyle name="Normal 5 20" xfId="328"/>
    <cellStyle name="Normal 5 21" xfId="329"/>
    <cellStyle name="Normal 5 22" xfId="330"/>
    <cellStyle name="Normal 5 23" xfId="331"/>
    <cellStyle name="Normal 5 24" xfId="332"/>
    <cellStyle name="Normal 5 25" xfId="333"/>
    <cellStyle name="Normal 5 26" xfId="334"/>
    <cellStyle name="Normal 5 27" xfId="335"/>
    <cellStyle name="Normal 5 28" xfId="336"/>
    <cellStyle name="Normal 5 29" xfId="337"/>
    <cellStyle name="Normal 5 3" xfId="338"/>
    <cellStyle name="Normal 5 30" xfId="339"/>
    <cellStyle name="Normal 5 31" xfId="340"/>
    <cellStyle name="Normal 5 4" xfId="341"/>
    <cellStyle name="Normal 5 5" xfId="342"/>
    <cellStyle name="Normal 5 6" xfId="343"/>
    <cellStyle name="Normal 5 7" xfId="344"/>
    <cellStyle name="Normal 5 8" xfId="345"/>
    <cellStyle name="Normal 5 9" xfId="346"/>
    <cellStyle name="Normal 6" xfId="347"/>
    <cellStyle name="Normal 6 10" xfId="348"/>
    <cellStyle name="Normal 6 11" xfId="349"/>
    <cellStyle name="Normal 6 12" xfId="350"/>
    <cellStyle name="Normal 6 13" xfId="351"/>
    <cellStyle name="Normal 6 14" xfId="352"/>
    <cellStyle name="Normal 6 15" xfId="353"/>
    <cellStyle name="Normal 6 16" xfId="354"/>
    <cellStyle name="Normal 6 17" xfId="355"/>
    <cellStyle name="Normal 6 18" xfId="356"/>
    <cellStyle name="Normal 6 19" xfId="357"/>
    <cellStyle name="Normal 6 2" xfId="358"/>
    <cellStyle name="Normal 6 2 2" xfId="359"/>
    <cellStyle name="Normal 6 20" xfId="360"/>
    <cellStyle name="Normal 6 21" xfId="361"/>
    <cellStyle name="Normal 6 22" xfId="362"/>
    <cellStyle name="Normal 6 23" xfId="363"/>
    <cellStyle name="Normal 6 24" xfId="364"/>
    <cellStyle name="Normal 6 25" xfId="365"/>
    <cellStyle name="Normal 6 26" xfId="366"/>
    <cellStyle name="Normal 6 27" xfId="367"/>
    <cellStyle name="Normal 6 28" xfId="368"/>
    <cellStyle name="Normal 6 29" xfId="369"/>
    <cellStyle name="Normal 6 3" xfId="370"/>
    <cellStyle name="Normal 6 30" xfId="371"/>
    <cellStyle name="Normal 6 4" xfId="372"/>
    <cellStyle name="Normal 6 4 2" xfId="373"/>
    <cellStyle name="Normal 6 5" xfId="374"/>
    <cellStyle name="Normal 6 6" xfId="375"/>
    <cellStyle name="Normal 6 7" xfId="376"/>
    <cellStyle name="Normal 6 8" xfId="377"/>
    <cellStyle name="Normal 6 9" xfId="378"/>
    <cellStyle name="Normal 7" xfId="379"/>
    <cellStyle name="Normal 7 10" xfId="380"/>
    <cellStyle name="Normal 7 11" xfId="381"/>
    <cellStyle name="Normal 7 12" xfId="382"/>
    <cellStyle name="Normal 7 13" xfId="383"/>
    <cellStyle name="Normal 7 14" xfId="384"/>
    <cellStyle name="Normal 7 15" xfId="385"/>
    <cellStyle name="Normal 7 16" xfId="386"/>
    <cellStyle name="Normal 7 17" xfId="387"/>
    <cellStyle name="Normal 7 18" xfId="388"/>
    <cellStyle name="Normal 7 19" xfId="389"/>
    <cellStyle name="Normal 7 2" xfId="390"/>
    <cellStyle name="Normal 7 20" xfId="391"/>
    <cellStyle name="Normal 7 21" xfId="392"/>
    <cellStyle name="Normal 7 22" xfId="393"/>
    <cellStyle name="Normal 7 23" xfId="394"/>
    <cellStyle name="Normal 7 24" xfId="395"/>
    <cellStyle name="Normal 7 25" xfId="396"/>
    <cellStyle name="Normal 7 26" xfId="397"/>
    <cellStyle name="Normal 7 27" xfId="398"/>
    <cellStyle name="Normal 7 28" xfId="399"/>
    <cellStyle name="Normal 7 29" xfId="400"/>
    <cellStyle name="Normal 7 3" xfId="401"/>
    <cellStyle name="Normal 7 30" xfId="402"/>
    <cellStyle name="Normal 7 4" xfId="403"/>
    <cellStyle name="Normal 7 4 2" xfId="404"/>
    <cellStyle name="Normal 7 5" xfId="405"/>
    <cellStyle name="Normal 7 6" xfId="406"/>
    <cellStyle name="Normal 7 7" xfId="407"/>
    <cellStyle name="Normal 7 8" xfId="408"/>
    <cellStyle name="Normal 7 9" xfId="409"/>
    <cellStyle name="Normal 8" xfId="410"/>
    <cellStyle name="Normal 8 2" xfId="411"/>
    <cellStyle name="Normal 8 3" xfId="412"/>
    <cellStyle name="Normal 8 4" xfId="413"/>
    <cellStyle name="Normal 8 5" xfId="414"/>
    <cellStyle name="Normal 9" xfId="415"/>
    <cellStyle name="Normal 9 2" xfId="416"/>
    <cellStyle name="Normal 9 3" xfId="417"/>
    <cellStyle name="Normal 9 4" xfId="418"/>
    <cellStyle name="Normal 9 5" xfId="419"/>
    <cellStyle name="Normal 9_Paradise moon 90% (3)" xfId="420"/>
    <cellStyle name="Percent 10" xfId="421"/>
    <cellStyle name="Percent 11" xfId="422"/>
    <cellStyle name="Percent 12" xfId="423"/>
    <cellStyle name="Percent 13" xfId="424"/>
    <cellStyle name="Percent 14" xfId="425"/>
    <cellStyle name="Percent 15" xfId="426"/>
    <cellStyle name="Percent 2" xfId="427"/>
    <cellStyle name="Percent 2 2" xfId="428"/>
    <cellStyle name="Percent 2 2 2" xfId="429"/>
    <cellStyle name="Percent 2 3" xfId="430"/>
    <cellStyle name="Percent 2 4" xfId="431"/>
    <cellStyle name="Percent 3" xfId="432"/>
    <cellStyle name="Percent 3 2" xfId="433"/>
    <cellStyle name="Percent 3 3" xfId="434"/>
    <cellStyle name="Percent 4" xfId="435"/>
    <cellStyle name="Percent 45" xfId="436"/>
    <cellStyle name="Percent 45 10" xfId="437"/>
    <cellStyle name="Percent 45 11" xfId="438"/>
    <cellStyle name="Percent 45 12" xfId="439"/>
    <cellStyle name="Percent 45 13" xfId="440"/>
    <cellStyle name="Percent 45 14" xfId="441"/>
    <cellStyle name="Percent 45 15" xfId="442"/>
    <cellStyle name="Percent 45 16" xfId="443"/>
    <cellStyle name="Percent 45 17" xfId="444"/>
    <cellStyle name="Percent 45 18" xfId="445"/>
    <cellStyle name="Percent 45 19" xfId="446"/>
    <cellStyle name="Percent 45 2" xfId="447"/>
    <cellStyle name="Percent 45 20" xfId="448"/>
    <cellStyle name="Percent 45 21" xfId="449"/>
    <cellStyle name="Percent 45 22" xfId="450"/>
    <cellStyle name="Percent 45 23" xfId="451"/>
    <cellStyle name="Percent 45 24" xfId="452"/>
    <cellStyle name="Percent 45 25" xfId="453"/>
    <cellStyle name="Percent 45 26" xfId="454"/>
    <cellStyle name="Percent 45 27" xfId="455"/>
    <cellStyle name="Percent 45 28" xfId="456"/>
    <cellStyle name="Percent 45 29" xfId="457"/>
    <cellStyle name="Percent 45 3" xfId="458"/>
    <cellStyle name="Percent 45 30" xfId="459"/>
    <cellStyle name="Percent 45 4" xfId="460"/>
    <cellStyle name="Percent 45 5" xfId="461"/>
    <cellStyle name="Percent 45 6" xfId="462"/>
    <cellStyle name="Percent 45 7" xfId="463"/>
    <cellStyle name="Percent 45 8" xfId="464"/>
    <cellStyle name="Percent 45 9" xfId="465"/>
    <cellStyle name="Percent 5" xfId="466"/>
    <cellStyle name="Percent 56" xfId="467"/>
    <cellStyle name="Percent 56 10" xfId="468"/>
    <cellStyle name="Percent 56 11" xfId="469"/>
    <cellStyle name="Percent 56 12" xfId="470"/>
    <cellStyle name="Percent 56 13" xfId="471"/>
    <cellStyle name="Percent 56 14" xfId="472"/>
    <cellStyle name="Percent 56 15" xfId="473"/>
    <cellStyle name="Percent 56 16" xfId="474"/>
    <cellStyle name="Percent 56 17" xfId="475"/>
    <cellStyle name="Percent 56 18" xfId="476"/>
    <cellStyle name="Percent 56 19" xfId="477"/>
    <cellStyle name="Percent 56 2" xfId="478"/>
    <cellStyle name="Percent 56 2 2" xfId="479"/>
    <cellStyle name="Percent 56 20" xfId="480"/>
    <cellStyle name="Percent 56 21" xfId="481"/>
    <cellStyle name="Percent 56 22" xfId="482"/>
    <cellStyle name="Percent 56 23" xfId="483"/>
    <cellStyle name="Percent 56 24" xfId="484"/>
    <cellStyle name="Percent 56 25" xfId="485"/>
    <cellStyle name="Percent 56 26" xfId="486"/>
    <cellStyle name="Percent 56 27" xfId="487"/>
    <cellStyle name="Percent 56 28" xfId="488"/>
    <cellStyle name="Percent 56 29" xfId="489"/>
    <cellStyle name="Percent 56 3" xfId="490"/>
    <cellStyle name="Percent 56 30" xfId="491"/>
    <cellStyle name="Percent 56 31" xfId="492"/>
    <cellStyle name="Percent 56 4" xfId="493"/>
    <cellStyle name="Percent 56 5" xfId="494"/>
    <cellStyle name="Percent 56 6" xfId="495"/>
    <cellStyle name="Percent 56 7" xfId="496"/>
    <cellStyle name="Percent 56 8" xfId="497"/>
    <cellStyle name="Percent 56 9" xfId="498"/>
    <cellStyle name="Percent 6" xfId="499"/>
    <cellStyle name="Percent 7" xfId="500"/>
    <cellStyle name="Percent 8" xfId="501"/>
    <cellStyle name="Percent 9" xfId="502"/>
    <cellStyle name="Standard_Feature Info" xfId="503"/>
    <cellStyle name="Title 2" xfId="504"/>
    <cellStyle name="Excel Built-in Good" xfId="505"/>
    <cellStyle name="Excel Built-in Accent5" xfId="506"/>
    <cellStyle name="Excel Built-in Bad" xfId="50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9C9C9"/>
      <rgbColor rgb="FF808080"/>
      <rgbColor rgb="FF8FAADC"/>
      <rgbColor rgb="FF993366"/>
      <rgbColor rgb="FFE2F0D9"/>
      <rgbColor rgb="FFDEEBF7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DC3E6"/>
      <rgbColor rgb="FFF4B183"/>
      <rgbColor rgb="FFCC99FF"/>
      <rgbColor rgb="FFFFC7CE"/>
      <rgbColor rgb="FF4472C4"/>
      <rgbColor rgb="FF33CCCC"/>
      <rgbColor rgb="FF99CC00"/>
      <rgbColor rgb="FFFFD966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485640</xdr:colOff>
      <xdr:row>10</xdr:row>
      <xdr:rowOff>123840</xdr:rowOff>
    </xdr:from>
    <xdr:to>
      <xdr:col>4</xdr:col>
      <xdr:colOff>613080</xdr:colOff>
      <xdr:row>20</xdr:row>
      <xdr:rowOff>103320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73280" y="2028960"/>
          <a:ext cx="2152440" cy="1884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8" activeCellId="0" sqref="N18"/>
    </sheetView>
  </sheetViews>
  <sheetFormatPr defaultColWidth="8.85546875" defaultRowHeight="15" customHeight="false" zeroHeight="false" outlineLevelRow="0" outlineLevelCol="0"/>
  <cols>
    <col collapsed="false" customWidth="true" hidden="false" outlineLevel="0" max="1" min="1" style="1" width="3.71"/>
    <col collapsed="false" customWidth="true" hidden="false" outlineLevel="0" max="8" min="2" style="1" width="8.71"/>
    <col collapsed="false" customWidth="true" hidden="false" outlineLevel="0" max="10" min="9" style="1" width="10"/>
    <col collapsed="false" customWidth="false" hidden="false" outlineLevel="0" max="13" min="11" style="1" width="8.85"/>
    <col collapsed="false" customWidth="true" hidden="false" outlineLevel="0" max="15" min="14" style="1" width="12"/>
    <col collapsed="false" customWidth="false" hidden="false" outlineLevel="0" max="16384" min="16" style="1" width="8.85"/>
  </cols>
  <sheetData>
    <row r="2" customFormat="false" ht="15" hidden="false" customHeight="false" outlineLevel="0" collapsed="false">
      <c r="B2" s="2" t="s">
        <v>0</v>
      </c>
      <c r="C2" s="3"/>
      <c r="D2" s="3"/>
      <c r="E2" s="3"/>
      <c r="F2" s="3"/>
      <c r="G2" s="3"/>
      <c r="I2" s="2" t="s">
        <v>1</v>
      </c>
    </row>
    <row r="3" customFormat="false" ht="15" hidden="false" customHeight="true" outlineLevel="0" collapsed="false">
      <c r="B3" s="4" t="s">
        <v>2</v>
      </c>
      <c r="C3" s="4"/>
      <c r="D3" s="4"/>
      <c r="E3" s="4"/>
      <c r="F3" s="4"/>
      <c r="G3" s="4"/>
      <c r="I3" s="5" t="s">
        <v>3</v>
      </c>
      <c r="J3" s="6" t="s">
        <v>4</v>
      </c>
      <c r="M3" s="7" t="s">
        <v>5</v>
      </c>
      <c r="N3" s="8" t="n">
        <f aca="false">AVERAGE(I4:I40)</f>
        <v>18</v>
      </c>
    </row>
    <row r="4" customFormat="false" ht="15" hidden="false" customHeight="false" outlineLevel="0" collapsed="false">
      <c r="B4" s="4"/>
      <c r="C4" s="4"/>
      <c r="D4" s="4"/>
      <c r="E4" s="4"/>
      <c r="F4" s="4"/>
      <c r="G4" s="4"/>
      <c r="I4" s="9" t="n">
        <v>0</v>
      </c>
      <c r="J4" s="10" t="n">
        <v>1</v>
      </c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I5" s="11" t="n">
        <v>1</v>
      </c>
      <c r="J5" s="10" t="n">
        <v>1</v>
      </c>
      <c r="M5" s="7" t="s">
        <v>6</v>
      </c>
      <c r="N5" s="12" t="n">
        <v>1</v>
      </c>
      <c r="O5" s="12" t="n">
        <v>2</v>
      </c>
      <c r="P5" s="12" t="n">
        <v>3</v>
      </c>
    </row>
    <row r="6" customFormat="false" ht="15" hidden="false" customHeight="false" outlineLevel="0" collapsed="false">
      <c r="B6" s="4"/>
      <c r="C6" s="4"/>
      <c r="D6" s="4"/>
      <c r="E6" s="4"/>
      <c r="F6" s="4"/>
      <c r="G6" s="4"/>
      <c r="I6" s="13" t="n">
        <v>2</v>
      </c>
      <c r="J6" s="10" t="n">
        <v>1</v>
      </c>
      <c r="M6" s="7" t="s">
        <v>7</v>
      </c>
      <c r="N6" s="14" t="n">
        <f aca="false">SUMIF($I$4:$I$40,"&gt;="&amp;N3,$J$4:$J$40)/SUM($J$4:$J$40)</f>
        <v>0.513513513513514</v>
      </c>
      <c r="O6" s="14" t="n">
        <f aca="false">SUMIF($I$4:$I$40,"&gt;="&amp;N9,$J$4:$J$40)/SUM($J$4:$J$40)</f>
        <v>0.378378378378378</v>
      </c>
      <c r="P6" s="14" t="n">
        <f aca="false">SUMIF($I$4:$I$40,"&gt;="&amp;O9,$J$4:$J$40)/SUM($J$4:$J$40)</f>
        <v>0.297297297297297</v>
      </c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I7" s="11" t="n">
        <v>3</v>
      </c>
      <c r="J7" s="10" t="n">
        <v>1</v>
      </c>
      <c r="M7" s="7" t="s">
        <v>8</v>
      </c>
      <c r="N7" s="15" t="n">
        <f aca="false">1-N6</f>
        <v>0.486486486486487</v>
      </c>
      <c r="O7" s="14" t="n">
        <f aca="false">1-O6</f>
        <v>0.621621621621622</v>
      </c>
      <c r="P7" s="14" t="n">
        <f aca="false">1-P6</f>
        <v>0.702702702702703</v>
      </c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I8" s="13" t="n">
        <v>4</v>
      </c>
      <c r="J8" s="10" t="n">
        <v>1</v>
      </c>
      <c r="M8" s="7" t="s">
        <v>9</v>
      </c>
      <c r="N8" s="16" t="n">
        <f aca="false">AVERAGE(I22:I40)</f>
        <v>27</v>
      </c>
      <c r="O8" s="16" t="n">
        <f aca="false">AVERAGE(I27:I40)</f>
        <v>29.5</v>
      </c>
      <c r="P8" s="16" t="n">
        <f aca="false">SUMPRODUCT(($I$4:$I$40&gt;=O9)*$I$4:$I$40*$J$4:$J$40)/SUMPRODUCT(($I$4:$I$40&gt;=O9)*$J$4:$J$40)</f>
        <v>31</v>
      </c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I9" s="11" t="n">
        <v>5</v>
      </c>
      <c r="J9" s="10" t="n">
        <v>1</v>
      </c>
      <c r="M9" s="7" t="s">
        <v>10</v>
      </c>
      <c r="N9" s="17" t="n">
        <f aca="false">N6*N8+N7*N3</f>
        <v>22.6216216216216</v>
      </c>
      <c r="O9" s="17" t="n">
        <f aca="false">O6*O8+O7*N9</f>
        <v>25.2242512783053</v>
      </c>
      <c r="P9" s="18" t="n">
        <f aca="false">P6*P8+P7*O9</f>
        <v>26.9413657631335</v>
      </c>
    </row>
    <row r="10" customFormat="false" ht="15" hidden="false" customHeight="false" outlineLevel="0" collapsed="false">
      <c r="I10" s="13" t="n">
        <v>6</v>
      </c>
      <c r="J10" s="10" t="n">
        <v>1</v>
      </c>
    </row>
    <row r="11" customFormat="false" ht="15" hidden="false" customHeight="false" outlineLevel="0" collapsed="false">
      <c r="I11" s="11" t="n">
        <v>7</v>
      </c>
      <c r="J11" s="10" t="n">
        <v>1</v>
      </c>
      <c r="M11" s="5" t="s">
        <v>11</v>
      </c>
      <c r="N11" s="5" t="s">
        <v>12</v>
      </c>
      <c r="O11" s="6" t="s">
        <v>13</v>
      </c>
    </row>
    <row r="12" customFormat="false" ht="15" hidden="false" customHeight="false" outlineLevel="0" collapsed="false">
      <c r="I12" s="13" t="n">
        <v>8</v>
      </c>
      <c r="J12" s="10" t="n">
        <v>1</v>
      </c>
      <c r="M12" s="19" t="n">
        <v>1</v>
      </c>
      <c r="N12" s="20" t="n">
        <f aca="false">P6</f>
        <v>0.297297297297297</v>
      </c>
      <c r="O12" s="21" t="n">
        <f aca="false">P8</f>
        <v>31</v>
      </c>
    </row>
    <row r="13" customFormat="false" ht="15" hidden="false" customHeight="false" outlineLevel="0" collapsed="false">
      <c r="I13" s="11" t="n">
        <v>9</v>
      </c>
      <c r="J13" s="10" t="n">
        <v>1</v>
      </c>
      <c r="M13" s="19" t="n">
        <v>2</v>
      </c>
      <c r="N13" s="20" t="n">
        <f aca="false">P7*O6</f>
        <v>0.265887509130752</v>
      </c>
      <c r="O13" s="21" t="n">
        <f aca="false">O8</f>
        <v>29.5</v>
      </c>
    </row>
    <row r="14" customFormat="false" ht="15" hidden="false" customHeight="false" outlineLevel="0" collapsed="false">
      <c r="I14" s="13" t="n">
        <v>10</v>
      </c>
      <c r="J14" s="10" t="n">
        <v>1</v>
      </c>
      <c r="M14" s="19" t="n">
        <v>3</v>
      </c>
      <c r="N14" s="20" t="n">
        <f aca="false">P7*O7*N6</f>
        <v>0.224310504807218</v>
      </c>
      <c r="O14" s="21" t="n">
        <f aca="false">N8</f>
        <v>27</v>
      </c>
    </row>
    <row r="15" customFormat="false" ht="15" hidden="false" customHeight="false" outlineLevel="0" collapsed="false">
      <c r="I15" s="11" t="n">
        <v>11</v>
      </c>
      <c r="J15" s="10" t="n">
        <v>1</v>
      </c>
      <c r="M15" s="22" t="n">
        <v>4</v>
      </c>
      <c r="N15" s="23" t="n">
        <f aca="false">P7*O7*N7</f>
        <v>0.212504688764733</v>
      </c>
      <c r="O15" s="24" t="n">
        <f aca="false">N3</f>
        <v>18</v>
      </c>
    </row>
    <row r="16" customFormat="false" ht="15" hidden="false" customHeight="false" outlineLevel="0" collapsed="false">
      <c r="I16" s="13" t="n">
        <v>12</v>
      </c>
      <c r="J16" s="10" t="n">
        <v>1</v>
      </c>
      <c r="O16" s="0"/>
    </row>
    <row r="17" customFormat="false" ht="15" hidden="false" customHeight="false" outlineLevel="0" collapsed="false">
      <c r="I17" s="11" t="n">
        <v>13</v>
      </c>
      <c r="J17" s="10" t="n">
        <v>1</v>
      </c>
      <c r="N17" s="1" t="s">
        <v>14</v>
      </c>
      <c r="O17" s="18" t="n">
        <f aca="false">SUMPRODUCT(N12:N15,O12:O15)</f>
        <v>26.9413657631335</v>
      </c>
    </row>
    <row r="18" customFormat="false" ht="15" hidden="false" customHeight="false" outlineLevel="0" collapsed="false">
      <c r="B18" s="25"/>
      <c r="C18" s="25"/>
      <c r="D18" s="25"/>
      <c r="E18" s="25"/>
      <c r="F18" s="25"/>
      <c r="G18" s="25"/>
      <c r="I18" s="13" t="n">
        <v>14</v>
      </c>
      <c r="J18" s="10" t="n">
        <v>1</v>
      </c>
    </row>
    <row r="19" customFormat="false" ht="15" hidden="false" customHeight="false" outlineLevel="0" collapsed="false">
      <c r="I19" s="11" t="n">
        <v>15</v>
      </c>
      <c r="J19" s="10" t="n">
        <v>1</v>
      </c>
    </row>
    <row r="20" customFormat="false" ht="15" hidden="false" customHeight="false" outlineLevel="0" collapsed="false">
      <c r="I20" s="13" t="n">
        <v>16</v>
      </c>
      <c r="J20" s="10" t="n">
        <v>1</v>
      </c>
    </row>
    <row r="21" customFormat="false" ht="15" hidden="false" customHeight="false" outlineLevel="0" collapsed="false">
      <c r="I21" s="11" t="n">
        <v>17</v>
      </c>
      <c r="J21" s="10" t="n">
        <v>1</v>
      </c>
    </row>
    <row r="22" customFormat="false" ht="15" hidden="false" customHeight="false" outlineLevel="0" collapsed="false">
      <c r="I22" s="13" t="n">
        <v>18</v>
      </c>
      <c r="J22" s="10" t="n">
        <v>1</v>
      </c>
    </row>
    <row r="23" customFormat="false" ht="15" hidden="false" customHeight="false" outlineLevel="0" collapsed="false">
      <c r="I23" s="11" t="n">
        <v>19</v>
      </c>
      <c r="J23" s="10" t="n">
        <v>1</v>
      </c>
    </row>
    <row r="24" customFormat="false" ht="15" hidden="false" customHeight="false" outlineLevel="0" collapsed="false">
      <c r="I24" s="13" t="n">
        <v>20</v>
      </c>
      <c r="J24" s="10" t="n">
        <v>1</v>
      </c>
    </row>
    <row r="25" customFormat="false" ht="15" hidden="false" customHeight="false" outlineLevel="0" collapsed="false">
      <c r="I25" s="11" t="n">
        <v>21</v>
      </c>
      <c r="J25" s="10" t="n">
        <v>1</v>
      </c>
    </row>
    <row r="26" customFormat="false" ht="15" hidden="false" customHeight="false" outlineLevel="0" collapsed="false">
      <c r="I26" s="13" t="n">
        <v>22</v>
      </c>
      <c r="J26" s="10" t="n">
        <v>1</v>
      </c>
    </row>
    <row r="27" customFormat="false" ht="15" hidden="false" customHeight="false" outlineLevel="0" collapsed="false">
      <c r="I27" s="11" t="n">
        <v>23</v>
      </c>
      <c r="J27" s="10" t="n">
        <v>1</v>
      </c>
    </row>
    <row r="28" customFormat="false" ht="15" hidden="false" customHeight="false" outlineLevel="0" collapsed="false">
      <c r="I28" s="13" t="n">
        <v>24</v>
      </c>
      <c r="J28" s="10" t="n">
        <v>1</v>
      </c>
    </row>
    <row r="29" customFormat="false" ht="15" hidden="false" customHeight="false" outlineLevel="0" collapsed="false">
      <c r="I29" s="11" t="n">
        <v>25</v>
      </c>
      <c r="J29" s="10" t="n">
        <v>1</v>
      </c>
    </row>
    <row r="30" customFormat="false" ht="15" hidden="false" customHeight="false" outlineLevel="0" collapsed="false">
      <c r="I30" s="13" t="n">
        <v>26</v>
      </c>
      <c r="J30" s="10" t="n">
        <v>1</v>
      </c>
    </row>
    <row r="31" customFormat="false" ht="15" hidden="false" customHeight="false" outlineLevel="0" collapsed="false">
      <c r="I31" s="11" t="n">
        <v>27</v>
      </c>
      <c r="J31" s="10" t="n">
        <v>1</v>
      </c>
    </row>
    <row r="32" customFormat="false" ht="15" hidden="false" customHeight="false" outlineLevel="0" collapsed="false">
      <c r="I32" s="13" t="n">
        <v>28</v>
      </c>
      <c r="J32" s="10" t="n">
        <v>1</v>
      </c>
    </row>
    <row r="33" customFormat="false" ht="15" hidden="false" customHeight="false" outlineLevel="0" collapsed="false">
      <c r="I33" s="11" t="n">
        <v>29</v>
      </c>
      <c r="J33" s="10" t="n">
        <v>1</v>
      </c>
    </row>
    <row r="34" customFormat="false" ht="15" hidden="false" customHeight="false" outlineLevel="0" collapsed="false">
      <c r="I34" s="13" t="n">
        <v>30</v>
      </c>
      <c r="J34" s="10" t="n">
        <v>1</v>
      </c>
    </row>
    <row r="35" customFormat="false" ht="15" hidden="false" customHeight="false" outlineLevel="0" collapsed="false">
      <c r="I35" s="11" t="n">
        <v>31</v>
      </c>
      <c r="J35" s="10" t="n">
        <v>1</v>
      </c>
    </row>
    <row r="36" customFormat="false" ht="15" hidden="false" customHeight="false" outlineLevel="0" collapsed="false">
      <c r="I36" s="13" t="n">
        <v>32</v>
      </c>
      <c r="J36" s="10" t="n">
        <v>1</v>
      </c>
    </row>
    <row r="37" customFormat="false" ht="15" hidden="false" customHeight="false" outlineLevel="0" collapsed="false">
      <c r="I37" s="11" t="n">
        <v>33</v>
      </c>
      <c r="J37" s="10" t="n">
        <v>1</v>
      </c>
    </row>
    <row r="38" customFormat="false" ht="15" hidden="false" customHeight="false" outlineLevel="0" collapsed="false">
      <c r="I38" s="13" t="n">
        <v>34</v>
      </c>
      <c r="J38" s="10" t="n">
        <v>1</v>
      </c>
    </row>
    <row r="39" customFormat="false" ht="15" hidden="false" customHeight="false" outlineLevel="0" collapsed="false">
      <c r="I39" s="11" t="n">
        <v>35</v>
      </c>
      <c r="J39" s="10" t="n">
        <v>1</v>
      </c>
    </row>
    <row r="40" customFormat="false" ht="15" hidden="false" customHeight="false" outlineLevel="0" collapsed="false">
      <c r="I40" s="26" t="n">
        <v>36</v>
      </c>
      <c r="J40" s="27" t="n">
        <v>1</v>
      </c>
    </row>
  </sheetData>
  <mergeCells count="1">
    <mergeCell ref="B3:G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2026-08-18T15:54:57Z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