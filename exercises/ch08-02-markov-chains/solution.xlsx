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son\Desktop\Shared\temp\"/>
    </mc:Choice>
  </mc:AlternateContent>
  <xr:revisionPtr revIDLastSave="0" documentId="13_ncr:1_{A77CD7A8-B4FB-4D54-A92A-1F59A948A3E5}" xr6:coauthVersionLast="47" xr6:coauthVersionMax="47" xr10:uidLastSave="{00000000-0000-0000-0000-000000000000}"/>
  <bookViews>
    <workbookView xWindow="-120" yWindow="-120" windowWidth="38640" windowHeight="1572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AJ31" i="1" l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C9" i="1"/>
  <c r="D14" i="1" a="1"/>
  <c r="D13" i="1" a="1"/>
  <c r="AI14" i="1" l="1"/>
  <c r="AI30" i="1" s="1"/>
  <c r="AJ30" i="1" s="1"/>
  <c r="AH14" i="1"/>
  <c r="AH29" i="1" s="1"/>
  <c r="AG14" i="1"/>
  <c r="AG28" i="1" s="1"/>
  <c r="AF14" i="1"/>
  <c r="AF27" i="1" s="1"/>
  <c r="AE14" i="1"/>
  <c r="AE26" i="1" s="1"/>
  <c r="AD14" i="1"/>
  <c r="AD25" i="1" s="1"/>
  <c r="AC14" i="1"/>
  <c r="AC24" i="1" s="1"/>
  <c r="AB14" i="1"/>
  <c r="AB23" i="1" s="1"/>
  <c r="AA14" i="1"/>
  <c r="AA22" i="1" s="1"/>
  <c r="Z14" i="1"/>
  <c r="Z21" i="1" s="1"/>
  <c r="Y14" i="1"/>
  <c r="Y20" i="1" s="1"/>
  <c r="X14" i="1"/>
  <c r="X19" i="1" s="1"/>
  <c r="W14" i="1"/>
  <c r="W18" i="1" s="1"/>
  <c r="V14" i="1"/>
  <c r="V17" i="1" s="1"/>
  <c r="U14" i="1"/>
  <c r="U16" i="1" s="1"/>
  <c r="T14" i="1"/>
  <c r="T15" i="1" s="1"/>
  <c r="S14" i="1"/>
  <c r="R14" i="1"/>
  <c r="Q14" i="1"/>
  <c r="P14" i="1"/>
  <c r="O14" i="1"/>
  <c r="N14" i="1"/>
  <c r="D14" i="1"/>
  <c r="H14" i="1"/>
  <c r="M14" i="1"/>
  <c r="L14" i="1"/>
  <c r="K14" i="1"/>
  <c r="J14" i="1"/>
  <c r="I14" i="1"/>
  <c r="G14" i="1"/>
  <c r="F14" i="1"/>
  <c r="E14" i="1"/>
  <c r="E15" i="1" s="1"/>
  <c r="AH13" i="1"/>
  <c r="Y13" i="1"/>
  <c r="D13" i="1"/>
  <c r="AI13" i="1"/>
  <c r="AG13" i="1"/>
  <c r="AF13" i="1"/>
  <c r="AE13" i="1"/>
  <c r="AD13" i="1"/>
  <c r="Z13" i="1"/>
  <c r="AC13" i="1"/>
  <c r="AB13" i="1"/>
  <c r="AA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S27" i="1" l="1"/>
  <c r="S26" i="1"/>
  <c r="S22" i="1"/>
  <c r="S21" i="1"/>
  <c r="S25" i="1"/>
  <c r="S20" i="1"/>
  <c r="S24" i="1"/>
  <c r="S19" i="1"/>
  <c r="S23" i="1"/>
  <c r="S18" i="1"/>
  <c r="S15" i="1"/>
  <c r="S29" i="1"/>
  <c r="AJ29" i="1" s="1"/>
  <c r="S17" i="1"/>
  <c r="S28" i="1"/>
  <c r="S16" i="1"/>
  <c r="R28" i="1"/>
  <c r="AJ28" i="1" s="1"/>
  <c r="R20" i="1"/>
  <c r="R16" i="1"/>
  <c r="R15" i="1"/>
  <c r="R19" i="1"/>
  <c r="R21" i="1"/>
  <c r="R24" i="1"/>
  <c r="R18" i="1"/>
  <c r="R22" i="1"/>
  <c r="R23" i="1"/>
  <c r="R25" i="1"/>
  <c r="R17" i="1"/>
  <c r="R26" i="1"/>
  <c r="R27" i="1"/>
  <c r="Q23" i="1"/>
  <c r="Q16" i="1"/>
  <c r="Q26" i="1"/>
  <c r="Q18" i="1"/>
  <c r="Q20" i="1"/>
  <c r="Q19" i="1"/>
  <c r="Q27" i="1"/>
  <c r="Q24" i="1"/>
  <c r="Q25" i="1"/>
  <c r="Q21" i="1"/>
  <c r="Q17" i="1"/>
  <c r="Q22" i="1"/>
  <c r="Q15" i="1"/>
  <c r="P24" i="1"/>
  <c r="P20" i="1"/>
  <c r="P17" i="1"/>
  <c r="P22" i="1"/>
  <c r="P21" i="1"/>
  <c r="P18" i="1"/>
  <c r="P25" i="1"/>
  <c r="P19" i="1"/>
  <c r="P16" i="1"/>
  <c r="P23" i="1"/>
  <c r="P15" i="1"/>
  <c r="P26" i="1"/>
  <c r="O23" i="1"/>
  <c r="O19" i="1"/>
  <c r="O22" i="1"/>
  <c r="O21" i="1"/>
  <c r="O20" i="1"/>
  <c r="O16" i="1"/>
  <c r="O18" i="1"/>
  <c r="O15" i="1"/>
  <c r="O24" i="1"/>
  <c r="O25" i="1"/>
  <c r="O17" i="1"/>
  <c r="N21" i="1"/>
  <c r="N16" i="1"/>
  <c r="N24" i="1"/>
  <c r="N17" i="1"/>
  <c r="N18" i="1"/>
  <c r="N15" i="1"/>
  <c r="N19" i="1"/>
  <c r="N20" i="1"/>
  <c r="N22" i="1"/>
  <c r="N23" i="1"/>
  <c r="H16" i="1"/>
  <c r="H15" i="1"/>
  <c r="H17" i="1"/>
  <c r="H18" i="1"/>
  <c r="M17" i="1"/>
  <c r="M22" i="1"/>
  <c r="M16" i="1"/>
  <c r="M20" i="1"/>
  <c r="M19" i="1"/>
  <c r="M21" i="1"/>
  <c r="M15" i="1"/>
  <c r="M23" i="1"/>
  <c r="M18" i="1"/>
  <c r="L17" i="1"/>
  <c r="L19" i="1"/>
  <c r="L21" i="1"/>
  <c r="L15" i="1"/>
  <c r="L18" i="1"/>
  <c r="L20" i="1"/>
  <c r="L22" i="1"/>
  <c r="L16" i="1"/>
  <c r="K21" i="1"/>
  <c r="K16" i="1"/>
  <c r="K19" i="1"/>
  <c r="K17" i="1"/>
  <c r="K18" i="1"/>
  <c r="K15" i="1"/>
  <c r="K20" i="1"/>
  <c r="J20" i="1"/>
  <c r="J15" i="1"/>
  <c r="J16" i="1"/>
  <c r="J19" i="1"/>
  <c r="J18" i="1"/>
  <c r="J17" i="1"/>
  <c r="I15" i="1"/>
  <c r="I16" i="1"/>
  <c r="I18" i="1"/>
  <c r="I19" i="1"/>
  <c r="I17" i="1"/>
  <c r="G16" i="1"/>
  <c r="G15" i="1"/>
  <c r="G17" i="1"/>
  <c r="F16" i="1"/>
  <c r="F15" i="1"/>
  <c r="AJ16" i="1" l="1"/>
  <c r="AJ19" i="1"/>
  <c r="AJ17" i="1"/>
  <c r="AJ27" i="1"/>
  <c r="AJ15" i="1"/>
  <c r="AO15" i="1" a="1"/>
  <c r="AJ26" i="1"/>
  <c r="AJ25" i="1"/>
  <c r="AJ24" i="1"/>
  <c r="AJ18" i="1"/>
  <c r="AJ20" i="1"/>
  <c r="AJ23" i="1"/>
  <c r="AJ22" i="1"/>
  <c r="AJ21" i="1"/>
  <c r="AO15" i="1" l="1"/>
  <c r="AP15" i="1" s="1" a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P46" i="1" l="1"/>
  <c r="AP45" i="1"/>
  <c r="AP44" i="1"/>
  <c r="AP43" i="1"/>
  <c r="AP42" i="1"/>
  <c r="AP41" i="1"/>
  <c r="AP40" i="1"/>
  <c r="AP39" i="1"/>
  <c r="AP3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Q15" i="1" s="1" a="1"/>
  <c r="AQ46" i="1" l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R15" i="1" s="1" a="1"/>
  <c r="AR46" i="1" l="1"/>
  <c r="AR45" i="1"/>
  <c r="AR44" i="1"/>
  <c r="AR43" i="1"/>
  <c r="AR42" i="1"/>
  <c r="AR41" i="1"/>
  <c r="AR40" i="1"/>
  <c r="AR39" i="1"/>
  <c r="AR38" i="1"/>
  <c r="AR37" i="1"/>
  <c r="AR36" i="1"/>
  <c r="AR35" i="1"/>
  <c r="AR34" i="1"/>
  <c r="AR33" i="1"/>
  <c r="AR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16" i="1"/>
  <c r="AR15" i="1"/>
  <c r="AS15" i="1" s="1" a="1"/>
  <c r="AS46" i="1" l="1"/>
  <c r="AS45" i="1"/>
  <c r="AS44" i="1"/>
  <c r="AS43" i="1"/>
  <c r="AS42" i="1"/>
  <c r="AS41" i="1"/>
  <c r="AS40" i="1"/>
  <c r="AS39" i="1"/>
  <c r="AS38" i="1"/>
  <c r="AS37" i="1"/>
  <c r="AS36" i="1"/>
  <c r="AS35" i="1"/>
  <c r="AS34" i="1"/>
  <c r="AS33" i="1"/>
  <c r="AS32" i="1"/>
  <c r="AS31" i="1"/>
  <c r="AS30" i="1"/>
  <c r="AS29" i="1"/>
  <c r="AS28" i="1"/>
  <c r="AS27" i="1"/>
  <c r="AS26" i="1"/>
  <c r="AS25" i="1"/>
  <c r="AS24" i="1"/>
  <c r="AS23" i="1"/>
  <c r="AS22" i="1"/>
  <c r="AS21" i="1"/>
  <c r="AS20" i="1"/>
  <c r="AS19" i="1"/>
  <c r="AS18" i="1"/>
  <c r="AS17" i="1"/>
  <c r="AS16" i="1"/>
  <c r="AS15" i="1"/>
  <c r="AT15" i="1" s="1" a="1"/>
  <c r="AT15" i="1" l="1"/>
  <c r="AU15" i="1" s="1" a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U15" i="1" l="1"/>
  <c r="AV15" i="1" s="1" a="1"/>
  <c r="AU16" i="1"/>
  <c r="AU17" i="1"/>
  <c r="AU18" i="1"/>
  <c r="AU19" i="1"/>
  <c r="AU20" i="1"/>
  <c r="AU21" i="1"/>
  <c r="AU22" i="1"/>
  <c r="AU23" i="1"/>
  <c r="AU24" i="1"/>
  <c r="AU25" i="1"/>
  <c r="AU26" i="1"/>
  <c r="AU27" i="1"/>
  <c r="AU28" i="1"/>
  <c r="AU29" i="1"/>
  <c r="AU30" i="1"/>
  <c r="AU31" i="1"/>
  <c r="AU32" i="1"/>
  <c r="AU33" i="1"/>
  <c r="AU34" i="1"/>
  <c r="AU35" i="1"/>
  <c r="AU36" i="1"/>
  <c r="AU37" i="1"/>
  <c r="AU38" i="1"/>
  <c r="AU39" i="1"/>
  <c r="AU40" i="1"/>
  <c r="AU41" i="1"/>
  <c r="AU42" i="1"/>
  <c r="AU43" i="1"/>
  <c r="AU44" i="1"/>
  <c r="AU45" i="1"/>
  <c r="AU46" i="1"/>
  <c r="AV15" i="1" l="1"/>
  <c r="AW15" i="1" s="1" a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W15" i="1" l="1"/>
  <c r="AX15" i="1" s="1" a="1"/>
  <c r="AW16" i="1"/>
  <c r="AW17" i="1"/>
  <c r="AW18" i="1"/>
  <c r="AW19" i="1"/>
  <c r="AW20" i="1"/>
  <c r="AW21" i="1"/>
  <c r="AW22" i="1"/>
  <c r="AW23" i="1"/>
  <c r="AW24" i="1"/>
  <c r="AW25" i="1"/>
  <c r="AW26" i="1"/>
  <c r="AW27" i="1"/>
  <c r="AW28" i="1"/>
  <c r="AW29" i="1"/>
  <c r="AW30" i="1"/>
  <c r="AW31" i="1"/>
  <c r="AW32" i="1"/>
  <c r="AW33" i="1"/>
  <c r="AW34" i="1"/>
  <c r="AW35" i="1"/>
  <c r="AW36" i="1"/>
  <c r="AW37" i="1"/>
  <c r="AW38" i="1"/>
  <c r="AW39" i="1"/>
  <c r="AW40" i="1"/>
  <c r="AW41" i="1"/>
  <c r="AW42" i="1"/>
  <c r="AW43" i="1"/>
  <c r="AW44" i="1"/>
  <c r="AW45" i="1"/>
  <c r="AW46" i="1"/>
  <c r="AX15" i="1" l="1"/>
  <c r="AY15" i="1" s="1" a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8" i="1"/>
  <c r="AX39" i="1"/>
  <c r="AX40" i="1"/>
  <c r="AX41" i="1"/>
  <c r="AX42" i="1"/>
  <c r="AX43" i="1"/>
  <c r="AX44" i="1"/>
  <c r="AX45" i="1"/>
  <c r="AX46" i="1"/>
  <c r="AX37" i="1"/>
  <c r="AY15" i="1" l="1"/>
  <c r="AZ15" i="1" s="1" a="1"/>
  <c r="AY16" i="1"/>
  <c r="AY17" i="1"/>
  <c r="AY18" i="1"/>
  <c r="AY19" i="1"/>
  <c r="AY20" i="1"/>
  <c r="AY21" i="1"/>
  <c r="AY22" i="1"/>
  <c r="AY23" i="1"/>
  <c r="AY24" i="1"/>
  <c r="AY25" i="1"/>
  <c r="AY26" i="1"/>
  <c r="AY27" i="1"/>
  <c r="AY28" i="1"/>
  <c r="AY29" i="1"/>
  <c r="AY30" i="1"/>
  <c r="AY31" i="1"/>
  <c r="AY32" i="1"/>
  <c r="AY33" i="1"/>
  <c r="AY34" i="1"/>
  <c r="AY35" i="1"/>
  <c r="AY36" i="1"/>
  <c r="AY37" i="1"/>
  <c r="AY38" i="1"/>
  <c r="AY39" i="1"/>
  <c r="AY40" i="1"/>
  <c r="AY41" i="1"/>
  <c r="AY42" i="1"/>
  <c r="AY43" i="1"/>
  <c r="AY44" i="1"/>
  <c r="AY45" i="1"/>
  <c r="AY46" i="1"/>
  <c r="AZ15" i="1" l="1"/>
  <c r="BA15" i="1" s="1" a="1"/>
  <c r="AZ16" i="1"/>
  <c r="AZ17" i="1"/>
  <c r="AZ18" i="1"/>
  <c r="AZ19" i="1"/>
  <c r="AZ20" i="1"/>
  <c r="AZ21" i="1"/>
  <c r="AZ22" i="1"/>
  <c r="AZ23" i="1"/>
  <c r="AZ24" i="1"/>
  <c r="AZ25" i="1"/>
  <c r="AZ26" i="1"/>
  <c r="AZ27" i="1"/>
  <c r="AZ28" i="1"/>
  <c r="AZ29" i="1"/>
  <c r="AZ30" i="1"/>
  <c r="AZ31" i="1"/>
  <c r="AZ32" i="1"/>
  <c r="AZ33" i="1"/>
  <c r="AZ34" i="1"/>
  <c r="AZ35" i="1"/>
  <c r="AZ36" i="1"/>
  <c r="AZ37" i="1"/>
  <c r="AZ38" i="1"/>
  <c r="AZ39" i="1"/>
  <c r="AZ40" i="1"/>
  <c r="AZ41" i="1"/>
  <c r="AZ42" i="1"/>
  <c r="AZ43" i="1"/>
  <c r="AZ44" i="1"/>
  <c r="AZ45" i="1"/>
  <c r="AZ46" i="1"/>
  <c r="BA15" i="1" l="1"/>
  <c r="BB15" i="1" s="1" a="1"/>
  <c r="BA16" i="1"/>
  <c r="BA17" i="1"/>
  <c r="BA18" i="1"/>
  <c r="BA19" i="1"/>
  <c r="BA20" i="1"/>
  <c r="BA21" i="1"/>
  <c r="BA22" i="1"/>
  <c r="BA23" i="1"/>
  <c r="BA24" i="1"/>
  <c r="BA25" i="1"/>
  <c r="BA26" i="1"/>
  <c r="BA27" i="1"/>
  <c r="BA28" i="1"/>
  <c r="BA29" i="1"/>
  <c r="BA30" i="1"/>
  <c r="BA31" i="1"/>
  <c r="BA32" i="1"/>
  <c r="BA33" i="1"/>
  <c r="BA34" i="1"/>
  <c r="BA35" i="1"/>
  <c r="BA36" i="1"/>
  <c r="BA37" i="1"/>
  <c r="BA38" i="1"/>
  <c r="BA39" i="1"/>
  <c r="BA40" i="1"/>
  <c r="BA41" i="1"/>
  <c r="BA42" i="1"/>
  <c r="BA43" i="1"/>
  <c r="BA44" i="1"/>
  <c r="BA45" i="1"/>
  <c r="BA46" i="1"/>
  <c r="BB15" i="1" l="1"/>
  <c r="BC15" i="1" s="1" a="1"/>
  <c r="BB16" i="1"/>
  <c r="BB17" i="1"/>
  <c r="BB18" i="1"/>
  <c r="BB19" i="1"/>
  <c r="BB20" i="1"/>
  <c r="BB21" i="1"/>
  <c r="BB22" i="1"/>
  <c r="BB23" i="1"/>
  <c r="BB24" i="1"/>
  <c r="BB25" i="1"/>
  <c r="BB26" i="1"/>
  <c r="BB27" i="1"/>
  <c r="BB28" i="1"/>
  <c r="BB29" i="1"/>
  <c r="BB30" i="1"/>
  <c r="BB31" i="1"/>
  <c r="BB32" i="1"/>
  <c r="BB33" i="1"/>
  <c r="BB34" i="1"/>
  <c r="BB35" i="1"/>
  <c r="BB37" i="1"/>
  <c r="BB40" i="1"/>
  <c r="BB36" i="1"/>
  <c r="BB38" i="1"/>
  <c r="BB39" i="1"/>
  <c r="BB41" i="1"/>
  <c r="BB42" i="1"/>
  <c r="BB43" i="1"/>
  <c r="BB44" i="1"/>
  <c r="BB45" i="1"/>
  <c r="BB46" i="1"/>
  <c r="BC26" i="1" l="1"/>
  <c r="BC27" i="1"/>
  <c r="BC28" i="1"/>
  <c r="BC35" i="1"/>
  <c r="BC39" i="1"/>
  <c r="BC43" i="1"/>
  <c r="BC15" i="1"/>
  <c r="BD15" i="1" s="1" a="1"/>
  <c r="BC16" i="1"/>
  <c r="BC17" i="1"/>
  <c r="BC18" i="1"/>
  <c r="BC19" i="1"/>
  <c r="BC20" i="1"/>
  <c r="BC21" i="1"/>
  <c r="BC22" i="1"/>
  <c r="BC23" i="1"/>
  <c r="BC24" i="1"/>
  <c r="BC25" i="1"/>
  <c r="BC29" i="1"/>
  <c r="BC30" i="1"/>
  <c r="BC31" i="1"/>
  <c r="BC32" i="1"/>
  <c r="BC33" i="1"/>
  <c r="BC34" i="1"/>
  <c r="BC36" i="1"/>
  <c r="BC37" i="1"/>
  <c r="BC38" i="1"/>
  <c r="BC40" i="1"/>
  <c r="BC41" i="1"/>
  <c r="BC42" i="1"/>
  <c r="BC44" i="1"/>
  <c r="BC45" i="1"/>
  <c r="BC46" i="1"/>
  <c r="BD15" i="1" l="1"/>
  <c r="BD16" i="1"/>
  <c r="BD17" i="1"/>
  <c r="BD18" i="1"/>
  <c r="BD19" i="1"/>
  <c r="BD20" i="1"/>
  <c r="BD21" i="1"/>
  <c r="BD22" i="1"/>
  <c r="BD23" i="1"/>
  <c r="BD24" i="1"/>
  <c r="BD25" i="1"/>
  <c r="BD26" i="1"/>
  <c r="BD27" i="1"/>
  <c r="BD28" i="1"/>
  <c r="BD29" i="1"/>
  <c r="BD30" i="1"/>
  <c r="BD31" i="1"/>
  <c r="M9" i="1" s="1"/>
  <c r="BD32" i="1"/>
  <c r="BD33" i="1"/>
  <c r="BD34" i="1"/>
  <c r="BD35" i="1"/>
  <c r="BD36" i="1"/>
  <c r="BD37" i="1"/>
  <c r="BD38" i="1"/>
  <c r="BD39" i="1"/>
  <c r="BD40" i="1"/>
  <c r="BD41" i="1"/>
  <c r="BD42" i="1"/>
  <c r="BD43" i="1"/>
  <c r="BD44" i="1"/>
  <c r="BD45" i="1"/>
  <c r="BD46" i="1"/>
</calcChain>
</file>

<file path=xl/sharedStrings.xml><?xml version="1.0" encoding="utf-8"?>
<sst xmlns="http://schemas.openxmlformats.org/spreadsheetml/2006/main" count="96" uniqueCount="32">
  <si>
    <r>
      <rPr>
        <sz val="10"/>
        <rFont val="Arial"/>
        <family val="2"/>
        <charset val="1"/>
      </rPr>
      <t xml:space="preserve">A simplified hold &amp; respin game (see </t>
    </r>
    <r>
      <rPr>
        <i/>
        <sz val="10"/>
        <rFont val="Arial"/>
        <family val="2"/>
        <charset val="1"/>
      </rPr>
      <t>Lightning Link)</t>
    </r>
    <r>
      <rPr>
        <sz val="10"/>
        <rFont val="Arial"/>
        <family val="2"/>
        <charset val="1"/>
      </rPr>
      <t>.</t>
    </r>
  </si>
  <si>
    <t>We enter the bonus with a blank grid of 15 squares.</t>
  </si>
  <si>
    <t>Every round each square has a 25% of a coin landing.</t>
  </si>
  <si>
    <t>If a coin does not appear, the bonus ends.</t>
  </si>
  <si>
    <t>We want to know how many coins we will end the bonus with, on average.</t>
  </si>
  <si>
    <t>Num Square</t>
  </si>
  <si>
    <t>Game Over?</t>
  </si>
  <si>
    <t>N</t>
  </si>
  <si>
    <t>Y</t>
  </si>
  <si>
    <t>P(Hit)</t>
  </si>
  <si>
    <t>Sum Check</t>
  </si>
  <si>
    <t># Coins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</si>
  <si>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</si>
  <si>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</si>
  <si>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</si>
  <si>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</si>
  <si>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</si>
  <si>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</si>
  <si>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</si>
  <si>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</si>
  <si>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</si>
  <si>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</si>
  <si>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</si>
  <si>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</si>
  <si>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</si>
  <si>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</si>
  <si>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</si>
  <si>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Init State</t>
  </si>
  <si>
    <t>Final State</t>
  </si>
  <si>
    <t>SOLUTION</t>
  </si>
  <si>
    <t>Number of coins collected</t>
  </si>
  <si>
    <t>Probability of being in each state in each round.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</si>
</sst>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i/>
      <sz val="10"/>
      <name val="Arial"/>
      <family val="2"/>
      <charset val="1"/>
    </font>
    <font>
      <b/>
      <sz val="10"/>
      <color rgb="FFFF0000"/>
      <name val="Arial"/>
      <family val="2"/>
    </font>
    <font>
      <sz val="8"/>
      <name val="Arial"/>
      <family val="2"/>
      <charset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3" borderId="15" xfId="0" applyFill="1" applyBorder="1"/>
    <xf numFmtId="0" fontId="0" fillId="3" borderId="15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4" fillId="4" borderId="15" xfId="0" applyFont="1" applyFill="1" applyBorder="1" applyAlignment="1">
      <alignment horizontal="center"/>
    </xf>
  </cellXfs>
  <cellStyles count="1">
    <cellStyle name="Normal" xfId="0" builtinId="0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D46"/>
  <sheetViews>
    <sheetView tabSelected="1" zoomScaleNormal="100" workbookViewId="0">
      <selection activeCell="B14" sqref="B14"/>
    </sheetView>
  </sheetViews>
  <sheetFormatPr defaultColWidth="11.5703125" defaultRowHeight="12.75" x14ac:dyDescent="0.2"/>
  <cols>
    <col min="1" max="1" width="5.5703125" customWidth="1"/>
    <col min="2" max="2" width="11.7109375" customWidth="1"/>
    <col min="3" max="3" width="7.42578125" customWidth="1"/>
    <col min="4" max="35" width="5.85546875" customWidth="1"/>
    <col min="36" max="36" width="10.7109375" bestFit="1" customWidth="1"/>
    <col min="38" max="38" width="11.7109375" customWidth="1"/>
    <col min="39" max="39" width="7.42578125" customWidth="1"/>
    <col min="40" max="56" width="9.85546875" customWidth="1"/>
    <col min="57" max="59" width="6.140625" customWidth="1"/>
  </cols>
  <sheetData>
    <row r="2" spans="2:56" x14ac:dyDescent="0.2">
      <c r="B2" t="s">
        <v>0</v>
      </c>
    </row>
    <row r="3" spans="2:56" x14ac:dyDescent="0.2">
      <c r="B3" t="s">
        <v>1</v>
      </c>
    </row>
    <row r="4" spans="2:56" x14ac:dyDescent="0.2">
      <c r="B4" t="s">
        <v>2</v>
      </c>
    </row>
    <row r="5" spans="2:56" x14ac:dyDescent="0.2">
      <c r="B5" t="s">
        <v>3</v>
      </c>
    </row>
    <row r="6" spans="2:56" x14ac:dyDescent="0.2">
      <c r="B6" t="s">
        <v>4</v>
      </c>
    </row>
    <row r="8" spans="2:56" x14ac:dyDescent="0.2">
      <c r="B8" t="s">
        <v>5</v>
      </c>
      <c r="C8" s="21">
        <v>15</v>
      </c>
      <c r="M8" s="30" t="s">
        <v>29</v>
      </c>
    </row>
    <row r="9" spans="2:56" x14ac:dyDescent="0.2">
      <c r="B9" t="s">
        <v>9</v>
      </c>
      <c r="C9" s="21">
        <f>1/4</f>
        <v>0.25</v>
      </c>
      <c r="L9" s="31" t="s">
        <v>30</v>
      </c>
      <c r="M9" s="32">
        <f>SUMPRODUCT(AM31:AM46,BD31:BD46)</f>
        <v>11.076302662564071</v>
      </c>
    </row>
    <row r="13" spans="2:56" x14ac:dyDescent="0.2">
      <c r="D13" s="1" t="str">
        <f t="array" ref="D13:AI13">TRANSPOSE(B15:B46)</f>
        <v>N</v>
      </c>
      <c r="E13" s="2" t="str">
        <v>N</v>
      </c>
      <c r="F13" s="2" t="str">
        <v>N</v>
      </c>
      <c r="G13" s="2" t="str">
        <v>N</v>
      </c>
      <c r="H13" s="2" t="str">
        <v>N</v>
      </c>
      <c r="I13" s="2" t="str">
        <v>N</v>
      </c>
      <c r="J13" s="2" t="str">
        <v>N</v>
      </c>
      <c r="K13" s="2" t="str">
        <v>N</v>
      </c>
      <c r="L13" s="2" t="str">
        <v>N</v>
      </c>
      <c r="M13" s="2" t="str">
        <v>N</v>
      </c>
      <c r="N13" s="2" t="str">
        <v>N</v>
      </c>
      <c r="O13" s="2" t="str">
        <v>N</v>
      </c>
      <c r="P13" s="2" t="str">
        <v>N</v>
      </c>
      <c r="Q13" s="2" t="str">
        <v>N</v>
      </c>
      <c r="R13" s="2" t="str">
        <v>N</v>
      </c>
      <c r="S13" s="2" t="str">
        <v>N</v>
      </c>
      <c r="T13" s="1" t="str">
        <v>Y</v>
      </c>
      <c r="U13" s="2" t="str">
        <v>Y</v>
      </c>
      <c r="V13" s="2" t="str">
        <v>Y</v>
      </c>
      <c r="W13" s="2" t="str">
        <v>Y</v>
      </c>
      <c r="X13" s="2" t="str">
        <v>Y</v>
      </c>
      <c r="Y13" s="2" t="str">
        <v>Y</v>
      </c>
      <c r="Z13" s="2" t="str">
        <v>Y</v>
      </c>
      <c r="AA13" s="2" t="str">
        <v>Y</v>
      </c>
      <c r="AB13" s="2" t="str">
        <v>Y</v>
      </c>
      <c r="AC13" s="2" t="str">
        <v>Y</v>
      </c>
      <c r="AD13" s="2" t="str">
        <v>Y</v>
      </c>
      <c r="AE13" s="2" t="str">
        <v>Y</v>
      </c>
      <c r="AF13" s="2" t="str">
        <v>Y</v>
      </c>
      <c r="AG13" s="2" t="str">
        <v>Y</v>
      </c>
      <c r="AH13" s="2" t="str">
        <v>Y</v>
      </c>
      <c r="AI13" s="3" t="str">
        <v>Y</v>
      </c>
      <c r="AN13" s="30" t="s">
        <v>31</v>
      </c>
    </row>
    <row r="14" spans="2:56" x14ac:dyDescent="0.2">
      <c r="B14" s="25" t="s">
        <v>6</v>
      </c>
      <c r="C14" s="26" t="s">
        <v>11</v>
      </c>
      <c r="D14" s="5">
        <f t="array" ref="D14:AI14">TRANSPOSE(C15:C46)</f>
        <v>0</v>
      </c>
      <c r="E14" s="6">
        <v>1</v>
      </c>
      <c r="F14" s="6">
        <v>2</v>
      </c>
      <c r="G14" s="6">
        <v>3</v>
      </c>
      <c r="H14" s="6">
        <v>4</v>
      </c>
      <c r="I14" s="6">
        <v>5</v>
      </c>
      <c r="J14" s="6">
        <v>6</v>
      </c>
      <c r="K14" s="6">
        <v>7</v>
      </c>
      <c r="L14" s="6">
        <v>8</v>
      </c>
      <c r="M14" s="6">
        <v>9</v>
      </c>
      <c r="N14" s="6">
        <v>10</v>
      </c>
      <c r="O14" s="6">
        <v>11</v>
      </c>
      <c r="P14" s="6">
        <v>12</v>
      </c>
      <c r="Q14" s="6">
        <v>13</v>
      </c>
      <c r="R14" s="6">
        <v>14</v>
      </c>
      <c r="S14" s="6">
        <v>15</v>
      </c>
      <c r="T14" s="5">
        <v>0</v>
      </c>
      <c r="U14" s="6">
        <v>1</v>
      </c>
      <c r="V14" s="6">
        <v>2</v>
      </c>
      <c r="W14" s="6">
        <v>3</v>
      </c>
      <c r="X14" s="6">
        <v>4</v>
      </c>
      <c r="Y14" s="6">
        <v>5</v>
      </c>
      <c r="Z14" s="6">
        <v>6</v>
      </c>
      <c r="AA14" s="6">
        <v>7</v>
      </c>
      <c r="AB14" s="6">
        <v>8</v>
      </c>
      <c r="AC14" s="6">
        <v>9</v>
      </c>
      <c r="AD14" s="6">
        <v>10</v>
      </c>
      <c r="AE14" s="6">
        <v>11</v>
      </c>
      <c r="AF14" s="6">
        <v>12</v>
      </c>
      <c r="AG14" s="6">
        <v>13</v>
      </c>
      <c r="AH14" s="6">
        <v>14</v>
      </c>
      <c r="AI14" s="7">
        <v>15</v>
      </c>
      <c r="AJ14" s="22" t="s">
        <v>10</v>
      </c>
      <c r="AL14" s="25" t="s">
        <v>6</v>
      </c>
      <c r="AM14" s="26" t="s">
        <v>11</v>
      </c>
      <c r="AN14" s="5" t="s">
        <v>27</v>
      </c>
      <c r="AO14" s="5" t="s">
        <v>12</v>
      </c>
      <c r="AP14" s="5" t="s">
        <v>13</v>
      </c>
      <c r="AQ14" s="5" t="s">
        <v>14</v>
      </c>
      <c r="AR14" s="5" t="s">
        <v>15</v>
      </c>
      <c r="AS14" s="5" t="s">
        <v>16</v>
      </c>
      <c r="AT14" s="5" t="s">
        <v>17</v>
      </c>
      <c r="AU14" s="5" t="s">
        <v>18</v>
      </c>
      <c r="AV14" s="5" t="s">
        <v>19</v>
      </c>
      <c r="AW14" s="5" t="s">
        <v>20</v>
      </c>
      <c r="AX14" s="5" t="s">
        <v>21</v>
      </c>
      <c r="AY14" s="5" t="s">
        <v>22</v>
      </c>
      <c r="AZ14" s="5" t="s">
        <v>23</v>
      </c>
      <c r="BA14" s="5" t="s">
        <v>24</v>
      </c>
      <c r="BB14" s="5" t="s">
        <v>25</v>
      </c>
      <c r="BC14" s="5" t="s">
        <v>26</v>
      </c>
      <c r="BD14" s="22" t="s">
        <v>28</v>
      </c>
    </row>
    <row r="15" spans="2:56" x14ac:dyDescent="0.2">
      <c r="B15" s="1" t="s">
        <v>7</v>
      </c>
      <c r="C15" s="8">
        <v>0</v>
      </c>
      <c r="D15" s="9">
        <v>0</v>
      </c>
      <c r="E15" s="10">
        <f>_xlfn.BINOM.DIST(E$14-$C15,$C$8-$C15,$C$9,FALSE)</f>
        <v>6.6817305050790338E-2</v>
      </c>
      <c r="F15" s="10">
        <f>_xlfn.BINOM.DIST(F$14-$C15,$C$8-$C15,$C$9,FALSE)</f>
        <v>0.15590704511851075</v>
      </c>
      <c r="G15" s="10">
        <f>_xlfn.BINOM.DIST(G$14-$C15,$C$8-$C15,$C$9,FALSE)</f>
        <v>0.22519906517118218</v>
      </c>
      <c r="H15" s="10">
        <f>_xlfn.BINOM.DIST(H$14-$C15,$C$8-$C15,$C$9,FALSE)</f>
        <v>0.22519906517118218</v>
      </c>
      <c r="I15" s="10">
        <f>_xlfn.BINOM.DIST(I$14-$C15,$C$8-$C15,$C$9,FALSE)</f>
        <v>0.16514598112553358</v>
      </c>
      <c r="J15" s="10">
        <f>_xlfn.BINOM.DIST(J$14-$C15,$C$8-$C15,$C$9,FALSE)</f>
        <v>9.1747767291963059E-2</v>
      </c>
      <c r="K15" s="10">
        <f>_xlfn.BINOM.DIST(K$14-$C15,$C$8-$C15,$C$9,FALSE)</f>
        <v>3.9320471696555608E-2</v>
      </c>
      <c r="L15" s="10">
        <f>_xlfn.BINOM.DIST(L$14-$C15,$C$8-$C15,$C$9,FALSE)</f>
        <v>1.3106823898851871E-2</v>
      </c>
      <c r="M15" s="10">
        <f>_xlfn.BINOM.DIST(M$14-$C15,$C$8-$C15,$C$9,FALSE)</f>
        <v>3.398065455257893E-3</v>
      </c>
      <c r="N15" s="10">
        <f>_xlfn.BINOM.DIST(N$14-$C15,$C$8-$C15,$C$9,FALSE)</f>
        <v>6.7961309105157863E-4</v>
      </c>
      <c r="O15" s="10">
        <f>_xlfn.BINOM.DIST(O$14-$C15,$C$8-$C15,$C$9,FALSE)</f>
        <v>1.0297168046236046E-4</v>
      </c>
      <c r="P15" s="10">
        <f>_xlfn.BINOM.DIST(P$14-$C15,$C$8-$C15,$C$9,FALSE)</f>
        <v>1.1441297829151157E-5</v>
      </c>
      <c r="Q15" s="10">
        <f>_xlfn.BINOM.DIST(Q$14-$C15,$C$8-$C15,$C$9,FALSE)</f>
        <v>8.8009983301163059E-7</v>
      </c>
      <c r="R15" s="10">
        <f>_xlfn.BINOM.DIST(R$14-$C15,$C$8-$C15,$C$9,FALSE)</f>
        <v>4.1909515857696467E-8</v>
      </c>
      <c r="S15" s="10">
        <f>_xlfn.BINOM.DIST(S$14-$C15,$C$8-$C15,$C$9,FALSE)</f>
        <v>9.3132257461547934E-10</v>
      </c>
      <c r="T15" s="9">
        <f>(1-$C$9)^($C$8-T$14)</f>
        <v>1.3363461010158062E-2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1">
        <v>0</v>
      </c>
      <c r="AJ15" s="23">
        <f>SUM(D15:AI15)</f>
        <v>1</v>
      </c>
      <c r="AL15" s="1" t="s">
        <v>7</v>
      </c>
      <c r="AM15" s="8">
        <v>0</v>
      </c>
      <c r="AN15" s="23">
        <v>1</v>
      </c>
      <c r="AO15" s="27">
        <f t="array" ref="AO15:AO46">MMULT(TRANSPOSE($D$15:$AI$46),AN15:AN46)</f>
        <v>0</v>
      </c>
      <c r="AP15" s="27">
        <f t="array" ref="AP15:AP46">MMULT(TRANSPOSE($D$15:$AI$46),AO15:AO46)</f>
        <v>0</v>
      </c>
      <c r="AQ15" s="27">
        <f t="array" ref="AQ15:AQ46">MMULT(TRANSPOSE($D$15:$AI$46),AP15:AP46)</f>
        <v>0</v>
      </c>
      <c r="AR15" s="27">
        <f t="array" ref="AR15:AR46">MMULT(TRANSPOSE($D$15:$AI$46),AQ15:AQ46)</f>
        <v>0</v>
      </c>
      <c r="AS15" s="27">
        <f t="array" ref="AS15:AS46">MMULT(TRANSPOSE($D$15:$AI$46),AR15:AR46)</f>
        <v>0</v>
      </c>
      <c r="AT15" s="27">
        <f t="array" ref="AT15:AT46">MMULT(TRANSPOSE($D$15:$AI$46),AS15:AS46)</f>
        <v>0</v>
      </c>
      <c r="AU15" s="27">
        <f t="array" ref="AU15:AU46">MMULT(TRANSPOSE($D$15:$AI$46),AT15:AT46)</f>
        <v>0</v>
      </c>
      <c r="AV15" s="27">
        <f t="array" ref="AV15:AV46">MMULT(TRANSPOSE($D$15:$AI$46),AU15:AU46)</f>
        <v>0</v>
      </c>
      <c r="AW15" s="27">
        <f t="array" ref="AW15:AW46">MMULT(TRANSPOSE($D$15:$AI$46),AV15:AV46)</f>
        <v>0</v>
      </c>
      <c r="AX15" s="27">
        <f t="array" ref="AX15:AX46">MMULT(TRANSPOSE($D$15:$AI$46),AW15:AW46)</f>
        <v>0</v>
      </c>
      <c r="AY15" s="27">
        <f t="array" ref="AY15:AY46">MMULT(TRANSPOSE($D$15:$AI$46),AX15:AX46)</f>
        <v>0</v>
      </c>
      <c r="AZ15" s="27">
        <f t="array" ref="AZ15:AZ46">MMULT(TRANSPOSE($D$15:$AI$46),AY15:AY46)</f>
        <v>0</v>
      </c>
      <c r="BA15" s="27">
        <f t="array" ref="BA15:BA46">MMULT(TRANSPOSE($D$15:$AI$46),AZ15:AZ46)</f>
        <v>0</v>
      </c>
      <c r="BB15" s="27">
        <f t="array" ref="BB15:BB46">MMULT(TRANSPOSE($D$15:$AI$46),BA15:BA46)</f>
        <v>0</v>
      </c>
      <c r="BC15" s="27">
        <f t="array" ref="BC15:BC46">MMULT(TRANSPOSE($D$15:$AI$46),BB15:BB46)</f>
        <v>0</v>
      </c>
      <c r="BD15" s="27">
        <f t="array" ref="BD15:BD46">MMULT(TRANSPOSE($D$15:$AI$46),BC15:BC46)</f>
        <v>0</v>
      </c>
    </row>
    <row r="16" spans="2:56" x14ac:dyDescent="0.2">
      <c r="B16" s="12" t="s">
        <v>7</v>
      </c>
      <c r="C16" s="13">
        <v>1</v>
      </c>
      <c r="D16" s="14">
        <v>0</v>
      </c>
      <c r="E16" s="4">
        <v>0</v>
      </c>
      <c r="F16" s="4">
        <f>_xlfn.BINOM.DIST(F$14-$C16,$C$8-$C16,$C$9,FALSE)</f>
        <v>8.3150424063205719E-2</v>
      </c>
      <c r="G16" s="4">
        <f>_xlfn.BINOM.DIST(G$14-$C16,$C$8-$C16,$C$9,FALSE)</f>
        <v>0.18015925213694575</v>
      </c>
      <c r="H16" s="4">
        <f>_xlfn.BINOM.DIST(H$14-$C16,$C$8-$C16,$C$9,FALSE)</f>
        <v>0.24021233618259424</v>
      </c>
      <c r="I16" s="4">
        <f>_xlfn.BINOM.DIST(I$14-$C16,$C$8-$C16,$C$9,FALSE)</f>
        <v>0.22019464150071141</v>
      </c>
      <c r="J16" s="4">
        <f>_xlfn.BINOM.DIST(J$14-$C16,$C$8-$C16,$C$9,FALSE)</f>
        <v>0.14679642766714093</v>
      </c>
      <c r="K16" s="4">
        <f>_xlfn.BINOM.DIST(K$14-$C16,$C$8-$C16,$C$9,FALSE)</f>
        <v>7.3398213833570508E-2</v>
      </c>
      <c r="L16" s="4">
        <f>_xlfn.BINOM.DIST(L$14-$C16,$C$8-$C16,$C$9,FALSE)</f>
        <v>2.7961224317550656E-2</v>
      </c>
      <c r="M16" s="4">
        <f>_xlfn.BINOM.DIST(M$14-$C16,$C$8-$C16,$C$9,FALSE)</f>
        <v>8.1553570926189492E-3</v>
      </c>
      <c r="N16" s="4">
        <f>_xlfn.BINOM.DIST(N$14-$C16,$C$8-$C16,$C$9,FALSE)</f>
        <v>1.8123015761375393E-3</v>
      </c>
      <c r="O16" s="4">
        <f>_xlfn.BINOM.DIST(O$14-$C16,$C$8-$C16,$C$9,FALSE)</f>
        <v>3.0205026268959051E-4</v>
      </c>
      <c r="P16" s="4">
        <f>_xlfn.BINOM.DIST(P$14-$C16,$C$8-$C16,$C$9,FALSE)</f>
        <v>3.6612153053283624E-5</v>
      </c>
      <c r="Q16" s="4">
        <f>_xlfn.BINOM.DIST(Q$14-$C16,$C$8-$C16,$C$9,FALSE)</f>
        <v>3.0510127544403148E-6</v>
      </c>
      <c r="R16" s="4">
        <f>_xlfn.BINOM.DIST(R$14-$C16,$C$8-$C16,$C$9,FALSE)</f>
        <v>1.5646219253540007E-7</v>
      </c>
      <c r="S16" s="4">
        <f>_xlfn.BINOM.DIST(S$14-$C16,$C$8-$C16,$C$9,FALSE)</f>
        <v>3.7252902984619182E-9</v>
      </c>
      <c r="T16" s="14">
        <v>0</v>
      </c>
      <c r="U16" s="4">
        <f>(1-$C$9)^($C$8-U$14)</f>
        <v>1.7817948013544083E-2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15">
        <v>0</v>
      </c>
      <c r="AJ16" s="23">
        <f t="shared" ref="AJ16:AJ46" si="0">SUM(D16:AI16)</f>
        <v>1</v>
      </c>
      <c r="AL16" s="12" t="s">
        <v>7</v>
      </c>
      <c r="AM16" s="13">
        <v>1</v>
      </c>
      <c r="AN16" s="28">
        <v>0</v>
      </c>
      <c r="AO16" s="23">
        <v>6.6817305050790338E-2</v>
      </c>
      <c r="AP16" s="23">
        <v>0</v>
      </c>
      <c r="AQ16" s="23">
        <v>0</v>
      </c>
      <c r="AR16" s="23">
        <v>0</v>
      </c>
      <c r="AS16" s="23">
        <v>0</v>
      </c>
      <c r="AT16" s="23">
        <v>0</v>
      </c>
      <c r="AU16" s="23">
        <v>0</v>
      </c>
      <c r="AV16" s="23">
        <v>0</v>
      </c>
      <c r="AW16" s="23">
        <v>0</v>
      </c>
      <c r="AX16" s="23">
        <v>0</v>
      </c>
      <c r="AY16" s="23">
        <v>0</v>
      </c>
      <c r="AZ16" s="23">
        <v>0</v>
      </c>
      <c r="BA16" s="23">
        <v>0</v>
      </c>
      <c r="BB16" s="23">
        <v>0</v>
      </c>
      <c r="BC16" s="23">
        <v>0</v>
      </c>
      <c r="BD16" s="23">
        <v>0</v>
      </c>
    </row>
    <row r="17" spans="2:56" x14ac:dyDescent="0.2">
      <c r="B17" s="12" t="s">
        <v>7</v>
      </c>
      <c r="C17" s="13">
        <v>2</v>
      </c>
      <c r="D17" s="14">
        <v>0</v>
      </c>
      <c r="E17" s="4">
        <v>0</v>
      </c>
      <c r="F17" s="4">
        <v>0</v>
      </c>
      <c r="G17" s="4">
        <f>_xlfn.BINOM.DIST(G$14-$C17,$C$8-$C17,$C$9,FALSE)</f>
        <v>0.10294814407825471</v>
      </c>
      <c r="H17" s="4">
        <f>_xlfn.BINOM.DIST(H$14-$C17,$C$8-$C17,$C$9,FALSE)</f>
        <v>0.20589628815650934</v>
      </c>
      <c r="I17" s="4">
        <f>_xlfn.BINOM.DIST(I$14-$C17,$C$8-$C17,$C$9,FALSE)</f>
        <v>0.25165101885795588</v>
      </c>
      <c r="J17" s="4">
        <f>_xlfn.BINOM.DIST(J$14-$C17,$C$8-$C17,$C$9,FALSE)</f>
        <v>0.20970918238162994</v>
      </c>
      <c r="K17" s="4">
        <f>_xlfn.BINOM.DIST(K$14-$C17,$C$8-$C17,$C$9,FALSE)</f>
        <v>0.12582550942897797</v>
      </c>
      <c r="L17" s="4">
        <f>_xlfn.BINOM.DIST(L$14-$C17,$C$8-$C17,$C$9,FALSE)</f>
        <v>5.5922448635101325E-2</v>
      </c>
      <c r="M17" s="4">
        <f>_xlfn.BINOM.DIST(M$14-$C17,$C$8-$C17,$C$9,FALSE)</f>
        <v>1.8640816211700436E-2</v>
      </c>
      <c r="N17" s="4">
        <f>_xlfn.BINOM.DIST(N$14-$C17,$C$8-$C17,$C$9,FALSE)</f>
        <v>4.6602040529251081E-3</v>
      </c>
      <c r="O17" s="4">
        <f>_xlfn.BINOM.DIST(O$14-$C17,$C$8-$C17,$C$9,FALSE)</f>
        <v>8.630007505416882E-4</v>
      </c>
      <c r="P17" s="4">
        <f>_xlfn.BINOM.DIST(P$14-$C17,$C$8-$C17,$C$9,FALSE)</f>
        <v>1.150667667388916E-4</v>
      </c>
      <c r="Q17" s="4">
        <f>_xlfn.BINOM.DIST(Q$14-$C17,$C$8-$C17,$C$9,FALSE)</f>
        <v>1.0460615158081045E-5</v>
      </c>
      <c r="R17" s="4">
        <f>_xlfn.BINOM.DIST(R$14-$C17,$C$8-$C17,$C$9,FALSE)</f>
        <v>5.8114528656005891E-7</v>
      </c>
      <c r="S17" s="4">
        <f>_xlfn.BINOM.DIST(S$14-$C17,$C$8-$C17,$C$9,FALSE)</f>
        <v>1.4901161193847676E-8</v>
      </c>
      <c r="T17" s="14">
        <v>0</v>
      </c>
      <c r="U17" s="4">
        <v>0</v>
      </c>
      <c r="V17" s="4">
        <f>(1-$C$9)^($C$8-V$14)</f>
        <v>2.3757264018058777E-2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15">
        <v>0</v>
      </c>
      <c r="AJ17" s="23">
        <f t="shared" si="0"/>
        <v>0.99999999999999989</v>
      </c>
      <c r="AL17" s="12" t="s">
        <v>7</v>
      </c>
      <c r="AM17" s="13">
        <v>2</v>
      </c>
      <c r="AN17" s="28">
        <v>0</v>
      </c>
      <c r="AO17" s="23">
        <v>0.15590704511851075</v>
      </c>
      <c r="AP17" s="23">
        <v>5.5558872497337942E-3</v>
      </c>
      <c r="AQ17" s="23">
        <v>0</v>
      </c>
      <c r="AR17" s="23">
        <v>0</v>
      </c>
      <c r="AS17" s="23">
        <v>0</v>
      </c>
      <c r="AT17" s="23">
        <v>0</v>
      </c>
      <c r="AU17" s="23">
        <v>0</v>
      </c>
      <c r="AV17" s="23">
        <v>0</v>
      </c>
      <c r="AW17" s="23">
        <v>0</v>
      </c>
      <c r="AX17" s="23">
        <v>0</v>
      </c>
      <c r="AY17" s="23">
        <v>0</v>
      </c>
      <c r="AZ17" s="23">
        <v>0</v>
      </c>
      <c r="BA17" s="23">
        <v>0</v>
      </c>
      <c r="BB17" s="23">
        <v>0</v>
      </c>
      <c r="BC17" s="23">
        <v>0</v>
      </c>
      <c r="BD17" s="23">
        <v>0</v>
      </c>
    </row>
    <row r="18" spans="2:56" x14ac:dyDescent="0.2">
      <c r="B18" s="12" t="s">
        <v>7</v>
      </c>
      <c r="C18" s="13">
        <v>3</v>
      </c>
      <c r="D18" s="14">
        <v>0</v>
      </c>
      <c r="E18" s="4">
        <v>0</v>
      </c>
      <c r="F18" s="4">
        <v>0</v>
      </c>
      <c r="G18" s="4">
        <v>0</v>
      </c>
      <c r="H18" s="4">
        <f>_xlfn.BINOM.DIST(H$14-$C18,$C$8-$C18,$C$9,FALSE)</f>
        <v>0.1267054080963135</v>
      </c>
      <c r="I18" s="4">
        <f>_xlfn.BINOM.DIST(I$14-$C18,$C$8-$C18,$C$9,FALSE)</f>
        <v>0.23229324817657471</v>
      </c>
      <c r="J18" s="4">
        <f>_xlfn.BINOM.DIST(J$14-$C18,$C$8-$C18,$C$9,FALSE)</f>
        <v>0.25810360908508295</v>
      </c>
      <c r="K18" s="4">
        <f>_xlfn.BINOM.DIST(K$14-$C18,$C$8-$C18,$C$9,FALSE)</f>
        <v>0.19357770681381228</v>
      </c>
      <c r="L18" s="4">
        <f>_xlfn.BINOM.DIST(L$14-$C18,$C$8-$C18,$C$9,FALSE)</f>
        <v>0.1032414436340332</v>
      </c>
      <c r="M18" s="4">
        <f>_xlfn.BINOM.DIST(M$14-$C18,$C$8-$C18,$C$9,FALSE)</f>
        <v>4.014945030212403E-2</v>
      </c>
      <c r="N18" s="4">
        <f>_xlfn.BINOM.DIST(N$14-$C18,$C$8-$C18,$C$9,FALSE)</f>
        <v>1.1471271514892571E-2</v>
      </c>
      <c r="O18" s="4">
        <f>_xlfn.BINOM.DIST(O$14-$C18,$C$8-$C18,$C$9,FALSE)</f>
        <v>2.3898482322692893E-3</v>
      </c>
      <c r="P18" s="4">
        <f>_xlfn.BINOM.DIST(P$14-$C18,$C$8-$C18,$C$9,FALSE)</f>
        <v>3.540515899658202E-4</v>
      </c>
      <c r="Q18" s="4">
        <f>_xlfn.BINOM.DIST(Q$14-$C18,$C$8-$C18,$C$9,FALSE)</f>
        <v>3.5405158996582038E-5</v>
      </c>
      <c r="R18" s="4">
        <f>_xlfn.BINOM.DIST(R$14-$C18,$C$8-$C18,$C$9,FALSE)</f>
        <v>2.1457672119140625E-6</v>
      </c>
      <c r="S18" s="4">
        <f>_xlfn.BINOM.DIST(S$14-$C18,$C$8-$C18,$C$9,FALSE)</f>
        <v>5.9604644775390718E-8</v>
      </c>
      <c r="T18" s="14">
        <v>0</v>
      </c>
      <c r="U18" s="4">
        <v>0</v>
      </c>
      <c r="V18" s="4">
        <v>0</v>
      </c>
      <c r="W18" s="4">
        <f>(1-$C$9)^($C$8-W$14)</f>
        <v>3.1676352024078369E-2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15">
        <v>0</v>
      </c>
      <c r="AJ18" s="23">
        <f t="shared" si="0"/>
        <v>1</v>
      </c>
      <c r="AL18" s="12" t="s">
        <v>7</v>
      </c>
      <c r="AM18" s="13">
        <v>3</v>
      </c>
      <c r="AN18" s="28">
        <v>0</v>
      </c>
      <c r="AO18" s="23">
        <v>0.22519906517118218</v>
      </c>
      <c r="AP18" s="23">
        <v>2.8088096651431957E-2</v>
      </c>
      <c r="AQ18" s="23">
        <v>5.7196828106813302E-4</v>
      </c>
      <c r="AR18" s="23">
        <v>0</v>
      </c>
      <c r="AS18" s="23">
        <v>0</v>
      </c>
      <c r="AT18" s="23">
        <v>0</v>
      </c>
      <c r="AU18" s="23">
        <v>0</v>
      </c>
      <c r="AV18" s="23">
        <v>0</v>
      </c>
      <c r="AW18" s="23">
        <v>0</v>
      </c>
      <c r="AX18" s="23">
        <v>0</v>
      </c>
      <c r="AY18" s="23">
        <v>0</v>
      </c>
      <c r="AZ18" s="23">
        <v>0</v>
      </c>
      <c r="BA18" s="23">
        <v>0</v>
      </c>
      <c r="BB18" s="23">
        <v>0</v>
      </c>
      <c r="BC18" s="23">
        <v>0</v>
      </c>
      <c r="BD18" s="23">
        <v>0</v>
      </c>
    </row>
    <row r="19" spans="2:56" x14ac:dyDescent="0.2">
      <c r="B19" s="12" t="s">
        <v>7</v>
      </c>
      <c r="C19" s="13">
        <v>4</v>
      </c>
      <c r="D19" s="14">
        <v>0</v>
      </c>
      <c r="E19" s="4">
        <v>0</v>
      </c>
      <c r="F19" s="4">
        <v>0</v>
      </c>
      <c r="G19" s="4">
        <v>0</v>
      </c>
      <c r="H19" s="4">
        <v>0</v>
      </c>
      <c r="I19" s="4">
        <f>_xlfn.BINOM.DIST(I$14-$C19,$C$8-$C19,$C$9,FALSE)</f>
        <v>0.1548621654510498</v>
      </c>
      <c r="J19" s="4">
        <f>_xlfn.BINOM.DIST(J$14-$C19,$C$8-$C19,$C$9,FALSE)</f>
        <v>0.25810360908508295</v>
      </c>
      <c r="K19" s="4">
        <f>_xlfn.BINOM.DIST(K$14-$C19,$C$8-$C19,$C$9,FALSE)</f>
        <v>0.25810360908508301</v>
      </c>
      <c r="L19" s="4">
        <f>_xlfn.BINOM.DIST(L$14-$C19,$C$8-$C19,$C$9,FALSE)</f>
        <v>0.17206907272338867</v>
      </c>
      <c r="M19" s="4">
        <f>_xlfn.BINOM.DIST(M$14-$C19,$C$8-$C19,$C$9,FALSE)</f>
        <v>8.0298900604248061E-2</v>
      </c>
      <c r="N19" s="4">
        <f>_xlfn.BINOM.DIST(N$14-$C19,$C$8-$C19,$C$9,FALSE)</f>
        <v>2.6766300201416054E-2</v>
      </c>
      <c r="O19" s="4">
        <f>_xlfn.BINOM.DIST(O$14-$C19,$C$8-$C19,$C$9,FALSE)</f>
        <v>6.3729286193847682E-3</v>
      </c>
      <c r="P19" s="4">
        <f>_xlfn.BINOM.DIST(P$14-$C19,$C$8-$C19,$C$9,FALSE)</f>
        <v>1.0621547698974599E-3</v>
      </c>
      <c r="Q19" s="4">
        <f>_xlfn.BINOM.DIST(Q$14-$C19,$C$8-$C19,$C$9,FALSE)</f>
        <v>1.1801719665527349E-4</v>
      </c>
      <c r="R19" s="4">
        <f>_xlfn.BINOM.DIST(R$14-$C19,$C$8-$C19,$C$9,FALSE)</f>
        <v>7.8678131103515506E-6</v>
      </c>
      <c r="S19" s="4">
        <f>_xlfn.BINOM.DIST(S$14-$C19,$C$8-$C19,$C$9,FALSE)</f>
        <v>2.3841857910156247E-7</v>
      </c>
      <c r="T19" s="14">
        <v>0</v>
      </c>
      <c r="U19" s="4">
        <v>0</v>
      </c>
      <c r="V19" s="4">
        <v>0</v>
      </c>
      <c r="W19" s="4">
        <v>0</v>
      </c>
      <c r="X19" s="4">
        <f>(1-$C$9)^($C$8-X$14)</f>
        <v>4.2235136032104492E-2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15">
        <v>0</v>
      </c>
      <c r="AJ19" s="23">
        <f t="shared" si="0"/>
        <v>1</v>
      </c>
      <c r="AL19" s="12" t="s">
        <v>7</v>
      </c>
      <c r="AM19" s="13">
        <v>4</v>
      </c>
      <c r="AN19" s="28">
        <v>0</v>
      </c>
      <c r="AO19" s="23">
        <v>0.22519906517118218</v>
      </c>
      <c r="AP19" s="23">
        <v>7.6684962286449138E-2</v>
      </c>
      <c r="AQ19" s="23">
        <v>4.7028503110046489E-3</v>
      </c>
      <c r="AR19" s="23">
        <v>7.2471474470884746E-5</v>
      </c>
      <c r="AS19" s="23">
        <v>0</v>
      </c>
      <c r="AT19" s="23">
        <v>0</v>
      </c>
      <c r="AU19" s="23">
        <v>0</v>
      </c>
      <c r="AV19" s="23">
        <v>0</v>
      </c>
      <c r="AW19" s="23">
        <v>0</v>
      </c>
      <c r="AX19" s="23">
        <v>0</v>
      </c>
      <c r="AY19" s="23">
        <v>0</v>
      </c>
      <c r="AZ19" s="23">
        <v>0</v>
      </c>
      <c r="BA19" s="23">
        <v>0</v>
      </c>
      <c r="BB19" s="23">
        <v>0</v>
      </c>
      <c r="BC19" s="23">
        <v>0</v>
      </c>
      <c r="BD19" s="23">
        <v>0</v>
      </c>
    </row>
    <row r="20" spans="2:56" x14ac:dyDescent="0.2">
      <c r="B20" s="12" t="s">
        <v>7</v>
      </c>
      <c r="C20" s="13">
        <v>5</v>
      </c>
      <c r="D20" s="1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f>_xlfn.BINOM.DIST(J$14-$C20,$C$8-$C20,$C$9,FALSE)</f>
        <v>0.18771171569824219</v>
      </c>
      <c r="K20" s="4">
        <f>_xlfn.BINOM.DIST(K$14-$C20,$C$8-$C20,$C$9,FALSE)</f>
        <v>0.28156757354736339</v>
      </c>
      <c r="L20" s="4">
        <f>_xlfn.BINOM.DIST(L$14-$C20,$C$8-$C20,$C$9,FALSE)</f>
        <v>0.25028228759765631</v>
      </c>
      <c r="M20" s="4">
        <f>_xlfn.BINOM.DIST(M$14-$C20,$C$8-$C20,$C$9,FALSE)</f>
        <v>0.14599800109863281</v>
      </c>
      <c r="N20" s="4">
        <f>_xlfn.BINOM.DIST(N$14-$C20,$C$8-$C20,$C$9,FALSE)</f>
        <v>5.8399200439453146E-2</v>
      </c>
      <c r="O20" s="4">
        <f>_xlfn.BINOM.DIST(O$14-$C20,$C$8-$C20,$C$9,FALSE)</f>
        <v>1.6222000122070326E-2</v>
      </c>
      <c r="P20" s="4">
        <f>_xlfn.BINOM.DIST(P$14-$C20,$C$8-$C20,$C$9,FALSE)</f>
        <v>3.0899047851562543E-3</v>
      </c>
      <c r="Q20" s="4">
        <f>_xlfn.BINOM.DIST(Q$14-$C20,$C$8-$C20,$C$9,FALSE)</f>
        <v>3.862380981445312E-4</v>
      </c>
      <c r="R20" s="4">
        <f>_xlfn.BINOM.DIST(R$14-$C20,$C$8-$C20,$C$9,FALSE)</f>
        <v>2.861022949218752E-5</v>
      </c>
      <c r="S20" s="4">
        <f>_xlfn.BINOM.DIST(S$14-$C20,$C$8-$C20,$C$9,FALSE)</f>
        <v>9.5367431640625E-7</v>
      </c>
      <c r="T20" s="14">
        <v>0</v>
      </c>
      <c r="U20" s="4">
        <v>0</v>
      </c>
      <c r="V20" s="4">
        <v>0</v>
      </c>
      <c r="W20" s="4">
        <v>0</v>
      </c>
      <c r="X20" s="4">
        <v>0</v>
      </c>
      <c r="Y20" s="4">
        <f>(1-$C$9)^($C$8-Y$14)</f>
        <v>5.6313514709472656E-2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15">
        <v>0</v>
      </c>
      <c r="AJ20" s="23">
        <f t="shared" si="0"/>
        <v>1.0000000000000002</v>
      </c>
      <c r="AL20" s="12" t="s">
        <v>7</v>
      </c>
      <c r="AM20" s="13">
        <v>5</v>
      </c>
      <c r="AN20" s="28">
        <v>0</v>
      </c>
      <c r="AO20" s="23">
        <v>0.16514598112553358</v>
      </c>
      <c r="AP20" s="23">
        <v>0.14113401650781238</v>
      </c>
      <c r="AQ20" s="23">
        <v>1.9798419210525737E-2</v>
      </c>
      <c r="AR20" s="23">
        <v>8.6115795281761158E-4</v>
      </c>
      <c r="AS20" s="23">
        <v>1.1223089469991685E-5</v>
      </c>
      <c r="AT20" s="23">
        <v>0</v>
      </c>
      <c r="AU20" s="23">
        <v>0</v>
      </c>
      <c r="AV20" s="23">
        <v>0</v>
      </c>
      <c r="AW20" s="23">
        <v>0</v>
      </c>
      <c r="AX20" s="23">
        <v>0</v>
      </c>
      <c r="AY20" s="23">
        <v>0</v>
      </c>
      <c r="AZ20" s="23">
        <v>0</v>
      </c>
      <c r="BA20" s="23">
        <v>0</v>
      </c>
      <c r="BB20" s="23">
        <v>0</v>
      </c>
      <c r="BC20" s="23">
        <v>0</v>
      </c>
      <c r="BD20" s="23">
        <v>0</v>
      </c>
    </row>
    <row r="21" spans="2:56" x14ac:dyDescent="0.2">
      <c r="B21" s="12" t="s">
        <v>7</v>
      </c>
      <c r="C21" s="13">
        <v>6</v>
      </c>
      <c r="D21" s="1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f>_xlfn.BINOM.DIST(K$14-$C21,$C$8-$C21,$C$9,FALSE)</f>
        <v>0.22525405883789065</v>
      </c>
      <c r="L21" s="4">
        <f>_xlfn.BINOM.DIST(L$14-$C21,$C$8-$C21,$C$9,FALSE)</f>
        <v>0.30033874511718756</v>
      </c>
      <c r="M21" s="4">
        <f>_xlfn.BINOM.DIST(M$14-$C21,$C$8-$C21,$C$9,FALSE)</f>
        <v>0.2335968017578125</v>
      </c>
      <c r="N21" s="4">
        <f>_xlfn.BINOM.DIST(N$14-$C21,$C$8-$C21,$C$9,FALSE)</f>
        <v>0.11679840087890629</v>
      </c>
      <c r="O21" s="4">
        <f>_xlfn.BINOM.DIST(O$14-$C21,$C$8-$C21,$C$9,FALSE)</f>
        <v>3.893280029296875E-2</v>
      </c>
      <c r="P21" s="4">
        <f>_xlfn.BINOM.DIST(P$14-$C21,$C$8-$C21,$C$9,FALSE)</f>
        <v>8.6517333984375035E-3</v>
      </c>
      <c r="Q21" s="4">
        <f>_xlfn.BINOM.DIST(Q$14-$C21,$C$8-$C21,$C$9,FALSE)</f>
        <v>1.2359619140625E-3</v>
      </c>
      <c r="R21" s="4">
        <f>_xlfn.BINOM.DIST(R$14-$C21,$C$8-$C21,$C$9,FALSE)</f>
        <v>1.0299682617187497E-4</v>
      </c>
      <c r="S21" s="4">
        <f>_xlfn.BINOM.DIST(S$14-$C21,$C$8-$C21,$C$9,FALSE)</f>
        <v>3.8146972656250008E-6</v>
      </c>
      <c r="T21" s="1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f>(1-$C$9)^($C$8-Z$14)</f>
        <v>7.5084686279296875E-2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15">
        <v>0</v>
      </c>
      <c r="AJ21" s="23">
        <f t="shared" si="0"/>
        <v>1</v>
      </c>
      <c r="AL21" s="12" t="s">
        <v>7</v>
      </c>
      <c r="AM21" s="13">
        <v>6</v>
      </c>
      <c r="AN21" s="28">
        <v>0</v>
      </c>
      <c r="AO21" s="23">
        <v>9.1747767291963059E-2</v>
      </c>
      <c r="AP21" s="23">
        <v>0.1897528990714217</v>
      </c>
      <c r="AQ21" s="23">
        <v>5.469993360136291E-2</v>
      </c>
      <c r="AR21" s="23">
        <v>5.0778449540039051E-3</v>
      </c>
      <c r="AS21" s="23">
        <v>1.8035458592723257E-4</v>
      </c>
      <c r="AT21" s="23">
        <v>2.106705379847015E-6</v>
      </c>
      <c r="AU21" s="23">
        <v>0</v>
      </c>
      <c r="AV21" s="23">
        <v>0</v>
      </c>
      <c r="AW21" s="23">
        <v>0</v>
      </c>
      <c r="AX21" s="23">
        <v>0</v>
      </c>
      <c r="AY21" s="23">
        <v>0</v>
      </c>
      <c r="AZ21" s="23">
        <v>0</v>
      </c>
      <c r="BA21" s="23">
        <v>0</v>
      </c>
      <c r="BB21" s="23">
        <v>0</v>
      </c>
      <c r="BC21" s="23">
        <v>0</v>
      </c>
      <c r="BD21" s="23">
        <v>0</v>
      </c>
    </row>
    <row r="22" spans="2:56" x14ac:dyDescent="0.2">
      <c r="B22" s="12" t="s">
        <v>7</v>
      </c>
      <c r="C22" s="13">
        <v>7</v>
      </c>
      <c r="D22" s="1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f>_xlfn.BINOM.DIST(L$14-$C22,$C$8-$C22,$C$9,FALSE)</f>
        <v>0.26696777343750006</v>
      </c>
      <c r="M22" s="4">
        <f>_xlfn.BINOM.DIST(M$14-$C22,$C$8-$C22,$C$9,FALSE)</f>
        <v>0.31146240234375</v>
      </c>
      <c r="N22" s="4">
        <f>_xlfn.BINOM.DIST(N$14-$C22,$C$8-$C22,$C$9,FALSE)</f>
        <v>0.20764160156250003</v>
      </c>
      <c r="O22" s="4">
        <f>_xlfn.BINOM.DIST(O$14-$C22,$C$8-$C22,$C$9,FALSE)</f>
        <v>8.6517333984375E-2</v>
      </c>
      <c r="P22" s="4">
        <f>_xlfn.BINOM.DIST(P$14-$C22,$C$8-$C22,$C$9,FALSE)</f>
        <v>2.3071289062499986E-2</v>
      </c>
      <c r="Q22" s="4">
        <f>_xlfn.BINOM.DIST(Q$14-$C22,$C$8-$C22,$C$9,FALSE)</f>
        <v>3.8452148437500017E-3</v>
      </c>
      <c r="R22" s="4">
        <f>_xlfn.BINOM.DIST(R$14-$C22,$C$8-$C22,$C$9,FALSE)</f>
        <v>3.6621093749999978E-4</v>
      </c>
      <c r="S22" s="4">
        <f>_xlfn.BINOM.DIST(S$14-$C22,$C$8-$C22,$C$9,FALSE)</f>
        <v>1.5258789062500007E-5</v>
      </c>
      <c r="T22" s="1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f>(1-$C$9)^($C$8-AA$14)</f>
        <v>0.1001129150390625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15">
        <v>0</v>
      </c>
      <c r="AJ22" s="23">
        <f t="shared" si="0"/>
        <v>1</v>
      </c>
      <c r="AL22" s="12" t="s">
        <v>7</v>
      </c>
      <c r="AM22" s="13">
        <v>7</v>
      </c>
      <c r="AN22" s="28">
        <v>0</v>
      </c>
      <c r="AO22" s="23">
        <v>3.9320471696555608E-2</v>
      </c>
      <c r="AP22" s="23">
        <v>0.19340587447366886</v>
      </c>
      <c r="AQ22" s="23">
        <v>0.10841034047595526</v>
      </c>
      <c r="AR22" s="23">
        <v>1.9220517865527965E-2</v>
      </c>
      <c r="AS22" s="23">
        <v>1.4049844903714045E-3</v>
      </c>
      <c r="AT22" s="23">
        <v>4.3785660579906776E-5</v>
      </c>
      <c r="AU22" s="23">
        <v>4.745439375861603E-7</v>
      </c>
      <c r="AV22" s="23">
        <v>0</v>
      </c>
      <c r="AW22" s="23">
        <v>0</v>
      </c>
      <c r="AX22" s="23">
        <v>0</v>
      </c>
      <c r="AY22" s="23">
        <v>0</v>
      </c>
      <c r="AZ22" s="23">
        <v>0</v>
      </c>
      <c r="BA22" s="23">
        <v>0</v>
      </c>
      <c r="BB22" s="23">
        <v>0</v>
      </c>
      <c r="BC22" s="23">
        <v>0</v>
      </c>
      <c r="BD22" s="23">
        <v>0</v>
      </c>
    </row>
    <row r="23" spans="2:56" x14ac:dyDescent="0.2">
      <c r="B23" s="12" t="s">
        <v>7</v>
      </c>
      <c r="C23" s="13">
        <v>8</v>
      </c>
      <c r="D23" s="1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f>_xlfn.BINOM.DIST(M$14-$C23,$C$8-$C23,$C$9,FALSE)</f>
        <v>0.31146240234375006</v>
      </c>
      <c r="N23" s="4">
        <f>_xlfn.BINOM.DIST(N$14-$C23,$C$8-$C23,$C$9,FALSE)</f>
        <v>0.31146240234375006</v>
      </c>
      <c r="O23" s="4">
        <f>_xlfn.BINOM.DIST(O$14-$C23,$C$8-$C23,$C$9,FALSE)</f>
        <v>0.17303466796875006</v>
      </c>
      <c r="P23" s="4">
        <f>_xlfn.BINOM.DIST(P$14-$C23,$C$8-$C23,$C$9,FALSE)</f>
        <v>5.7678222656250028E-2</v>
      </c>
      <c r="Q23" s="4">
        <f>_xlfn.BINOM.DIST(Q$14-$C23,$C$8-$C23,$C$9,FALSE)</f>
        <v>1.1535644531250009E-2</v>
      </c>
      <c r="R23" s="4">
        <f>_xlfn.BINOM.DIST(R$14-$C23,$C$8-$C23,$C$9,FALSE)</f>
        <v>1.2817382812500002E-3</v>
      </c>
      <c r="S23" s="4">
        <f>_xlfn.BINOM.DIST(S$14-$C23,$C$8-$C23,$C$9,FALSE)</f>
        <v>6.1035156250000027E-5</v>
      </c>
      <c r="T23" s="1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f>(1-$C$9)^($C$8-AB$14)</f>
        <v>0.13348388671875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15">
        <v>0</v>
      </c>
      <c r="AJ23" s="23">
        <f t="shared" si="0"/>
        <v>1.0000000000000002</v>
      </c>
      <c r="AL23" s="12" t="s">
        <v>7</v>
      </c>
      <c r="AM23" s="13">
        <v>8</v>
      </c>
      <c r="AN23" s="28">
        <v>0</v>
      </c>
      <c r="AO23" s="23">
        <v>1.3106823898851871E-2</v>
      </c>
      <c r="AP23" s="23">
        <v>0.15197249031156812</v>
      </c>
      <c r="AQ23" s="23">
        <v>0.16035229259587688</v>
      </c>
      <c r="AR23" s="23">
        <v>5.1194036204343471E-2</v>
      </c>
      <c r="AS23" s="23">
        <v>6.8843351220860757E-3</v>
      </c>
      <c r="AT23" s="23">
        <v>4.3206199162865226E-4</v>
      </c>
      <c r="AU23" s="23">
        <v>1.232208556362271E-5</v>
      </c>
      <c r="AV23" s="23">
        <v>1.266879384156412E-7</v>
      </c>
      <c r="AW23" s="23">
        <v>0</v>
      </c>
      <c r="AX23" s="23">
        <v>0</v>
      </c>
      <c r="AY23" s="23">
        <v>0</v>
      </c>
      <c r="AZ23" s="23">
        <v>0</v>
      </c>
      <c r="BA23" s="23">
        <v>0</v>
      </c>
      <c r="BB23" s="23">
        <v>0</v>
      </c>
      <c r="BC23" s="23">
        <v>0</v>
      </c>
      <c r="BD23" s="23">
        <v>0</v>
      </c>
    </row>
    <row r="24" spans="2:56" x14ac:dyDescent="0.2">
      <c r="B24" s="12" t="s">
        <v>7</v>
      </c>
      <c r="C24" s="13">
        <v>9</v>
      </c>
      <c r="D24" s="1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f>_xlfn.BINOM.DIST(N$14-$C24,$C$8-$C24,$C$9,FALSE)</f>
        <v>0.35595703125</v>
      </c>
      <c r="O24" s="4">
        <f>_xlfn.BINOM.DIST(O$14-$C24,$C$8-$C24,$C$9,FALSE)</f>
        <v>0.29663085937500006</v>
      </c>
      <c r="P24" s="4">
        <f>_xlfn.BINOM.DIST(P$14-$C24,$C$8-$C24,$C$9,FALSE)</f>
        <v>0.13183593749999997</v>
      </c>
      <c r="Q24" s="4">
        <f>_xlfn.BINOM.DIST(Q$14-$C24,$C$8-$C24,$C$9,FALSE)</f>
        <v>3.2958984375000007E-2</v>
      </c>
      <c r="R24" s="4">
        <f>_xlfn.BINOM.DIST(R$14-$C24,$C$8-$C24,$C$9,FALSE)</f>
        <v>4.3945312499999957E-3</v>
      </c>
      <c r="S24" s="4">
        <f>_xlfn.BINOM.DIST(S$14-$C24,$C$8-$C24,$C$9,FALSE)</f>
        <v>2.4414062500000016E-4</v>
      </c>
      <c r="T24" s="1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f>(1-$C$9)^($C$8-AC$14)</f>
        <v>0.177978515625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15">
        <v>0</v>
      </c>
      <c r="AJ24" s="23">
        <f t="shared" si="0"/>
        <v>1</v>
      </c>
      <c r="AL24" s="12" t="s">
        <v>7</v>
      </c>
      <c r="AM24" s="13">
        <v>9</v>
      </c>
      <c r="AN24" s="28">
        <v>0</v>
      </c>
      <c r="AO24" s="23">
        <v>3.398065455257893E-3</v>
      </c>
      <c r="AP24" s="23">
        <v>9.2448109158499173E-2</v>
      </c>
      <c r="AQ24" s="23">
        <v>0.17989233593626835</v>
      </c>
      <c r="AR24" s="23">
        <v>9.9778312453832396E-2</v>
      </c>
      <c r="AS24" s="23">
        <v>2.3249201231110142E-2</v>
      </c>
      <c r="AT24" s="23">
        <v>2.6255802033748961E-3</v>
      </c>
      <c r="AU24" s="23">
        <v>1.4870077254548931E-4</v>
      </c>
      <c r="AV24" s="23">
        <v>3.9856689663494181E-6</v>
      </c>
      <c r="AW24" s="23">
        <v>3.9458529646912667E-8</v>
      </c>
      <c r="AX24" s="23">
        <v>0</v>
      </c>
      <c r="AY24" s="23">
        <v>0</v>
      </c>
      <c r="AZ24" s="23">
        <v>0</v>
      </c>
      <c r="BA24" s="23">
        <v>0</v>
      </c>
      <c r="BB24" s="23">
        <v>0</v>
      </c>
      <c r="BC24" s="23">
        <v>0</v>
      </c>
      <c r="BD24" s="23">
        <v>0</v>
      </c>
    </row>
    <row r="25" spans="2:56" x14ac:dyDescent="0.2">
      <c r="B25" s="12" t="s">
        <v>7</v>
      </c>
      <c r="C25" s="13">
        <v>10</v>
      </c>
      <c r="D25" s="1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f>_xlfn.BINOM.DIST(O$14-$C25,$C$8-$C25,$C$9,FALSE)</f>
        <v>0.3955078125</v>
      </c>
      <c r="P25" s="4">
        <f>_xlfn.BINOM.DIST(P$14-$C25,$C$8-$C25,$C$9,FALSE)</f>
        <v>0.26367187499999994</v>
      </c>
      <c r="Q25" s="4">
        <f>_xlfn.BINOM.DIST(Q$14-$C25,$C$8-$C25,$C$9,FALSE)</f>
        <v>8.7890625000000042E-2</v>
      </c>
      <c r="R25" s="4">
        <f>_xlfn.BINOM.DIST(R$14-$C25,$C$8-$C25,$C$9,FALSE)</f>
        <v>1.4648437500000005E-2</v>
      </c>
      <c r="S25" s="4">
        <f>_xlfn.BINOM.DIST(S$14-$C25,$C$8-$C25,$C$9,FALSE)</f>
        <v>9.765625E-4</v>
      </c>
      <c r="T25" s="1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f>(1-$C$9)^($C$8-AD$14)</f>
        <v>0.2373046875</v>
      </c>
      <c r="AE25" s="4">
        <v>0</v>
      </c>
      <c r="AF25" s="4">
        <v>0</v>
      </c>
      <c r="AG25" s="4">
        <v>0</v>
      </c>
      <c r="AH25" s="4">
        <v>0</v>
      </c>
      <c r="AI25" s="15">
        <v>0</v>
      </c>
      <c r="AJ25" s="23">
        <f t="shared" si="0"/>
        <v>1</v>
      </c>
      <c r="AL25" s="12" t="s">
        <v>7</v>
      </c>
      <c r="AM25" s="13">
        <v>10</v>
      </c>
      <c r="AN25" s="28">
        <v>0</v>
      </c>
      <c r="AO25" s="23">
        <v>6.7961309105157863E-4</v>
      </c>
      <c r="AP25" s="23">
        <v>4.3275516780503315E-2</v>
      </c>
      <c r="AQ25" s="23">
        <v>0.15320599629598769</v>
      </c>
      <c r="AR25" s="23">
        <v>0.14416566457146285</v>
      </c>
      <c r="AS25" s="23">
        <v>5.6098103398214715E-2</v>
      </c>
      <c r="AT25" s="23">
        <v>1.0733381981254373E-2</v>
      </c>
      <c r="AU25" s="23">
        <v>1.0785025848839575E-3</v>
      </c>
      <c r="AV25" s="23">
        <v>5.6867486974617216E-5</v>
      </c>
      <c r="AW25" s="23">
        <v>1.4581854224539077E-6</v>
      </c>
      <c r="AX25" s="23">
        <v>1.4045541070605144E-8</v>
      </c>
      <c r="AY25" s="23">
        <v>0</v>
      </c>
      <c r="AZ25" s="23">
        <v>0</v>
      </c>
      <c r="BA25" s="23">
        <v>0</v>
      </c>
      <c r="BB25" s="23">
        <v>0</v>
      </c>
      <c r="BC25" s="23">
        <v>0</v>
      </c>
      <c r="BD25" s="23">
        <v>0</v>
      </c>
    </row>
    <row r="26" spans="2:56" x14ac:dyDescent="0.2">
      <c r="B26" s="12" t="s">
        <v>7</v>
      </c>
      <c r="C26" s="13">
        <v>11</v>
      </c>
      <c r="D26" s="1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f>_xlfn.BINOM.DIST(P$14-$C26,$C$8-$C26,$C$9,FALSE)</f>
        <v>0.42187499999999994</v>
      </c>
      <c r="Q26" s="4">
        <f>_xlfn.BINOM.DIST(Q$14-$C26,$C$8-$C26,$C$9,FALSE)</f>
        <v>0.21093750000000003</v>
      </c>
      <c r="R26" s="4">
        <f>_xlfn.BINOM.DIST(R$14-$C26,$C$8-$C26,$C$9,FALSE)</f>
        <v>4.6875000000000007E-2</v>
      </c>
      <c r="S26" s="4">
        <f>_xlfn.BINOM.DIST(S$14-$C26,$C$8-$C26,$C$9,FALSE)</f>
        <v>3.9062500000000009E-3</v>
      </c>
      <c r="T26" s="1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f>(1-$C$9)^($C$8-AE$14)</f>
        <v>0.31640625</v>
      </c>
      <c r="AF26" s="4">
        <v>0</v>
      </c>
      <c r="AG26" s="4">
        <v>0</v>
      </c>
      <c r="AH26" s="4">
        <v>0</v>
      </c>
      <c r="AI26" s="15">
        <v>0</v>
      </c>
      <c r="AJ26" s="23">
        <f t="shared" si="0"/>
        <v>1</v>
      </c>
      <c r="AL26" s="12" t="s">
        <v>7</v>
      </c>
      <c r="AM26" s="13">
        <v>11</v>
      </c>
      <c r="AN26" s="28">
        <v>0</v>
      </c>
      <c r="AO26" s="23">
        <v>1.0297168046236046E-4</v>
      </c>
      <c r="AP26" s="23">
        <v>1.5325695530923181E-2</v>
      </c>
      <c r="AQ26" s="23">
        <v>9.7805953653174071E-2</v>
      </c>
      <c r="AR26" s="23">
        <v>0.15356379539884968</v>
      </c>
      <c r="AS26" s="23">
        <v>9.7349350506021226E-2</v>
      </c>
      <c r="AT26" s="23">
        <v>3.0403656625859907E-2</v>
      </c>
      <c r="AU26" s="23">
        <v>5.1025964820412446E-3</v>
      </c>
      <c r="AV26" s="23">
        <v>4.7283864033346692E-4</v>
      </c>
      <c r="AW26" s="23">
        <v>2.3695729191734991E-5</v>
      </c>
      <c r="AX26" s="23">
        <v>5.8842834421297104E-7</v>
      </c>
      <c r="AY26" s="23">
        <v>5.5551212242139486E-9</v>
      </c>
      <c r="AZ26" s="23">
        <v>0</v>
      </c>
      <c r="BA26" s="23">
        <v>0</v>
      </c>
      <c r="BB26" s="23">
        <v>0</v>
      </c>
      <c r="BC26" s="23">
        <v>0</v>
      </c>
      <c r="BD26" s="23">
        <v>0</v>
      </c>
    </row>
    <row r="27" spans="2:56" x14ac:dyDescent="0.2">
      <c r="B27" s="12" t="s">
        <v>7</v>
      </c>
      <c r="C27" s="13">
        <v>12</v>
      </c>
      <c r="D27" s="1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f>_xlfn.BINOM.DIST(Q$14-$C27,$C$8-$C27,$C$9,FALSE)</f>
        <v>0.42187500000000006</v>
      </c>
      <c r="R27" s="4">
        <f>_xlfn.BINOM.DIST(R$14-$C27,$C$8-$C27,$C$9,FALSE)</f>
        <v>0.14062500000000006</v>
      </c>
      <c r="S27" s="4">
        <f>_xlfn.BINOM.DIST(S$14-$C27,$C$8-$C27,$C$9,FALSE)</f>
        <v>1.5625000000000007E-2</v>
      </c>
      <c r="T27" s="1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f>(1-$C$9)^($C$8-AF$14)</f>
        <v>0.421875</v>
      </c>
      <c r="AG27" s="4">
        <v>0</v>
      </c>
      <c r="AH27" s="4">
        <v>0</v>
      </c>
      <c r="AI27" s="15">
        <v>0</v>
      </c>
      <c r="AJ27" s="23">
        <f t="shared" si="0"/>
        <v>1</v>
      </c>
      <c r="AL27" s="12" t="s">
        <v>7</v>
      </c>
      <c r="AM27" s="13">
        <v>12</v>
      </c>
      <c r="AN27" s="28">
        <v>0</v>
      </c>
      <c r="AO27" s="23">
        <v>1.1441297829151157E-5</v>
      </c>
      <c r="AP27" s="23">
        <v>3.9771524295712651E-3</v>
      </c>
      <c r="AQ27" s="23">
        <v>4.5461490963448668E-2</v>
      </c>
      <c r="AR27" s="23">
        <v>0.11766389743138937</v>
      </c>
      <c r="AS27" s="23">
        <v>0.11939441781184219</v>
      </c>
      <c r="AT27" s="23">
        <v>5.9356915667498497E-2</v>
      </c>
      <c r="AU27" s="23">
        <v>1.6028728404756359E-2</v>
      </c>
      <c r="AV27" s="23">
        <v>2.4573544597004432E-3</v>
      </c>
      <c r="AW27" s="23">
        <v>2.1500591984767984E-4</v>
      </c>
      <c r="AX27" s="23">
        <v>1.0386320289447661E-5</v>
      </c>
      <c r="AY27" s="23">
        <v>2.5194662186432311E-7</v>
      </c>
      <c r="AZ27" s="23">
        <v>2.3435667664652594E-9</v>
      </c>
      <c r="BA27" s="23">
        <v>0</v>
      </c>
      <c r="BB27" s="23">
        <v>0</v>
      </c>
      <c r="BC27" s="23">
        <v>0</v>
      </c>
      <c r="BD27" s="23">
        <v>0</v>
      </c>
    </row>
    <row r="28" spans="2:56" x14ac:dyDescent="0.2">
      <c r="B28" s="12" t="s">
        <v>7</v>
      </c>
      <c r="C28" s="13">
        <v>13</v>
      </c>
      <c r="D28" s="1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f>_xlfn.BINOM.DIST(R$14-$C28,$C$8-$C28,$C$9,FALSE)</f>
        <v>0.375</v>
      </c>
      <c r="S28" s="4">
        <f>_xlfn.BINOM.DIST(S$14-$C28,$C$8-$C28,$C$9,FALSE)</f>
        <v>6.25E-2</v>
      </c>
      <c r="T28" s="1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f>(1-$C$9)^($C$8-AG$14)</f>
        <v>0.5625</v>
      </c>
      <c r="AH28" s="4">
        <v>0</v>
      </c>
      <c r="AI28" s="15">
        <v>0</v>
      </c>
      <c r="AJ28" s="23">
        <f t="shared" si="0"/>
        <v>1</v>
      </c>
      <c r="AL28" s="12" t="s">
        <v>7</v>
      </c>
      <c r="AM28" s="13">
        <v>13</v>
      </c>
      <c r="AN28" s="28">
        <v>0</v>
      </c>
      <c r="AO28" s="23">
        <v>8.8009983301163059E-7</v>
      </c>
      <c r="AP28" s="23">
        <v>7.1423484566445286E-4</v>
      </c>
      <c r="AQ28" s="23">
        <v>1.4557062266982466E-2</v>
      </c>
      <c r="AR28" s="23">
        <v>6.154690661025336E-2</v>
      </c>
      <c r="AS28" s="23">
        <v>9.866230243690137E-2</v>
      </c>
      <c r="AT28" s="23">
        <v>7.6685961022029847E-2</v>
      </c>
      <c r="AU28" s="23">
        <v>3.2489525306968296E-2</v>
      </c>
      <c r="AV28" s="23">
        <v>7.9382840017979475E-3</v>
      </c>
      <c r="AW28" s="23">
        <v>1.1415667573820534E-3</v>
      </c>
      <c r="AX28" s="23">
        <v>9.5833401653329007E-5</v>
      </c>
      <c r="AY28" s="23">
        <v>4.5070849473513147E-6</v>
      </c>
      <c r="AZ28" s="23">
        <v>1.0746176448224396E-7</v>
      </c>
      <c r="BA28" s="23">
        <v>9.8869222960253148E-10</v>
      </c>
      <c r="BB28" s="23">
        <v>0</v>
      </c>
      <c r="BC28" s="23">
        <v>0</v>
      </c>
      <c r="BD28" s="23">
        <v>0</v>
      </c>
    </row>
    <row r="29" spans="2:56" x14ac:dyDescent="0.2">
      <c r="B29" s="12" t="s">
        <v>7</v>
      </c>
      <c r="C29" s="13">
        <v>14</v>
      </c>
      <c r="D29" s="1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f>_xlfn.BINOM.DIST(S$14-$C29,$C$8-$C29,$C$9,FALSE)</f>
        <v>0.25</v>
      </c>
      <c r="T29" s="1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f>(1-$C$9)^($C$8-AH$14)</f>
        <v>0.75</v>
      </c>
      <c r="AI29" s="15">
        <v>0</v>
      </c>
      <c r="AJ29" s="23">
        <f t="shared" si="0"/>
        <v>1</v>
      </c>
      <c r="AL29" s="12" t="s">
        <v>7</v>
      </c>
      <c r="AM29" s="13">
        <v>14</v>
      </c>
      <c r="AN29" s="28">
        <v>0</v>
      </c>
      <c r="AO29" s="23">
        <v>4.1909515857696467E-8</v>
      </c>
      <c r="AP29" s="23">
        <v>7.9383748140295058E-5</v>
      </c>
      <c r="AQ29" s="23">
        <v>2.8755668834316173E-3</v>
      </c>
      <c r="AR29" s="23">
        <v>1.9722814857275162E-2</v>
      </c>
      <c r="AS29" s="23">
        <v>4.9448363433601206E-2</v>
      </c>
      <c r="AT29" s="23">
        <v>5.9284730460042435E-2</v>
      </c>
      <c r="AU29" s="23">
        <v>3.8698808564875821E-2</v>
      </c>
      <c r="AV29" s="23">
        <v>1.4693263947499721E-2</v>
      </c>
      <c r="AW29" s="23">
        <v>3.3454369801915714E-3</v>
      </c>
      <c r="AX29" s="23">
        <v>4.5945501234247844E-4</v>
      </c>
      <c r="AY29" s="23">
        <v>3.7425890234567461E-5</v>
      </c>
      <c r="AZ29" s="23">
        <v>1.7258472452637987E-6</v>
      </c>
      <c r="BA29" s="23">
        <v>4.0627725757375661E-8</v>
      </c>
      <c r="BB29" s="23">
        <v>3.707595861009493E-10</v>
      </c>
      <c r="BC29" s="23">
        <v>0</v>
      </c>
      <c r="BD29" s="23">
        <v>0</v>
      </c>
    </row>
    <row r="30" spans="2:56" x14ac:dyDescent="0.2">
      <c r="B30" s="16" t="s">
        <v>7</v>
      </c>
      <c r="C30" s="17">
        <v>15</v>
      </c>
      <c r="D30" s="18">
        <v>0</v>
      </c>
      <c r="E30" s="19">
        <v>0</v>
      </c>
      <c r="F30" s="19">
        <v>0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  <c r="O30" s="19">
        <v>0</v>
      </c>
      <c r="P30" s="19">
        <v>0</v>
      </c>
      <c r="Q30" s="19">
        <v>0</v>
      </c>
      <c r="R30" s="19">
        <v>0</v>
      </c>
      <c r="S30" s="19">
        <v>0</v>
      </c>
      <c r="T30" s="18">
        <v>0</v>
      </c>
      <c r="U30" s="19">
        <v>0</v>
      </c>
      <c r="V30" s="19">
        <v>0</v>
      </c>
      <c r="W30" s="19">
        <v>0</v>
      </c>
      <c r="X30" s="19">
        <v>0</v>
      </c>
      <c r="Y30" s="19">
        <v>0</v>
      </c>
      <c r="Z30" s="19"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v>0</v>
      </c>
      <c r="AF30" s="19">
        <v>0</v>
      </c>
      <c r="AG30" s="19">
        <v>0</v>
      </c>
      <c r="AH30" s="19">
        <v>0</v>
      </c>
      <c r="AI30" s="20">
        <f>(1-$C$9)^($C$8-AI$14)</f>
        <v>1</v>
      </c>
      <c r="AJ30" s="23">
        <f t="shared" si="0"/>
        <v>1</v>
      </c>
      <c r="AL30" s="16" t="s">
        <v>7</v>
      </c>
      <c r="AM30" s="17">
        <v>15</v>
      </c>
      <c r="AN30" s="29">
        <v>0</v>
      </c>
      <c r="AO30" s="24">
        <v>9.3132257461547934E-10</v>
      </c>
      <c r="AP30" s="24">
        <v>4.1169094342034823E-6</v>
      </c>
      <c r="AQ30" s="24">
        <v>2.6443149575060509E-4</v>
      </c>
      <c r="AR30" s="24">
        <v>2.9263027114129485E-3</v>
      </c>
      <c r="AS30" s="24">
        <v>1.1384327198784447E-2</v>
      </c>
      <c r="AT30" s="24">
        <v>2.0835195141583097E-2</v>
      </c>
      <c r="AU30" s="24">
        <v>2.0671421146143582E-2</v>
      </c>
      <c r="AV30" s="24">
        <v>1.1976768660138247E-2</v>
      </c>
      <c r="AW30" s="24">
        <v>4.2097584418103028E-3</v>
      </c>
      <c r="AX30" s="24">
        <v>9.1116062996667805E-4</v>
      </c>
      <c r="AY30" s="24">
        <v>1.2101793920804357E-4</v>
      </c>
      <c r="AZ30" s="24">
        <v>9.642123733510234E-6</v>
      </c>
      <c r="BA30" s="24">
        <v>4.3821478982681592E-7</v>
      </c>
      <c r="BB30" s="24">
        <v>1.0218724703694073E-8</v>
      </c>
      <c r="BC30" s="24">
        <v>9.2689896525237326E-11</v>
      </c>
      <c r="BD30" s="24">
        <v>0</v>
      </c>
    </row>
    <row r="31" spans="2:56" x14ac:dyDescent="0.2">
      <c r="B31" s="12" t="s">
        <v>8</v>
      </c>
      <c r="C31" s="8">
        <v>0</v>
      </c>
      <c r="D31" s="9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9">
        <v>1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1">
        <v>0</v>
      </c>
      <c r="AJ31" s="23">
        <f t="shared" si="0"/>
        <v>1</v>
      </c>
      <c r="AL31" s="12" t="s">
        <v>8</v>
      </c>
      <c r="AM31" s="13">
        <v>0</v>
      </c>
      <c r="AN31" s="28">
        <v>0</v>
      </c>
      <c r="AO31" s="23">
        <v>1.3363461010158062E-2</v>
      </c>
      <c r="AP31" s="23">
        <v>1.3363461010158062E-2</v>
      </c>
      <c r="AQ31" s="23">
        <v>1.3363461010158062E-2</v>
      </c>
      <c r="AR31" s="23">
        <v>1.3363461010158062E-2</v>
      </c>
      <c r="AS31" s="23">
        <v>1.3363461010158062E-2</v>
      </c>
      <c r="AT31" s="23">
        <v>1.3363461010158062E-2</v>
      </c>
      <c r="AU31" s="23">
        <v>1.3363461010158062E-2</v>
      </c>
      <c r="AV31" s="23">
        <v>1.3363461010158062E-2</v>
      </c>
      <c r="AW31" s="23">
        <v>1.3363461010158062E-2</v>
      </c>
      <c r="AX31" s="23">
        <v>1.3363461010158062E-2</v>
      </c>
      <c r="AY31" s="23">
        <v>1.3363461010158062E-2</v>
      </c>
      <c r="AZ31" s="23">
        <v>1.3363461010158062E-2</v>
      </c>
      <c r="BA31" s="23">
        <v>1.3363461010158062E-2</v>
      </c>
      <c r="BB31" s="23">
        <v>1.3363461010158062E-2</v>
      </c>
      <c r="BC31" s="23">
        <v>1.3363461010158062E-2</v>
      </c>
      <c r="BD31" s="23">
        <v>1.3363461010158062E-2</v>
      </c>
    </row>
    <row r="32" spans="2:56" x14ac:dyDescent="0.2">
      <c r="B32" s="12" t="s">
        <v>8</v>
      </c>
      <c r="C32" s="13">
        <v>1</v>
      </c>
      <c r="D32" s="1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14">
        <v>0</v>
      </c>
      <c r="U32" s="4">
        <v>1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15">
        <v>0</v>
      </c>
      <c r="AJ32" s="23">
        <f t="shared" si="0"/>
        <v>1</v>
      </c>
      <c r="AL32" s="12" t="s">
        <v>8</v>
      </c>
      <c r="AM32" s="13">
        <v>1</v>
      </c>
      <c r="AN32" s="28">
        <v>0</v>
      </c>
      <c r="AO32" s="23">
        <v>0</v>
      </c>
      <c r="AP32" s="23">
        <v>1.1905472678000986E-3</v>
      </c>
      <c r="AQ32" s="23">
        <v>1.1905472678000986E-3</v>
      </c>
      <c r="AR32" s="23">
        <v>1.1905472678000986E-3</v>
      </c>
      <c r="AS32" s="23">
        <v>1.1905472678000986E-3</v>
      </c>
      <c r="AT32" s="23">
        <v>1.1905472678000986E-3</v>
      </c>
      <c r="AU32" s="23">
        <v>1.1905472678000986E-3</v>
      </c>
      <c r="AV32" s="23">
        <v>1.1905472678000986E-3</v>
      </c>
      <c r="AW32" s="23">
        <v>1.1905472678000986E-3</v>
      </c>
      <c r="AX32" s="23">
        <v>1.1905472678000986E-3</v>
      </c>
      <c r="AY32" s="23">
        <v>1.1905472678000986E-3</v>
      </c>
      <c r="AZ32" s="23">
        <v>1.1905472678000986E-3</v>
      </c>
      <c r="BA32" s="23">
        <v>1.1905472678000986E-3</v>
      </c>
      <c r="BB32" s="23">
        <v>1.1905472678000986E-3</v>
      </c>
      <c r="BC32" s="23">
        <v>1.1905472678000986E-3</v>
      </c>
      <c r="BD32" s="23">
        <v>1.1905472678000986E-3</v>
      </c>
    </row>
    <row r="33" spans="2:56" x14ac:dyDescent="0.2">
      <c r="B33" s="12" t="s">
        <v>8</v>
      </c>
      <c r="C33" s="13">
        <v>2</v>
      </c>
      <c r="D33" s="1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14">
        <v>0</v>
      </c>
      <c r="U33" s="4">
        <v>0</v>
      </c>
      <c r="V33" s="4">
        <v>1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15">
        <v>0</v>
      </c>
      <c r="AJ33" s="23">
        <f t="shared" si="0"/>
        <v>1</v>
      </c>
      <c r="AL33" s="12" t="s">
        <v>8</v>
      </c>
      <c r="AM33" s="13">
        <v>2</v>
      </c>
      <c r="AN33" s="28">
        <v>0</v>
      </c>
      <c r="AO33" s="23">
        <v>0</v>
      </c>
      <c r="AP33" s="23">
        <v>3.7039248331558619E-3</v>
      </c>
      <c r="AQ33" s="23">
        <v>3.8359175134023539E-3</v>
      </c>
      <c r="AR33" s="23">
        <v>3.8359175134023539E-3</v>
      </c>
      <c r="AS33" s="23">
        <v>3.8359175134023539E-3</v>
      </c>
      <c r="AT33" s="23">
        <v>3.8359175134023539E-3</v>
      </c>
      <c r="AU33" s="23">
        <v>3.8359175134023539E-3</v>
      </c>
      <c r="AV33" s="23">
        <v>3.8359175134023539E-3</v>
      </c>
      <c r="AW33" s="23">
        <v>3.8359175134023539E-3</v>
      </c>
      <c r="AX33" s="23">
        <v>3.8359175134023539E-3</v>
      </c>
      <c r="AY33" s="23">
        <v>3.8359175134023539E-3</v>
      </c>
      <c r="AZ33" s="23">
        <v>3.8359175134023539E-3</v>
      </c>
      <c r="BA33" s="23">
        <v>3.8359175134023539E-3</v>
      </c>
      <c r="BB33" s="23">
        <v>3.8359175134023539E-3</v>
      </c>
      <c r="BC33" s="23">
        <v>3.8359175134023539E-3</v>
      </c>
      <c r="BD33" s="23">
        <v>3.8359175134023539E-3</v>
      </c>
    </row>
    <row r="34" spans="2:56" x14ac:dyDescent="0.2">
      <c r="B34" s="12" t="s">
        <v>8</v>
      </c>
      <c r="C34" s="13">
        <v>3</v>
      </c>
      <c r="D34" s="1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14">
        <v>0</v>
      </c>
      <c r="U34" s="4">
        <v>0</v>
      </c>
      <c r="V34" s="4">
        <v>0</v>
      </c>
      <c r="W34" s="4">
        <v>1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15">
        <v>0</v>
      </c>
      <c r="AJ34" s="23">
        <f t="shared" si="0"/>
        <v>1</v>
      </c>
      <c r="AL34" s="12" t="s">
        <v>8</v>
      </c>
      <c r="AM34" s="13">
        <v>3</v>
      </c>
      <c r="AN34" s="28">
        <v>0</v>
      </c>
      <c r="AO34" s="23">
        <v>0</v>
      </c>
      <c r="AP34" s="23">
        <v>7.1334848638557333E-3</v>
      </c>
      <c r="AQ34" s="23">
        <v>8.0232133010728294E-3</v>
      </c>
      <c r="AR34" s="23">
        <v>8.0413311696905503E-3</v>
      </c>
      <c r="AS34" s="23">
        <v>8.0413311696905503E-3</v>
      </c>
      <c r="AT34" s="23">
        <v>8.0413311696905503E-3</v>
      </c>
      <c r="AU34" s="23">
        <v>8.0413311696905503E-3</v>
      </c>
      <c r="AV34" s="23">
        <v>8.0413311696905503E-3</v>
      </c>
      <c r="AW34" s="23">
        <v>8.0413311696905503E-3</v>
      </c>
      <c r="AX34" s="23">
        <v>8.0413311696905503E-3</v>
      </c>
      <c r="AY34" s="23">
        <v>8.0413311696905503E-3</v>
      </c>
      <c r="AZ34" s="23">
        <v>8.0413311696905503E-3</v>
      </c>
      <c r="BA34" s="23">
        <v>8.0413311696905503E-3</v>
      </c>
      <c r="BB34" s="23">
        <v>8.0413311696905503E-3</v>
      </c>
      <c r="BC34" s="23">
        <v>8.0413311696905503E-3</v>
      </c>
      <c r="BD34" s="23">
        <v>8.0413311696905503E-3</v>
      </c>
    </row>
    <row r="35" spans="2:56" x14ac:dyDescent="0.2">
      <c r="B35" s="12" t="s">
        <v>8</v>
      </c>
      <c r="C35" s="13">
        <v>4</v>
      </c>
      <c r="D35" s="1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14">
        <v>0</v>
      </c>
      <c r="U35" s="4">
        <v>0</v>
      </c>
      <c r="V35" s="4">
        <v>0</v>
      </c>
      <c r="W35" s="4">
        <v>0</v>
      </c>
      <c r="X35" s="4">
        <v>1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15">
        <v>0</v>
      </c>
      <c r="AJ35" s="23">
        <f t="shared" si="0"/>
        <v>1</v>
      </c>
      <c r="AL35" s="12" t="s">
        <v>8</v>
      </c>
      <c r="AM35" s="13">
        <v>4</v>
      </c>
      <c r="AN35" s="28">
        <v>0</v>
      </c>
      <c r="AO35" s="23">
        <v>0</v>
      </c>
      <c r="AP35" s="23">
        <v>9.511313151807645E-3</v>
      </c>
      <c r="AQ35" s="23">
        <v>1.2750112965592628E-2</v>
      </c>
      <c r="AR35" s="23">
        <v>1.2948738488216534E-2</v>
      </c>
      <c r="AS35" s="23">
        <v>1.2951799330799259E-2</v>
      </c>
      <c r="AT35" s="23">
        <v>1.2951799330799259E-2</v>
      </c>
      <c r="AU35" s="23">
        <v>1.2951799330799259E-2</v>
      </c>
      <c r="AV35" s="23">
        <v>1.2951799330799259E-2</v>
      </c>
      <c r="AW35" s="23">
        <v>1.2951799330799259E-2</v>
      </c>
      <c r="AX35" s="23">
        <v>1.2951799330799259E-2</v>
      </c>
      <c r="AY35" s="23">
        <v>1.2951799330799259E-2</v>
      </c>
      <c r="AZ35" s="23">
        <v>1.2951799330799259E-2</v>
      </c>
      <c r="BA35" s="23">
        <v>1.2951799330799259E-2</v>
      </c>
      <c r="BB35" s="23">
        <v>1.2951799330799259E-2</v>
      </c>
      <c r="BC35" s="23">
        <v>1.2951799330799259E-2</v>
      </c>
      <c r="BD35" s="23">
        <v>1.2951799330799259E-2</v>
      </c>
    </row>
    <row r="36" spans="2:56" x14ac:dyDescent="0.2">
      <c r="B36" s="12" t="s">
        <v>8</v>
      </c>
      <c r="C36" s="13">
        <v>5</v>
      </c>
      <c r="D36" s="1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14">
        <v>0</v>
      </c>
      <c r="U36" s="4">
        <v>0</v>
      </c>
      <c r="V36" s="4">
        <v>0</v>
      </c>
      <c r="W36" s="4">
        <v>0</v>
      </c>
      <c r="X36" s="4">
        <v>0</v>
      </c>
      <c r="Y36" s="4">
        <v>1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15">
        <v>0</v>
      </c>
      <c r="AJ36" s="23">
        <f t="shared" si="0"/>
        <v>1</v>
      </c>
      <c r="AL36" s="12" t="s">
        <v>8</v>
      </c>
      <c r="AM36" s="13">
        <v>5</v>
      </c>
      <c r="AN36" s="28">
        <v>0</v>
      </c>
      <c r="AO36" s="23">
        <v>0</v>
      </c>
      <c r="AP36" s="23">
        <v>9.299950637323029E-3</v>
      </c>
      <c r="AQ36" s="23">
        <v>1.7247703151942677E-2</v>
      </c>
      <c r="AR36" s="23">
        <v>1.8362621723378925E-2</v>
      </c>
      <c r="AS36" s="23">
        <v>1.84111165544221E-2</v>
      </c>
      <c r="AT36" s="23">
        <v>1.8411748566036053E-2</v>
      </c>
      <c r="AU36" s="23">
        <v>1.8411748566036053E-2</v>
      </c>
      <c r="AV36" s="23">
        <v>1.8411748566036053E-2</v>
      </c>
      <c r="AW36" s="23">
        <v>1.8411748566036053E-2</v>
      </c>
      <c r="AX36" s="23">
        <v>1.8411748566036053E-2</v>
      </c>
      <c r="AY36" s="23">
        <v>1.8411748566036053E-2</v>
      </c>
      <c r="AZ36" s="23">
        <v>1.8411748566036053E-2</v>
      </c>
      <c r="BA36" s="23">
        <v>1.8411748566036053E-2</v>
      </c>
      <c r="BB36" s="23">
        <v>1.8411748566036053E-2</v>
      </c>
      <c r="BC36" s="23">
        <v>1.8411748566036053E-2</v>
      </c>
      <c r="BD36" s="23">
        <v>1.8411748566036053E-2</v>
      </c>
    </row>
    <row r="37" spans="2:56" x14ac:dyDescent="0.2">
      <c r="B37" s="12" t="s">
        <v>8</v>
      </c>
      <c r="C37" s="13">
        <v>6</v>
      </c>
      <c r="D37" s="1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1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1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15">
        <v>0</v>
      </c>
      <c r="AJ37" s="23">
        <f t="shared" si="0"/>
        <v>1</v>
      </c>
      <c r="AL37" s="12" t="s">
        <v>8</v>
      </c>
      <c r="AM37" s="13">
        <v>6</v>
      </c>
      <c r="AN37" s="28">
        <v>0</v>
      </c>
      <c r="AO37" s="23">
        <v>0</v>
      </c>
      <c r="AP37" s="23">
        <v>6.8888523239429809E-3</v>
      </c>
      <c r="AQ37" s="23">
        <v>2.1136389221307762E-2</v>
      </c>
      <c r="AR37" s="23">
        <v>2.5243516575264465E-2</v>
      </c>
      <c r="AS37" s="23">
        <v>2.562478497061076E-2</v>
      </c>
      <c r="AT37" s="23">
        <v>2.5638326838114137E-2</v>
      </c>
      <c r="AU37" s="23">
        <v>2.5638485019426664E-2</v>
      </c>
      <c r="AV37" s="23">
        <v>2.5638485019426664E-2</v>
      </c>
      <c r="AW37" s="23">
        <v>2.5638485019426664E-2</v>
      </c>
      <c r="AX37" s="23">
        <v>2.5638485019426664E-2</v>
      </c>
      <c r="AY37" s="23">
        <v>2.5638485019426664E-2</v>
      </c>
      <c r="AZ37" s="23">
        <v>2.5638485019426664E-2</v>
      </c>
      <c r="BA37" s="23">
        <v>2.5638485019426664E-2</v>
      </c>
      <c r="BB37" s="23">
        <v>2.5638485019426664E-2</v>
      </c>
      <c r="BC37" s="23">
        <v>2.5638485019426664E-2</v>
      </c>
      <c r="BD37" s="23">
        <v>2.5638485019426664E-2</v>
      </c>
    </row>
    <row r="38" spans="2:56" x14ac:dyDescent="0.2">
      <c r="B38" s="12" t="s">
        <v>8</v>
      </c>
      <c r="C38" s="13">
        <v>7</v>
      </c>
      <c r="D38" s="1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1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1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15">
        <v>0</v>
      </c>
      <c r="AJ38" s="23">
        <f t="shared" si="0"/>
        <v>1</v>
      </c>
      <c r="AL38" s="12" t="s">
        <v>8</v>
      </c>
      <c r="AM38" s="13">
        <v>7</v>
      </c>
      <c r="AN38" s="28">
        <v>0</v>
      </c>
      <c r="AO38" s="23">
        <v>0</v>
      </c>
      <c r="AP38" s="23">
        <v>3.9364870422531331E-3</v>
      </c>
      <c r="AQ38" s="23">
        <v>2.3298912921491131E-2</v>
      </c>
      <c r="AR38" s="23">
        <v>3.4152188126916276E-2</v>
      </c>
      <c r="AS38" s="23">
        <v>3.6076410198994657E-2</v>
      </c>
      <c r="AT38" s="23">
        <v>3.6217067291910411E-2</v>
      </c>
      <c r="AU38" s="23">
        <v>3.6221450802027974E-2</v>
      </c>
      <c r="AV38" s="23">
        <v>3.6221498310004881E-2</v>
      </c>
      <c r="AW38" s="23">
        <v>3.6221498310004881E-2</v>
      </c>
      <c r="AX38" s="23">
        <v>3.6221498310004881E-2</v>
      </c>
      <c r="AY38" s="23">
        <v>3.6221498310004881E-2</v>
      </c>
      <c r="AZ38" s="23">
        <v>3.6221498310004881E-2</v>
      </c>
      <c r="BA38" s="23">
        <v>3.6221498310004881E-2</v>
      </c>
      <c r="BB38" s="23">
        <v>3.6221498310004881E-2</v>
      </c>
      <c r="BC38" s="23">
        <v>3.6221498310004881E-2</v>
      </c>
      <c r="BD38" s="23">
        <v>3.6221498310004881E-2</v>
      </c>
    </row>
    <row r="39" spans="2:56" x14ac:dyDescent="0.2">
      <c r="B39" s="12" t="s">
        <v>8</v>
      </c>
      <c r="C39" s="13">
        <v>8</v>
      </c>
      <c r="D39" s="1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1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1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15">
        <v>0</v>
      </c>
      <c r="AJ39" s="23">
        <f t="shared" si="0"/>
        <v>1</v>
      </c>
      <c r="AL39" s="12" t="s">
        <v>8</v>
      </c>
      <c r="AM39" s="13">
        <v>8</v>
      </c>
      <c r="AN39" s="28">
        <v>0</v>
      </c>
      <c r="AO39" s="23">
        <v>0</v>
      </c>
      <c r="AP39" s="23">
        <v>1.7495497965569484E-3</v>
      </c>
      <c r="AQ39" s="23">
        <v>2.203542847767264E-2</v>
      </c>
      <c r="AR39" s="23">
        <v>4.3439875737632527E-2</v>
      </c>
      <c r="AS39" s="23">
        <v>5.02734546670087E-2</v>
      </c>
      <c r="AT39" s="23">
        <v>5.1192402476579149E-2</v>
      </c>
      <c r="AU39" s="23">
        <v>5.1250075790525186E-2</v>
      </c>
      <c r="AV39" s="23">
        <v>5.1251720590398703E-2</v>
      </c>
      <c r="AW39" s="23">
        <v>5.1251737501197124E-2</v>
      </c>
      <c r="AX39" s="23">
        <v>5.1251737501197124E-2</v>
      </c>
      <c r="AY39" s="23">
        <v>5.1251737501197124E-2</v>
      </c>
      <c r="AZ39" s="23">
        <v>5.1251737501197124E-2</v>
      </c>
      <c r="BA39" s="23">
        <v>5.1251737501197124E-2</v>
      </c>
      <c r="BB39" s="23">
        <v>5.1251737501197124E-2</v>
      </c>
      <c r="BC39" s="23">
        <v>5.1251737501197124E-2</v>
      </c>
      <c r="BD39" s="23">
        <v>5.1251737501197124E-2</v>
      </c>
    </row>
    <row r="40" spans="2:56" x14ac:dyDescent="0.2">
      <c r="B40" s="12" t="s">
        <v>8</v>
      </c>
      <c r="C40" s="13">
        <v>9</v>
      </c>
      <c r="D40" s="1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1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1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15">
        <v>0</v>
      </c>
      <c r="AJ40" s="23">
        <f t="shared" si="0"/>
        <v>1</v>
      </c>
      <c r="AL40" s="12" t="s">
        <v>8</v>
      </c>
      <c r="AM40" s="13">
        <v>9</v>
      </c>
      <c r="AN40" s="28">
        <v>0</v>
      </c>
      <c r="AO40" s="23">
        <v>0</v>
      </c>
      <c r="AP40" s="23">
        <v>6.0478264572338969E-4</v>
      </c>
      <c r="AQ40" s="23">
        <v>1.7058559886091042E-2</v>
      </c>
      <c r="AR40" s="23">
        <v>4.9075530808341927E-2</v>
      </c>
      <c r="AS40" s="23">
        <v>6.6833926750442474E-2</v>
      </c>
      <c r="AT40" s="23">
        <v>7.0971785075022387E-2</v>
      </c>
      <c r="AU40" s="23">
        <v>7.1439081942273441E-2</v>
      </c>
      <c r="AV40" s="23">
        <v>7.1465547485043385E-2</v>
      </c>
      <c r="AW40" s="23">
        <v>7.1466256848489784E-2</v>
      </c>
      <c r="AX40" s="23">
        <v>7.1466263871260316E-2</v>
      </c>
      <c r="AY40" s="23">
        <v>7.1466263871260316E-2</v>
      </c>
      <c r="AZ40" s="23">
        <v>7.1466263871260316E-2</v>
      </c>
      <c r="BA40" s="23">
        <v>7.1466263871260316E-2</v>
      </c>
      <c r="BB40" s="23">
        <v>7.1466263871260316E-2</v>
      </c>
      <c r="BC40" s="23">
        <v>7.1466263871260316E-2</v>
      </c>
      <c r="BD40" s="23">
        <v>7.1466263871260316E-2</v>
      </c>
    </row>
    <row r="41" spans="2:56" x14ac:dyDescent="0.2">
      <c r="B41" s="12" t="s">
        <v>8</v>
      </c>
      <c r="C41" s="13">
        <v>10</v>
      </c>
      <c r="D41" s="1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1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1</v>
      </c>
      <c r="AE41" s="4">
        <v>0</v>
      </c>
      <c r="AF41" s="4">
        <v>0</v>
      </c>
      <c r="AG41" s="4">
        <v>0</v>
      </c>
      <c r="AH41" s="4">
        <v>0</v>
      </c>
      <c r="AI41" s="15">
        <v>0</v>
      </c>
      <c r="AJ41" s="23">
        <f t="shared" si="0"/>
        <v>1</v>
      </c>
      <c r="AL41" s="12" t="s">
        <v>8</v>
      </c>
      <c r="AM41" s="13">
        <v>10</v>
      </c>
      <c r="AN41" s="28">
        <v>0</v>
      </c>
      <c r="AO41" s="23">
        <v>0</v>
      </c>
      <c r="AP41" s="23">
        <v>1.6127537219290391E-4</v>
      </c>
      <c r="AQ41" s="23">
        <v>1.0430758358191249E-2</v>
      </c>
      <c r="AR41" s="23">
        <v>4.6787259432336761E-2</v>
      </c>
      <c r="AS41" s="23">
        <v>8.0998447411697566E-2</v>
      </c>
      <c r="AT41" s="23">
        <v>9.4310790307953599E-2</v>
      </c>
      <c r="AU41" s="23">
        <v>9.6857872164833297E-2</v>
      </c>
      <c r="AV41" s="23">
        <v>9.7113805883707133E-2</v>
      </c>
      <c r="AW41" s="23">
        <v>9.7127300804932551E-2</v>
      </c>
      <c r="AX41" s="23">
        <v>9.7127646839168538E-2</v>
      </c>
      <c r="AY41" s="23">
        <v>9.7127650172241273E-2</v>
      </c>
      <c r="AZ41" s="23">
        <v>9.7127650172241273E-2</v>
      </c>
      <c r="BA41" s="23">
        <v>9.7127650172241273E-2</v>
      </c>
      <c r="BB41" s="23">
        <v>9.7127650172241273E-2</v>
      </c>
      <c r="BC41" s="23">
        <v>9.7127650172241273E-2</v>
      </c>
      <c r="BD41" s="23">
        <v>9.7127650172241273E-2</v>
      </c>
    </row>
    <row r="42" spans="2:56" x14ac:dyDescent="0.2">
      <c r="B42" s="12" t="s">
        <v>8</v>
      </c>
      <c r="C42" s="13">
        <v>11</v>
      </c>
      <c r="D42" s="1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1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1</v>
      </c>
      <c r="AF42" s="4">
        <v>0</v>
      </c>
      <c r="AG42" s="4">
        <v>0</v>
      </c>
      <c r="AH42" s="4">
        <v>0</v>
      </c>
      <c r="AI42" s="15">
        <v>0</v>
      </c>
      <c r="AJ42" s="23">
        <f t="shared" si="0"/>
        <v>1</v>
      </c>
      <c r="AL42" s="12" t="s">
        <v>8</v>
      </c>
      <c r="AM42" s="13">
        <v>11</v>
      </c>
      <c r="AN42" s="28">
        <v>0</v>
      </c>
      <c r="AO42" s="23">
        <v>0</v>
      </c>
      <c r="AP42" s="23">
        <v>3.2580883271293742E-5</v>
      </c>
      <c r="AQ42" s="23">
        <v>4.8817267348524561E-3</v>
      </c>
      <c r="AR42" s="23">
        <v>3.5828141757927062E-2</v>
      </c>
      <c r="AS42" s="23">
        <v>8.4416686395844348E-2</v>
      </c>
      <c r="AT42" s="23">
        <v>0.11521862932939013</v>
      </c>
      <c r="AU42" s="23">
        <v>0.12483853630866612</v>
      </c>
      <c r="AV42" s="23">
        <v>0.12645302972681199</v>
      </c>
      <c r="AW42" s="23">
        <v>0.126602638827855</v>
      </c>
      <c r="AX42" s="23">
        <v>0.12661013630466958</v>
      </c>
      <c r="AY42" s="23">
        <v>0.12661032248707538</v>
      </c>
      <c r="AZ42" s="23">
        <v>0.12661032424475044</v>
      </c>
      <c r="BA42" s="23">
        <v>0.12661032424475044</v>
      </c>
      <c r="BB42" s="23">
        <v>0.12661032424475044</v>
      </c>
      <c r="BC42" s="23">
        <v>0.12661032424475044</v>
      </c>
      <c r="BD42" s="23">
        <v>0.12661032424475044</v>
      </c>
    </row>
    <row r="43" spans="2:56" x14ac:dyDescent="0.2">
      <c r="B43" s="12" t="s">
        <v>8</v>
      </c>
      <c r="C43" s="13">
        <v>12</v>
      </c>
      <c r="D43" s="1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1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1</v>
      </c>
      <c r="AG43" s="4">
        <v>0</v>
      </c>
      <c r="AH43" s="4">
        <v>0</v>
      </c>
      <c r="AI43" s="15">
        <v>0</v>
      </c>
      <c r="AJ43" s="23">
        <f t="shared" si="0"/>
        <v>1</v>
      </c>
      <c r="AL43" s="12" t="s">
        <v>8</v>
      </c>
      <c r="AM43" s="13">
        <v>12</v>
      </c>
      <c r="AN43" s="28">
        <v>0</v>
      </c>
      <c r="AO43" s="23">
        <v>0</v>
      </c>
      <c r="AP43" s="23">
        <v>4.8267975216731446E-6</v>
      </c>
      <c r="AQ43" s="23">
        <v>1.6826879787470506E-3</v>
      </c>
      <c r="AR43" s="23">
        <v>2.0861754478951958E-2</v>
      </c>
      <c r="AS43" s="23">
        <v>7.0501211207819353E-2</v>
      </c>
      <c r="AT43" s="23">
        <v>0.12087073122219028</v>
      </c>
      <c r="AU43" s="23">
        <v>0.14591193001941621</v>
      </c>
      <c r="AV43" s="23">
        <v>0.1526740498151728</v>
      </c>
      <c r="AW43" s="23">
        <v>0.15371074622785891</v>
      </c>
      <c r="AX43" s="23">
        <v>0.15380145185029465</v>
      </c>
      <c r="AY43" s="23">
        <v>0.15380583357916675</v>
      </c>
      <c r="AZ43" s="23">
        <v>0.15380593986914784</v>
      </c>
      <c r="BA43" s="23">
        <v>0.15380594085784008</v>
      </c>
      <c r="BB43" s="23">
        <v>0.15380594085784008</v>
      </c>
      <c r="BC43" s="23">
        <v>0.15380594085784008</v>
      </c>
      <c r="BD43" s="23">
        <v>0.15380594085784008</v>
      </c>
    </row>
    <row r="44" spans="2:56" x14ac:dyDescent="0.2">
      <c r="B44" s="12" t="s">
        <v>8</v>
      </c>
      <c r="C44" s="13">
        <v>13</v>
      </c>
      <c r="D44" s="1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1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</v>
      </c>
      <c r="AH44" s="4">
        <v>0</v>
      </c>
      <c r="AI44" s="15">
        <v>0</v>
      </c>
      <c r="AJ44" s="23">
        <f t="shared" si="0"/>
        <v>1</v>
      </c>
      <c r="AL44" s="12" t="s">
        <v>8</v>
      </c>
      <c r="AM44" s="13">
        <v>13</v>
      </c>
      <c r="AN44" s="28">
        <v>0</v>
      </c>
      <c r="AO44" s="23">
        <v>0</v>
      </c>
      <c r="AP44" s="23">
        <v>4.950561560690422E-7</v>
      </c>
      <c r="AQ44" s="23">
        <v>4.0225215684232377E-4</v>
      </c>
      <c r="AR44" s="23">
        <v>8.5905996820199622E-3</v>
      </c>
      <c r="AS44" s="23">
        <v>4.3210734650287477E-2</v>
      </c>
      <c r="AT44" s="23">
        <v>9.8708279771044488E-2</v>
      </c>
      <c r="AU44" s="23">
        <v>0.14184413284593628</v>
      </c>
      <c r="AV44" s="23">
        <v>0.16011949083110594</v>
      </c>
      <c r="AW44" s="23">
        <v>0.16458477558211729</v>
      </c>
      <c r="AX44" s="23">
        <v>0.1652269068831447</v>
      </c>
      <c r="AY44" s="23">
        <v>0.1652808131715747</v>
      </c>
      <c r="AZ44" s="23">
        <v>0.16528334840685757</v>
      </c>
      <c r="BA44" s="23">
        <v>0.16528340885410009</v>
      </c>
      <c r="BB44" s="23">
        <v>0.16528340941023947</v>
      </c>
      <c r="BC44" s="23">
        <v>0.16528340941023947</v>
      </c>
      <c r="BD44" s="23">
        <v>0.16528340941023947</v>
      </c>
    </row>
    <row r="45" spans="2:56" x14ac:dyDescent="0.2">
      <c r="B45" s="12" t="s">
        <v>8</v>
      </c>
      <c r="C45" s="13">
        <v>14</v>
      </c>
      <c r="D45" s="1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1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1</v>
      </c>
      <c r="AI45" s="15">
        <v>0</v>
      </c>
      <c r="AJ45" s="23">
        <f t="shared" si="0"/>
        <v>1</v>
      </c>
      <c r="AL45" s="12" t="s">
        <v>8</v>
      </c>
      <c r="AM45" s="13">
        <v>14</v>
      </c>
      <c r="AN45" s="28">
        <v>0</v>
      </c>
      <c r="AO45" s="23">
        <v>0</v>
      </c>
      <c r="AP45" s="23">
        <v>3.1432136893272347E-8</v>
      </c>
      <c r="AQ45" s="23">
        <v>5.9569243242114566E-5</v>
      </c>
      <c r="AR45" s="23">
        <v>2.2162444058158276E-3</v>
      </c>
      <c r="AS45" s="23">
        <v>1.7008355548772201E-2</v>
      </c>
      <c r="AT45" s="23">
        <v>5.4094628123973101E-2</v>
      </c>
      <c r="AU45" s="23">
        <v>9.855817596900493E-2</v>
      </c>
      <c r="AV45" s="23">
        <v>0.12758228239266178</v>
      </c>
      <c r="AW45" s="23">
        <v>0.13860223035328656</v>
      </c>
      <c r="AX45" s="23">
        <v>0.14111130808843023</v>
      </c>
      <c r="AY45" s="23">
        <v>0.1414558993476871</v>
      </c>
      <c r="AZ45" s="23">
        <v>0.14148396876536301</v>
      </c>
      <c r="BA45" s="23">
        <v>0.14148526315079696</v>
      </c>
      <c r="BB45" s="23">
        <v>0.14148529362159126</v>
      </c>
      <c r="BC45" s="23">
        <v>0.14148529389966094</v>
      </c>
      <c r="BD45" s="23">
        <v>0.14148529389966094</v>
      </c>
    </row>
    <row r="46" spans="2:56" x14ac:dyDescent="0.2">
      <c r="B46" s="16" t="s">
        <v>8</v>
      </c>
      <c r="C46" s="17">
        <v>15</v>
      </c>
      <c r="D46" s="18">
        <v>0</v>
      </c>
      <c r="E46" s="19">
        <v>0</v>
      </c>
      <c r="F46" s="19">
        <v>0</v>
      </c>
      <c r="G46" s="19">
        <v>0</v>
      </c>
      <c r="H46" s="19">
        <v>0</v>
      </c>
      <c r="I46" s="19">
        <v>0</v>
      </c>
      <c r="J46" s="19">
        <v>0</v>
      </c>
      <c r="K46" s="19">
        <v>0</v>
      </c>
      <c r="L46" s="19">
        <v>0</v>
      </c>
      <c r="M46" s="19">
        <v>0</v>
      </c>
      <c r="N46" s="19">
        <v>0</v>
      </c>
      <c r="O46" s="19">
        <v>0</v>
      </c>
      <c r="P46" s="19">
        <v>0</v>
      </c>
      <c r="Q46" s="19">
        <v>0</v>
      </c>
      <c r="R46" s="19">
        <v>0</v>
      </c>
      <c r="S46" s="19">
        <v>0</v>
      </c>
      <c r="T46" s="18">
        <v>0</v>
      </c>
      <c r="U46" s="19">
        <v>0</v>
      </c>
      <c r="V46" s="19">
        <v>0</v>
      </c>
      <c r="W46" s="19">
        <v>0</v>
      </c>
      <c r="X46" s="19">
        <v>0</v>
      </c>
      <c r="Y46" s="19">
        <v>0</v>
      </c>
      <c r="Z46" s="19">
        <v>0</v>
      </c>
      <c r="AA46" s="19">
        <v>0</v>
      </c>
      <c r="AB46" s="19">
        <v>0</v>
      </c>
      <c r="AC46" s="19">
        <v>0</v>
      </c>
      <c r="AD46" s="19">
        <v>0</v>
      </c>
      <c r="AE46" s="19">
        <v>0</v>
      </c>
      <c r="AF46" s="19">
        <v>0</v>
      </c>
      <c r="AG46" s="19">
        <v>0</v>
      </c>
      <c r="AH46" s="19">
        <v>0</v>
      </c>
      <c r="AI46" s="20">
        <v>1</v>
      </c>
      <c r="AJ46" s="24">
        <f t="shared" si="0"/>
        <v>1</v>
      </c>
      <c r="AL46" s="16" t="s">
        <v>8</v>
      </c>
      <c r="AM46" s="17">
        <v>15</v>
      </c>
      <c r="AN46" s="29">
        <v>0</v>
      </c>
      <c r="AO46" s="24">
        <v>0</v>
      </c>
      <c r="AP46" s="24">
        <v>9.3132257461547934E-10</v>
      </c>
      <c r="AQ46" s="24">
        <v>4.1178407567780978E-6</v>
      </c>
      <c r="AR46" s="24">
        <v>2.6854933650738319E-4</v>
      </c>
      <c r="AS46" s="24">
        <v>3.1948520479203315E-3</v>
      </c>
      <c r="AT46" s="24">
        <v>1.4579179246704779E-2</v>
      </c>
      <c r="AU46" s="24">
        <v>3.5414374388287873E-2</v>
      </c>
      <c r="AV46" s="24">
        <v>5.6085795534431451E-2</v>
      </c>
      <c r="AW46" s="24">
        <v>6.80625641945697E-2</v>
      </c>
      <c r="AX46" s="24">
        <v>7.2272322636380004E-2</v>
      </c>
      <c r="AY46" s="24">
        <v>7.3183483266346688E-2</v>
      </c>
      <c r="AZ46" s="24">
        <v>7.3304501205554734E-2</v>
      </c>
      <c r="BA46" s="24">
        <v>7.3314143329288248E-2</v>
      </c>
      <c r="BB46" s="24">
        <v>7.3314581544078078E-2</v>
      </c>
      <c r="BC46" s="24">
        <v>7.3314591762802778E-2</v>
      </c>
      <c r="BD46" s="24">
        <v>7.3314591855492675E-2</v>
      </c>
    </row>
  </sheetData>
  <phoneticPr fontId="3" type="noConversion"/>
  <conditionalFormatting sqref="D15:AI46 AN16:AN46">
    <cfRule type="cellIs" dxfId="1" priority="3" operator="greaterThan">
      <formula>0</formula>
    </cfRule>
  </conditionalFormatting>
  <conditionalFormatting sqref="AJ15:AJ46">
    <cfRule type="cellIs" dxfId="0" priority="2" operator="equal">
      <formula>1</formula>
    </cfRule>
  </conditionalFormatting>
  <conditionalFormatting sqref="BD31:BD46">
    <cfRule type="colorScale" priority="1">
      <colorScale>
        <cfvo type="min"/>
        <cfvo type="max"/>
        <color rgb="FFFCFCFF"/>
        <color rgb="FF63BE7B"/>
      </colorScale>
    </cfRule>
  </conditionalFormatting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McElroy, Mason</cp:lastModifiedBy>
  <cp:revision>4</cp:revision>
  <dcterms:created xsi:type="dcterms:W3CDTF">2026-08-17T21:12:23Z</dcterms:created>
  <dcterms:modified xsi:type="dcterms:W3CDTF">2026-08-18T20:30:52Z</dcterms:modified>
  <dc:language>en-US</dc:language>
</cp:coreProperties>
</file>