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th Course\Part 2 - Core Math Concepts\"/>
    </mc:Choice>
  </mc:AlternateContent>
  <xr:revisionPtr revIDLastSave="0" documentId="13_ncr:1_{E0D698FD-44FF-47D0-904E-A631AAD04BD0}" xr6:coauthVersionLast="47" xr6:coauthVersionMax="47" xr10:uidLastSave="{00000000-0000-0000-0000-000000000000}"/>
  <bookViews>
    <workbookView xWindow="-120" yWindow="-120" windowWidth="29040" windowHeight="15840" activeTab="1" xr2:uid="{1F49DC71-CB8C-4EA7-911C-843D7AAB3643}"/>
  </bookViews>
  <sheets>
    <sheet name="Coin Flip Games" sheetId="3" r:id="rId1"/>
    <sheet name="Dice G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3" l="1"/>
  <c r="F5" i="3" s="1"/>
  <c r="G5" i="3" s="1"/>
  <c r="E6" i="3"/>
  <c r="F6" i="3" s="1"/>
  <c r="G6" i="3" s="1"/>
  <c r="E4" i="3"/>
  <c r="F4" i="3" s="1"/>
  <c r="G4" i="3" s="1"/>
  <c r="D21" i="2"/>
  <c r="D14" i="2"/>
  <c r="E14" i="2"/>
  <c r="F14" i="2"/>
  <c r="G14" i="2"/>
  <c r="H14" i="2"/>
  <c r="I14" i="2"/>
  <c r="D15" i="2"/>
  <c r="E15" i="2"/>
  <c r="F15" i="2"/>
  <c r="G15" i="2"/>
  <c r="H15" i="2"/>
  <c r="I15" i="2"/>
  <c r="D16" i="2"/>
  <c r="E16" i="2"/>
  <c r="F16" i="2"/>
  <c r="G16" i="2"/>
  <c r="H16" i="2"/>
  <c r="I16" i="2"/>
  <c r="D17" i="2"/>
  <c r="E17" i="2"/>
  <c r="F17" i="2"/>
  <c r="G17" i="2"/>
  <c r="H17" i="2"/>
  <c r="I17" i="2"/>
  <c r="D18" i="2"/>
  <c r="E18" i="2"/>
  <c r="F18" i="2"/>
  <c r="G18" i="2"/>
  <c r="H18" i="2"/>
  <c r="I18" i="2"/>
  <c r="E13" i="2"/>
  <c r="F13" i="2"/>
  <c r="G13" i="2"/>
  <c r="H13" i="2"/>
  <c r="I13" i="2"/>
  <c r="D13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9" i="2"/>
  <c r="E9" i="2"/>
  <c r="F9" i="2"/>
  <c r="G9" i="2"/>
  <c r="H9" i="2"/>
  <c r="I9" i="2"/>
  <c r="E4" i="2"/>
  <c r="F4" i="2"/>
  <c r="G4" i="2"/>
  <c r="H4" i="2"/>
  <c r="I4" i="2"/>
  <c r="D4" i="2"/>
  <c r="D20" i="2" l="1"/>
  <c r="D22" i="2"/>
</calcChain>
</file>

<file path=xl/sharedStrings.xml><?xml version="1.0" encoding="utf-8"?>
<sst xmlns="http://schemas.openxmlformats.org/spreadsheetml/2006/main" count="17" uniqueCount="15">
  <si>
    <t>Heads</t>
  </si>
  <si>
    <t>Tails</t>
  </si>
  <si>
    <t>Value</t>
  </si>
  <si>
    <t>Game 1</t>
  </si>
  <si>
    <t>Game 2</t>
  </si>
  <si>
    <t>Game 3</t>
  </si>
  <si>
    <t>Expected Value</t>
  </si>
  <si>
    <t>Variance</t>
  </si>
  <si>
    <t>Standard Deviation</t>
  </si>
  <si>
    <t>D1 / D2</t>
  </si>
  <si>
    <t>Pay Table</t>
  </si>
  <si>
    <t>Probabilities</t>
  </si>
  <si>
    <t>Bet Size</t>
  </si>
  <si>
    <t>RTP</t>
  </si>
  <si>
    <r>
      <t xml:space="preserve">&lt;-- EV/BET = RTP, </t>
    </r>
    <r>
      <rPr>
        <sz val="11"/>
        <color theme="1"/>
        <rFont val="Calibri"/>
        <family val="2"/>
        <scheme val="minor"/>
      </rPr>
      <t>therefore</t>
    </r>
    <r>
      <rPr>
        <b/>
        <sz val="11"/>
        <color theme="1"/>
        <rFont val="Calibri"/>
        <family val="2"/>
        <scheme val="minor"/>
      </rPr>
      <t xml:space="preserve"> EV/RTP = BET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</si>
</sst>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0" xfId="0" applyFont="1" applyFill="1" applyAlignment="1">
      <alignment horizontal="left"/>
    </xf>
    <xf numFmtId="165" fontId="0" fillId="2" borderId="1" xfId="0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5490-9AF3-4934-9F10-8B96198B92D5}">
  <dimension ref="B2:G6"/>
  <sheetViews>
    <sheetView zoomScale="130" zoomScaleNormal="130" workbookViewId="0">
      <selection activeCell="B4" sqref="B4"/>
    </sheetView>
  </sheetViews>
  <sheetFormatPr defaultRowHeight="15" x14ac:dyDescent="0.25"/>
  <cols>
    <col min="1" max="4" width="9.140625" style="1"/>
    <col min="5" max="7" width="17.7109375" style="1" customWidth="1"/>
    <col min="8" max="8" width="8.42578125" style="1" customWidth="1"/>
    <col min="9" max="16384" width="9.140625" style="1"/>
  </cols>
  <sheetData>
    <row r="2" spans="2:7" x14ac:dyDescent="0.25">
      <c r="C2" s="26" t="s">
        <v>2</v>
      </c>
      <c r="D2" s="27"/>
    </row>
    <row r="3" spans="2:7" x14ac:dyDescent="0.25">
      <c r="C3" s="18" t="s">
        <v>0</v>
      </c>
      <c r="D3" s="19" t="s">
        <v>1</v>
      </c>
      <c r="E3" s="3" t="s">
        <v>6</v>
      </c>
      <c r="F3" s="3" t="s">
        <v>7</v>
      </c>
      <c r="G3" s="3" t="s">
        <v>8</v>
      </c>
    </row>
    <row r="4" spans="2:7" x14ac:dyDescent="0.25">
      <c r="B4" s="15" t="s">
        <v>3</v>
      </c>
      <c r="C4" s="20">
        <v>10</v>
      </c>
      <c r="D4" s="21">
        <v>0</v>
      </c>
      <c r="E4" s="4">
        <f>0.5*C4+0.5*D4</f>
        <v>5</v>
      </c>
      <c r="F4" s="4">
        <f>0.5*(C4-E4)^2+0.5*(E4-D4)^2</f>
        <v>25</v>
      </c>
      <c r="G4" s="4">
        <f>SQRT(F4)</f>
        <v>5</v>
      </c>
    </row>
    <row r="5" spans="2:7" x14ac:dyDescent="0.25">
      <c r="B5" s="16" t="s">
        <v>4</v>
      </c>
      <c r="C5" s="22">
        <v>6</v>
      </c>
      <c r="D5" s="23">
        <v>4</v>
      </c>
      <c r="E5" s="5">
        <f t="shared" ref="E5:E6" si="0">0.5*C5+0.5*D5</f>
        <v>5</v>
      </c>
      <c r="F5" s="5">
        <f t="shared" ref="F5:F6" si="1">0.5*(C5-E5)^2+0.5*(E5-D5)^2</f>
        <v>1</v>
      </c>
      <c r="G5" s="5">
        <f t="shared" ref="G5:G6" si="2">SQRT(F5)</f>
        <v>1</v>
      </c>
    </row>
    <row r="6" spans="2:7" x14ac:dyDescent="0.25">
      <c r="B6" s="17" t="s">
        <v>5</v>
      </c>
      <c r="C6" s="24">
        <v>5</v>
      </c>
      <c r="D6" s="25">
        <v>5</v>
      </c>
      <c r="E6" s="6">
        <f t="shared" si="0"/>
        <v>5</v>
      </c>
      <c r="F6" s="6">
        <f t="shared" si="1"/>
        <v>0</v>
      </c>
      <c r="G6" s="6">
        <f t="shared" si="2"/>
        <v>0</v>
      </c>
    </row>
  </sheetData>
  <mergeCells count="1">
    <mergeCell ref="C2:D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7636-D993-44E3-B037-744319C4C2CF}">
  <dimension ref="C2:I22"/>
  <sheetViews>
    <sheetView tabSelected="1" workbookViewId="0">
      <selection activeCell="C3" sqref="C3"/>
    </sheetView>
  </sheetViews>
  <sheetFormatPr defaultRowHeight="15" x14ac:dyDescent="0.25"/>
  <cols>
    <col min="1" max="16384" width="9.140625" style="1"/>
  </cols>
  <sheetData>
    <row r="2" spans="3:9" x14ac:dyDescent="0.25">
      <c r="C2" s="8" t="s">
        <v>10</v>
      </c>
    </row>
    <row r="3" spans="3:9" x14ac:dyDescent="0.25">
      <c r="C3" s="7" t="s">
        <v>9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</row>
    <row r="4" spans="3:9" x14ac:dyDescent="0.25">
      <c r="C4" s="2">
        <v>1</v>
      </c>
      <c r="D4" s="9">
        <f>D$3+$C4</f>
        <v>2</v>
      </c>
      <c r="E4" s="9">
        <f t="shared" ref="E4:I9" si="0">E$3+$C4</f>
        <v>3</v>
      </c>
      <c r="F4" s="9">
        <f t="shared" si="0"/>
        <v>4</v>
      </c>
      <c r="G4" s="9">
        <f t="shared" si="0"/>
        <v>5</v>
      </c>
      <c r="H4" s="9">
        <f t="shared" si="0"/>
        <v>6</v>
      </c>
      <c r="I4" s="9">
        <f t="shared" si="0"/>
        <v>7</v>
      </c>
    </row>
    <row r="5" spans="3:9" x14ac:dyDescent="0.25">
      <c r="C5" s="2">
        <v>2</v>
      </c>
      <c r="D5" s="9">
        <f t="shared" ref="D5:D9" si="1">D$3+$C5</f>
        <v>3</v>
      </c>
      <c r="E5" s="9">
        <f t="shared" si="0"/>
        <v>4</v>
      </c>
      <c r="F5" s="9">
        <f t="shared" si="0"/>
        <v>5</v>
      </c>
      <c r="G5" s="9">
        <f t="shared" si="0"/>
        <v>6</v>
      </c>
      <c r="H5" s="9">
        <f t="shared" si="0"/>
        <v>7</v>
      </c>
      <c r="I5" s="9">
        <f t="shared" si="0"/>
        <v>8</v>
      </c>
    </row>
    <row r="6" spans="3:9" x14ac:dyDescent="0.25">
      <c r="C6" s="2">
        <v>3</v>
      </c>
      <c r="D6" s="9">
        <f t="shared" si="1"/>
        <v>4</v>
      </c>
      <c r="E6" s="9">
        <f t="shared" si="0"/>
        <v>5</v>
      </c>
      <c r="F6" s="9">
        <f t="shared" si="0"/>
        <v>6</v>
      </c>
      <c r="G6" s="9">
        <f t="shared" si="0"/>
        <v>7</v>
      </c>
      <c r="H6" s="9">
        <f t="shared" si="0"/>
        <v>8</v>
      </c>
      <c r="I6" s="9">
        <f t="shared" si="0"/>
        <v>9</v>
      </c>
    </row>
    <row r="7" spans="3:9" x14ac:dyDescent="0.25">
      <c r="C7" s="2">
        <v>4</v>
      </c>
      <c r="D7" s="9">
        <f t="shared" si="1"/>
        <v>5</v>
      </c>
      <c r="E7" s="9">
        <f t="shared" si="0"/>
        <v>6</v>
      </c>
      <c r="F7" s="9">
        <f t="shared" si="0"/>
        <v>7</v>
      </c>
      <c r="G7" s="9">
        <f t="shared" si="0"/>
        <v>8</v>
      </c>
      <c r="H7" s="9">
        <f t="shared" si="0"/>
        <v>9</v>
      </c>
      <c r="I7" s="9">
        <f t="shared" si="0"/>
        <v>10</v>
      </c>
    </row>
    <row r="8" spans="3:9" x14ac:dyDescent="0.25">
      <c r="C8" s="2">
        <v>5</v>
      </c>
      <c r="D8" s="9">
        <f t="shared" si="1"/>
        <v>6</v>
      </c>
      <c r="E8" s="9">
        <f t="shared" si="0"/>
        <v>7</v>
      </c>
      <c r="F8" s="9">
        <f t="shared" si="0"/>
        <v>8</v>
      </c>
      <c r="G8" s="9">
        <f t="shared" si="0"/>
        <v>9</v>
      </c>
      <c r="H8" s="9">
        <f t="shared" si="0"/>
        <v>10</v>
      </c>
      <c r="I8" s="9">
        <f t="shared" si="0"/>
        <v>11</v>
      </c>
    </row>
    <row r="9" spans="3:9" x14ac:dyDescent="0.25">
      <c r="C9" s="2">
        <v>6</v>
      </c>
      <c r="D9" s="9">
        <f t="shared" si="1"/>
        <v>7</v>
      </c>
      <c r="E9" s="9">
        <f t="shared" si="0"/>
        <v>8</v>
      </c>
      <c r="F9" s="9">
        <f t="shared" si="0"/>
        <v>9</v>
      </c>
      <c r="G9" s="9">
        <f t="shared" si="0"/>
        <v>10</v>
      </c>
      <c r="H9" s="9">
        <f t="shared" si="0"/>
        <v>11</v>
      </c>
      <c r="I9" s="9">
        <f t="shared" si="0"/>
        <v>12</v>
      </c>
    </row>
    <row r="11" spans="3:9" x14ac:dyDescent="0.25">
      <c r="C11" s="8" t="s">
        <v>11</v>
      </c>
    </row>
    <row r="12" spans="3:9" x14ac:dyDescent="0.25">
      <c r="C12" s="7" t="s">
        <v>9</v>
      </c>
      <c r="D12" s="2">
        <v>1</v>
      </c>
      <c r="E12" s="2">
        <v>2</v>
      </c>
      <c r="F12" s="2">
        <v>3</v>
      </c>
      <c r="G12" s="2">
        <v>4</v>
      </c>
      <c r="H12" s="2">
        <v>5</v>
      </c>
      <c r="I12" s="2">
        <v>6</v>
      </c>
    </row>
    <row r="13" spans="3:9" x14ac:dyDescent="0.25">
      <c r="C13" s="2">
        <v>1</v>
      </c>
      <c r="D13" s="10">
        <f>1/36</f>
        <v>2.7777777777777776E-2</v>
      </c>
      <c r="E13" s="10">
        <f t="shared" ref="E13:I18" si="2">1/36</f>
        <v>2.7777777777777776E-2</v>
      </c>
      <c r="F13" s="10">
        <f t="shared" si="2"/>
        <v>2.7777777777777776E-2</v>
      </c>
      <c r="G13" s="10">
        <f t="shared" si="2"/>
        <v>2.7777777777777776E-2</v>
      </c>
      <c r="H13" s="10">
        <f t="shared" si="2"/>
        <v>2.7777777777777776E-2</v>
      </c>
      <c r="I13" s="10">
        <f t="shared" si="2"/>
        <v>2.7777777777777776E-2</v>
      </c>
    </row>
    <row r="14" spans="3:9" x14ac:dyDescent="0.25">
      <c r="C14" s="2">
        <v>2</v>
      </c>
      <c r="D14" s="10">
        <f t="shared" ref="D14:D18" si="3">1/36</f>
        <v>2.7777777777777776E-2</v>
      </c>
      <c r="E14" s="10">
        <f t="shared" si="2"/>
        <v>2.7777777777777776E-2</v>
      </c>
      <c r="F14" s="10">
        <f t="shared" si="2"/>
        <v>2.7777777777777776E-2</v>
      </c>
      <c r="G14" s="10">
        <f t="shared" si="2"/>
        <v>2.7777777777777776E-2</v>
      </c>
      <c r="H14" s="10">
        <f t="shared" si="2"/>
        <v>2.7777777777777776E-2</v>
      </c>
      <c r="I14" s="10">
        <f t="shared" si="2"/>
        <v>2.7777777777777776E-2</v>
      </c>
    </row>
    <row r="15" spans="3:9" x14ac:dyDescent="0.25">
      <c r="C15" s="2">
        <v>3</v>
      </c>
      <c r="D15" s="10">
        <f t="shared" si="3"/>
        <v>2.7777777777777776E-2</v>
      </c>
      <c r="E15" s="10">
        <f t="shared" si="2"/>
        <v>2.7777777777777776E-2</v>
      </c>
      <c r="F15" s="10">
        <f t="shared" si="2"/>
        <v>2.7777777777777776E-2</v>
      </c>
      <c r="G15" s="10">
        <f t="shared" si="2"/>
        <v>2.7777777777777776E-2</v>
      </c>
      <c r="H15" s="10">
        <f t="shared" si="2"/>
        <v>2.7777777777777776E-2</v>
      </c>
      <c r="I15" s="10">
        <f t="shared" si="2"/>
        <v>2.7777777777777776E-2</v>
      </c>
    </row>
    <row r="16" spans="3:9" x14ac:dyDescent="0.25">
      <c r="C16" s="2">
        <v>4</v>
      </c>
      <c r="D16" s="10">
        <f t="shared" si="3"/>
        <v>2.7777777777777776E-2</v>
      </c>
      <c r="E16" s="10">
        <f t="shared" si="2"/>
        <v>2.7777777777777776E-2</v>
      </c>
      <c r="F16" s="10">
        <f t="shared" si="2"/>
        <v>2.7777777777777776E-2</v>
      </c>
      <c r="G16" s="10">
        <f t="shared" si="2"/>
        <v>2.7777777777777776E-2</v>
      </c>
      <c r="H16" s="10">
        <f t="shared" si="2"/>
        <v>2.7777777777777776E-2</v>
      </c>
      <c r="I16" s="10">
        <f t="shared" si="2"/>
        <v>2.7777777777777776E-2</v>
      </c>
    </row>
    <row r="17" spans="3:9" x14ac:dyDescent="0.25">
      <c r="C17" s="2">
        <v>5</v>
      </c>
      <c r="D17" s="10">
        <f t="shared" si="3"/>
        <v>2.7777777777777776E-2</v>
      </c>
      <c r="E17" s="10">
        <f t="shared" si="2"/>
        <v>2.7777777777777776E-2</v>
      </c>
      <c r="F17" s="10">
        <f t="shared" si="2"/>
        <v>2.7777777777777776E-2</v>
      </c>
      <c r="G17" s="10">
        <f t="shared" si="2"/>
        <v>2.7777777777777776E-2</v>
      </c>
      <c r="H17" s="10">
        <f t="shared" si="2"/>
        <v>2.7777777777777776E-2</v>
      </c>
      <c r="I17" s="10">
        <f t="shared" si="2"/>
        <v>2.7777777777777776E-2</v>
      </c>
    </row>
    <row r="18" spans="3:9" x14ac:dyDescent="0.25">
      <c r="C18" s="2">
        <v>6</v>
      </c>
      <c r="D18" s="10">
        <f t="shared" si="3"/>
        <v>2.7777777777777776E-2</v>
      </c>
      <c r="E18" s="10">
        <f t="shared" si="2"/>
        <v>2.7777777777777776E-2</v>
      </c>
      <c r="F18" s="10">
        <f t="shared" si="2"/>
        <v>2.7777777777777776E-2</v>
      </c>
      <c r="G18" s="10">
        <f t="shared" si="2"/>
        <v>2.7777777777777776E-2</v>
      </c>
      <c r="H18" s="10">
        <f t="shared" si="2"/>
        <v>2.7777777777777776E-2</v>
      </c>
      <c r="I18" s="10">
        <f t="shared" si="2"/>
        <v>2.7777777777777776E-2</v>
      </c>
    </row>
    <row r="20" spans="3:9" x14ac:dyDescent="0.25">
      <c r="C20" s="11" t="s">
        <v>6</v>
      </c>
      <c r="D20" s="12">
        <f>SUMPRODUCT(D4:I9,D13:I18)</f>
        <v>7</v>
      </c>
    </row>
    <row r="21" spans="3:9" x14ac:dyDescent="0.25">
      <c r="C21" s="11" t="s">
        <v>12</v>
      </c>
      <c r="D21" s="13">
        <f>D20/D22</f>
        <v>8</v>
      </c>
      <c r="E21" s="8" t="s">
        <v>14</v>
      </c>
    </row>
    <row r="22" spans="3:9" x14ac:dyDescent="0.25">
      <c r="C22" s="1" t="s">
        <v>13</v>
      </c>
      <c r="D22" s="14">
        <f>D20/8</f>
        <v>0.875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 Flip Games</vt:lpstr>
      <vt:lpstr>Dice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McElroy</dc:creator>
  <cp:lastModifiedBy>Mason McElroy</cp:lastModifiedBy>
  <dcterms:created xsi:type="dcterms:W3CDTF">2022-05-25T17:09:52Z</dcterms:created>
  <dcterms:modified xsi:type="dcterms:W3CDTF">2022-06-13T03:15:36Z</dcterms:modified>
</cp:coreProperties>
</file>