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filterPrivacy="1"/>
  <xr:revisionPtr revIDLastSave="0" documentId="13_ncr:1_{D23D5E6B-E675-414E-9D78-A57A2EE74316}" xr6:coauthVersionLast="47" xr6:coauthVersionMax="47" xr10:uidLastSave="{00000000-0000-0000-0000-000000000000}"/>
  <bookViews>
    <workbookView xWindow="-23148" yWindow="-2244" windowWidth="23256" windowHeight="13176" activeTab="1" xr2:uid="{00000000-000D-0000-FFFF-FFFF00000000}"/>
  </bookViews>
  <sheets>
    <sheet name="Game Info" sheetId="1" r:id="rId1"/>
    <sheet name="BG" sheetId="2" r:id="rId2"/>
    <sheet name="FG"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C3" i="2" l="1"/>
  <c r="G2" i="2"/>
  <c r="C5" i="3"/>
  <c r="C4" i="3"/>
  <c r="G4" i="3"/>
  <c r="G3" i="3"/>
  <c r="F4" i="3"/>
  <c r="F3" i="3"/>
  <c r="K5" i="3"/>
  <c r="K4" i="3"/>
  <c r="K3" i="3"/>
  <c r="J5" i="3"/>
  <c r="J4" i="3"/>
  <c r="J3" i="3"/>
  <c r="C3" i="3"/>
  <c r="E75" i="3"/>
  <c r="B75" i="3"/>
  <c r="E74" i="3"/>
  <c r="B74" i="3"/>
  <c r="E73" i="3"/>
  <c r="B73" i="3"/>
  <c r="E72" i="3"/>
  <c r="B72" i="3"/>
  <c r="E71" i="3"/>
  <c r="B71" i="3"/>
  <c r="E70" i="3"/>
  <c r="B70" i="3"/>
  <c r="E69" i="3"/>
  <c r="B69" i="3"/>
  <c r="E68" i="3"/>
  <c r="B68" i="3"/>
  <c r="E67" i="3"/>
  <c r="B67" i="3"/>
  <c r="E66" i="3"/>
  <c r="B66" i="3"/>
  <c r="E65" i="3"/>
  <c r="B65" i="3"/>
  <c r="E64" i="3"/>
  <c r="B64" i="3"/>
  <c r="E63" i="3"/>
  <c r="B63" i="3"/>
  <c r="E62" i="3"/>
  <c r="B62" i="3"/>
  <c r="E61" i="3"/>
  <c r="B61" i="3"/>
  <c r="E60" i="3"/>
  <c r="B60" i="3"/>
  <c r="E59" i="3"/>
  <c r="B59" i="3"/>
  <c r="E58" i="3"/>
  <c r="B58" i="3"/>
  <c r="E57" i="3"/>
  <c r="B57" i="3"/>
  <c r="E56" i="3"/>
  <c r="B56" i="3"/>
  <c r="E55" i="3"/>
  <c r="B55" i="3"/>
  <c r="E54" i="3"/>
  <c r="B54" i="3"/>
  <c r="E53" i="3"/>
  <c r="B53" i="3"/>
  <c r="E52" i="3"/>
  <c r="B52" i="3"/>
  <c r="E51" i="3"/>
  <c r="B51" i="3"/>
  <c r="E50" i="3"/>
  <c r="B50" i="3"/>
  <c r="E49" i="3"/>
  <c r="B49" i="3"/>
  <c r="E48" i="3"/>
  <c r="B48" i="3"/>
  <c r="E47" i="3"/>
  <c r="B47" i="3"/>
  <c r="V46" i="3"/>
  <c r="V47" i="3" s="1"/>
  <c r="E46" i="3"/>
  <c r="B46" i="3"/>
  <c r="E45" i="3"/>
  <c r="B45" i="3"/>
  <c r="E44" i="3"/>
  <c r="B44" i="3"/>
  <c r="E43" i="3"/>
  <c r="B43" i="3"/>
  <c r="E42" i="3"/>
  <c r="B42" i="3"/>
  <c r="V41" i="3"/>
  <c r="V42" i="3" s="1"/>
  <c r="V43" i="3" s="1"/>
  <c r="E41" i="3"/>
  <c r="B41" i="3"/>
  <c r="V40" i="3"/>
  <c r="E40" i="3"/>
  <c r="B40" i="3"/>
  <c r="C2" i="2"/>
  <c r="T40" i="2"/>
  <c r="T41" i="2"/>
  <c r="T42" i="2"/>
  <c r="T43" i="2"/>
  <c r="T44" i="2"/>
  <c r="T45" i="2"/>
  <c r="T46" i="2"/>
  <c r="T47" i="2"/>
  <c r="T48" i="2"/>
  <c r="T49" i="2"/>
  <c r="T50" i="2"/>
  <c r="T51" i="2"/>
  <c r="T52" i="2"/>
  <c r="T53" i="2"/>
  <c r="T54" i="2"/>
  <c r="T39" i="2"/>
  <c r="O40" i="2"/>
  <c r="P40" i="2"/>
  <c r="Q40" i="2"/>
  <c r="R40" i="2"/>
  <c r="S40" i="2"/>
  <c r="O41" i="2"/>
  <c r="P41" i="2"/>
  <c r="Q41" i="2"/>
  <c r="R41" i="2"/>
  <c r="S41" i="2"/>
  <c r="O42" i="2"/>
  <c r="P42" i="2"/>
  <c r="Q42" i="2"/>
  <c r="R42" i="2"/>
  <c r="S42" i="2"/>
  <c r="O43" i="2"/>
  <c r="P43" i="2"/>
  <c r="Q43" i="2"/>
  <c r="R43" i="2"/>
  <c r="S43" i="2"/>
  <c r="O44" i="2"/>
  <c r="P44" i="2"/>
  <c r="Q44" i="2"/>
  <c r="R44" i="2"/>
  <c r="S44" i="2"/>
  <c r="O45" i="2"/>
  <c r="P45" i="2"/>
  <c r="Q45" i="2"/>
  <c r="R45" i="2"/>
  <c r="S45" i="2"/>
  <c r="O46" i="2"/>
  <c r="P46" i="2"/>
  <c r="Q46" i="2"/>
  <c r="R46" i="2"/>
  <c r="S46" i="2"/>
  <c r="O47" i="2"/>
  <c r="P47" i="2"/>
  <c r="Q47" i="2"/>
  <c r="R47" i="2"/>
  <c r="S47" i="2"/>
  <c r="O48" i="2"/>
  <c r="P48" i="2"/>
  <c r="Q48" i="2"/>
  <c r="R48" i="2"/>
  <c r="S48" i="2"/>
  <c r="O49" i="2"/>
  <c r="P49" i="2"/>
  <c r="Q49" i="2"/>
  <c r="R49" i="2"/>
  <c r="S49" i="2"/>
  <c r="O50" i="2"/>
  <c r="P50" i="2"/>
  <c r="Q50" i="2"/>
  <c r="R50" i="2"/>
  <c r="S50" i="2"/>
  <c r="O51" i="2"/>
  <c r="P51" i="2"/>
  <c r="Q51" i="2"/>
  <c r="R51" i="2"/>
  <c r="S51" i="2"/>
  <c r="O52" i="2"/>
  <c r="P52" i="2"/>
  <c r="Q52" i="2"/>
  <c r="R52" i="2"/>
  <c r="S52" i="2"/>
  <c r="O53" i="2"/>
  <c r="P53" i="2"/>
  <c r="Q53" i="2"/>
  <c r="R53" i="2"/>
  <c r="S53" i="2"/>
  <c r="O54" i="2"/>
  <c r="P54" i="2"/>
  <c r="Q54" i="2"/>
  <c r="R54" i="2"/>
  <c r="S54" i="2"/>
  <c r="P39" i="2"/>
  <c r="Q39" i="2"/>
  <c r="R39" i="2"/>
  <c r="S39" i="2"/>
  <c r="O39" i="2"/>
  <c r="V44" i="3" l="1"/>
  <c r="V48" i="3"/>
  <c r="V49" i="3" l="1"/>
  <c r="V45" i="3"/>
  <c r="V50" i="3" l="1"/>
  <c r="V51" i="3" l="1"/>
  <c r="V52" i="3" l="1"/>
  <c r="V53" i="3" l="1"/>
  <c r="V54" i="3" l="1"/>
  <c r="V55" i="3" l="1"/>
  <c r="L4" i="3"/>
  <c r="L5" i="3"/>
  <c r="L3" i="3"/>
  <c r="C10" i="3"/>
  <c r="D10" i="3"/>
  <c r="E10" i="3"/>
  <c r="F10" i="3"/>
  <c r="G10" i="3"/>
  <c r="C11" i="3"/>
  <c r="D11" i="3"/>
  <c r="E11" i="3"/>
  <c r="F11" i="3"/>
  <c r="G11" i="3"/>
  <c r="C12" i="3"/>
  <c r="D12" i="3"/>
  <c r="E12" i="3"/>
  <c r="F12" i="3"/>
  <c r="G12" i="3"/>
  <c r="C13" i="3"/>
  <c r="D13" i="3"/>
  <c r="E13" i="3"/>
  <c r="F13" i="3"/>
  <c r="G13" i="3"/>
  <c r="C14" i="3"/>
  <c r="D14" i="3"/>
  <c r="E14" i="3"/>
  <c r="F14" i="3"/>
  <c r="G14" i="3"/>
  <c r="C15" i="3"/>
  <c r="D15" i="3"/>
  <c r="E15" i="3"/>
  <c r="F15" i="3"/>
  <c r="G15" i="3"/>
  <c r="C16" i="3"/>
  <c r="D16" i="3"/>
  <c r="E16" i="3"/>
  <c r="F16" i="3"/>
  <c r="G16" i="3"/>
  <c r="C17" i="3"/>
  <c r="D17" i="3"/>
  <c r="E17" i="3"/>
  <c r="F17" i="3"/>
  <c r="G17" i="3"/>
  <c r="C18" i="3"/>
  <c r="D18" i="3"/>
  <c r="E18" i="3"/>
  <c r="F18" i="3"/>
  <c r="G18" i="3"/>
  <c r="C19" i="3"/>
  <c r="D19" i="3"/>
  <c r="E19" i="3"/>
  <c r="F19" i="3"/>
  <c r="G19" i="3"/>
  <c r="C20" i="3"/>
  <c r="D20" i="3"/>
  <c r="E20" i="3"/>
  <c r="F20" i="3"/>
  <c r="G20" i="3"/>
  <c r="C21" i="3"/>
  <c r="C36" i="3" s="1"/>
  <c r="D21" i="3"/>
  <c r="D36" i="3" s="1"/>
  <c r="E21" i="3"/>
  <c r="E36" i="3" s="1"/>
  <c r="F21" i="3"/>
  <c r="F36" i="3" s="1"/>
  <c r="G21" i="3"/>
  <c r="G36" i="3" s="1"/>
  <c r="D9" i="3"/>
  <c r="E9" i="3"/>
  <c r="F9" i="3"/>
  <c r="G9" i="3"/>
  <c r="C9" i="3"/>
  <c r="B35" i="3"/>
  <c r="B34" i="3"/>
  <c r="B33" i="3"/>
  <c r="B32" i="3"/>
  <c r="B31" i="3"/>
  <c r="B30" i="3"/>
  <c r="B29" i="3"/>
  <c r="B28" i="3"/>
  <c r="B27" i="3"/>
  <c r="B26" i="3"/>
  <c r="B63" i="2"/>
  <c r="E63" i="2"/>
  <c r="B51" i="2"/>
  <c r="E51" i="2"/>
  <c r="B39" i="2"/>
  <c r="E39" i="2"/>
  <c r="V45" i="2"/>
  <c r="V46" i="2" s="1"/>
  <c r="V47" i="2" s="1"/>
  <c r="V48" i="2" s="1"/>
  <c r="V49" i="2" s="1"/>
  <c r="V50" i="2" s="1"/>
  <c r="V51" i="2" s="1"/>
  <c r="V52" i="2" s="1"/>
  <c r="V53" i="2" s="1"/>
  <c r="V54" i="2" s="1"/>
  <c r="V40" i="2"/>
  <c r="V41" i="2" s="1"/>
  <c r="V42" i="2" s="1"/>
  <c r="V43" i="2" s="1"/>
  <c r="V44" i="2" s="1"/>
  <c r="V39" i="2"/>
  <c r="E64" i="2"/>
  <c r="E65" i="2"/>
  <c r="E66" i="2"/>
  <c r="E67" i="2"/>
  <c r="E68" i="2"/>
  <c r="E69" i="2"/>
  <c r="E70" i="2"/>
  <c r="E71" i="2"/>
  <c r="E72" i="2"/>
  <c r="E73" i="2"/>
  <c r="E74" i="2"/>
  <c r="E52" i="2"/>
  <c r="E53" i="2"/>
  <c r="E54" i="2"/>
  <c r="E55" i="2"/>
  <c r="E56" i="2"/>
  <c r="E57" i="2"/>
  <c r="E58" i="2"/>
  <c r="E59" i="2"/>
  <c r="E60" i="2"/>
  <c r="E61" i="2"/>
  <c r="E62" i="2"/>
  <c r="E40" i="2"/>
  <c r="E41" i="2"/>
  <c r="E42" i="2"/>
  <c r="E43" i="2"/>
  <c r="E44" i="2"/>
  <c r="E45" i="2"/>
  <c r="E46" i="2"/>
  <c r="E47" i="2"/>
  <c r="E48" i="2"/>
  <c r="E49" i="2"/>
  <c r="E50" i="2"/>
  <c r="B26" i="2"/>
  <c r="B27" i="2"/>
  <c r="B28" i="2"/>
  <c r="B29" i="2"/>
  <c r="B30" i="2"/>
  <c r="B31" i="2"/>
  <c r="B32" i="2"/>
  <c r="B33" i="2"/>
  <c r="B34" i="2"/>
  <c r="B25" i="2"/>
  <c r="B68" i="2"/>
  <c r="B56" i="2"/>
  <c r="B44" i="2"/>
  <c r="C13" i="2"/>
  <c r="D13" i="2"/>
  <c r="E13" i="2"/>
  <c r="F13" i="2"/>
  <c r="G13" i="2"/>
  <c r="C8" i="2"/>
  <c r="D8" i="2"/>
  <c r="E8" i="2"/>
  <c r="F8" i="2"/>
  <c r="G8" i="2"/>
  <c r="C9" i="2"/>
  <c r="D9" i="2"/>
  <c r="E9" i="2"/>
  <c r="F9" i="2"/>
  <c r="G9" i="2"/>
  <c r="C10" i="2"/>
  <c r="D10" i="2"/>
  <c r="E10" i="2"/>
  <c r="F10" i="2"/>
  <c r="G10" i="2"/>
  <c r="C11" i="2"/>
  <c r="D11" i="2"/>
  <c r="E11" i="2"/>
  <c r="F11" i="2"/>
  <c r="G11" i="2"/>
  <c r="C12" i="2"/>
  <c r="D12" i="2"/>
  <c r="E12" i="2"/>
  <c r="F12" i="2"/>
  <c r="G12" i="2"/>
  <c r="C14" i="2"/>
  <c r="D14" i="2"/>
  <c r="E14" i="2"/>
  <c r="F14" i="2"/>
  <c r="G14" i="2"/>
  <c r="C15" i="2"/>
  <c r="D15" i="2"/>
  <c r="E15" i="2"/>
  <c r="F15" i="2"/>
  <c r="G15" i="2"/>
  <c r="C16" i="2"/>
  <c r="D16" i="2"/>
  <c r="E16" i="2"/>
  <c r="F16" i="2"/>
  <c r="G16" i="2"/>
  <c r="C17" i="2"/>
  <c r="D17" i="2"/>
  <c r="E17" i="2"/>
  <c r="F17" i="2"/>
  <c r="G17" i="2"/>
  <c r="C18" i="2"/>
  <c r="D18" i="2"/>
  <c r="E18" i="2"/>
  <c r="F18" i="2"/>
  <c r="G18" i="2"/>
  <c r="C19" i="2"/>
  <c r="D19" i="2"/>
  <c r="E19" i="2"/>
  <c r="F19" i="2"/>
  <c r="G19" i="2"/>
  <c r="C20" i="2"/>
  <c r="C35" i="2" s="1"/>
  <c r="D20" i="2"/>
  <c r="D35" i="2" s="1"/>
  <c r="E20" i="2"/>
  <c r="E35" i="2" s="1"/>
  <c r="F20" i="2"/>
  <c r="F35" i="2" s="1"/>
  <c r="G20" i="2"/>
  <c r="G35" i="2" s="1"/>
  <c r="Q49" i="3" l="1"/>
  <c r="Q40" i="3"/>
  <c r="Q55" i="3"/>
  <c r="Q52" i="3"/>
  <c r="Q48" i="3"/>
  <c r="Q46" i="3"/>
  <c r="Q45" i="3"/>
  <c r="Q42" i="3"/>
  <c r="Q51" i="3"/>
  <c r="Q44" i="3"/>
  <c r="Q41" i="3"/>
  <c r="C52" i="3"/>
  <c r="C40" i="3"/>
  <c r="P54" i="3"/>
  <c r="P50" i="3"/>
  <c r="P47" i="3"/>
  <c r="P43" i="3"/>
  <c r="P49" i="3"/>
  <c r="P40" i="3"/>
  <c r="P52" i="3"/>
  <c r="P46" i="3"/>
  <c r="P45" i="3"/>
  <c r="P42" i="3"/>
  <c r="P41" i="3"/>
  <c r="S55" i="3"/>
  <c r="S51" i="3"/>
  <c r="S44" i="3"/>
  <c r="S53" i="3"/>
  <c r="S40" i="3"/>
  <c r="S52" i="3"/>
  <c r="S42" i="3"/>
  <c r="S54" i="3"/>
  <c r="S50" i="3"/>
  <c r="S43" i="3"/>
  <c r="S45" i="3"/>
  <c r="O51" i="3"/>
  <c r="O44" i="3"/>
  <c r="O41" i="3"/>
  <c r="C63" i="3"/>
  <c r="O40" i="3"/>
  <c r="C51" i="3"/>
  <c r="O46" i="3"/>
  <c r="C75" i="3"/>
  <c r="O50" i="3"/>
  <c r="O47" i="3"/>
  <c r="O43" i="3"/>
  <c r="O53" i="3"/>
  <c r="O48" i="3"/>
  <c r="O42" i="3"/>
  <c r="R48" i="3"/>
  <c r="R45" i="3"/>
  <c r="R54" i="3"/>
  <c r="R47" i="3"/>
  <c r="R53" i="3"/>
  <c r="R49" i="3"/>
  <c r="R40" i="3"/>
  <c r="R55" i="3"/>
  <c r="R44" i="3"/>
  <c r="R41" i="3"/>
  <c r="R43" i="3"/>
  <c r="C50" i="2"/>
  <c r="C39" i="2"/>
  <c r="F28" i="3"/>
  <c r="D35" i="3"/>
  <c r="D31" i="3"/>
  <c r="G30" i="3"/>
  <c r="C28" i="3"/>
  <c r="E31" i="3"/>
  <c r="F22" i="3"/>
  <c r="C30" i="3"/>
  <c r="D33" i="3"/>
  <c r="G34" i="3"/>
  <c r="G26" i="3"/>
  <c r="D29" i="3"/>
  <c r="D27" i="3"/>
  <c r="F32" i="3"/>
  <c r="F30" i="3"/>
  <c r="G32" i="3"/>
  <c r="E34" i="3"/>
  <c r="E32" i="3"/>
  <c r="E30" i="3"/>
  <c r="E28" i="3"/>
  <c r="E26" i="3"/>
  <c r="C35" i="3"/>
  <c r="C33" i="3"/>
  <c r="C31" i="3"/>
  <c r="C29" i="3"/>
  <c r="C27" i="3"/>
  <c r="C22" i="3"/>
  <c r="C26" i="3"/>
  <c r="E29" i="3"/>
  <c r="C34" i="3"/>
  <c r="E33" i="3"/>
  <c r="F35" i="3"/>
  <c r="F33" i="3"/>
  <c r="F31" i="3"/>
  <c r="F29" i="3"/>
  <c r="F27" i="3"/>
  <c r="G35" i="3"/>
  <c r="G33" i="3"/>
  <c r="G31" i="3"/>
  <c r="G29" i="3"/>
  <c r="G27" i="3"/>
  <c r="G22" i="3"/>
  <c r="D22" i="3"/>
  <c r="E22" i="3"/>
  <c r="F26" i="3"/>
  <c r="E27" i="3"/>
  <c r="G28" i="3"/>
  <c r="C32" i="3"/>
  <c r="F34" i="3"/>
  <c r="E35" i="3"/>
  <c r="D26" i="3"/>
  <c r="D28" i="3"/>
  <c r="D30" i="3"/>
  <c r="D32" i="3"/>
  <c r="D34" i="3"/>
  <c r="B69" i="2"/>
  <c r="B57" i="2"/>
  <c r="B45" i="2"/>
  <c r="C47" i="3" l="1"/>
  <c r="C71" i="3"/>
  <c r="C59" i="3"/>
  <c r="C57" i="3"/>
  <c r="D57" i="3" s="1"/>
  <c r="F57" i="3" s="1"/>
  <c r="C45" i="3"/>
  <c r="C69" i="3"/>
  <c r="P55" i="3"/>
  <c r="T55" i="3" s="1"/>
  <c r="U55" i="3" s="1"/>
  <c r="W55" i="3" s="1"/>
  <c r="P44" i="3"/>
  <c r="P53" i="3"/>
  <c r="T53" i="3" s="1"/>
  <c r="P48" i="3"/>
  <c r="P51" i="3"/>
  <c r="T51" i="3" s="1"/>
  <c r="U51" i="3" s="1"/>
  <c r="W51" i="3" s="1"/>
  <c r="O55" i="3"/>
  <c r="O49" i="3"/>
  <c r="O45" i="3"/>
  <c r="O54" i="3"/>
  <c r="T54" i="3" s="1"/>
  <c r="U54" i="3" s="1"/>
  <c r="W54" i="3" s="1"/>
  <c r="O52" i="3"/>
  <c r="C72" i="3"/>
  <c r="C60" i="3"/>
  <c r="C48" i="3"/>
  <c r="D48" i="3" s="1"/>
  <c r="F48" i="3" s="1"/>
  <c r="R52" i="3"/>
  <c r="R46" i="3"/>
  <c r="R42" i="3"/>
  <c r="R50" i="3"/>
  <c r="R51" i="3"/>
  <c r="T45" i="3"/>
  <c r="T49" i="3"/>
  <c r="U49" i="3" s="1"/>
  <c r="W49" i="3" s="1"/>
  <c r="Q53" i="3"/>
  <c r="Q47" i="3"/>
  <c r="Q54" i="3"/>
  <c r="Q50" i="3"/>
  <c r="T50" i="3" s="1"/>
  <c r="U50" i="3" s="1"/>
  <c r="W50" i="3" s="1"/>
  <c r="Q43" i="3"/>
  <c r="C41" i="3"/>
  <c r="C53" i="3"/>
  <c r="C65" i="3"/>
  <c r="D65" i="3" s="1"/>
  <c r="F65" i="3" s="1"/>
  <c r="C73" i="3"/>
  <c r="C61" i="3"/>
  <c r="C49" i="3"/>
  <c r="D49" i="3" s="1"/>
  <c r="F49" i="3" s="1"/>
  <c r="C66" i="3"/>
  <c r="C54" i="3"/>
  <c r="C42" i="3"/>
  <c r="D42" i="3" s="1"/>
  <c r="F42" i="3" s="1"/>
  <c r="C50" i="3"/>
  <c r="D50" i="3" s="1"/>
  <c r="F50" i="3" s="1"/>
  <c r="C74" i="3"/>
  <c r="C62" i="3"/>
  <c r="T42" i="3"/>
  <c r="U42" i="3" s="1"/>
  <c r="W42" i="3" s="1"/>
  <c r="T44" i="3"/>
  <c r="T43" i="3"/>
  <c r="U43" i="3" s="1"/>
  <c r="W43" i="3" s="1"/>
  <c r="D40" i="3"/>
  <c r="F40" i="3" s="1"/>
  <c r="C70" i="3"/>
  <c r="C46" i="3"/>
  <c r="D46" i="3" s="1"/>
  <c r="F46" i="3" s="1"/>
  <c r="C58" i="3"/>
  <c r="D58" i="3" s="1"/>
  <c r="F58" i="3" s="1"/>
  <c r="D52" i="3"/>
  <c r="F52" i="3" s="1"/>
  <c r="S41" i="3"/>
  <c r="S49" i="3"/>
  <c r="S48" i="3"/>
  <c r="S47" i="3"/>
  <c r="T47" i="3" s="1"/>
  <c r="U47" i="3" s="1"/>
  <c r="W47" i="3" s="1"/>
  <c r="S46" i="3"/>
  <c r="T46" i="3" s="1"/>
  <c r="U46" i="3" s="1"/>
  <c r="W46" i="3" s="1"/>
  <c r="C56" i="3"/>
  <c r="D56" i="3" s="1"/>
  <c r="F56" i="3" s="1"/>
  <c r="C68" i="3"/>
  <c r="D68" i="3" s="1"/>
  <c r="F68" i="3" s="1"/>
  <c r="C44" i="3"/>
  <c r="D44" i="3" s="1"/>
  <c r="F44" i="3" s="1"/>
  <c r="C67" i="3"/>
  <c r="C43" i="3"/>
  <c r="D43" i="3" s="1"/>
  <c r="F43" i="3" s="1"/>
  <c r="C55" i="3"/>
  <c r="D55" i="3" s="1"/>
  <c r="F55" i="3" s="1"/>
  <c r="T48" i="3"/>
  <c r="U48" i="3" s="1"/>
  <c r="W48" i="3" s="1"/>
  <c r="T40" i="3"/>
  <c r="U40" i="3" s="1"/>
  <c r="W40" i="3" s="1"/>
  <c r="T41" i="3"/>
  <c r="U41" i="3" s="1"/>
  <c r="W41" i="3" s="1"/>
  <c r="C64" i="3"/>
  <c r="D64" i="3" s="1"/>
  <c r="F64" i="3" s="1"/>
  <c r="G23" i="3"/>
  <c r="D75" i="3" s="1"/>
  <c r="F75" i="3" s="1"/>
  <c r="B41" i="2"/>
  <c r="B53" i="2"/>
  <c r="B65" i="2"/>
  <c r="B42" i="2"/>
  <c r="B54" i="2"/>
  <c r="B66" i="2"/>
  <c r="B43" i="2"/>
  <c r="B55" i="2"/>
  <c r="B67" i="2"/>
  <c r="B46" i="2"/>
  <c r="B58" i="2"/>
  <c r="B70" i="2"/>
  <c r="B47" i="2"/>
  <c r="B59" i="2"/>
  <c r="B71" i="2"/>
  <c r="B48" i="2"/>
  <c r="B60" i="2"/>
  <c r="B72" i="2"/>
  <c r="B49" i="2"/>
  <c r="B61" i="2"/>
  <c r="B73" i="2"/>
  <c r="B50" i="2"/>
  <c r="B62" i="2"/>
  <c r="B74" i="2"/>
  <c r="B64" i="2"/>
  <c r="B52" i="2"/>
  <c r="B40" i="2"/>
  <c r="G34" i="2"/>
  <c r="D61" i="3" l="1"/>
  <c r="F61" i="3" s="1"/>
  <c r="D53" i="3"/>
  <c r="F53" i="3" s="1"/>
  <c r="U45" i="3"/>
  <c r="W45" i="3" s="1"/>
  <c r="D60" i="3"/>
  <c r="F60" i="3" s="1"/>
  <c r="D63" i="3"/>
  <c r="F63" i="3" s="1"/>
  <c r="D59" i="3"/>
  <c r="F59" i="3" s="1"/>
  <c r="U44" i="3"/>
  <c r="W44" i="3" s="1"/>
  <c r="D62" i="3"/>
  <c r="F62" i="3" s="1"/>
  <c r="D54" i="3"/>
  <c r="F54" i="3" s="1"/>
  <c r="D73" i="3"/>
  <c r="F73" i="3" s="1"/>
  <c r="D41" i="3"/>
  <c r="F41" i="3" s="1"/>
  <c r="D72" i="3"/>
  <c r="F72" i="3" s="1"/>
  <c r="U53" i="3"/>
  <c r="W53" i="3" s="1"/>
  <c r="D69" i="3"/>
  <c r="F69" i="3" s="1"/>
  <c r="D71" i="3"/>
  <c r="F71" i="3" s="1"/>
  <c r="D67" i="3"/>
  <c r="F67" i="3" s="1"/>
  <c r="D70" i="3"/>
  <c r="F70" i="3" s="1"/>
  <c r="D51" i="3"/>
  <c r="F51" i="3" s="1"/>
  <c r="D74" i="3"/>
  <c r="F74" i="3" s="1"/>
  <c r="D66" i="3"/>
  <c r="F66" i="3" s="1"/>
  <c r="T52" i="3"/>
  <c r="U52" i="3" s="1"/>
  <c r="W52" i="3" s="1"/>
  <c r="D45" i="3"/>
  <c r="F45" i="3" s="1"/>
  <c r="D47" i="3"/>
  <c r="F47" i="3" s="1"/>
  <c r="G29" i="2"/>
  <c r="G30" i="2"/>
  <c r="F29" i="2"/>
  <c r="F30" i="2"/>
  <c r="E29" i="2"/>
  <c r="E30" i="2"/>
  <c r="D29" i="2"/>
  <c r="D30" i="2"/>
  <c r="C29" i="2"/>
  <c r="C68" i="2" s="1"/>
  <c r="C30" i="2"/>
  <c r="C26" i="2"/>
  <c r="D21" i="2"/>
  <c r="E28" i="2"/>
  <c r="E27" i="2"/>
  <c r="E26" i="2"/>
  <c r="E25" i="2"/>
  <c r="G25" i="2"/>
  <c r="E21" i="2"/>
  <c r="E34" i="2"/>
  <c r="E33" i="2"/>
  <c r="E32" i="2"/>
  <c r="E31" i="2"/>
  <c r="F25" i="2"/>
  <c r="G31" i="2"/>
  <c r="G27" i="2"/>
  <c r="G26" i="2"/>
  <c r="G32" i="2"/>
  <c r="G28" i="2"/>
  <c r="D25" i="2"/>
  <c r="G33" i="2"/>
  <c r="F21" i="2"/>
  <c r="C21" i="2"/>
  <c r="C32" i="2"/>
  <c r="C28" i="2"/>
  <c r="F34" i="2"/>
  <c r="F33" i="2"/>
  <c r="F32" i="2"/>
  <c r="F31" i="2"/>
  <c r="F28" i="2"/>
  <c r="F27" i="2"/>
  <c r="F26" i="2"/>
  <c r="C33" i="2"/>
  <c r="C25" i="2"/>
  <c r="C31" i="2"/>
  <c r="C70" i="2" s="1"/>
  <c r="C27" i="2"/>
  <c r="G21" i="2"/>
  <c r="C34" i="2"/>
  <c r="D34" i="2"/>
  <c r="D33" i="2"/>
  <c r="D32" i="2"/>
  <c r="D31" i="2"/>
  <c r="D28" i="2"/>
  <c r="D27" i="2"/>
  <c r="D26" i="2"/>
  <c r="C71" i="2" l="1"/>
  <c r="D71" i="2" s="1"/>
  <c r="F71" i="2" s="1"/>
  <c r="C66" i="2"/>
  <c r="C73" i="2"/>
  <c r="C64" i="2"/>
  <c r="C74" i="2"/>
  <c r="C63" i="2"/>
  <c r="D63" i="2" s="1"/>
  <c r="F63" i="2" s="1"/>
  <c r="C65" i="2"/>
  <c r="C72" i="2"/>
  <c r="D72" i="2" s="1"/>
  <c r="F72" i="2" s="1"/>
  <c r="C67" i="2"/>
  <c r="D67" i="2" s="1"/>
  <c r="F67" i="2" s="1"/>
  <c r="C69" i="2"/>
  <c r="C61" i="2"/>
  <c r="D61" i="2" s="1"/>
  <c r="F61" i="2" s="1"/>
  <c r="C49" i="2"/>
  <c r="C60" i="2"/>
  <c r="C48" i="2"/>
  <c r="D48" i="2" s="1"/>
  <c r="F48" i="2" s="1"/>
  <c r="C57" i="2"/>
  <c r="D57" i="2" s="1"/>
  <c r="F57" i="2" s="1"/>
  <c r="C45" i="2"/>
  <c r="C53" i="2"/>
  <c r="C41" i="2"/>
  <c r="D41" i="2" s="1"/>
  <c r="F41" i="2" s="1"/>
  <c r="C51" i="2"/>
  <c r="D51" i="2" s="1"/>
  <c r="F51" i="2" s="1"/>
  <c r="C62" i="2"/>
  <c r="C54" i="2"/>
  <c r="C42" i="2"/>
  <c r="D42" i="2" s="1"/>
  <c r="F42" i="2" s="1"/>
  <c r="C47" i="2"/>
  <c r="D47" i="2" s="1"/>
  <c r="F47" i="2" s="1"/>
  <c r="C59" i="2"/>
  <c r="C56" i="2"/>
  <c r="C44" i="2"/>
  <c r="D44" i="2" s="1"/>
  <c r="F44" i="2" s="1"/>
  <c r="C52" i="2"/>
  <c r="D52" i="2" s="1"/>
  <c r="F52" i="2" s="1"/>
  <c r="C40" i="2"/>
  <c r="C43" i="2"/>
  <c r="C55" i="2"/>
  <c r="D55" i="2" s="1"/>
  <c r="F55" i="2" s="1"/>
  <c r="C46" i="2"/>
  <c r="D46" i="2" s="1"/>
  <c r="F46" i="2" s="1"/>
  <c r="C58" i="2"/>
  <c r="G22" i="2"/>
  <c r="D70" i="2" s="1"/>
  <c r="F70" i="2" s="1"/>
  <c r="D64" i="2" l="1"/>
  <c r="F64" i="2" s="1"/>
  <c r="D58" i="2"/>
  <c r="F58" i="2" s="1"/>
  <c r="D40" i="2"/>
  <c r="F40" i="2" s="1"/>
  <c r="D59" i="2"/>
  <c r="F59" i="2" s="1"/>
  <c r="D62" i="2"/>
  <c r="F62" i="2" s="1"/>
  <c r="D45" i="2"/>
  <c r="F45" i="2" s="1"/>
  <c r="D49" i="2"/>
  <c r="F49" i="2" s="1"/>
  <c r="D69" i="2"/>
  <c r="F69" i="2" s="1"/>
  <c r="D65" i="2"/>
  <c r="F65" i="2" s="1"/>
  <c r="D73" i="2"/>
  <c r="F73" i="2" s="1"/>
  <c r="D39" i="2"/>
  <c r="F39" i="2" s="1"/>
  <c r="D50" i="2"/>
  <c r="F50" i="2" s="1"/>
  <c r="D43" i="2"/>
  <c r="F43" i="2" s="1"/>
  <c r="D56" i="2"/>
  <c r="F56" i="2" s="1"/>
  <c r="D54" i="2"/>
  <c r="F54" i="2" s="1"/>
  <c r="D53" i="2"/>
  <c r="F53" i="2" s="1"/>
  <c r="D60" i="2"/>
  <c r="F60" i="2" s="1"/>
  <c r="D68" i="2"/>
  <c r="F68" i="2" s="1"/>
  <c r="D74" i="2"/>
  <c r="F74" i="2" s="1"/>
  <c r="D66" i="2"/>
  <c r="F66" i="2" s="1"/>
  <c r="U40" i="2"/>
  <c r="U44" i="2"/>
  <c r="W44" i="2" s="1"/>
  <c r="U48" i="2"/>
  <c r="W48" i="2" s="1"/>
  <c r="U52" i="2"/>
  <c r="W52" i="2" s="1"/>
  <c r="U39" i="2"/>
  <c r="U41" i="2"/>
  <c r="W41" i="2" s="1"/>
  <c r="U45" i="2"/>
  <c r="U49" i="2"/>
  <c r="W49" i="2" s="1"/>
  <c r="U53" i="2"/>
  <c r="W53" i="2" s="1"/>
  <c r="U42" i="2"/>
  <c r="W42" i="2" s="1"/>
  <c r="U46" i="2"/>
  <c r="W46" i="2" s="1"/>
  <c r="U50" i="2"/>
  <c r="W50" i="2" s="1"/>
  <c r="U54" i="2"/>
  <c r="W54" i="2" s="1"/>
  <c r="U43" i="2"/>
  <c r="W43" i="2" s="1"/>
  <c r="U47" i="2"/>
  <c r="W47" i="2" s="1"/>
  <c r="U51" i="2"/>
  <c r="W51" i="2" s="1"/>
  <c r="C4" i="2" l="1"/>
  <c r="W45" i="2"/>
  <c r="W40" i="2"/>
  <c r="W39" i="2"/>
</calcChain>
</file>

<file path=xl/sharedStrings.xml><?xml version="1.0" encoding="utf-8"?>
<sst xmlns="http://schemas.openxmlformats.org/spreadsheetml/2006/main" count="698" uniqueCount="64">
  <si>
    <t>Pos.</t>
  </si>
  <si>
    <t>Reel 1</t>
  </si>
  <si>
    <t>Reel 2</t>
  </si>
  <si>
    <t>Reel 3</t>
  </si>
  <si>
    <t>Reel 4</t>
  </si>
  <si>
    <t>Reel 5</t>
  </si>
  <si>
    <t>K</t>
  </si>
  <si>
    <t>J</t>
  </si>
  <si>
    <t>10</t>
  </si>
  <si>
    <t>9</t>
  </si>
  <si>
    <t>Q</t>
  </si>
  <si>
    <t>WILD</t>
  </si>
  <si>
    <t>Lines</t>
  </si>
  <si>
    <t>Scats</t>
  </si>
  <si>
    <t>BG</t>
  </si>
  <si>
    <t>FG</t>
  </si>
  <si>
    <t>Total</t>
  </si>
  <si>
    <t>Symbol</t>
  </si>
  <si>
    <t>Cycle</t>
  </si>
  <si>
    <t>2x</t>
  </si>
  <si>
    <t>3x</t>
  </si>
  <si>
    <t>4x</t>
  </si>
  <si>
    <t>5x</t>
  </si>
  <si>
    <t>Combination</t>
  </si>
  <si>
    <t>Hits</t>
  </si>
  <si>
    <t>Prob</t>
  </si>
  <si>
    <t>Pay</t>
  </si>
  <si>
    <t>Contribution</t>
  </si>
  <si>
    <t>Trigger Prob</t>
  </si>
  <si>
    <t>Base Game</t>
  </si>
  <si>
    <t>Free Games</t>
  </si>
  <si>
    <t>A</t>
  </si>
  <si>
    <t>SYM1</t>
  </si>
  <si>
    <t>SYM2</t>
  </si>
  <si>
    <t>SYM3</t>
  </si>
  <si>
    <t>SYM4</t>
  </si>
  <si>
    <t>SYM5</t>
  </si>
  <si>
    <t>BASE GAME REELS</t>
  </si>
  <si>
    <t>FREE GAME REELS</t>
  </si>
  <si>
    <t>FREE GAME SPINS</t>
  </si>
  <si>
    <t>PAYTABLE</t>
  </si>
  <si>
    <t>Pay per Spin</t>
  </si>
  <si>
    <t>Symbol Distribution</t>
  </si>
  <si>
    <t>Free Games Odds</t>
  </si>
  <si>
    <t>GAME RULES</t>
  </si>
  <si>
    <t>--</t>
  </si>
  <si>
    <t>FG (on screen)</t>
  </si>
  <si>
    <t>Derived Symbols</t>
  </si>
  <si>
    <t>Total Bet</t>
  </si>
  <si>
    <t>*FG win is multiplied by total bet.</t>
  </si>
  <si>
    <t>PAY LINES</t>
  </si>
  <si>
    <t>Total Pay</t>
  </si>
  <si>
    <t>FG x5</t>
  </si>
  <si>
    <t>FG x4</t>
  </si>
  <si>
    <t>FG x3</t>
  </si>
  <si>
    <t>X</t>
  </si>
  <si>
    <t>Line Hits</t>
  </si>
  <si>
    <t>Scatter Hits</t>
  </si>
  <si>
    <t>Avg Spins</t>
  </si>
  <si>
    <t>BG Prob</t>
  </si>
  <si>
    <t>FG Prob</t>
  </si>
  <si>
    <t># Spins</t>
  </si>
  <si>
    <t>FG Multiplier</t>
  </si>
  <si>
    <r>
      <t xml:space="preserve">WILD substitutes for all symbols except FG.
All wins pay left to right except FG.
FG wins added to payline wins
FG wins multiplied by the total bet.
3, 4, or 5 or more FG awards 8, 12, or 16 free spins, respectively.
3, 4, or 5 or more FG during a free spin awards an additional 8, 12, or 16 free spins, respectively.
</t>
    </r>
    <r>
      <rPr>
        <sz val="11"/>
        <color rgb="FFFF0000"/>
        <rFont val="Calibri"/>
        <family val="2"/>
        <scheme val="minor"/>
      </rPr>
      <t xml:space="preserve">All wins are tripled during free games.
</t>
    </r>
    <r>
      <rPr>
        <sz val="11"/>
        <rFont val="Calibri"/>
        <family val="2"/>
        <scheme val="minor"/>
      </rPr>
      <t>Free games using different reel strips from the base game.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</si>
</sst>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
    <numFmt numFmtId="165" formatCode="0.00000000"/>
    <numFmt numFmtId="166" formatCode="0.000%"/>
    <numFmt numFmtId="167" formatCode="0\x"/>
  </numFmts>
  <fonts count="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0"/>
      <name val="Arial"/>
      <family val="2"/>
    </font>
    <font>
      <sz val="8"/>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5" fillId="0" borderId="0"/>
    <xf numFmtId="0" fontId="5" fillId="0" borderId="0"/>
    <xf numFmtId="0" fontId="5" fillId="0" borderId="0"/>
  </cellStyleXfs>
  <cellXfs count="109">
    <xf numFmtId="0" fontId="0" fillId="0" borderId="0" xfId="0"/>
    <xf numFmtId="0" fontId="4" fillId="0" borderId="0" xfId="0" applyNumberFormat="1" applyFont="1" applyBorder="1" applyAlignment="1">
      <alignment horizontal="center"/>
    </xf>
    <xf numFmtId="0" fontId="2" fillId="0" borderId="0" xfId="0" applyFont="1" applyBorder="1" applyAlignment="1">
      <alignment horizontal="center"/>
    </xf>
    <xf numFmtId="49" fontId="4" fillId="0" borderId="0" xfId="0" applyNumberFormat="1" applyFont="1" applyBorder="1" applyAlignment="1">
      <alignment horizontal="center"/>
    </xf>
    <xf numFmtId="0" fontId="4" fillId="0" borderId="0" xfId="0" applyFont="1" applyBorder="1" applyAlignment="1">
      <alignment horizontal="center"/>
    </xf>
    <xf numFmtId="0" fontId="0" fillId="0" borderId="0" xfId="0" applyFont="1" applyAlignment="1">
      <alignment horizontal="center"/>
    </xf>
    <xf numFmtId="0" fontId="0" fillId="0" borderId="11" xfId="0" applyFont="1" applyBorder="1" applyAlignment="1">
      <alignment horizontal="center"/>
    </xf>
    <xf numFmtId="0" fontId="0" fillId="0" borderId="12" xfId="0" applyFont="1" applyBorder="1" applyAlignment="1">
      <alignment horizontal="center"/>
    </xf>
    <xf numFmtId="0" fontId="0" fillId="0" borderId="11" xfId="0" applyNumberFormat="1" applyFont="1" applyBorder="1" applyAlignment="1">
      <alignment horizontal="center"/>
    </xf>
    <xf numFmtId="0" fontId="0" fillId="0" borderId="12" xfId="0" applyNumberFormat="1" applyFont="1" applyBorder="1" applyAlignment="1">
      <alignment horizontal="center"/>
    </xf>
    <xf numFmtId="0" fontId="4" fillId="0" borderId="6" xfId="0" applyNumberFormat="1" applyFont="1" applyBorder="1" applyAlignment="1">
      <alignment horizontal="center"/>
    </xf>
    <xf numFmtId="0" fontId="4" fillId="0" borderId="6" xfId="0" applyFont="1" applyBorder="1" applyAlignment="1">
      <alignment horizontal="center"/>
    </xf>
    <xf numFmtId="0" fontId="4" fillId="0" borderId="8" xfId="0" applyFont="1" applyBorder="1" applyAlignment="1">
      <alignment horizontal="center"/>
    </xf>
    <xf numFmtId="0" fontId="0" fillId="3" borderId="1" xfId="0" applyFont="1" applyFill="1" applyBorder="1" applyAlignment="1">
      <alignment horizontal="center"/>
    </xf>
    <xf numFmtId="0" fontId="0" fillId="3" borderId="13" xfId="0" applyFont="1" applyFill="1" applyBorder="1" applyAlignment="1">
      <alignment horizontal="center"/>
    </xf>
    <xf numFmtId="0" fontId="0" fillId="3" borderId="14" xfId="0" applyFont="1" applyFill="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5"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15"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0" fillId="3" borderId="1" xfId="0" applyFill="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 xfId="0" applyBorder="1" applyAlignment="1">
      <alignment horizontal="center"/>
    </xf>
    <xf numFmtId="0" fontId="0" fillId="0" borderId="10" xfId="0" applyBorder="1" applyAlignment="1">
      <alignment horizontal="center"/>
    </xf>
    <xf numFmtId="165" fontId="0" fillId="0" borderId="0" xfId="0" applyNumberFormat="1" applyBorder="1" applyAlignment="1">
      <alignment horizontal="center"/>
    </xf>
    <xf numFmtId="0" fontId="0" fillId="2" borderId="0" xfId="0" applyFill="1" applyBorder="1" applyAlignment="1">
      <alignment horizontal="center"/>
    </xf>
    <xf numFmtId="165" fontId="0" fillId="0" borderId="8" xfId="0" applyNumberFormat="1" applyBorder="1" applyAlignment="1">
      <alignment horizontal="center"/>
    </xf>
    <xf numFmtId="0" fontId="0" fillId="2" borderId="8" xfId="0" applyFill="1" applyBorder="1" applyAlignment="1">
      <alignment horizontal="center"/>
    </xf>
    <xf numFmtId="0" fontId="4" fillId="3" borderId="1" xfId="0" applyNumberFormat="1" applyFont="1" applyFill="1" applyBorder="1" applyAlignment="1">
      <alignment horizontal="center"/>
    </xf>
    <xf numFmtId="0" fontId="4" fillId="3" borderId="13" xfId="0" applyNumberFormat="1" applyFont="1" applyFill="1" applyBorder="1" applyAlignment="1">
      <alignment horizontal="center"/>
    </xf>
    <xf numFmtId="0" fontId="4" fillId="3" borderId="14" xfId="0" applyNumberFormat="1" applyFont="1" applyFill="1" applyBorder="1" applyAlignment="1">
      <alignment horizontal="center"/>
    </xf>
    <xf numFmtId="0" fontId="0" fillId="3" borderId="2" xfId="0" applyFill="1" applyBorder="1" applyAlignment="1">
      <alignment horizontal="center"/>
    </xf>
    <xf numFmtId="0" fontId="0" fillId="3" borderId="10" xfId="0" applyFill="1" applyBorder="1" applyAlignment="1">
      <alignment horizontal="center"/>
    </xf>
    <xf numFmtId="0" fontId="3" fillId="0" borderId="0" xfId="0" applyFont="1" applyAlignment="1">
      <alignment horizontal="left"/>
    </xf>
    <xf numFmtId="0" fontId="2" fillId="0" borderId="6" xfId="0" applyNumberFormat="1" applyFont="1" applyFill="1" applyBorder="1" applyAlignment="1">
      <alignment horizontal="center"/>
    </xf>
    <xf numFmtId="0" fontId="2" fillId="0" borderId="6" xfId="0" applyFont="1" applyBorder="1" applyAlignment="1">
      <alignment horizontal="center"/>
    </xf>
    <xf numFmtId="10" fontId="0" fillId="0" borderId="0" xfId="0" applyNumberFormat="1" applyAlignment="1">
      <alignment horizontal="center"/>
    </xf>
    <xf numFmtId="10" fontId="0" fillId="0" borderId="0" xfId="1" applyNumberFormat="1" applyFont="1" applyAlignment="1">
      <alignment horizontal="center"/>
    </xf>
    <xf numFmtId="0" fontId="0" fillId="0" borderId="0" xfId="0" applyFont="1" applyAlignment="1">
      <alignment horizontal="left"/>
    </xf>
    <xf numFmtId="0" fontId="2" fillId="0" borderId="8" xfId="0" applyNumberFormat="1" applyFont="1" applyFill="1" applyBorder="1" applyAlignment="1">
      <alignment horizontal="center"/>
    </xf>
    <xf numFmtId="0" fontId="2" fillId="0" borderId="9" xfId="0" applyNumberFormat="1" applyFont="1" applyFill="1" applyBorder="1" applyAlignment="1">
      <alignment horizontal="center"/>
    </xf>
    <xf numFmtId="0" fontId="0" fillId="0" borderId="0" xfId="0" applyAlignment="1">
      <alignment horizontal="right"/>
    </xf>
    <xf numFmtId="0" fontId="4" fillId="0" borderId="5" xfId="0" applyFont="1" applyBorder="1" applyAlignment="1">
      <alignment horizontal="center"/>
    </xf>
    <xf numFmtId="0" fontId="4" fillId="0" borderId="7" xfId="0" applyFont="1" applyBorder="1" applyAlignment="1">
      <alignment horizontal="center"/>
    </xf>
    <xf numFmtId="0" fontId="4" fillId="0" borderId="9" xfId="0" applyNumberFormat="1" applyFont="1" applyBorder="1" applyAlignment="1">
      <alignment horizontal="center"/>
    </xf>
    <xf numFmtId="49" fontId="4" fillId="0" borderId="2" xfId="0" applyNumberFormat="1" applyFont="1" applyBorder="1" applyAlignment="1">
      <alignment horizontal="center"/>
    </xf>
    <xf numFmtId="0" fontId="4" fillId="0" borderId="3" xfId="0" applyNumberFormat="1" applyFont="1" applyBorder="1" applyAlignment="1">
      <alignment horizontal="center"/>
    </xf>
    <xf numFmtId="0" fontId="4" fillId="0" borderId="4" xfId="0" applyNumberFormat="1" applyFont="1" applyBorder="1" applyAlignment="1">
      <alignment horizontal="center"/>
    </xf>
    <xf numFmtId="49" fontId="4" fillId="0" borderId="5" xfId="0" applyNumberFormat="1" applyFont="1" applyBorder="1" applyAlignment="1">
      <alignment horizontal="center"/>
    </xf>
    <xf numFmtId="0" fontId="4" fillId="0" borderId="5" xfId="0" applyNumberFormat="1" applyFont="1" applyBorder="1" applyAlignment="1">
      <alignment horizontal="center"/>
    </xf>
    <xf numFmtId="0" fontId="2" fillId="0" borderId="1" xfId="0" applyFont="1" applyBorder="1" applyAlignment="1">
      <alignment horizontal="center"/>
    </xf>
    <xf numFmtId="0" fontId="2" fillId="0" borderId="0" xfId="0" quotePrefix="1" applyNumberFormat="1" applyFont="1" applyFill="1" applyBorder="1" applyAlignment="1">
      <alignment horizontal="center"/>
    </xf>
    <xf numFmtId="167" fontId="2" fillId="0" borderId="13" xfId="0" applyNumberFormat="1" applyFont="1" applyBorder="1" applyAlignment="1">
      <alignment horizontal="center"/>
    </xf>
    <xf numFmtId="167" fontId="2" fillId="0" borderId="14" xfId="0" applyNumberFormat="1" applyFont="1" applyBorder="1" applyAlignment="1">
      <alignment horizontal="center"/>
    </xf>
    <xf numFmtId="0" fontId="0" fillId="0" borderId="0" xfId="0" applyFont="1" applyBorder="1" applyAlignment="1">
      <alignment vertical="top" wrapText="1"/>
    </xf>
    <xf numFmtId="167" fontId="2" fillId="0" borderId="13" xfId="0" quotePrefix="1" applyNumberFormat="1" applyFont="1" applyBorder="1" applyAlignment="1">
      <alignment horizontal="center"/>
    </xf>
    <xf numFmtId="10" fontId="0" fillId="0" borderId="6" xfId="1" applyNumberFormat="1" applyFont="1" applyBorder="1" applyAlignment="1">
      <alignment horizontal="center"/>
    </xf>
    <xf numFmtId="0" fontId="0" fillId="0" borderId="0" xfId="0" quotePrefix="1" applyBorder="1" applyAlignment="1">
      <alignment horizontal="center"/>
    </xf>
    <xf numFmtId="0" fontId="0" fillId="0" borderId="8" xfId="0" quotePrefix="1" applyBorder="1" applyAlignment="1">
      <alignment horizontal="center"/>
    </xf>
    <xf numFmtId="10" fontId="0" fillId="0" borderId="9" xfId="1" applyNumberFormat="1" applyFont="1" applyBorder="1" applyAlignment="1">
      <alignment horizontal="center"/>
    </xf>
    <xf numFmtId="10" fontId="0" fillId="4" borderId="0" xfId="0" applyNumberFormat="1" applyFill="1" applyAlignment="1">
      <alignment horizontal="center"/>
    </xf>
    <xf numFmtId="10" fontId="0" fillId="4" borderId="0" xfId="1" applyNumberFormat="1" applyFont="1" applyFill="1" applyAlignment="1">
      <alignment horizontal="center"/>
    </xf>
    <xf numFmtId="10" fontId="3" fillId="4" borderId="1" xfId="0" applyNumberFormat="1" applyFont="1" applyFill="1" applyBorder="1" applyAlignment="1">
      <alignment horizontal="center"/>
    </xf>
    <xf numFmtId="1" fontId="0" fillId="4" borderId="1" xfId="0" applyNumberFormat="1" applyFill="1" applyBorder="1" applyAlignment="1">
      <alignment horizontal="center"/>
    </xf>
    <xf numFmtId="0" fontId="0" fillId="4" borderId="0" xfId="0" applyFill="1" applyBorder="1" applyAlignment="1">
      <alignment horizontal="center"/>
    </xf>
    <xf numFmtId="0" fontId="0" fillId="4" borderId="8" xfId="0" applyFill="1" applyBorder="1" applyAlignment="1">
      <alignment horizontal="center"/>
    </xf>
    <xf numFmtId="164" fontId="0" fillId="4" borderId="2" xfId="0" applyNumberFormat="1" applyFill="1" applyBorder="1" applyAlignment="1">
      <alignment horizontal="center"/>
    </xf>
    <xf numFmtId="2" fontId="0" fillId="4" borderId="10" xfId="0" applyNumberFormat="1" applyFill="1" applyBorder="1" applyAlignment="1">
      <alignment horizontal="center"/>
    </xf>
    <xf numFmtId="164" fontId="0" fillId="4" borderId="7" xfId="0" applyNumberFormat="1" applyFill="1" applyBorder="1" applyAlignment="1">
      <alignment horizontal="center"/>
    </xf>
    <xf numFmtId="2" fontId="0" fillId="4" borderId="12" xfId="0" applyNumberFormat="1" applyFill="1" applyBorder="1" applyAlignment="1">
      <alignment horizontal="center"/>
    </xf>
    <xf numFmtId="2" fontId="0" fillId="4" borderId="1" xfId="0" applyNumberFormat="1" applyFill="1" applyBorder="1" applyAlignment="1">
      <alignment horizontal="center"/>
    </xf>
    <xf numFmtId="2" fontId="3" fillId="4" borderId="1" xfId="1" applyNumberFormat="1" applyFont="1" applyFill="1" applyBorder="1" applyAlignment="1">
      <alignment horizontal="center"/>
    </xf>
    <xf numFmtId="0" fontId="0" fillId="0" borderId="6" xfId="0" quotePrefix="1" applyBorder="1" applyAlignment="1">
      <alignment horizontal="center"/>
    </xf>
    <xf numFmtId="0" fontId="0" fillId="0" borderId="5" xfId="0" quotePrefix="1" applyBorder="1" applyAlignment="1">
      <alignment horizontal="center"/>
    </xf>
    <xf numFmtId="0" fontId="0" fillId="0" borderId="7" xfId="0" quotePrefix="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0" fontId="0" fillId="3" borderId="3" xfId="0" applyFill="1" applyBorder="1" applyAlignment="1">
      <alignment horizontal="center"/>
    </xf>
    <xf numFmtId="0" fontId="0" fillId="4" borderId="2" xfId="0" applyFill="1" applyBorder="1" applyAlignment="1">
      <alignment horizontal="center"/>
    </xf>
    <xf numFmtId="165" fontId="0" fillId="4" borderId="3" xfId="0" applyNumberFormat="1" applyFill="1" applyBorder="1" applyAlignment="1">
      <alignment horizontal="center"/>
    </xf>
    <xf numFmtId="0" fontId="0" fillId="4" borderId="5" xfId="0" applyFill="1" applyBorder="1" applyAlignment="1">
      <alignment horizontal="center"/>
    </xf>
    <xf numFmtId="165" fontId="0" fillId="4" borderId="0" xfId="0" applyNumberFormat="1" applyFill="1" applyBorder="1" applyAlignment="1">
      <alignment horizontal="center"/>
    </xf>
    <xf numFmtId="0" fontId="0" fillId="4" borderId="7" xfId="0" applyFill="1" applyBorder="1" applyAlignment="1">
      <alignment horizontal="center"/>
    </xf>
    <xf numFmtId="165" fontId="0" fillId="4" borderId="8" xfId="0" applyNumberFormat="1" applyFill="1" applyBorder="1" applyAlignment="1">
      <alignment horizontal="center"/>
    </xf>
    <xf numFmtId="166" fontId="0" fillId="4" borderId="11" xfId="1" applyNumberFormat="1" applyFont="1" applyFill="1" applyBorder="1" applyAlignment="1">
      <alignment horizontal="center"/>
    </xf>
    <xf numFmtId="166" fontId="0" fillId="4" borderId="12" xfId="1" applyNumberFormat="1" applyFont="1" applyFill="1" applyBorder="1" applyAlignment="1">
      <alignment horizontal="center"/>
    </xf>
    <xf numFmtId="0" fontId="0" fillId="0" borderId="2" xfId="0" applyFont="1" applyBorder="1" applyAlignment="1">
      <alignment horizontal="left" vertical="top" wrapText="1"/>
    </xf>
    <xf numFmtId="0" fontId="0" fillId="0" borderId="3" xfId="0" applyFont="1" applyBorder="1" applyAlignment="1">
      <alignment horizontal="left" vertical="top" wrapText="1"/>
    </xf>
    <xf numFmtId="0" fontId="0" fillId="0" borderId="4" xfId="0" applyFont="1" applyBorder="1" applyAlignment="1">
      <alignment horizontal="left" vertical="top" wrapText="1"/>
    </xf>
    <xf numFmtId="0" fontId="0" fillId="0" borderId="5" xfId="0" applyFont="1" applyBorder="1" applyAlignment="1">
      <alignment horizontal="left" vertical="top" wrapText="1"/>
    </xf>
    <xf numFmtId="0" fontId="0" fillId="0" borderId="0" xfId="0" applyFont="1" applyBorder="1" applyAlignment="1">
      <alignment horizontal="left" vertical="top" wrapText="1"/>
    </xf>
    <xf numFmtId="0" fontId="0" fillId="0" borderId="6" xfId="0" applyFont="1" applyBorder="1" applyAlignment="1">
      <alignment horizontal="left" vertical="top" wrapText="1"/>
    </xf>
    <xf numFmtId="0" fontId="0" fillId="0" borderId="7" xfId="0" applyFont="1" applyBorder="1" applyAlignment="1">
      <alignment horizontal="left" vertical="top" wrapText="1"/>
    </xf>
    <xf numFmtId="0" fontId="0" fillId="0" borderId="8" xfId="0" applyFont="1" applyBorder="1" applyAlignment="1">
      <alignment horizontal="left" vertical="top" wrapText="1"/>
    </xf>
    <xf numFmtId="0" fontId="0" fillId="0" borderId="9" xfId="0" applyFont="1" applyBorder="1" applyAlignment="1">
      <alignment horizontal="left" vertical="top" wrapText="1"/>
    </xf>
  </cellXfs>
  <cellStyles count="5">
    <cellStyle name="Normal" xfId="0" builtinId="0"/>
    <cellStyle name="Normal 10 2" xfId="4" xr:uid="{0659EA68-4221-495B-82A2-D9BD8E5B1822}"/>
    <cellStyle name="Normal 2" xfId="3" xr:uid="{DF87EDFA-42B2-4A67-9B9F-31789A40C196}"/>
    <cellStyle name="Normal 3" xfId="2" xr:uid="{ABF30E5B-B690-4ACC-B7EA-E6B7292E2881}"/>
    <cellStyle name="Percent" xfId="1" builtinId="5"/>
  </cellStyles>
  <dxfs count="24">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theme="4" tint="0.3999450666829432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theme="4" tint="0.3999450666829432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theme="4" tint="0.3999450666829432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theme="4" tint="0.3999450666829432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theme="4" tint="0.3999450666829432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theme="4" tint="0.39994506668294322"/>
        </patternFill>
      </fill>
    </dxf>
  </dxfs>
  <tableStyles count="0" defaultTableStyle="TableStyleMedium2" defaultPivotStyle="PivotStyleLight16"/>
  <colors>
    <mruColors>
      <color rgb="FF0000FF"/>
      <color rgb="FFFFB3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xdr:row>
      <xdr:rowOff>0</xdr:rowOff>
    </xdr:from>
    <xdr:to>
      <xdr:col>7</xdr:col>
      <xdr:colOff>385382</xdr:colOff>
      <xdr:row>21</xdr:row>
      <xdr:rowOff>72950</xdr:rowOff>
    </xdr:to>
    <xdr:pic>
      <xdr:nvPicPr>
        <xdr:cNvPr id="3" name="Picture 2">
          <a:extLst>
            <a:ext uri="{FF2B5EF4-FFF2-40B4-BE49-F238E27FC236}">
              <a16:creationId xmlns:a16="http://schemas.microsoft.com/office/drawing/2014/main" id="{28A517C8-CD9A-5AA6-1444-851038C60414}"/>
            </a:ext>
          </a:extLst>
        </xdr:cNvPr>
        <xdr:cNvPicPr>
          <a:picLocks noChangeAspect="1"/>
        </xdr:cNvPicPr>
      </xdr:nvPicPr>
      <xdr:blipFill>
        <a:blip xmlns:r="http://schemas.openxmlformats.org/officeDocument/2006/relationships" r:embed="rId1"/>
        <a:stretch>
          <a:fillRect/>
        </a:stretch>
      </xdr:blipFill>
      <xdr:spPr>
        <a:xfrm>
          <a:off x="235324" y="3429000"/>
          <a:ext cx="4492449" cy="8292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A170"/>
  <sheetViews>
    <sheetView zoomScale="145" zoomScaleNormal="145" workbookViewId="0">
      <selection activeCell="C2" sqref="C2"/>
    </sheetView>
  </sheetViews>
  <sheetFormatPr defaultColWidth="10.28515625" defaultRowHeight="15" x14ac:dyDescent="0.25"/>
  <cols>
    <col min="1" max="1" width="3.5703125" style="5" customWidth="1"/>
    <col min="2" max="16384" width="10.28515625" style="5"/>
  </cols>
  <sheetData>
    <row r="2" spans="2:27" x14ac:dyDescent="0.25">
      <c r="B2" s="5" t="s">
        <v>48</v>
      </c>
      <c r="C2" s="63">
        <v>10</v>
      </c>
    </row>
    <row r="3" spans="2:27" ht="15" customHeight="1" x14ac:dyDescent="0.25">
      <c r="B3" s="5" t="s">
        <v>12</v>
      </c>
      <c r="C3" s="63">
        <v>20</v>
      </c>
    </row>
    <row r="5" spans="2:27" x14ac:dyDescent="0.25">
      <c r="B5" s="46" t="s">
        <v>44</v>
      </c>
      <c r="I5" s="46" t="s">
        <v>37</v>
      </c>
      <c r="P5" s="46" t="s">
        <v>38</v>
      </c>
      <c r="W5" s="46" t="s">
        <v>39</v>
      </c>
    </row>
    <row r="6" spans="2:27" ht="15" customHeight="1" x14ac:dyDescent="0.25">
      <c r="B6" s="100" t="s">
        <v>63</v>
      </c>
      <c r="C6" s="101"/>
      <c r="D6" s="101"/>
      <c r="E6" s="101"/>
      <c r="F6" s="101"/>
      <c r="G6" s="102"/>
      <c r="I6" s="41" t="s">
        <v>0</v>
      </c>
      <c r="J6" s="42" t="s">
        <v>1</v>
      </c>
      <c r="K6" s="42" t="s">
        <v>2</v>
      </c>
      <c r="L6" s="42" t="s">
        <v>3</v>
      </c>
      <c r="M6" s="42" t="s">
        <v>4</v>
      </c>
      <c r="N6" s="43" t="s">
        <v>5</v>
      </c>
      <c r="P6" s="41" t="s">
        <v>0</v>
      </c>
      <c r="Q6" s="42" t="s">
        <v>1</v>
      </c>
      <c r="R6" s="42" t="s">
        <v>2</v>
      </c>
      <c r="S6" s="42" t="s">
        <v>3</v>
      </c>
      <c r="T6" s="42" t="s">
        <v>4</v>
      </c>
      <c r="U6" s="43" t="s">
        <v>5</v>
      </c>
      <c r="W6" s="41" t="s">
        <v>13</v>
      </c>
      <c r="X6" s="42" t="s">
        <v>14</v>
      </c>
      <c r="Y6" s="43" t="s">
        <v>15</v>
      </c>
    </row>
    <row r="7" spans="2:27" x14ac:dyDescent="0.25">
      <c r="B7" s="103"/>
      <c r="C7" s="104"/>
      <c r="D7" s="104"/>
      <c r="E7" s="104"/>
      <c r="F7" s="104"/>
      <c r="G7" s="105"/>
      <c r="I7" s="8">
        <v>1</v>
      </c>
      <c r="J7" s="58" t="s">
        <v>34</v>
      </c>
      <c r="K7" s="59" t="s">
        <v>6</v>
      </c>
      <c r="L7" s="1" t="s">
        <v>32</v>
      </c>
      <c r="M7" s="1" t="s">
        <v>32</v>
      </c>
      <c r="N7" s="60" t="s">
        <v>7</v>
      </c>
      <c r="P7" s="8">
        <v>1</v>
      </c>
      <c r="Q7" s="58" t="s">
        <v>34</v>
      </c>
      <c r="R7" s="59" t="s">
        <v>6</v>
      </c>
      <c r="S7" s="1" t="s">
        <v>32</v>
      </c>
      <c r="T7" s="1" t="s">
        <v>32</v>
      </c>
      <c r="U7" s="60" t="s">
        <v>7</v>
      </c>
      <c r="W7" s="6">
        <v>5</v>
      </c>
      <c r="X7" s="64">
        <v>16</v>
      </c>
      <c r="Y7" s="47">
        <v>16</v>
      </c>
    </row>
    <row r="8" spans="2:27" x14ac:dyDescent="0.25">
      <c r="B8" s="103"/>
      <c r="C8" s="104"/>
      <c r="D8" s="104"/>
      <c r="E8" s="104"/>
      <c r="F8" s="104"/>
      <c r="G8" s="105"/>
      <c r="I8" s="8">
        <v>2</v>
      </c>
      <c r="J8" s="61" t="s">
        <v>6</v>
      </c>
      <c r="K8" s="1" t="s">
        <v>33</v>
      </c>
      <c r="L8" s="1" t="s">
        <v>31</v>
      </c>
      <c r="M8" s="1">
        <v>10</v>
      </c>
      <c r="N8" s="10" t="s">
        <v>33</v>
      </c>
      <c r="P8" s="8">
        <v>2</v>
      </c>
      <c r="Q8" s="61" t="s">
        <v>6</v>
      </c>
      <c r="R8" s="1" t="s">
        <v>33</v>
      </c>
      <c r="S8" s="1" t="s">
        <v>31</v>
      </c>
      <c r="T8" s="1">
        <v>10</v>
      </c>
      <c r="U8" s="10" t="s">
        <v>33</v>
      </c>
      <c r="W8" s="6">
        <v>4</v>
      </c>
      <c r="X8" s="2">
        <v>12</v>
      </c>
      <c r="Y8" s="48">
        <v>12</v>
      </c>
    </row>
    <row r="9" spans="2:27" x14ac:dyDescent="0.25">
      <c r="B9" s="103"/>
      <c r="C9" s="104"/>
      <c r="D9" s="104"/>
      <c r="E9" s="104"/>
      <c r="F9" s="104"/>
      <c r="G9" s="105"/>
      <c r="I9" s="8">
        <v>3</v>
      </c>
      <c r="J9" s="61" t="s">
        <v>33</v>
      </c>
      <c r="K9" s="1" t="s">
        <v>7</v>
      </c>
      <c r="L9" s="1" t="s">
        <v>35</v>
      </c>
      <c r="M9" s="1" t="s">
        <v>34</v>
      </c>
      <c r="N9" s="10" t="s">
        <v>6</v>
      </c>
      <c r="P9" s="8">
        <v>3</v>
      </c>
      <c r="Q9" s="61" t="s">
        <v>33</v>
      </c>
      <c r="R9" s="1" t="s">
        <v>7</v>
      </c>
      <c r="S9" s="1" t="s">
        <v>35</v>
      </c>
      <c r="T9" s="1" t="s">
        <v>34</v>
      </c>
      <c r="U9" s="10" t="s">
        <v>6</v>
      </c>
      <c r="W9" s="7">
        <v>3</v>
      </c>
      <c r="X9" s="52">
        <v>8</v>
      </c>
      <c r="Y9" s="53">
        <v>8</v>
      </c>
    </row>
    <row r="10" spans="2:27" x14ac:dyDescent="0.25">
      <c r="B10" s="103"/>
      <c r="C10" s="104"/>
      <c r="D10" s="104"/>
      <c r="E10" s="104"/>
      <c r="F10" s="104"/>
      <c r="G10" s="105"/>
      <c r="I10" s="8">
        <v>4</v>
      </c>
      <c r="J10" s="61" t="s">
        <v>8</v>
      </c>
      <c r="K10" s="1" t="s">
        <v>11</v>
      </c>
      <c r="L10" s="1" t="s">
        <v>6</v>
      </c>
      <c r="M10" s="1" t="s">
        <v>6</v>
      </c>
      <c r="N10" s="10" t="s">
        <v>34</v>
      </c>
      <c r="P10" s="8">
        <v>4</v>
      </c>
      <c r="Q10" s="61" t="s">
        <v>8</v>
      </c>
      <c r="R10" s="1" t="s">
        <v>11</v>
      </c>
      <c r="S10" s="1" t="s">
        <v>6</v>
      </c>
      <c r="T10" s="1" t="s">
        <v>6</v>
      </c>
      <c r="U10" s="10" t="s">
        <v>34</v>
      </c>
    </row>
    <row r="11" spans="2:27" x14ac:dyDescent="0.25">
      <c r="B11" s="103"/>
      <c r="C11" s="104"/>
      <c r="D11" s="104"/>
      <c r="E11" s="104"/>
      <c r="F11" s="104"/>
      <c r="G11" s="105"/>
      <c r="I11" s="8">
        <v>5</v>
      </c>
      <c r="J11" s="61" t="s">
        <v>35</v>
      </c>
      <c r="K11" s="1">
        <v>9</v>
      </c>
      <c r="L11" s="1" t="s">
        <v>7</v>
      </c>
      <c r="M11" s="1">
        <v>10</v>
      </c>
      <c r="N11" s="10">
        <v>10</v>
      </c>
      <c r="P11" s="8">
        <v>5</v>
      </c>
      <c r="Q11" s="61" t="s">
        <v>35</v>
      </c>
      <c r="R11" s="1">
        <v>9</v>
      </c>
      <c r="S11" s="1" t="s">
        <v>7</v>
      </c>
      <c r="T11" s="1">
        <v>10</v>
      </c>
      <c r="U11" s="10">
        <v>10</v>
      </c>
      <c r="W11" s="46" t="s">
        <v>40</v>
      </c>
    </row>
    <row r="12" spans="2:27" x14ac:dyDescent="0.25">
      <c r="B12" s="103"/>
      <c r="C12" s="104"/>
      <c r="D12" s="104"/>
      <c r="E12" s="104"/>
      <c r="F12" s="104"/>
      <c r="G12" s="105"/>
      <c r="I12" s="8">
        <v>6</v>
      </c>
      <c r="J12" s="61" t="s">
        <v>6</v>
      </c>
      <c r="K12" s="1" t="s">
        <v>33</v>
      </c>
      <c r="L12" s="1" t="s">
        <v>34</v>
      </c>
      <c r="M12" s="1" t="s">
        <v>36</v>
      </c>
      <c r="N12" s="10" t="s">
        <v>33</v>
      </c>
      <c r="P12" s="8">
        <v>6</v>
      </c>
      <c r="Q12" s="61" t="s">
        <v>6</v>
      </c>
      <c r="R12" s="1" t="s">
        <v>33</v>
      </c>
      <c r="S12" s="1" t="s">
        <v>34</v>
      </c>
      <c r="T12" s="1" t="s">
        <v>15</v>
      </c>
      <c r="U12" s="10" t="s">
        <v>33</v>
      </c>
      <c r="W12" s="13" t="s">
        <v>17</v>
      </c>
      <c r="X12" s="14" t="s">
        <v>19</v>
      </c>
      <c r="Y12" s="14" t="s">
        <v>20</v>
      </c>
      <c r="Z12" s="14" t="s">
        <v>21</v>
      </c>
      <c r="AA12" s="15" t="s">
        <v>22</v>
      </c>
    </row>
    <row r="13" spans="2:27" x14ac:dyDescent="0.25">
      <c r="B13" s="103"/>
      <c r="C13" s="104"/>
      <c r="D13" s="104"/>
      <c r="E13" s="104"/>
      <c r="F13" s="104"/>
      <c r="G13" s="105"/>
      <c r="I13" s="8">
        <v>7</v>
      </c>
      <c r="J13" s="61" t="s">
        <v>32</v>
      </c>
      <c r="K13" s="1" t="s">
        <v>31</v>
      </c>
      <c r="L13" s="1" t="s">
        <v>10</v>
      </c>
      <c r="M13" s="1" t="s">
        <v>6</v>
      </c>
      <c r="N13" s="10" t="s">
        <v>10</v>
      </c>
      <c r="P13" s="8">
        <v>7</v>
      </c>
      <c r="Q13" s="61" t="s">
        <v>7</v>
      </c>
      <c r="R13" s="1" t="s">
        <v>31</v>
      </c>
      <c r="S13" s="1" t="s">
        <v>10</v>
      </c>
      <c r="T13" s="1" t="s">
        <v>6</v>
      </c>
      <c r="U13" s="10" t="s">
        <v>10</v>
      </c>
      <c r="W13" s="33" t="s">
        <v>11</v>
      </c>
      <c r="X13" s="2" t="s">
        <v>45</v>
      </c>
      <c r="Y13" s="2">
        <v>100</v>
      </c>
      <c r="Z13" s="2">
        <v>500</v>
      </c>
      <c r="AA13" s="48">
        <v>2500</v>
      </c>
    </row>
    <row r="14" spans="2:27" x14ac:dyDescent="0.25">
      <c r="B14" s="103"/>
      <c r="C14" s="104"/>
      <c r="D14" s="104"/>
      <c r="E14" s="104"/>
      <c r="F14" s="104"/>
      <c r="G14" s="105"/>
      <c r="I14" s="8">
        <v>8</v>
      </c>
      <c r="J14" s="61" t="s">
        <v>8</v>
      </c>
      <c r="K14" s="1" t="s">
        <v>34</v>
      </c>
      <c r="L14" s="1" t="s">
        <v>33</v>
      </c>
      <c r="M14" s="1" t="s">
        <v>35</v>
      </c>
      <c r="N14" s="10" t="s">
        <v>15</v>
      </c>
      <c r="P14" s="8">
        <v>8</v>
      </c>
      <c r="Q14" s="61" t="s">
        <v>32</v>
      </c>
      <c r="R14" s="1" t="s">
        <v>11</v>
      </c>
      <c r="S14" s="1" t="s">
        <v>33</v>
      </c>
      <c r="T14" s="1" t="s">
        <v>35</v>
      </c>
      <c r="U14" s="10" t="s">
        <v>15</v>
      </c>
      <c r="W14" s="33" t="s">
        <v>32</v>
      </c>
      <c r="X14" s="2" t="s">
        <v>45</v>
      </c>
      <c r="Y14" s="2">
        <v>25</v>
      </c>
      <c r="Z14" s="2">
        <v>100</v>
      </c>
      <c r="AA14" s="48">
        <v>750</v>
      </c>
    </row>
    <row r="15" spans="2:27" x14ac:dyDescent="0.25">
      <c r="B15" s="106"/>
      <c r="C15" s="107"/>
      <c r="D15" s="107"/>
      <c r="E15" s="107"/>
      <c r="F15" s="107"/>
      <c r="G15" s="108"/>
      <c r="I15" s="8">
        <v>9</v>
      </c>
      <c r="J15" s="61" t="s">
        <v>34</v>
      </c>
      <c r="K15" s="1">
        <v>9</v>
      </c>
      <c r="L15" s="1" t="s">
        <v>6</v>
      </c>
      <c r="M15" s="1" t="s">
        <v>31</v>
      </c>
      <c r="N15" s="10" t="s">
        <v>7</v>
      </c>
      <c r="P15" s="8">
        <v>9</v>
      </c>
      <c r="Q15" s="61" t="s">
        <v>31</v>
      </c>
      <c r="R15" s="1">
        <v>9</v>
      </c>
      <c r="S15" s="1" t="s">
        <v>6</v>
      </c>
      <c r="T15" s="1" t="s">
        <v>31</v>
      </c>
      <c r="U15" s="10" t="s">
        <v>7</v>
      </c>
      <c r="W15" s="33" t="s">
        <v>33</v>
      </c>
      <c r="X15" s="2" t="s">
        <v>45</v>
      </c>
      <c r="Y15" s="2">
        <v>25</v>
      </c>
      <c r="Z15" s="2">
        <v>100</v>
      </c>
      <c r="AA15" s="48">
        <v>750</v>
      </c>
    </row>
    <row r="16" spans="2:27" x14ac:dyDescent="0.25">
      <c r="B16" s="67"/>
      <c r="C16" s="67"/>
      <c r="D16" s="67"/>
      <c r="E16" s="67"/>
      <c r="F16" s="67"/>
      <c r="G16" s="67"/>
      <c r="I16" s="8">
        <v>10</v>
      </c>
      <c r="J16" s="61" t="s">
        <v>7</v>
      </c>
      <c r="K16" s="1">
        <v>10</v>
      </c>
      <c r="L16" s="1" t="s">
        <v>11</v>
      </c>
      <c r="M16" s="1">
        <v>9</v>
      </c>
      <c r="N16" s="10">
        <v>9</v>
      </c>
      <c r="P16" s="8">
        <v>10</v>
      </c>
      <c r="Q16" s="61" t="s">
        <v>7</v>
      </c>
      <c r="R16" s="1">
        <v>10</v>
      </c>
      <c r="S16" s="1" t="s">
        <v>11</v>
      </c>
      <c r="T16" s="1">
        <v>9</v>
      </c>
      <c r="U16" s="10">
        <v>9</v>
      </c>
      <c r="W16" s="33" t="s">
        <v>34</v>
      </c>
      <c r="X16" s="2" t="s">
        <v>45</v>
      </c>
      <c r="Y16" s="2">
        <v>25</v>
      </c>
      <c r="Z16" s="2">
        <v>100</v>
      </c>
      <c r="AA16" s="48">
        <v>750</v>
      </c>
    </row>
    <row r="17" spans="2:27" x14ac:dyDescent="0.25">
      <c r="B17" s="46" t="s">
        <v>50</v>
      </c>
      <c r="I17" s="8">
        <v>11</v>
      </c>
      <c r="J17" s="61" t="s">
        <v>34</v>
      </c>
      <c r="K17" s="1" t="s">
        <v>35</v>
      </c>
      <c r="L17" s="1" t="s">
        <v>31</v>
      </c>
      <c r="M17" s="1" t="s">
        <v>33</v>
      </c>
      <c r="N17" s="10" t="s">
        <v>32</v>
      </c>
      <c r="P17" s="8">
        <v>11</v>
      </c>
      <c r="Q17" s="61" t="s">
        <v>34</v>
      </c>
      <c r="R17" s="1" t="s">
        <v>35</v>
      </c>
      <c r="S17" s="1" t="s">
        <v>31</v>
      </c>
      <c r="T17" s="1" t="s">
        <v>33</v>
      </c>
      <c r="U17" s="10" t="s">
        <v>32</v>
      </c>
      <c r="W17" s="33" t="s">
        <v>35</v>
      </c>
      <c r="X17" s="2" t="s">
        <v>45</v>
      </c>
      <c r="Y17" s="2">
        <v>10</v>
      </c>
      <c r="Z17" s="2">
        <v>75</v>
      </c>
      <c r="AA17" s="48">
        <v>250</v>
      </c>
    </row>
    <row r="18" spans="2:27" x14ac:dyDescent="0.25">
      <c r="I18" s="8">
        <v>12</v>
      </c>
      <c r="J18" s="61" t="s">
        <v>9</v>
      </c>
      <c r="K18" s="1" t="s">
        <v>7</v>
      </c>
      <c r="L18" s="1" t="s">
        <v>34</v>
      </c>
      <c r="M18" s="1" t="s">
        <v>6</v>
      </c>
      <c r="N18" s="10">
        <v>10</v>
      </c>
      <c r="P18" s="8">
        <v>12</v>
      </c>
      <c r="Q18" s="61" t="s">
        <v>9</v>
      </c>
      <c r="R18" s="1" t="s">
        <v>7</v>
      </c>
      <c r="S18" s="1" t="s">
        <v>34</v>
      </c>
      <c r="T18" s="1" t="s">
        <v>6</v>
      </c>
      <c r="U18" s="10">
        <v>10</v>
      </c>
      <c r="W18" s="33" t="s">
        <v>36</v>
      </c>
      <c r="X18" s="2" t="s">
        <v>45</v>
      </c>
      <c r="Y18" s="2">
        <v>10</v>
      </c>
      <c r="Z18" s="2">
        <v>50</v>
      </c>
      <c r="AA18" s="48">
        <v>250</v>
      </c>
    </row>
    <row r="19" spans="2:27" x14ac:dyDescent="0.25">
      <c r="I19" s="8">
        <v>13</v>
      </c>
      <c r="J19" s="61" t="s">
        <v>8</v>
      </c>
      <c r="K19" s="1" t="s">
        <v>33</v>
      </c>
      <c r="L19" s="1">
        <v>10</v>
      </c>
      <c r="M19" s="1" t="s">
        <v>35</v>
      </c>
      <c r="N19" s="10" t="s">
        <v>35</v>
      </c>
      <c r="P19" s="8">
        <v>13</v>
      </c>
      <c r="Q19" s="61" t="s">
        <v>8</v>
      </c>
      <c r="R19" s="1" t="s">
        <v>33</v>
      </c>
      <c r="S19" s="1">
        <v>10</v>
      </c>
      <c r="T19" s="1" t="s">
        <v>35</v>
      </c>
      <c r="U19" s="10" t="s">
        <v>35</v>
      </c>
      <c r="W19" s="33" t="s">
        <v>31</v>
      </c>
      <c r="X19" s="2" t="s">
        <v>45</v>
      </c>
      <c r="Y19" s="2">
        <v>10</v>
      </c>
      <c r="Z19" s="2">
        <v>50</v>
      </c>
      <c r="AA19" s="48">
        <v>125</v>
      </c>
    </row>
    <row r="20" spans="2:27" x14ac:dyDescent="0.25">
      <c r="I20" s="8">
        <v>14</v>
      </c>
      <c r="J20" s="61" t="s">
        <v>33</v>
      </c>
      <c r="K20" s="1" t="s">
        <v>31</v>
      </c>
      <c r="L20" s="1" t="s">
        <v>6</v>
      </c>
      <c r="M20" s="1">
        <v>10</v>
      </c>
      <c r="N20" s="10" t="s">
        <v>10</v>
      </c>
      <c r="P20" s="8">
        <v>14</v>
      </c>
      <c r="Q20" s="61" t="s">
        <v>33</v>
      </c>
      <c r="R20" s="1" t="s">
        <v>31</v>
      </c>
      <c r="S20" s="1" t="s">
        <v>6</v>
      </c>
      <c r="T20" s="1">
        <v>10</v>
      </c>
      <c r="U20" s="10" t="s">
        <v>10</v>
      </c>
      <c r="W20" s="33" t="s">
        <v>6</v>
      </c>
      <c r="X20" s="2" t="s">
        <v>45</v>
      </c>
      <c r="Y20" s="2">
        <v>5</v>
      </c>
      <c r="Z20" s="2">
        <v>50</v>
      </c>
      <c r="AA20" s="48">
        <v>100</v>
      </c>
    </row>
    <row r="21" spans="2:27" x14ac:dyDescent="0.25">
      <c r="I21" s="8">
        <v>15</v>
      </c>
      <c r="J21" s="61" t="s">
        <v>31</v>
      </c>
      <c r="K21" s="4" t="s">
        <v>15</v>
      </c>
      <c r="L21" s="1" t="s">
        <v>36</v>
      </c>
      <c r="M21" s="1" t="s">
        <v>11</v>
      </c>
      <c r="N21" s="10" t="s">
        <v>11</v>
      </c>
      <c r="P21" s="8">
        <v>15</v>
      </c>
      <c r="Q21" s="61" t="s">
        <v>31</v>
      </c>
      <c r="R21" s="4" t="s">
        <v>15</v>
      </c>
      <c r="S21" s="1" t="s">
        <v>36</v>
      </c>
      <c r="T21" s="1" t="s">
        <v>11</v>
      </c>
      <c r="U21" s="10" t="s">
        <v>11</v>
      </c>
      <c r="W21" s="33" t="s">
        <v>10</v>
      </c>
      <c r="X21" s="2" t="s">
        <v>45</v>
      </c>
      <c r="Y21" s="2">
        <v>5</v>
      </c>
      <c r="Z21" s="2">
        <v>50</v>
      </c>
      <c r="AA21" s="48">
        <v>100</v>
      </c>
    </row>
    <row r="22" spans="2:27" x14ac:dyDescent="0.25">
      <c r="I22" s="8">
        <v>16</v>
      </c>
      <c r="J22" s="61" t="s">
        <v>11</v>
      </c>
      <c r="K22" s="1">
        <v>9</v>
      </c>
      <c r="L22" s="1" t="s">
        <v>7</v>
      </c>
      <c r="M22" s="1">
        <v>9</v>
      </c>
      <c r="N22" s="11" t="s">
        <v>31</v>
      </c>
      <c r="P22" s="8">
        <v>16</v>
      </c>
      <c r="Q22" s="61" t="s">
        <v>11</v>
      </c>
      <c r="R22" s="1">
        <v>9</v>
      </c>
      <c r="S22" s="1" t="s">
        <v>7</v>
      </c>
      <c r="T22" s="1">
        <v>9</v>
      </c>
      <c r="U22" s="11" t="s">
        <v>31</v>
      </c>
      <c r="W22" s="33" t="s">
        <v>7</v>
      </c>
      <c r="X22" s="2" t="s">
        <v>45</v>
      </c>
      <c r="Y22" s="2">
        <v>5</v>
      </c>
      <c r="Z22" s="2">
        <v>25</v>
      </c>
      <c r="AA22" s="48">
        <v>100</v>
      </c>
    </row>
    <row r="23" spans="2:27" x14ac:dyDescent="0.25">
      <c r="I23" s="8">
        <v>17</v>
      </c>
      <c r="J23" s="55" t="s">
        <v>10</v>
      </c>
      <c r="K23" s="1" t="s">
        <v>7</v>
      </c>
      <c r="L23" s="1" t="s">
        <v>34</v>
      </c>
      <c r="M23" s="1" t="s">
        <v>34</v>
      </c>
      <c r="N23" s="11" t="s">
        <v>36</v>
      </c>
      <c r="P23" s="8">
        <v>17</v>
      </c>
      <c r="Q23" s="55" t="s">
        <v>10</v>
      </c>
      <c r="R23" s="1" t="s">
        <v>7</v>
      </c>
      <c r="S23" s="1" t="s">
        <v>34</v>
      </c>
      <c r="T23" s="1" t="s">
        <v>34</v>
      </c>
      <c r="U23" s="11" t="s">
        <v>36</v>
      </c>
      <c r="W23" s="33">
        <v>10</v>
      </c>
      <c r="X23" s="2" t="s">
        <v>45</v>
      </c>
      <c r="Y23" s="2">
        <v>5</v>
      </c>
      <c r="Z23" s="2">
        <v>25</v>
      </c>
      <c r="AA23" s="48">
        <v>100</v>
      </c>
    </row>
    <row r="24" spans="2:27" x14ac:dyDescent="0.25">
      <c r="I24" s="8">
        <v>18</v>
      </c>
      <c r="J24" s="61" t="s">
        <v>36</v>
      </c>
      <c r="K24" s="1" t="s">
        <v>35</v>
      </c>
      <c r="L24" s="1">
        <v>10</v>
      </c>
      <c r="M24" s="1" t="s">
        <v>10</v>
      </c>
      <c r="N24" s="11">
        <v>9</v>
      </c>
      <c r="P24" s="8">
        <v>18</v>
      </c>
      <c r="Q24" s="61" t="s">
        <v>36</v>
      </c>
      <c r="R24" s="1" t="s">
        <v>35</v>
      </c>
      <c r="S24" s="1">
        <v>10</v>
      </c>
      <c r="T24" s="1" t="s">
        <v>10</v>
      </c>
      <c r="U24" s="11">
        <v>9</v>
      </c>
      <c r="W24" s="33">
        <v>9</v>
      </c>
      <c r="X24" s="2" t="s">
        <v>45</v>
      </c>
      <c r="Y24" s="2">
        <v>5</v>
      </c>
      <c r="Z24" s="2">
        <v>25</v>
      </c>
      <c r="AA24" s="48">
        <v>100</v>
      </c>
    </row>
    <row r="25" spans="2:27" x14ac:dyDescent="0.25">
      <c r="I25" s="8">
        <v>19</v>
      </c>
      <c r="J25" s="55" t="s">
        <v>6</v>
      </c>
      <c r="K25" s="1" t="s">
        <v>6</v>
      </c>
      <c r="L25" s="1">
        <v>9</v>
      </c>
      <c r="M25" s="1" t="s">
        <v>33</v>
      </c>
      <c r="N25" s="11" t="s">
        <v>10</v>
      </c>
      <c r="P25" s="8">
        <v>19</v>
      </c>
      <c r="Q25" s="55" t="s">
        <v>6</v>
      </c>
      <c r="R25" s="1" t="s">
        <v>6</v>
      </c>
      <c r="S25" s="1">
        <v>9</v>
      </c>
      <c r="T25" s="1" t="s">
        <v>33</v>
      </c>
      <c r="U25" s="11" t="s">
        <v>10</v>
      </c>
      <c r="W25" s="35" t="s">
        <v>15</v>
      </c>
      <c r="X25" s="68" t="s">
        <v>45</v>
      </c>
      <c r="Y25" s="65">
        <v>5</v>
      </c>
      <c r="Z25" s="65">
        <v>20</v>
      </c>
      <c r="AA25" s="66">
        <v>100</v>
      </c>
    </row>
    <row r="26" spans="2:27" x14ac:dyDescent="0.25">
      <c r="I26" s="8">
        <v>20</v>
      </c>
      <c r="J26" s="55" t="s">
        <v>31</v>
      </c>
      <c r="K26" s="1" t="s">
        <v>36</v>
      </c>
      <c r="L26" s="4" t="s">
        <v>15</v>
      </c>
      <c r="M26" s="1">
        <v>10</v>
      </c>
      <c r="N26" s="11" t="s">
        <v>35</v>
      </c>
      <c r="P26" s="8">
        <v>20</v>
      </c>
      <c r="Q26" s="55" t="s">
        <v>31</v>
      </c>
      <c r="R26" s="1" t="s">
        <v>36</v>
      </c>
      <c r="S26" s="4" t="s">
        <v>15</v>
      </c>
      <c r="T26" s="1">
        <v>10</v>
      </c>
      <c r="U26" s="11" t="s">
        <v>35</v>
      </c>
      <c r="W26" s="51" t="s">
        <v>49</v>
      </c>
    </row>
    <row r="27" spans="2:27" x14ac:dyDescent="0.25">
      <c r="I27" s="8">
        <v>21</v>
      </c>
      <c r="J27" s="55" t="s">
        <v>35</v>
      </c>
      <c r="K27" s="1" t="s">
        <v>10</v>
      </c>
      <c r="L27" s="1" t="s">
        <v>10</v>
      </c>
      <c r="M27" s="1" t="s">
        <v>7</v>
      </c>
      <c r="N27" s="11" t="s">
        <v>7</v>
      </c>
      <c r="P27" s="8">
        <v>21</v>
      </c>
      <c r="Q27" s="55" t="s">
        <v>35</v>
      </c>
      <c r="R27" s="1" t="s">
        <v>10</v>
      </c>
      <c r="S27" s="1" t="s">
        <v>10</v>
      </c>
      <c r="T27" s="1" t="s">
        <v>7</v>
      </c>
      <c r="U27" s="11" t="s">
        <v>7</v>
      </c>
    </row>
    <row r="28" spans="2:27" x14ac:dyDescent="0.25">
      <c r="I28" s="8">
        <v>22</v>
      </c>
      <c r="J28" s="55" t="s">
        <v>6</v>
      </c>
      <c r="K28" s="1" t="s">
        <v>32</v>
      </c>
      <c r="L28" s="1" t="s">
        <v>36</v>
      </c>
      <c r="M28" s="1" t="s">
        <v>15</v>
      </c>
      <c r="N28" s="10" t="s">
        <v>32</v>
      </c>
      <c r="P28" s="8">
        <v>22</v>
      </c>
      <c r="Q28" s="55" t="s">
        <v>6</v>
      </c>
      <c r="R28" s="1" t="s">
        <v>32</v>
      </c>
      <c r="S28" s="1" t="s">
        <v>36</v>
      </c>
      <c r="T28" s="1" t="s">
        <v>15</v>
      </c>
      <c r="U28" s="10" t="s">
        <v>32</v>
      </c>
    </row>
    <row r="29" spans="2:27" x14ac:dyDescent="0.25">
      <c r="I29" s="8">
        <v>23</v>
      </c>
      <c r="J29" s="55" t="s">
        <v>15</v>
      </c>
      <c r="K29" s="1" t="s">
        <v>31</v>
      </c>
      <c r="L29" s="1" t="s">
        <v>7</v>
      </c>
      <c r="M29" s="1" t="s">
        <v>31</v>
      </c>
      <c r="N29" s="11">
        <v>10</v>
      </c>
      <c r="P29" s="8">
        <v>23</v>
      </c>
      <c r="Q29" s="55" t="s">
        <v>15</v>
      </c>
      <c r="R29" s="1" t="s">
        <v>31</v>
      </c>
      <c r="S29" s="1" t="s">
        <v>7</v>
      </c>
      <c r="T29" s="1" t="s">
        <v>31</v>
      </c>
      <c r="U29" s="11">
        <v>10</v>
      </c>
    </row>
    <row r="30" spans="2:27" x14ac:dyDescent="0.25">
      <c r="I30" s="8">
        <v>24</v>
      </c>
      <c r="J30" s="55" t="s">
        <v>10</v>
      </c>
      <c r="K30" s="1">
        <v>10</v>
      </c>
      <c r="L30" s="1" t="s">
        <v>34</v>
      </c>
      <c r="M30" s="1" t="s">
        <v>7</v>
      </c>
      <c r="N30" s="10">
        <v>9</v>
      </c>
      <c r="P30" s="8">
        <v>24</v>
      </c>
      <c r="Q30" s="55" t="s">
        <v>10</v>
      </c>
      <c r="R30" s="1">
        <v>10</v>
      </c>
      <c r="S30" s="1" t="s">
        <v>34</v>
      </c>
      <c r="T30" s="1" t="s">
        <v>7</v>
      </c>
      <c r="U30" s="10">
        <v>9</v>
      </c>
    </row>
    <row r="31" spans="2:27" x14ac:dyDescent="0.25">
      <c r="I31" s="8">
        <v>25</v>
      </c>
      <c r="J31" s="55" t="s">
        <v>31</v>
      </c>
      <c r="K31" s="1" t="s">
        <v>33</v>
      </c>
      <c r="L31" s="4">
        <v>9</v>
      </c>
      <c r="M31" s="1" t="s">
        <v>34</v>
      </c>
      <c r="N31" s="11" t="s">
        <v>33</v>
      </c>
      <c r="P31" s="8">
        <v>25</v>
      </c>
      <c r="Q31" s="55" t="s">
        <v>31</v>
      </c>
      <c r="R31" s="1" t="s">
        <v>11</v>
      </c>
      <c r="S31" s="4">
        <v>9</v>
      </c>
      <c r="T31" s="1" t="s">
        <v>34</v>
      </c>
      <c r="U31" s="11" t="s">
        <v>33</v>
      </c>
    </row>
    <row r="32" spans="2:27" x14ac:dyDescent="0.25">
      <c r="I32" s="8">
        <v>26</v>
      </c>
      <c r="J32" s="55" t="s">
        <v>35</v>
      </c>
      <c r="K32" s="1">
        <v>9</v>
      </c>
      <c r="L32" s="1" t="s">
        <v>32</v>
      </c>
      <c r="M32" s="1" t="s">
        <v>10</v>
      </c>
      <c r="N32" s="11">
        <v>10</v>
      </c>
      <c r="P32" s="8">
        <v>26</v>
      </c>
      <c r="Q32" s="55" t="s">
        <v>35</v>
      </c>
      <c r="R32" s="1">
        <v>9</v>
      </c>
      <c r="S32" s="1" t="s">
        <v>11</v>
      </c>
      <c r="T32" s="1" t="s">
        <v>10</v>
      </c>
      <c r="U32" s="11">
        <v>10</v>
      </c>
    </row>
    <row r="33" spans="9:21" x14ac:dyDescent="0.25">
      <c r="I33" s="8">
        <v>27</v>
      </c>
      <c r="J33" s="55">
        <v>9</v>
      </c>
      <c r="K33" s="1" t="s">
        <v>34</v>
      </c>
      <c r="L33" s="4" t="s">
        <v>6</v>
      </c>
      <c r="M33" s="1" t="s">
        <v>31</v>
      </c>
      <c r="N33" s="11" t="s">
        <v>10</v>
      </c>
      <c r="P33" s="8">
        <v>27</v>
      </c>
      <c r="Q33" s="55">
        <v>9</v>
      </c>
      <c r="R33" s="1" t="s">
        <v>34</v>
      </c>
      <c r="S33" s="4" t="s">
        <v>6</v>
      </c>
      <c r="T33" s="1" t="s">
        <v>31</v>
      </c>
      <c r="U33" s="11" t="s">
        <v>10</v>
      </c>
    </row>
    <row r="34" spans="9:21" x14ac:dyDescent="0.25">
      <c r="I34" s="8">
        <v>28</v>
      </c>
      <c r="J34" s="55" t="s">
        <v>10</v>
      </c>
      <c r="K34" s="1" t="s">
        <v>7</v>
      </c>
      <c r="L34" s="4">
        <v>10</v>
      </c>
      <c r="M34" s="1" t="s">
        <v>33</v>
      </c>
      <c r="N34" s="11" t="s">
        <v>34</v>
      </c>
      <c r="P34" s="8">
        <v>28</v>
      </c>
      <c r="Q34" s="55" t="s">
        <v>10</v>
      </c>
      <c r="R34" s="1" t="s">
        <v>7</v>
      </c>
      <c r="S34" s="4">
        <v>10</v>
      </c>
      <c r="T34" s="1" t="s">
        <v>33</v>
      </c>
      <c r="U34" s="11" t="s">
        <v>15</v>
      </c>
    </row>
    <row r="35" spans="9:21" x14ac:dyDescent="0.25">
      <c r="I35" s="8">
        <v>29</v>
      </c>
      <c r="J35" s="61" t="s">
        <v>11</v>
      </c>
      <c r="K35" s="1">
        <v>10</v>
      </c>
      <c r="L35" s="4" t="s">
        <v>34</v>
      </c>
      <c r="M35" s="1">
        <v>9</v>
      </c>
      <c r="N35" s="11">
        <v>10</v>
      </c>
      <c r="P35" s="8">
        <v>29</v>
      </c>
      <c r="Q35" s="61" t="s">
        <v>11</v>
      </c>
      <c r="R35" s="1">
        <v>10</v>
      </c>
      <c r="S35" s="4" t="s">
        <v>34</v>
      </c>
      <c r="T35" s="1">
        <v>9</v>
      </c>
      <c r="U35" s="11">
        <v>10</v>
      </c>
    </row>
    <row r="36" spans="9:21" x14ac:dyDescent="0.25">
      <c r="I36" s="8">
        <v>30</v>
      </c>
      <c r="J36" s="55" t="s">
        <v>6</v>
      </c>
      <c r="K36" s="1" t="s">
        <v>15</v>
      </c>
      <c r="L36" s="4" t="s">
        <v>10</v>
      </c>
      <c r="M36" s="1" t="s">
        <v>35</v>
      </c>
      <c r="N36" s="11" t="s">
        <v>36</v>
      </c>
      <c r="P36" s="8">
        <v>30</v>
      </c>
      <c r="Q36" s="55" t="s">
        <v>6</v>
      </c>
      <c r="R36" s="1" t="s">
        <v>15</v>
      </c>
      <c r="S36" s="4" t="s">
        <v>10</v>
      </c>
      <c r="T36" s="1" t="s">
        <v>35</v>
      </c>
      <c r="U36" s="11" t="s">
        <v>36</v>
      </c>
    </row>
    <row r="37" spans="9:21" x14ac:dyDescent="0.25">
      <c r="I37" s="8">
        <v>31</v>
      </c>
      <c r="J37" s="55" t="s">
        <v>35</v>
      </c>
      <c r="K37" s="1" t="s">
        <v>6</v>
      </c>
      <c r="L37" s="4" t="s">
        <v>33</v>
      </c>
      <c r="M37" s="1" t="s">
        <v>6</v>
      </c>
      <c r="N37" s="11" t="s">
        <v>7</v>
      </c>
      <c r="P37" s="8">
        <v>31</v>
      </c>
      <c r="Q37" s="55" t="s">
        <v>35</v>
      </c>
      <c r="R37" s="1" t="s">
        <v>6</v>
      </c>
      <c r="S37" s="4" t="s">
        <v>33</v>
      </c>
      <c r="T37" s="1" t="s">
        <v>6</v>
      </c>
      <c r="U37" s="11" t="s">
        <v>7</v>
      </c>
    </row>
    <row r="38" spans="9:21" x14ac:dyDescent="0.25">
      <c r="I38" s="8">
        <v>32</v>
      </c>
      <c r="J38" s="55">
        <v>10</v>
      </c>
      <c r="K38" s="1" t="s">
        <v>33</v>
      </c>
      <c r="L38" s="4" t="s">
        <v>6</v>
      </c>
      <c r="M38" s="1">
        <v>10</v>
      </c>
      <c r="N38" s="11" t="s">
        <v>35</v>
      </c>
      <c r="P38" s="8">
        <v>32</v>
      </c>
      <c r="Q38" s="55">
        <v>10</v>
      </c>
      <c r="R38" s="1" t="s">
        <v>33</v>
      </c>
      <c r="S38" s="4" t="s">
        <v>6</v>
      </c>
      <c r="T38" s="1">
        <v>10</v>
      </c>
      <c r="U38" s="11" t="s">
        <v>35</v>
      </c>
    </row>
    <row r="39" spans="9:21" x14ac:dyDescent="0.25">
      <c r="I39" s="8">
        <v>33</v>
      </c>
      <c r="J39" s="55">
        <v>9</v>
      </c>
      <c r="K39" s="1" t="s">
        <v>7</v>
      </c>
      <c r="L39" s="4" t="s">
        <v>15</v>
      </c>
      <c r="M39" s="1" t="s">
        <v>35</v>
      </c>
      <c r="N39" s="11" t="s">
        <v>31</v>
      </c>
      <c r="P39" s="8">
        <v>33</v>
      </c>
      <c r="Q39" s="55">
        <v>9</v>
      </c>
      <c r="R39" s="1" t="s">
        <v>7</v>
      </c>
      <c r="S39" s="4" t="s">
        <v>15</v>
      </c>
      <c r="T39" s="1" t="s">
        <v>35</v>
      </c>
      <c r="U39" s="11" t="s">
        <v>31</v>
      </c>
    </row>
    <row r="40" spans="9:21" x14ac:dyDescent="0.25">
      <c r="I40" s="8">
        <v>34</v>
      </c>
      <c r="J40" s="55" t="s">
        <v>33</v>
      </c>
      <c r="K40" s="1" t="s">
        <v>32</v>
      </c>
      <c r="L40" s="4" t="s">
        <v>7</v>
      </c>
      <c r="M40" s="1">
        <v>9</v>
      </c>
      <c r="N40" s="11" t="s">
        <v>6</v>
      </c>
      <c r="P40" s="8">
        <v>34</v>
      </c>
      <c r="Q40" s="55" t="s">
        <v>33</v>
      </c>
      <c r="R40" s="1" t="s">
        <v>32</v>
      </c>
      <c r="S40" s="4" t="s">
        <v>7</v>
      </c>
      <c r="T40" s="1">
        <v>9</v>
      </c>
      <c r="U40" s="11" t="s">
        <v>6</v>
      </c>
    </row>
    <row r="41" spans="9:21" x14ac:dyDescent="0.25">
      <c r="I41" s="8">
        <v>35</v>
      </c>
      <c r="J41" s="55">
        <v>9</v>
      </c>
      <c r="K41" s="1">
        <v>9</v>
      </c>
      <c r="L41" s="4" t="s">
        <v>34</v>
      </c>
      <c r="M41" s="1" t="s">
        <v>36</v>
      </c>
      <c r="N41" s="11" t="s">
        <v>36</v>
      </c>
      <c r="P41" s="8">
        <v>35</v>
      </c>
      <c r="Q41" s="55">
        <v>9</v>
      </c>
      <c r="R41" s="1">
        <v>9</v>
      </c>
      <c r="S41" s="4" t="s">
        <v>34</v>
      </c>
      <c r="T41" s="1" t="s">
        <v>36</v>
      </c>
      <c r="U41" s="11" t="s">
        <v>36</v>
      </c>
    </row>
    <row r="42" spans="9:21" x14ac:dyDescent="0.25">
      <c r="I42" s="8">
        <v>36</v>
      </c>
      <c r="J42" s="55" t="s">
        <v>34</v>
      </c>
      <c r="K42" s="1" t="s">
        <v>6</v>
      </c>
      <c r="L42" s="4">
        <v>9</v>
      </c>
      <c r="M42" s="4" t="s">
        <v>7</v>
      </c>
      <c r="N42" s="11" t="s">
        <v>10</v>
      </c>
      <c r="P42" s="8">
        <v>36</v>
      </c>
      <c r="Q42" s="55" t="s">
        <v>34</v>
      </c>
      <c r="R42" s="1" t="s">
        <v>6</v>
      </c>
      <c r="S42" s="4">
        <v>9</v>
      </c>
      <c r="T42" s="4" t="s">
        <v>7</v>
      </c>
      <c r="U42" s="11" t="s">
        <v>10</v>
      </c>
    </row>
    <row r="43" spans="9:21" x14ac:dyDescent="0.25">
      <c r="I43" s="8">
        <v>37</v>
      </c>
      <c r="J43" s="55" t="s">
        <v>7</v>
      </c>
      <c r="K43" s="1" t="s">
        <v>34</v>
      </c>
      <c r="L43" s="4" t="s">
        <v>36</v>
      </c>
      <c r="M43" s="3"/>
      <c r="N43" s="11" t="s">
        <v>7</v>
      </c>
      <c r="P43" s="8">
        <v>37</v>
      </c>
      <c r="Q43" s="55" t="s">
        <v>7</v>
      </c>
      <c r="R43" s="1" t="s">
        <v>34</v>
      </c>
      <c r="S43" s="4" t="s">
        <v>36</v>
      </c>
      <c r="T43" s="3"/>
      <c r="U43" s="11" t="s">
        <v>7</v>
      </c>
    </row>
    <row r="44" spans="9:21" x14ac:dyDescent="0.25">
      <c r="I44" s="8">
        <v>38</v>
      </c>
      <c r="J44" s="55" t="s">
        <v>31</v>
      </c>
      <c r="K44" s="1" t="s">
        <v>7</v>
      </c>
      <c r="L44" s="4" t="s">
        <v>10</v>
      </c>
      <c r="M44" s="3"/>
      <c r="N44" s="11" t="s">
        <v>34</v>
      </c>
      <c r="P44" s="8">
        <v>38</v>
      </c>
      <c r="Q44" s="55" t="s">
        <v>31</v>
      </c>
      <c r="R44" s="1" t="s">
        <v>7</v>
      </c>
      <c r="S44" s="4" t="s">
        <v>10</v>
      </c>
      <c r="T44" s="3"/>
      <c r="U44" s="11" t="s">
        <v>34</v>
      </c>
    </row>
    <row r="45" spans="9:21" x14ac:dyDescent="0.25">
      <c r="I45" s="8">
        <v>39</v>
      </c>
      <c r="J45" s="55" t="s">
        <v>33</v>
      </c>
      <c r="K45" s="4">
        <v>9</v>
      </c>
      <c r="L45" s="4" t="s">
        <v>33</v>
      </c>
      <c r="M45" s="3"/>
      <c r="N45" s="11">
        <v>10</v>
      </c>
      <c r="P45" s="8">
        <v>39</v>
      </c>
      <c r="Q45" s="55" t="s">
        <v>33</v>
      </c>
      <c r="R45" s="4">
        <v>9</v>
      </c>
      <c r="S45" s="4" t="s">
        <v>33</v>
      </c>
      <c r="T45" s="3"/>
      <c r="U45" s="11">
        <v>10</v>
      </c>
    </row>
    <row r="46" spans="9:21" x14ac:dyDescent="0.25">
      <c r="I46" s="8">
        <v>40</v>
      </c>
      <c r="J46" s="55">
        <v>10</v>
      </c>
      <c r="K46" s="4" t="s">
        <v>36</v>
      </c>
      <c r="L46" s="4" t="s">
        <v>6</v>
      </c>
      <c r="M46" s="3"/>
      <c r="N46" s="11" t="s">
        <v>35</v>
      </c>
      <c r="P46" s="8">
        <v>40</v>
      </c>
      <c r="Q46" s="55">
        <v>10</v>
      </c>
      <c r="R46" s="4" t="s">
        <v>36</v>
      </c>
      <c r="S46" s="4" t="s">
        <v>6</v>
      </c>
      <c r="T46" s="3"/>
      <c r="U46" s="11" t="s">
        <v>35</v>
      </c>
    </row>
    <row r="47" spans="9:21" x14ac:dyDescent="0.25">
      <c r="I47" s="8">
        <v>41</v>
      </c>
      <c r="J47" s="55" t="s">
        <v>35</v>
      </c>
      <c r="K47" s="4">
        <v>9</v>
      </c>
      <c r="L47" s="4" t="s">
        <v>7</v>
      </c>
      <c r="M47" s="4"/>
      <c r="N47" s="11" t="s">
        <v>10</v>
      </c>
      <c r="P47" s="8">
        <v>41</v>
      </c>
      <c r="Q47" s="55" t="s">
        <v>35</v>
      </c>
      <c r="R47" s="4">
        <v>9</v>
      </c>
      <c r="S47" s="4" t="s">
        <v>7</v>
      </c>
      <c r="T47" s="4"/>
      <c r="U47" s="11" t="s">
        <v>10</v>
      </c>
    </row>
    <row r="48" spans="9:21" x14ac:dyDescent="0.25">
      <c r="I48" s="8">
        <v>42</v>
      </c>
      <c r="J48" s="55">
        <v>9</v>
      </c>
      <c r="K48" s="3" t="s">
        <v>8</v>
      </c>
      <c r="L48" s="4" t="s">
        <v>34</v>
      </c>
      <c r="M48" s="4"/>
      <c r="N48" s="11" t="s">
        <v>33</v>
      </c>
      <c r="P48" s="8">
        <v>42</v>
      </c>
      <c r="Q48" s="55">
        <v>9</v>
      </c>
      <c r="R48" s="3" t="s">
        <v>8</v>
      </c>
      <c r="S48" s="4" t="s">
        <v>34</v>
      </c>
      <c r="T48" s="4"/>
      <c r="U48" s="11" t="s">
        <v>33</v>
      </c>
    </row>
    <row r="49" spans="9:21" x14ac:dyDescent="0.25">
      <c r="I49" s="8">
        <v>43</v>
      </c>
      <c r="J49" s="55" t="s">
        <v>32</v>
      </c>
      <c r="K49" s="3"/>
      <c r="L49" s="4">
        <v>9</v>
      </c>
      <c r="M49" s="4"/>
      <c r="N49" s="11"/>
      <c r="P49" s="8">
        <v>43</v>
      </c>
      <c r="Q49" s="55" t="s">
        <v>32</v>
      </c>
      <c r="R49" s="3"/>
      <c r="S49" s="4">
        <v>9</v>
      </c>
      <c r="T49" s="4"/>
      <c r="U49" s="11"/>
    </row>
    <row r="50" spans="9:21" x14ac:dyDescent="0.25">
      <c r="I50" s="8">
        <v>44</v>
      </c>
      <c r="J50" s="55" t="s">
        <v>7</v>
      </c>
      <c r="K50" s="3"/>
      <c r="L50" s="4" t="s">
        <v>36</v>
      </c>
      <c r="M50" s="4"/>
      <c r="N50" s="11"/>
      <c r="P50" s="8">
        <v>44</v>
      </c>
      <c r="Q50" s="55" t="s">
        <v>7</v>
      </c>
      <c r="R50" s="3"/>
      <c r="S50" s="4" t="s">
        <v>36</v>
      </c>
      <c r="T50" s="4"/>
      <c r="U50" s="11"/>
    </row>
    <row r="51" spans="9:21" x14ac:dyDescent="0.25">
      <c r="I51" s="8">
        <v>45</v>
      </c>
      <c r="J51" s="55">
        <v>10</v>
      </c>
      <c r="K51" s="3"/>
      <c r="L51" s="4" t="s">
        <v>10</v>
      </c>
      <c r="M51" s="4"/>
      <c r="N51" s="11"/>
      <c r="P51" s="8">
        <v>45</v>
      </c>
      <c r="Q51" s="55">
        <v>10</v>
      </c>
      <c r="R51" s="3"/>
      <c r="S51" s="4" t="s">
        <v>10</v>
      </c>
      <c r="T51" s="4"/>
      <c r="U51" s="11"/>
    </row>
    <row r="52" spans="9:21" x14ac:dyDescent="0.25">
      <c r="I52" s="8">
        <v>46</v>
      </c>
      <c r="J52" s="61" t="s">
        <v>36</v>
      </c>
      <c r="K52" s="3"/>
      <c r="L52" s="4" t="s">
        <v>33</v>
      </c>
      <c r="M52" s="4"/>
      <c r="N52" s="11"/>
      <c r="P52" s="8">
        <v>46</v>
      </c>
      <c r="Q52" s="61" t="s">
        <v>36</v>
      </c>
      <c r="R52" s="3"/>
      <c r="S52" s="4" t="s">
        <v>33</v>
      </c>
      <c r="T52" s="4"/>
      <c r="U52" s="11"/>
    </row>
    <row r="53" spans="9:21" x14ac:dyDescent="0.25">
      <c r="I53" s="8">
        <v>47</v>
      </c>
      <c r="J53" s="55" t="s">
        <v>10</v>
      </c>
      <c r="K53" s="4"/>
      <c r="L53" s="4" t="s">
        <v>6</v>
      </c>
      <c r="M53" s="4"/>
      <c r="N53" s="11"/>
      <c r="P53" s="8">
        <v>47</v>
      </c>
      <c r="Q53" s="55" t="s">
        <v>10</v>
      </c>
      <c r="R53" s="4"/>
      <c r="S53" s="4" t="s">
        <v>6</v>
      </c>
      <c r="T53" s="4"/>
      <c r="U53" s="11"/>
    </row>
    <row r="54" spans="9:21" x14ac:dyDescent="0.25">
      <c r="I54" s="8">
        <v>48</v>
      </c>
      <c r="J54" s="55" t="s">
        <v>35</v>
      </c>
      <c r="K54" s="4"/>
      <c r="L54" s="4"/>
      <c r="M54" s="4"/>
      <c r="N54" s="11"/>
      <c r="P54" s="8">
        <v>48</v>
      </c>
      <c r="Q54" s="55" t="s">
        <v>35</v>
      </c>
      <c r="R54" s="4"/>
      <c r="S54" s="4"/>
      <c r="T54" s="4"/>
      <c r="U54" s="11"/>
    </row>
    <row r="55" spans="9:21" x14ac:dyDescent="0.25">
      <c r="I55" s="8">
        <v>49</v>
      </c>
      <c r="J55" s="55"/>
      <c r="K55" s="4"/>
      <c r="L55" s="4"/>
      <c r="M55" s="4"/>
      <c r="N55" s="11"/>
      <c r="P55" s="8">
        <v>49</v>
      </c>
      <c r="Q55" s="55"/>
      <c r="R55" s="4"/>
      <c r="S55" s="4"/>
      <c r="T55" s="4"/>
      <c r="U55" s="11"/>
    </row>
    <row r="56" spans="9:21" x14ac:dyDescent="0.25">
      <c r="I56" s="8">
        <v>50</v>
      </c>
      <c r="J56" s="55"/>
      <c r="K56" s="4"/>
      <c r="L56" s="4"/>
      <c r="M56" s="4"/>
      <c r="N56" s="11"/>
      <c r="P56" s="8">
        <v>50</v>
      </c>
      <c r="Q56" s="55"/>
      <c r="R56" s="4"/>
      <c r="S56" s="4"/>
      <c r="T56" s="4"/>
      <c r="U56" s="11"/>
    </row>
    <row r="57" spans="9:21" x14ac:dyDescent="0.25">
      <c r="I57" s="8">
        <v>51</v>
      </c>
      <c r="J57" s="55"/>
      <c r="K57" s="4"/>
      <c r="L57" s="4"/>
      <c r="M57" s="4"/>
      <c r="N57" s="11"/>
      <c r="P57" s="8">
        <v>51</v>
      </c>
      <c r="Q57" s="55"/>
      <c r="R57" s="4"/>
      <c r="S57" s="4"/>
      <c r="T57" s="4"/>
      <c r="U57" s="11"/>
    </row>
    <row r="58" spans="9:21" x14ac:dyDescent="0.25">
      <c r="I58" s="8">
        <v>52</v>
      </c>
      <c r="J58" s="55"/>
      <c r="K58" s="4"/>
      <c r="L58" s="4"/>
      <c r="M58" s="4"/>
      <c r="N58" s="11"/>
      <c r="P58" s="8">
        <v>52</v>
      </c>
      <c r="Q58" s="55"/>
      <c r="R58" s="4"/>
      <c r="S58" s="4"/>
      <c r="T58" s="4"/>
      <c r="U58" s="11"/>
    </row>
    <row r="59" spans="9:21" x14ac:dyDescent="0.25">
      <c r="I59" s="8">
        <v>53</v>
      </c>
      <c r="J59" s="55"/>
      <c r="K59" s="4"/>
      <c r="L59" s="4"/>
      <c r="M59" s="4"/>
      <c r="N59" s="11"/>
      <c r="P59" s="8">
        <v>53</v>
      </c>
      <c r="Q59" s="55"/>
      <c r="R59" s="4"/>
      <c r="S59" s="4"/>
      <c r="T59" s="4"/>
      <c r="U59" s="11"/>
    </row>
    <row r="60" spans="9:21" x14ac:dyDescent="0.25">
      <c r="I60" s="8">
        <v>54</v>
      </c>
      <c r="J60" s="55"/>
      <c r="K60" s="4"/>
      <c r="L60" s="3"/>
      <c r="M60" s="4"/>
      <c r="N60" s="11"/>
      <c r="P60" s="8">
        <v>54</v>
      </c>
      <c r="Q60" s="55"/>
      <c r="R60" s="4"/>
      <c r="S60" s="3"/>
      <c r="T60" s="4"/>
      <c r="U60" s="11"/>
    </row>
    <row r="61" spans="9:21" x14ac:dyDescent="0.25">
      <c r="I61" s="8">
        <v>55</v>
      </c>
      <c r="J61" s="55"/>
      <c r="K61" s="4"/>
      <c r="L61" s="3"/>
      <c r="M61" s="4"/>
      <c r="N61" s="11"/>
      <c r="P61" s="8">
        <v>55</v>
      </c>
      <c r="Q61" s="55"/>
      <c r="R61" s="4"/>
      <c r="S61" s="3"/>
      <c r="T61" s="4"/>
      <c r="U61" s="11"/>
    </row>
    <row r="62" spans="9:21" x14ac:dyDescent="0.25">
      <c r="I62" s="8">
        <v>56</v>
      </c>
      <c r="J62" s="55"/>
      <c r="K62" s="4"/>
      <c r="L62" s="3"/>
      <c r="M62" s="4"/>
      <c r="N62" s="11"/>
      <c r="P62" s="8">
        <v>56</v>
      </c>
      <c r="Q62" s="55"/>
      <c r="R62" s="4"/>
      <c r="S62" s="3"/>
      <c r="T62" s="4"/>
      <c r="U62" s="11"/>
    </row>
    <row r="63" spans="9:21" x14ac:dyDescent="0.25">
      <c r="I63" s="8">
        <v>57</v>
      </c>
      <c r="J63" s="55"/>
      <c r="K63" s="3"/>
      <c r="L63" s="3"/>
      <c r="M63" s="4"/>
      <c r="N63" s="11"/>
      <c r="P63" s="8">
        <v>57</v>
      </c>
      <c r="Q63" s="55"/>
      <c r="R63" s="3"/>
      <c r="S63" s="3"/>
      <c r="T63" s="4"/>
      <c r="U63" s="11"/>
    </row>
    <row r="64" spans="9:21" x14ac:dyDescent="0.25">
      <c r="I64" s="8">
        <v>58</v>
      </c>
      <c r="J64" s="55"/>
      <c r="K64" s="3"/>
      <c r="L64" s="4"/>
      <c r="M64" s="4"/>
      <c r="N64" s="11"/>
      <c r="P64" s="8">
        <v>58</v>
      </c>
      <c r="Q64" s="55"/>
      <c r="R64" s="3"/>
      <c r="S64" s="4"/>
      <c r="T64" s="4"/>
      <c r="U64" s="11"/>
    </row>
    <row r="65" spans="9:21" x14ac:dyDescent="0.25">
      <c r="I65" s="8">
        <v>59</v>
      </c>
      <c r="J65" s="55"/>
      <c r="K65" s="3"/>
      <c r="L65" s="4"/>
      <c r="M65" s="4"/>
      <c r="N65" s="10"/>
      <c r="P65" s="8">
        <v>59</v>
      </c>
      <c r="Q65" s="55"/>
      <c r="R65" s="3"/>
      <c r="S65" s="4"/>
      <c r="T65" s="4"/>
      <c r="U65" s="10"/>
    </row>
    <row r="66" spans="9:21" x14ac:dyDescent="0.25">
      <c r="I66" s="8">
        <v>60</v>
      </c>
      <c r="J66" s="55"/>
      <c r="K66" s="3"/>
      <c r="L66" s="4"/>
      <c r="M66" s="4"/>
      <c r="N66" s="11"/>
      <c r="P66" s="8">
        <v>60</v>
      </c>
      <c r="Q66" s="55"/>
      <c r="R66" s="3"/>
      <c r="S66" s="4"/>
      <c r="T66" s="4"/>
      <c r="U66" s="11"/>
    </row>
    <row r="67" spans="9:21" x14ac:dyDescent="0.25">
      <c r="I67" s="8">
        <v>61</v>
      </c>
      <c r="J67" s="55"/>
      <c r="K67" s="4"/>
      <c r="L67" s="4"/>
      <c r="M67" s="4"/>
      <c r="N67" s="11"/>
      <c r="P67" s="8">
        <v>61</v>
      </c>
      <c r="Q67" s="55"/>
      <c r="R67" s="4"/>
      <c r="S67" s="4"/>
      <c r="T67" s="4"/>
      <c r="U67" s="11"/>
    </row>
    <row r="68" spans="9:21" x14ac:dyDescent="0.25">
      <c r="I68" s="8">
        <v>62</v>
      </c>
      <c r="J68" s="55"/>
      <c r="K68" s="4"/>
      <c r="L68" s="4"/>
      <c r="M68" s="4"/>
      <c r="N68" s="11"/>
      <c r="P68" s="8">
        <v>62</v>
      </c>
      <c r="Q68" s="55"/>
      <c r="R68" s="4"/>
      <c r="S68" s="4"/>
      <c r="T68" s="4"/>
      <c r="U68" s="11"/>
    </row>
    <row r="69" spans="9:21" x14ac:dyDescent="0.25">
      <c r="I69" s="8">
        <v>63</v>
      </c>
      <c r="J69" s="55"/>
      <c r="K69" s="4"/>
      <c r="L69" s="4"/>
      <c r="M69" s="4"/>
      <c r="N69" s="11"/>
      <c r="P69" s="8">
        <v>63</v>
      </c>
      <c r="Q69" s="55"/>
      <c r="R69" s="4"/>
      <c r="S69" s="4"/>
      <c r="T69" s="4"/>
      <c r="U69" s="11"/>
    </row>
    <row r="70" spans="9:21" x14ac:dyDescent="0.25">
      <c r="I70" s="8">
        <v>64</v>
      </c>
      <c r="J70" s="55"/>
      <c r="K70" s="4"/>
      <c r="L70" s="4"/>
      <c r="M70" s="4"/>
      <c r="N70" s="11"/>
      <c r="P70" s="8">
        <v>64</v>
      </c>
      <c r="Q70" s="55"/>
      <c r="R70" s="4"/>
      <c r="S70" s="4"/>
      <c r="T70" s="4"/>
      <c r="U70" s="11"/>
    </row>
    <row r="71" spans="9:21" x14ac:dyDescent="0.25">
      <c r="I71" s="8">
        <v>65</v>
      </c>
      <c r="J71" s="55"/>
      <c r="K71" s="4"/>
      <c r="L71" s="4"/>
      <c r="M71" s="4"/>
      <c r="N71" s="11"/>
      <c r="P71" s="8">
        <v>65</v>
      </c>
      <c r="Q71" s="55"/>
      <c r="R71" s="4"/>
      <c r="S71" s="4"/>
      <c r="T71" s="4"/>
      <c r="U71" s="11"/>
    </row>
    <row r="72" spans="9:21" x14ac:dyDescent="0.25">
      <c r="I72" s="8">
        <v>66</v>
      </c>
      <c r="J72" s="61"/>
      <c r="K72" s="4"/>
      <c r="L72" s="1"/>
      <c r="M72" s="4"/>
      <c r="N72" s="11"/>
      <c r="P72" s="8">
        <v>66</v>
      </c>
      <c r="Q72" s="61"/>
      <c r="R72" s="4"/>
      <c r="S72" s="1"/>
      <c r="T72" s="4"/>
      <c r="U72" s="11"/>
    </row>
    <row r="73" spans="9:21" x14ac:dyDescent="0.25">
      <c r="I73" s="8">
        <v>67</v>
      </c>
      <c r="J73" s="61"/>
      <c r="K73" s="4"/>
      <c r="L73" s="4"/>
      <c r="M73" s="4"/>
      <c r="N73" s="11"/>
      <c r="P73" s="8">
        <v>67</v>
      </c>
      <c r="Q73" s="61"/>
      <c r="R73" s="4"/>
      <c r="S73" s="4"/>
      <c r="T73" s="4"/>
      <c r="U73" s="11"/>
    </row>
    <row r="74" spans="9:21" x14ac:dyDescent="0.25">
      <c r="I74" s="8">
        <v>68</v>
      </c>
      <c r="J74" s="61"/>
      <c r="K74" s="4"/>
      <c r="L74" s="4"/>
      <c r="M74" s="4"/>
      <c r="N74" s="11"/>
      <c r="P74" s="8">
        <v>68</v>
      </c>
      <c r="Q74" s="61"/>
      <c r="R74" s="4"/>
      <c r="S74" s="4"/>
      <c r="T74" s="4"/>
      <c r="U74" s="11"/>
    </row>
    <row r="75" spans="9:21" x14ac:dyDescent="0.25">
      <c r="I75" s="8">
        <v>69</v>
      </c>
      <c r="J75" s="61"/>
      <c r="K75" s="4"/>
      <c r="L75" s="4"/>
      <c r="M75" s="4"/>
      <c r="N75" s="11"/>
      <c r="P75" s="8">
        <v>69</v>
      </c>
      <c r="Q75" s="61"/>
      <c r="R75" s="4"/>
      <c r="S75" s="4"/>
      <c r="T75" s="4"/>
      <c r="U75" s="11"/>
    </row>
    <row r="76" spans="9:21" x14ac:dyDescent="0.25">
      <c r="I76" s="8">
        <v>70</v>
      </c>
      <c r="J76" s="61"/>
      <c r="K76" s="4"/>
      <c r="L76" s="4"/>
      <c r="M76" s="4"/>
      <c r="N76" s="11"/>
      <c r="P76" s="8">
        <v>70</v>
      </c>
      <c r="Q76" s="61"/>
      <c r="R76" s="4"/>
      <c r="S76" s="4"/>
      <c r="T76" s="4"/>
      <c r="U76" s="11"/>
    </row>
    <row r="77" spans="9:21" x14ac:dyDescent="0.25">
      <c r="I77" s="8">
        <v>71</v>
      </c>
      <c r="J77" s="61"/>
      <c r="K77" s="4"/>
      <c r="L77" s="4"/>
      <c r="M77" s="4"/>
      <c r="N77" s="11"/>
      <c r="P77" s="8">
        <v>71</v>
      </c>
      <c r="Q77" s="61"/>
      <c r="R77" s="4"/>
      <c r="S77" s="4"/>
      <c r="T77" s="4"/>
      <c r="U77" s="11"/>
    </row>
    <row r="78" spans="9:21" x14ac:dyDescent="0.25">
      <c r="I78" s="8">
        <v>72</v>
      </c>
      <c r="J78" s="61"/>
      <c r="K78" s="4"/>
      <c r="L78" s="4"/>
      <c r="M78" s="4"/>
      <c r="N78" s="11"/>
      <c r="P78" s="8">
        <v>72</v>
      </c>
      <c r="Q78" s="61"/>
      <c r="R78" s="4"/>
      <c r="S78" s="4"/>
      <c r="T78" s="4"/>
      <c r="U78" s="11"/>
    </row>
    <row r="79" spans="9:21" x14ac:dyDescent="0.25">
      <c r="I79" s="8">
        <v>73</v>
      </c>
      <c r="J79" s="61"/>
      <c r="K79" s="4"/>
      <c r="L79" s="4"/>
      <c r="M79" s="4"/>
      <c r="N79" s="11"/>
      <c r="P79" s="8">
        <v>73</v>
      </c>
      <c r="Q79" s="61"/>
      <c r="R79" s="4"/>
      <c r="S79" s="4"/>
      <c r="T79" s="4"/>
      <c r="U79" s="11"/>
    </row>
    <row r="80" spans="9:21" x14ac:dyDescent="0.25">
      <c r="I80" s="8">
        <v>74</v>
      </c>
      <c r="J80" s="61"/>
      <c r="K80" s="4"/>
      <c r="L80" s="4"/>
      <c r="M80" s="4"/>
      <c r="N80" s="11"/>
      <c r="P80" s="8">
        <v>74</v>
      </c>
      <c r="Q80" s="61"/>
      <c r="R80" s="4"/>
      <c r="S80" s="4"/>
      <c r="T80" s="4"/>
      <c r="U80" s="11"/>
    </row>
    <row r="81" spans="9:21" x14ac:dyDescent="0.25">
      <c r="I81" s="8">
        <v>75</v>
      </c>
      <c r="J81" s="61"/>
      <c r="K81" s="4"/>
      <c r="L81" s="4"/>
      <c r="M81" s="4"/>
      <c r="N81" s="11"/>
      <c r="P81" s="8">
        <v>75</v>
      </c>
      <c r="Q81" s="61"/>
      <c r="R81" s="4"/>
      <c r="S81" s="4"/>
      <c r="T81" s="4"/>
      <c r="U81" s="11"/>
    </row>
    <row r="82" spans="9:21" x14ac:dyDescent="0.25">
      <c r="I82" s="8">
        <v>76</v>
      </c>
      <c r="J82" s="62"/>
      <c r="K82" s="4"/>
      <c r="L82" s="4"/>
      <c r="M82" s="4"/>
      <c r="N82" s="11"/>
      <c r="P82" s="8">
        <v>76</v>
      </c>
      <c r="Q82" s="62"/>
      <c r="R82" s="4"/>
      <c r="S82" s="4"/>
      <c r="T82" s="4"/>
      <c r="U82" s="11"/>
    </row>
    <row r="83" spans="9:21" x14ac:dyDescent="0.25">
      <c r="I83" s="8">
        <v>77</v>
      </c>
      <c r="J83" s="62"/>
      <c r="K83" s="4"/>
      <c r="L83" s="4"/>
      <c r="M83" s="4"/>
      <c r="N83" s="11"/>
      <c r="P83" s="8">
        <v>77</v>
      </c>
      <c r="Q83" s="62"/>
      <c r="R83" s="4"/>
      <c r="S83" s="4"/>
      <c r="T83" s="4"/>
      <c r="U83" s="11"/>
    </row>
    <row r="84" spans="9:21" x14ac:dyDescent="0.25">
      <c r="I84" s="8">
        <v>78</v>
      </c>
      <c r="J84" s="62"/>
      <c r="K84" s="4"/>
      <c r="L84" s="4"/>
      <c r="M84" s="4"/>
      <c r="N84" s="11"/>
      <c r="P84" s="8">
        <v>78</v>
      </c>
      <c r="Q84" s="62"/>
      <c r="R84" s="4"/>
      <c r="S84" s="4"/>
      <c r="T84" s="4"/>
      <c r="U84" s="11"/>
    </row>
    <row r="85" spans="9:21" x14ac:dyDescent="0.25">
      <c r="I85" s="8">
        <v>79</v>
      </c>
      <c r="J85" s="62"/>
      <c r="K85" s="4"/>
      <c r="L85" s="4"/>
      <c r="M85" s="1"/>
      <c r="N85" s="11"/>
      <c r="P85" s="8">
        <v>79</v>
      </c>
      <c r="Q85" s="62"/>
      <c r="R85" s="4"/>
      <c r="S85" s="4"/>
      <c r="T85" s="1"/>
      <c r="U85" s="11"/>
    </row>
    <row r="86" spans="9:21" x14ac:dyDescent="0.25">
      <c r="I86" s="8">
        <v>80</v>
      </c>
      <c r="J86" s="62"/>
      <c r="K86" s="4"/>
      <c r="L86" s="4"/>
      <c r="M86" s="4"/>
      <c r="N86" s="10"/>
      <c r="P86" s="8">
        <v>80</v>
      </c>
      <c r="Q86" s="62"/>
      <c r="R86" s="4"/>
      <c r="S86" s="4"/>
      <c r="T86" s="4"/>
      <c r="U86" s="10"/>
    </row>
    <row r="87" spans="9:21" x14ac:dyDescent="0.25">
      <c r="I87" s="8">
        <v>81</v>
      </c>
      <c r="J87" s="62"/>
      <c r="K87" s="4"/>
      <c r="L87" s="4"/>
      <c r="M87" s="4"/>
      <c r="N87" s="11"/>
      <c r="P87" s="8">
        <v>81</v>
      </c>
      <c r="Q87" s="62"/>
      <c r="R87" s="4"/>
      <c r="S87" s="4"/>
      <c r="T87" s="4"/>
      <c r="U87" s="11"/>
    </row>
    <row r="88" spans="9:21" x14ac:dyDescent="0.25">
      <c r="I88" s="8">
        <v>82</v>
      </c>
      <c r="J88" s="62"/>
      <c r="K88" s="4"/>
      <c r="L88" s="4"/>
      <c r="M88" s="4"/>
      <c r="N88" s="11"/>
      <c r="P88" s="8">
        <v>82</v>
      </c>
      <c r="Q88" s="62"/>
      <c r="R88" s="4"/>
      <c r="S88" s="4"/>
      <c r="T88" s="4"/>
      <c r="U88" s="11"/>
    </row>
    <row r="89" spans="9:21" x14ac:dyDescent="0.25">
      <c r="I89" s="8">
        <v>83</v>
      </c>
      <c r="J89" s="62"/>
      <c r="K89" s="4"/>
      <c r="L89" s="1"/>
      <c r="M89" s="4"/>
      <c r="N89" s="11"/>
      <c r="P89" s="8">
        <v>83</v>
      </c>
      <c r="Q89" s="62"/>
      <c r="R89" s="4"/>
      <c r="S89" s="1"/>
      <c r="T89" s="4"/>
      <c r="U89" s="11"/>
    </row>
    <row r="90" spans="9:21" x14ac:dyDescent="0.25">
      <c r="I90" s="8">
        <v>84</v>
      </c>
      <c r="J90" s="62"/>
      <c r="K90" s="4"/>
      <c r="L90" s="1"/>
      <c r="M90" s="4"/>
      <c r="N90" s="11"/>
      <c r="P90" s="8">
        <v>84</v>
      </c>
      <c r="Q90" s="62"/>
      <c r="R90" s="4"/>
      <c r="S90" s="1"/>
      <c r="T90" s="4"/>
      <c r="U90" s="11"/>
    </row>
    <row r="91" spans="9:21" x14ac:dyDescent="0.25">
      <c r="I91" s="8">
        <v>85</v>
      </c>
      <c r="J91" s="55"/>
      <c r="K91" s="4"/>
      <c r="L91" s="1"/>
      <c r="M91" s="4"/>
      <c r="N91" s="11"/>
      <c r="P91" s="8">
        <v>85</v>
      </c>
      <c r="Q91" s="55"/>
      <c r="R91" s="4"/>
      <c r="S91" s="1"/>
      <c r="T91" s="4"/>
      <c r="U91" s="11"/>
    </row>
    <row r="92" spans="9:21" x14ac:dyDescent="0.25">
      <c r="I92" s="8">
        <v>86</v>
      </c>
      <c r="J92" s="55"/>
      <c r="K92" s="4"/>
      <c r="L92" s="1"/>
      <c r="M92" s="4"/>
      <c r="N92" s="11"/>
      <c r="P92" s="8">
        <v>86</v>
      </c>
      <c r="Q92" s="55"/>
      <c r="R92" s="4"/>
      <c r="S92" s="1"/>
      <c r="T92" s="4"/>
      <c r="U92" s="11"/>
    </row>
    <row r="93" spans="9:21" x14ac:dyDescent="0.25">
      <c r="I93" s="8">
        <v>87</v>
      </c>
      <c r="J93" s="55"/>
      <c r="K93" s="4"/>
      <c r="L93" s="1"/>
      <c r="M93" s="4"/>
      <c r="N93" s="11"/>
      <c r="P93" s="8">
        <v>87</v>
      </c>
      <c r="Q93" s="55"/>
      <c r="R93" s="4"/>
      <c r="S93" s="1"/>
      <c r="T93" s="4"/>
      <c r="U93" s="11"/>
    </row>
    <row r="94" spans="9:21" x14ac:dyDescent="0.25">
      <c r="I94" s="8">
        <v>88</v>
      </c>
      <c r="J94" s="62"/>
      <c r="K94" s="1"/>
      <c r="L94" s="1"/>
      <c r="M94" s="4"/>
      <c r="N94" s="11"/>
      <c r="P94" s="8">
        <v>88</v>
      </c>
      <c r="Q94" s="62"/>
      <c r="R94" s="1"/>
      <c r="S94" s="1"/>
      <c r="T94" s="4"/>
      <c r="U94" s="11"/>
    </row>
    <row r="95" spans="9:21" x14ac:dyDescent="0.25">
      <c r="I95" s="8">
        <v>89</v>
      </c>
      <c r="J95" s="62"/>
      <c r="K95" s="4"/>
      <c r="L95" s="1"/>
      <c r="M95" s="4"/>
      <c r="N95" s="11"/>
      <c r="P95" s="8">
        <v>89</v>
      </c>
      <c r="Q95" s="62"/>
      <c r="R95" s="4"/>
      <c r="S95" s="1"/>
      <c r="T95" s="4"/>
      <c r="U95" s="11"/>
    </row>
    <row r="96" spans="9:21" x14ac:dyDescent="0.25">
      <c r="I96" s="8">
        <v>90</v>
      </c>
      <c r="J96" s="62"/>
      <c r="K96" s="4"/>
      <c r="L96" s="1"/>
      <c r="M96" s="4"/>
      <c r="N96" s="11"/>
      <c r="P96" s="8">
        <v>90</v>
      </c>
      <c r="Q96" s="62"/>
      <c r="R96" s="4"/>
      <c r="S96" s="1"/>
      <c r="T96" s="4"/>
      <c r="U96" s="11"/>
    </row>
    <row r="97" spans="9:21" x14ac:dyDescent="0.25">
      <c r="I97" s="8">
        <v>91</v>
      </c>
      <c r="J97" s="62"/>
      <c r="K97" s="4"/>
      <c r="L97" s="1"/>
      <c r="M97" s="4"/>
      <c r="N97" s="11"/>
      <c r="P97" s="8">
        <v>91</v>
      </c>
      <c r="Q97" s="62"/>
      <c r="R97" s="4"/>
      <c r="S97" s="1"/>
      <c r="T97" s="4"/>
      <c r="U97" s="11"/>
    </row>
    <row r="98" spans="9:21" x14ac:dyDescent="0.25">
      <c r="I98" s="8">
        <v>92</v>
      </c>
      <c r="J98" s="62"/>
      <c r="K98" s="4"/>
      <c r="L98" s="1"/>
      <c r="M98" s="4"/>
      <c r="N98" s="11"/>
      <c r="P98" s="8">
        <v>92</v>
      </c>
      <c r="Q98" s="62"/>
      <c r="R98" s="4"/>
      <c r="S98" s="1"/>
      <c r="T98" s="4"/>
      <c r="U98" s="11"/>
    </row>
    <row r="99" spans="9:21" x14ac:dyDescent="0.25">
      <c r="I99" s="8">
        <v>93</v>
      </c>
      <c r="J99" s="62"/>
      <c r="K99" s="4"/>
      <c r="L99" s="1"/>
      <c r="M99" s="4"/>
      <c r="N99" s="10"/>
      <c r="P99" s="8">
        <v>93</v>
      </c>
      <c r="Q99" s="62"/>
      <c r="R99" s="4"/>
      <c r="S99" s="1"/>
      <c r="T99" s="4"/>
      <c r="U99" s="10"/>
    </row>
    <row r="100" spans="9:21" x14ac:dyDescent="0.25">
      <c r="I100" s="8">
        <v>94</v>
      </c>
      <c r="J100" s="62"/>
      <c r="K100" s="4"/>
      <c r="L100" s="1"/>
      <c r="M100" s="4"/>
      <c r="N100" s="11"/>
      <c r="P100" s="8">
        <v>94</v>
      </c>
      <c r="Q100" s="62"/>
      <c r="R100" s="4"/>
      <c r="S100" s="1"/>
      <c r="T100" s="4"/>
      <c r="U100" s="11"/>
    </row>
    <row r="101" spans="9:21" x14ac:dyDescent="0.25">
      <c r="I101" s="8">
        <v>95</v>
      </c>
      <c r="J101" s="62"/>
      <c r="K101" s="4"/>
      <c r="L101" s="1"/>
      <c r="M101" s="4"/>
      <c r="N101" s="11"/>
      <c r="P101" s="8">
        <v>95</v>
      </c>
      <c r="Q101" s="62"/>
      <c r="R101" s="4"/>
      <c r="S101" s="1"/>
      <c r="T101" s="4"/>
      <c r="U101" s="11"/>
    </row>
    <row r="102" spans="9:21" x14ac:dyDescent="0.25">
      <c r="I102" s="8">
        <v>96</v>
      </c>
      <c r="J102" s="55"/>
      <c r="K102" s="4"/>
      <c r="L102" s="1"/>
      <c r="M102" s="4"/>
      <c r="N102" s="11"/>
      <c r="P102" s="8">
        <v>96</v>
      </c>
      <c r="Q102" s="55"/>
      <c r="R102" s="4"/>
      <c r="S102" s="1"/>
      <c r="T102" s="4"/>
      <c r="U102" s="11"/>
    </row>
    <row r="103" spans="9:21" x14ac:dyDescent="0.25">
      <c r="I103" s="8">
        <v>97</v>
      </c>
      <c r="J103" s="55"/>
      <c r="K103" s="4"/>
      <c r="L103" s="1"/>
      <c r="M103" s="4"/>
      <c r="N103" s="11"/>
      <c r="P103" s="8">
        <v>97</v>
      </c>
      <c r="Q103" s="55"/>
      <c r="R103" s="4"/>
      <c r="S103" s="1"/>
      <c r="T103" s="4"/>
      <c r="U103" s="11"/>
    </row>
    <row r="104" spans="9:21" x14ac:dyDescent="0.25">
      <c r="I104" s="8">
        <v>98</v>
      </c>
      <c r="J104" s="55"/>
      <c r="K104" s="4"/>
      <c r="L104" s="1"/>
      <c r="M104" s="4"/>
      <c r="N104" s="11"/>
      <c r="P104" s="8">
        <v>98</v>
      </c>
      <c r="Q104" s="55"/>
      <c r="R104" s="4"/>
      <c r="S104" s="1"/>
      <c r="T104" s="4"/>
      <c r="U104" s="11"/>
    </row>
    <row r="105" spans="9:21" x14ac:dyDescent="0.25">
      <c r="I105" s="8">
        <v>99</v>
      </c>
      <c r="J105" s="55"/>
      <c r="K105" s="4"/>
      <c r="L105" s="1"/>
      <c r="M105" s="4"/>
      <c r="N105" s="11"/>
      <c r="P105" s="8">
        <v>99</v>
      </c>
      <c r="Q105" s="55"/>
      <c r="R105" s="4"/>
      <c r="S105" s="1"/>
      <c r="T105" s="4"/>
      <c r="U105" s="11"/>
    </row>
    <row r="106" spans="9:21" x14ac:dyDescent="0.25">
      <c r="I106" s="8">
        <v>100</v>
      </c>
      <c r="J106" s="55"/>
      <c r="K106" s="4"/>
      <c r="L106" s="4"/>
      <c r="M106" s="4"/>
      <c r="N106" s="11"/>
      <c r="P106" s="8">
        <v>100</v>
      </c>
      <c r="Q106" s="55"/>
      <c r="R106" s="4"/>
      <c r="S106" s="4"/>
      <c r="T106" s="4"/>
      <c r="U106" s="11"/>
    </row>
    <row r="107" spans="9:21" x14ac:dyDescent="0.25">
      <c r="I107" s="8">
        <v>101</v>
      </c>
      <c r="J107" s="55"/>
      <c r="K107" s="4"/>
      <c r="L107" s="4"/>
      <c r="M107" s="1"/>
      <c r="N107" s="11"/>
      <c r="P107" s="8">
        <v>101</v>
      </c>
      <c r="Q107" s="55"/>
      <c r="R107" s="4"/>
      <c r="S107" s="4"/>
      <c r="T107" s="1"/>
      <c r="U107" s="11"/>
    </row>
    <row r="108" spans="9:21" x14ac:dyDescent="0.25">
      <c r="I108" s="8">
        <v>102</v>
      </c>
      <c r="J108" s="55"/>
      <c r="K108" s="4"/>
      <c r="L108" s="4"/>
      <c r="M108" s="4"/>
      <c r="N108" s="11"/>
      <c r="P108" s="8">
        <v>102</v>
      </c>
      <c r="Q108" s="55"/>
      <c r="R108" s="4"/>
      <c r="S108" s="4"/>
      <c r="T108" s="4"/>
      <c r="U108" s="11"/>
    </row>
    <row r="109" spans="9:21" x14ac:dyDescent="0.25">
      <c r="I109" s="8">
        <v>103</v>
      </c>
      <c r="J109" s="55"/>
      <c r="K109" s="4"/>
      <c r="L109" s="4"/>
      <c r="M109" s="4"/>
      <c r="N109" s="11"/>
      <c r="P109" s="8">
        <v>103</v>
      </c>
      <c r="Q109" s="55"/>
      <c r="R109" s="4"/>
      <c r="S109" s="4"/>
      <c r="T109" s="4"/>
      <c r="U109" s="11"/>
    </row>
    <row r="110" spans="9:21" x14ac:dyDescent="0.25">
      <c r="I110" s="8">
        <v>104</v>
      </c>
      <c r="J110" s="55"/>
      <c r="K110" s="4"/>
      <c r="L110" s="4"/>
      <c r="M110" s="4"/>
      <c r="N110" s="11"/>
      <c r="P110" s="8">
        <v>104</v>
      </c>
      <c r="Q110" s="55"/>
      <c r="R110" s="4"/>
      <c r="S110" s="4"/>
      <c r="T110" s="4"/>
      <c r="U110" s="11"/>
    </row>
    <row r="111" spans="9:21" x14ac:dyDescent="0.25">
      <c r="I111" s="8">
        <v>105</v>
      </c>
      <c r="J111" s="55"/>
      <c r="K111" s="4"/>
      <c r="L111" s="4"/>
      <c r="M111" s="4"/>
      <c r="N111" s="10"/>
      <c r="P111" s="8">
        <v>105</v>
      </c>
      <c r="Q111" s="55"/>
      <c r="R111" s="4"/>
      <c r="S111" s="4"/>
      <c r="T111" s="4"/>
      <c r="U111" s="10"/>
    </row>
    <row r="112" spans="9:21" x14ac:dyDescent="0.25">
      <c r="I112" s="8">
        <v>106</v>
      </c>
      <c r="J112" s="55"/>
      <c r="K112" s="4"/>
      <c r="L112" s="4"/>
      <c r="M112" s="4"/>
      <c r="N112" s="11"/>
      <c r="P112" s="8">
        <v>106</v>
      </c>
      <c r="Q112" s="55"/>
      <c r="R112" s="4"/>
      <c r="S112" s="4"/>
      <c r="T112" s="4"/>
      <c r="U112" s="11"/>
    </row>
    <row r="113" spans="9:21" x14ac:dyDescent="0.25">
      <c r="I113" s="8">
        <v>107</v>
      </c>
      <c r="J113" s="55"/>
      <c r="K113" s="4"/>
      <c r="L113" s="4"/>
      <c r="M113" s="4"/>
      <c r="N113" s="11"/>
      <c r="P113" s="8">
        <v>107</v>
      </c>
      <c r="Q113" s="55"/>
      <c r="R113" s="4"/>
      <c r="S113" s="4"/>
      <c r="T113" s="4"/>
      <c r="U113" s="11"/>
    </row>
    <row r="114" spans="9:21" x14ac:dyDescent="0.25">
      <c r="I114" s="8">
        <v>108</v>
      </c>
      <c r="J114" s="55"/>
      <c r="K114" s="4"/>
      <c r="L114" s="4"/>
      <c r="M114" s="4"/>
      <c r="N114" s="11"/>
      <c r="P114" s="8">
        <v>108</v>
      </c>
      <c r="Q114" s="55"/>
      <c r="R114" s="4"/>
      <c r="S114" s="4"/>
      <c r="T114" s="4"/>
      <c r="U114" s="11"/>
    </row>
    <row r="115" spans="9:21" x14ac:dyDescent="0.25">
      <c r="I115" s="8">
        <v>109</v>
      </c>
      <c r="J115" s="55"/>
      <c r="K115" s="4"/>
      <c r="L115" s="4"/>
      <c r="M115" s="4"/>
      <c r="N115" s="11"/>
      <c r="P115" s="8">
        <v>109</v>
      </c>
      <c r="Q115" s="55"/>
      <c r="R115" s="4"/>
      <c r="S115" s="4"/>
      <c r="T115" s="4"/>
      <c r="U115" s="11"/>
    </row>
    <row r="116" spans="9:21" x14ac:dyDescent="0.25">
      <c r="I116" s="8">
        <v>110</v>
      </c>
      <c r="J116" s="55"/>
      <c r="K116" s="4"/>
      <c r="L116" s="4"/>
      <c r="M116" s="4"/>
      <c r="N116" s="11"/>
      <c r="P116" s="8">
        <v>110</v>
      </c>
      <c r="Q116" s="55"/>
      <c r="R116" s="4"/>
      <c r="S116" s="4"/>
      <c r="T116" s="4"/>
      <c r="U116" s="11"/>
    </row>
    <row r="117" spans="9:21" x14ac:dyDescent="0.25">
      <c r="I117" s="8">
        <v>111</v>
      </c>
      <c r="J117" s="55"/>
      <c r="K117" s="4"/>
      <c r="L117" s="4"/>
      <c r="M117" s="4"/>
      <c r="N117" s="11"/>
      <c r="P117" s="8">
        <v>111</v>
      </c>
      <c r="Q117" s="55"/>
      <c r="R117" s="4"/>
      <c r="S117" s="4"/>
      <c r="T117" s="4"/>
      <c r="U117" s="11"/>
    </row>
    <row r="118" spans="9:21" x14ac:dyDescent="0.25">
      <c r="I118" s="8">
        <v>112</v>
      </c>
      <c r="J118" s="55"/>
      <c r="K118" s="4"/>
      <c r="L118" s="4"/>
      <c r="M118" s="4"/>
      <c r="N118" s="11"/>
      <c r="P118" s="8">
        <v>112</v>
      </c>
      <c r="Q118" s="55"/>
      <c r="R118" s="4"/>
      <c r="S118" s="4"/>
      <c r="T118" s="4"/>
      <c r="U118" s="11"/>
    </row>
    <row r="119" spans="9:21" x14ac:dyDescent="0.25">
      <c r="I119" s="8">
        <v>113</v>
      </c>
      <c r="J119" s="55"/>
      <c r="K119" s="4"/>
      <c r="L119" s="4"/>
      <c r="M119" s="4"/>
      <c r="N119" s="11"/>
      <c r="P119" s="8">
        <v>113</v>
      </c>
      <c r="Q119" s="55"/>
      <c r="R119" s="4"/>
      <c r="S119" s="4"/>
      <c r="T119" s="4"/>
      <c r="U119" s="11"/>
    </row>
    <row r="120" spans="9:21" x14ac:dyDescent="0.25">
      <c r="I120" s="8">
        <v>114</v>
      </c>
      <c r="J120" s="55"/>
      <c r="K120" s="4"/>
      <c r="L120" s="4"/>
      <c r="M120" s="4"/>
      <c r="N120" s="11"/>
      <c r="P120" s="8">
        <v>114</v>
      </c>
      <c r="Q120" s="55"/>
      <c r="R120" s="4"/>
      <c r="S120" s="4"/>
      <c r="T120" s="4"/>
      <c r="U120" s="11"/>
    </row>
    <row r="121" spans="9:21" x14ac:dyDescent="0.25">
      <c r="I121" s="8">
        <v>115</v>
      </c>
      <c r="J121" s="55"/>
      <c r="K121" s="4"/>
      <c r="L121" s="4"/>
      <c r="M121" s="4"/>
      <c r="N121" s="10"/>
      <c r="P121" s="8">
        <v>115</v>
      </c>
      <c r="Q121" s="55"/>
      <c r="R121" s="4"/>
      <c r="S121" s="4"/>
      <c r="T121" s="4"/>
      <c r="U121" s="10"/>
    </row>
    <row r="122" spans="9:21" x14ac:dyDescent="0.25">
      <c r="I122" s="8">
        <v>116</v>
      </c>
      <c r="J122" s="55"/>
      <c r="K122" s="4"/>
      <c r="L122" s="4"/>
      <c r="M122" s="4"/>
      <c r="N122" s="11"/>
      <c r="P122" s="8">
        <v>116</v>
      </c>
      <c r="Q122" s="55"/>
      <c r="R122" s="4"/>
      <c r="S122" s="4"/>
      <c r="T122" s="4"/>
      <c r="U122" s="11"/>
    </row>
    <row r="123" spans="9:21" x14ac:dyDescent="0.25">
      <c r="I123" s="8">
        <v>117</v>
      </c>
      <c r="J123" s="55"/>
      <c r="K123" s="4"/>
      <c r="L123" s="4"/>
      <c r="M123" s="4"/>
      <c r="N123" s="11"/>
      <c r="P123" s="8">
        <v>117</v>
      </c>
      <c r="Q123" s="55"/>
      <c r="R123" s="4"/>
      <c r="S123" s="4"/>
      <c r="T123" s="4"/>
      <c r="U123" s="11"/>
    </row>
    <row r="124" spans="9:21" x14ac:dyDescent="0.25">
      <c r="I124" s="8">
        <v>118</v>
      </c>
      <c r="J124" s="55"/>
      <c r="K124" s="4"/>
      <c r="L124" s="4"/>
      <c r="M124" s="4"/>
      <c r="N124" s="11"/>
      <c r="P124" s="8">
        <v>118</v>
      </c>
      <c r="Q124" s="55"/>
      <c r="R124" s="4"/>
      <c r="S124" s="4"/>
      <c r="T124" s="4"/>
      <c r="U124" s="11"/>
    </row>
    <row r="125" spans="9:21" x14ac:dyDescent="0.25">
      <c r="I125" s="8">
        <v>119</v>
      </c>
      <c r="J125" s="55"/>
      <c r="K125" s="4"/>
      <c r="L125" s="4"/>
      <c r="M125" s="4"/>
      <c r="N125" s="11"/>
      <c r="P125" s="8">
        <v>119</v>
      </c>
      <c r="Q125" s="55"/>
      <c r="R125" s="4"/>
      <c r="S125" s="4"/>
      <c r="T125" s="4"/>
      <c r="U125" s="11"/>
    </row>
    <row r="126" spans="9:21" x14ac:dyDescent="0.25">
      <c r="I126" s="8">
        <v>120</v>
      </c>
      <c r="J126" s="55"/>
      <c r="K126" s="4"/>
      <c r="L126" s="4"/>
      <c r="M126" s="4"/>
      <c r="N126" s="11"/>
      <c r="P126" s="8">
        <v>120</v>
      </c>
      <c r="Q126" s="55"/>
      <c r="R126" s="4"/>
      <c r="S126" s="4"/>
      <c r="T126" s="4"/>
      <c r="U126" s="11"/>
    </row>
    <row r="127" spans="9:21" x14ac:dyDescent="0.25">
      <c r="I127" s="8">
        <v>121</v>
      </c>
      <c r="J127" s="55"/>
      <c r="K127" s="4"/>
      <c r="L127" s="4"/>
      <c r="M127" s="4"/>
      <c r="N127" s="11"/>
      <c r="P127" s="8">
        <v>121</v>
      </c>
      <c r="Q127" s="55"/>
      <c r="R127" s="4"/>
      <c r="S127" s="4"/>
      <c r="T127" s="4"/>
      <c r="U127" s="11"/>
    </row>
    <row r="128" spans="9:21" x14ac:dyDescent="0.25">
      <c r="I128" s="8">
        <v>122</v>
      </c>
      <c r="J128" s="55"/>
      <c r="K128" s="4"/>
      <c r="L128" s="4"/>
      <c r="M128" s="4"/>
      <c r="N128" s="11"/>
      <c r="P128" s="8">
        <v>122</v>
      </c>
      <c r="Q128" s="55"/>
      <c r="R128" s="4"/>
      <c r="S128" s="4"/>
      <c r="T128" s="4"/>
      <c r="U128" s="11"/>
    </row>
    <row r="129" spans="9:21" x14ac:dyDescent="0.25">
      <c r="I129" s="8">
        <v>123</v>
      </c>
      <c r="J129" s="55"/>
      <c r="K129" s="4"/>
      <c r="L129" s="4"/>
      <c r="M129" s="4"/>
      <c r="N129" s="11"/>
      <c r="P129" s="8">
        <v>123</v>
      </c>
      <c r="Q129" s="55"/>
      <c r="R129" s="4"/>
      <c r="S129" s="4"/>
      <c r="T129" s="4"/>
      <c r="U129" s="11"/>
    </row>
    <row r="130" spans="9:21" x14ac:dyDescent="0.25">
      <c r="I130" s="8">
        <v>124</v>
      </c>
      <c r="J130" s="55"/>
      <c r="K130" s="4"/>
      <c r="L130" s="4"/>
      <c r="M130" s="4"/>
      <c r="N130" s="11"/>
      <c r="P130" s="8">
        <v>124</v>
      </c>
      <c r="Q130" s="55"/>
      <c r="R130" s="4"/>
      <c r="S130" s="4"/>
      <c r="T130" s="4"/>
      <c r="U130" s="11"/>
    </row>
    <row r="131" spans="9:21" x14ac:dyDescent="0.25">
      <c r="I131" s="8">
        <v>125</v>
      </c>
      <c r="J131" s="55"/>
      <c r="K131" s="4"/>
      <c r="L131" s="4"/>
      <c r="M131" s="4"/>
      <c r="N131" s="11"/>
      <c r="P131" s="8">
        <v>125</v>
      </c>
      <c r="Q131" s="55"/>
      <c r="R131" s="4"/>
      <c r="S131" s="4"/>
      <c r="T131" s="4"/>
      <c r="U131" s="11"/>
    </row>
    <row r="132" spans="9:21" x14ac:dyDescent="0.25">
      <c r="I132" s="8">
        <v>126</v>
      </c>
      <c r="J132" s="55"/>
      <c r="K132" s="4"/>
      <c r="L132" s="4"/>
      <c r="M132" s="4"/>
      <c r="N132" s="11"/>
      <c r="P132" s="8">
        <v>126</v>
      </c>
      <c r="Q132" s="55"/>
      <c r="R132" s="4"/>
      <c r="S132" s="4"/>
      <c r="T132" s="4"/>
      <c r="U132" s="11"/>
    </row>
    <row r="133" spans="9:21" x14ac:dyDescent="0.25">
      <c r="I133" s="8">
        <v>127</v>
      </c>
      <c r="J133" s="55"/>
      <c r="K133" s="4"/>
      <c r="L133" s="4"/>
      <c r="M133" s="4"/>
      <c r="N133" s="11"/>
      <c r="P133" s="8">
        <v>127</v>
      </c>
      <c r="Q133" s="55"/>
      <c r="R133" s="4"/>
      <c r="S133" s="4"/>
      <c r="T133" s="4"/>
      <c r="U133" s="11"/>
    </row>
    <row r="134" spans="9:21" x14ac:dyDescent="0.25">
      <c r="I134" s="8">
        <v>128</v>
      </c>
      <c r="J134" s="55"/>
      <c r="K134" s="4"/>
      <c r="L134" s="4"/>
      <c r="M134" s="4"/>
      <c r="N134" s="11"/>
      <c r="P134" s="8">
        <v>128</v>
      </c>
      <c r="Q134" s="55"/>
      <c r="R134" s="4"/>
      <c r="S134" s="4"/>
      <c r="T134" s="4"/>
      <c r="U134" s="11"/>
    </row>
    <row r="135" spans="9:21" x14ac:dyDescent="0.25">
      <c r="I135" s="8">
        <v>129</v>
      </c>
      <c r="J135" s="55"/>
      <c r="K135" s="4"/>
      <c r="L135" s="4"/>
      <c r="M135" s="4"/>
      <c r="N135" s="11"/>
      <c r="P135" s="8">
        <v>129</v>
      </c>
      <c r="Q135" s="55"/>
      <c r="R135" s="4"/>
      <c r="S135" s="4"/>
      <c r="T135" s="4"/>
      <c r="U135" s="11"/>
    </row>
    <row r="136" spans="9:21" x14ac:dyDescent="0.25">
      <c r="I136" s="8">
        <v>130</v>
      </c>
      <c r="J136" s="55"/>
      <c r="K136" s="4"/>
      <c r="L136" s="4"/>
      <c r="M136" s="4"/>
      <c r="N136" s="11"/>
      <c r="P136" s="8">
        <v>130</v>
      </c>
      <c r="Q136" s="55"/>
      <c r="R136" s="4"/>
      <c r="S136" s="4"/>
      <c r="T136" s="4"/>
      <c r="U136" s="11"/>
    </row>
    <row r="137" spans="9:21" x14ac:dyDescent="0.25">
      <c r="I137" s="8">
        <v>131</v>
      </c>
      <c r="J137" s="55"/>
      <c r="K137" s="4"/>
      <c r="L137" s="4"/>
      <c r="M137" s="4"/>
      <c r="N137" s="10"/>
      <c r="P137" s="8">
        <v>131</v>
      </c>
      <c r="Q137" s="55"/>
      <c r="R137" s="4"/>
      <c r="S137" s="4"/>
      <c r="T137" s="4"/>
      <c r="U137" s="10"/>
    </row>
    <row r="138" spans="9:21" x14ac:dyDescent="0.25">
      <c r="I138" s="8">
        <v>132</v>
      </c>
      <c r="J138" s="55"/>
      <c r="K138" s="4"/>
      <c r="L138" s="4"/>
      <c r="M138" s="4"/>
      <c r="N138" s="10"/>
      <c r="P138" s="8">
        <v>132</v>
      </c>
      <c r="Q138" s="55"/>
      <c r="R138" s="4"/>
      <c r="S138" s="4"/>
      <c r="T138" s="4"/>
      <c r="U138" s="10"/>
    </row>
    <row r="139" spans="9:21" x14ac:dyDescent="0.25">
      <c r="I139" s="8">
        <v>133</v>
      </c>
      <c r="J139" s="55"/>
      <c r="K139" s="4"/>
      <c r="L139" s="4"/>
      <c r="M139" s="4"/>
      <c r="N139" s="10"/>
      <c r="P139" s="8">
        <v>133</v>
      </c>
      <c r="Q139" s="55"/>
      <c r="R139" s="4"/>
      <c r="S139" s="4"/>
      <c r="T139" s="4"/>
      <c r="U139" s="10"/>
    </row>
    <row r="140" spans="9:21" x14ac:dyDescent="0.25">
      <c r="I140" s="8">
        <v>134</v>
      </c>
      <c r="J140" s="55"/>
      <c r="K140" s="4"/>
      <c r="L140" s="4"/>
      <c r="M140" s="4"/>
      <c r="N140" s="11"/>
      <c r="P140" s="8">
        <v>134</v>
      </c>
      <c r="Q140" s="55"/>
      <c r="R140" s="4"/>
      <c r="S140" s="4"/>
      <c r="T140" s="4"/>
      <c r="U140" s="11"/>
    </row>
    <row r="141" spans="9:21" x14ac:dyDescent="0.25">
      <c r="I141" s="8">
        <v>135</v>
      </c>
      <c r="J141" s="55"/>
      <c r="K141" s="4"/>
      <c r="L141" s="4"/>
      <c r="M141" s="4"/>
      <c r="N141" s="11"/>
      <c r="P141" s="8">
        <v>135</v>
      </c>
      <c r="Q141" s="55"/>
      <c r="R141" s="4"/>
      <c r="S141" s="4"/>
      <c r="T141" s="4"/>
      <c r="U141" s="11"/>
    </row>
    <row r="142" spans="9:21" x14ac:dyDescent="0.25">
      <c r="I142" s="8">
        <v>136</v>
      </c>
      <c r="J142" s="55"/>
      <c r="K142" s="4"/>
      <c r="L142" s="4"/>
      <c r="M142" s="4"/>
      <c r="N142" s="11"/>
      <c r="P142" s="8">
        <v>136</v>
      </c>
      <c r="Q142" s="55"/>
      <c r="R142" s="4"/>
      <c r="S142" s="4"/>
      <c r="T142" s="4"/>
      <c r="U142" s="11"/>
    </row>
    <row r="143" spans="9:21" x14ac:dyDescent="0.25">
      <c r="I143" s="8">
        <v>137</v>
      </c>
      <c r="J143" s="55"/>
      <c r="K143" s="4"/>
      <c r="L143" s="4"/>
      <c r="M143" s="4"/>
      <c r="N143" s="11"/>
      <c r="P143" s="8">
        <v>137</v>
      </c>
      <c r="Q143" s="55"/>
      <c r="R143" s="4"/>
      <c r="S143" s="4"/>
      <c r="T143" s="4"/>
      <c r="U143" s="11"/>
    </row>
    <row r="144" spans="9:21" x14ac:dyDescent="0.25">
      <c r="I144" s="8">
        <v>138</v>
      </c>
      <c r="J144" s="55"/>
      <c r="K144" s="4"/>
      <c r="L144" s="4"/>
      <c r="M144" s="4"/>
      <c r="N144" s="11"/>
      <c r="P144" s="8">
        <v>138</v>
      </c>
      <c r="Q144" s="55"/>
      <c r="R144" s="4"/>
      <c r="S144" s="4"/>
      <c r="T144" s="4"/>
      <c r="U144" s="11"/>
    </row>
    <row r="145" spans="9:21" x14ac:dyDescent="0.25">
      <c r="I145" s="8">
        <v>139</v>
      </c>
      <c r="J145" s="55"/>
      <c r="K145" s="4"/>
      <c r="L145" s="4"/>
      <c r="M145" s="4"/>
      <c r="N145" s="11"/>
      <c r="P145" s="8">
        <v>139</v>
      </c>
      <c r="Q145" s="55"/>
      <c r="R145" s="4"/>
      <c r="S145" s="4"/>
      <c r="T145" s="4"/>
      <c r="U145" s="11"/>
    </row>
    <row r="146" spans="9:21" x14ac:dyDescent="0.25">
      <c r="I146" s="8">
        <v>140</v>
      </c>
      <c r="J146" s="55"/>
      <c r="K146" s="4"/>
      <c r="L146" s="4"/>
      <c r="M146" s="4"/>
      <c r="N146" s="11"/>
      <c r="P146" s="8">
        <v>140</v>
      </c>
      <c r="Q146" s="55"/>
      <c r="R146" s="4"/>
      <c r="S146" s="4"/>
      <c r="T146" s="4"/>
      <c r="U146" s="11"/>
    </row>
    <row r="147" spans="9:21" x14ac:dyDescent="0.25">
      <c r="I147" s="8">
        <v>141</v>
      </c>
      <c r="J147" s="55"/>
      <c r="K147" s="4"/>
      <c r="L147" s="4"/>
      <c r="M147" s="4"/>
      <c r="N147" s="10"/>
      <c r="P147" s="8">
        <v>141</v>
      </c>
      <c r="Q147" s="55"/>
      <c r="R147" s="4"/>
      <c r="S147" s="4"/>
      <c r="T147" s="4"/>
      <c r="U147" s="10"/>
    </row>
    <row r="148" spans="9:21" x14ac:dyDescent="0.25">
      <c r="I148" s="8">
        <v>142</v>
      </c>
      <c r="J148" s="55"/>
      <c r="K148" s="4"/>
      <c r="L148" s="4"/>
      <c r="M148" s="4"/>
      <c r="N148" s="10"/>
      <c r="P148" s="8">
        <v>142</v>
      </c>
      <c r="Q148" s="55"/>
      <c r="R148" s="4"/>
      <c r="S148" s="4"/>
      <c r="T148" s="4"/>
      <c r="U148" s="10"/>
    </row>
    <row r="149" spans="9:21" x14ac:dyDescent="0.25">
      <c r="I149" s="8">
        <v>143</v>
      </c>
      <c r="J149" s="55"/>
      <c r="K149" s="4"/>
      <c r="L149" s="4"/>
      <c r="M149" s="4"/>
      <c r="N149" s="10"/>
      <c r="P149" s="8">
        <v>143</v>
      </c>
      <c r="Q149" s="55"/>
      <c r="R149" s="4"/>
      <c r="S149" s="4"/>
      <c r="T149" s="4"/>
      <c r="U149" s="10"/>
    </row>
    <row r="150" spans="9:21" x14ac:dyDescent="0.25">
      <c r="I150" s="8">
        <v>144</v>
      </c>
      <c r="J150" s="55"/>
      <c r="K150" s="4"/>
      <c r="L150" s="4"/>
      <c r="M150" s="4"/>
      <c r="N150" s="10"/>
      <c r="P150" s="8">
        <v>144</v>
      </c>
      <c r="Q150" s="55"/>
      <c r="R150" s="4"/>
      <c r="S150" s="4"/>
      <c r="T150" s="4"/>
      <c r="U150" s="10"/>
    </row>
    <row r="151" spans="9:21" x14ac:dyDescent="0.25">
      <c r="I151" s="8">
        <v>145</v>
      </c>
      <c r="J151" s="55"/>
      <c r="K151" s="4"/>
      <c r="L151" s="4"/>
      <c r="M151" s="4"/>
      <c r="N151" s="10"/>
      <c r="P151" s="8">
        <v>145</v>
      </c>
      <c r="Q151" s="55"/>
      <c r="R151" s="4"/>
      <c r="S151" s="4"/>
      <c r="T151" s="4"/>
      <c r="U151" s="10"/>
    </row>
    <row r="152" spans="9:21" x14ac:dyDescent="0.25">
      <c r="I152" s="8">
        <v>146</v>
      </c>
      <c r="J152" s="55"/>
      <c r="K152" s="4"/>
      <c r="L152" s="4"/>
      <c r="M152" s="4"/>
      <c r="N152" s="10"/>
      <c r="P152" s="8">
        <v>146</v>
      </c>
      <c r="Q152" s="55"/>
      <c r="R152" s="4"/>
      <c r="S152" s="4"/>
      <c r="T152" s="4"/>
      <c r="U152" s="10"/>
    </row>
    <row r="153" spans="9:21" x14ac:dyDescent="0.25">
      <c r="I153" s="8">
        <v>147</v>
      </c>
      <c r="J153" s="55"/>
      <c r="K153" s="4"/>
      <c r="L153" s="4"/>
      <c r="M153" s="4"/>
      <c r="N153" s="10"/>
      <c r="P153" s="8">
        <v>147</v>
      </c>
      <c r="Q153" s="55"/>
      <c r="R153" s="4"/>
      <c r="S153" s="4"/>
      <c r="T153" s="4"/>
      <c r="U153" s="10"/>
    </row>
    <row r="154" spans="9:21" x14ac:dyDescent="0.25">
      <c r="I154" s="8">
        <v>148</v>
      </c>
      <c r="J154" s="55"/>
      <c r="K154" s="4"/>
      <c r="L154" s="4"/>
      <c r="M154" s="4"/>
      <c r="N154" s="10"/>
      <c r="P154" s="8">
        <v>148</v>
      </c>
      <c r="Q154" s="55"/>
      <c r="R154" s="4"/>
      <c r="S154" s="4"/>
      <c r="T154" s="4"/>
      <c r="U154" s="10"/>
    </row>
    <row r="155" spans="9:21" x14ac:dyDescent="0.25">
      <c r="I155" s="8">
        <v>149</v>
      </c>
      <c r="J155" s="55"/>
      <c r="K155" s="4"/>
      <c r="L155" s="4"/>
      <c r="M155" s="4"/>
      <c r="N155" s="10"/>
      <c r="P155" s="8">
        <v>149</v>
      </c>
      <c r="Q155" s="55"/>
      <c r="R155" s="4"/>
      <c r="S155" s="4"/>
      <c r="T155" s="4"/>
      <c r="U155" s="10"/>
    </row>
    <row r="156" spans="9:21" x14ac:dyDescent="0.25">
      <c r="I156" s="8">
        <v>150</v>
      </c>
      <c r="J156" s="55"/>
      <c r="K156" s="4"/>
      <c r="L156" s="4"/>
      <c r="M156" s="4"/>
      <c r="N156" s="10"/>
      <c r="P156" s="8">
        <v>150</v>
      </c>
      <c r="Q156" s="55"/>
      <c r="R156" s="4"/>
      <c r="S156" s="4"/>
      <c r="T156" s="4"/>
      <c r="U156" s="10"/>
    </row>
    <row r="157" spans="9:21" x14ac:dyDescent="0.25">
      <c r="I157" s="8">
        <v>151</v>
      </c>
      <c r="J157" s="55"/>
      <c r="K157" s="4"/>
      <c r="L157" s="4"/>
      <c r="M157" s="4"/>
      <c r="N157" s="10"/>
      <c r="P157" s="8">
        <v>151</v>
      </c>
      <c r="Q157" s="55"/>
      <c r="R157" s="4"/>
      <c r="S157" s="4"/>
      <c r="T157" s="4"/>
      <c r="U157" s="10"/>
    </row>
    <row r="158" spans="9:21" x14ac:dyDescent="0.25">
      <c r="I158" s="8">
        <v>152</v>
      </c>
      <c r="J158" s="55"/>
      <c r="K158" s="4"/>
      <c r="L158" s="4"/>
      <c r="M158" s="4"/>
      <c r="N158" s="10"/>
      <c r="P158" s="8">
        <v>152</v>
      </c>
      <c r="Q158" s="55"/>
      <c r="R158" s="4"/>
      <c r="S158" s="4"/>
      <c r="T158" s="4"/>
      <c r="U158" s="10"/>
    </row>
    <row r="159" spans="9:21" x14ac:dyDescent="0.25">
      <c r="I159" s="8">
        <v>153</v>
      </c>
      <c r="J159" s="55"/>
      <c r="K159" s="4"/>
      <c r="L159" s="4"/>
      <c r="M159" s="4"/>
      <c r="N159" s="10"/>
      <c r="P159" s="8">
        <v>153</v>
      </c>
      <c r="Q159" s="55"/>
      <c r="R159" s="4"/>
      <c r="S159" s="4"/>
      <c r="T159" s="4"/>
      <c r="U159" s="10"/>
    </row>
    <row r="160" spans="9:21" x14ac:dyDescent="0.25">
      <c r="I160" s="8">
        <v>154</v>
      </c>
      <c r="J160" s="55"/>
      <c r="K160" s="4"/>
      <c r="L160" s="4"/>
      <c r="M160" s="4"/>
      <c r="N160" s="10"/>
      <c r="P160" s="8">
        <v>154</v>
      </c>
      <c r="Q160" s="55"/>
      <c r="R160" s="4"/>
      <c r="S160" s="4"/>
      <c r="T160" s="4"/>
      <c r="U160" s="10"/>
    </row>
    <row r="161" spans="9:21" x14ac:dyDescent="0.25">
      <c r="I161" s="8">
        <v>155</v>
      </c>
      <c r="J161" s="55"/>
      <c r="K161" s="4"/>
      <c r="L161" s="4"/>
      <c r="M161" s="4"/>
      <c r="N161" s="10"/>
      <c r="P161" s="8">
        <v>155</v>
      </c>
      <c r="Q161" s="55"/>
      <c r="R161" s="4"/>
      <c r="S161" s="4"/>
      <c r="T161" s="4"/>
      <c r="U161" s="10"/>
    </row>
    <row r="162" spans="9:21" x14ac:dyDescent="0.25">
      <c r="I162" s="8">
        <v>156</v>
      </c>
      <c r="J162" s="55"/>
      <c r="K162" s="4"/>
      <c r="L162" s="4"/>
      <c r="M162" s="4"/>
      <c r="N162" s="10"/>
      <c r="P162" s="8">
        <v>156</v>
      </c>
      <c r="Q162" s="55"/>
      <c r="R162" s="4"/>
      <c r="S162" s="4"/>
      <c r="T162" s="4"/>
      <c r="U162" s="10"/>
    </row>
    <row r="163" spans="9:21" x14ac:dyDescent="0.25">
      <c r="I163" s="8">
        <v>157</v>
      </c>
      <c r="J163" s="55"/>
      <c r="K163" s="4"/>
      <c r="L163" s="4"/>
      <c r="M163" s="4"/>
      <c r="N163" s="10"/>
      <c r="P163" s="8">
        <v>157</v>
      </c>
      <c r="Q163" s="55"/>
      <c r="R163" s="4"/>
      <c r="S163" s="4"/>
      <c r="T163" s="4"/>
      <c r="U163" s="10"/>
    </row>
    <row r="164" spans="9:21" x14ac:dyDescent="0.25">
      <c r="I164" s="8">
        <v>158</v>
      </c>
      <c r="J164" s="55"/>
      <c r="K164" s="4"/>
      <c r="L164" s="4"/>
      <c r="M164" s="4"/>
      <c r="N164" s="10"/>
      <c r="P164" s="8">
        <v>158</v>
      </c>
      <c r="Q164" s="55"/>
      <c r="R164" s="4"/>
      <c r="S164" s="4"/>
      <c r="T164" s="4"/>
      <c r="U164" s="10"/>
    </row>
    <row r="165" spans="9:21" x14ac:dyDescent="0.25">
      <c r="I165" s="8">
        <v>159</v>
      </c>
      <c r="J165" s="55"/>
      <c r="K165" s="4"/>
      <c r="L165" s="4"/>
      <c r="M165" s="4"/>
      <c r="N165" s="10"/>
      <c r="P165" s="8">
        <v>159</v>
      </c>
      <c r="Q165" s="55"/>
      <c r="R165" s="4"/>
      <c r="S165" s="4"/>
      <c r="T165" s="4"/>
      <c r="U165" s="10"/>
    </row>
    <row r="166" spans="9:21" x14ac:dyDescent="0.25">
      <c r="I166" s="8">
        <v>160</v>
      </c>
      <c r="J166" s="55"/>
      <c r="K166" s="4"/>
      <c r="L166" s="4"/>
      <c r="M166" s="4"/>
      <c r="N166" s="10"/>
      <c r="P166" s="8">
        <v>160</v>
      </c>
      <c r="Q166" s="55"/>
      <c r="R166" s="4"/>
      <c r="S166" s="4"/>
      <c r="T166" s="4"/>
      <c r="U166" s="10"/>
    </row>
    <row r="167" spans="9:21" x14ac:dyDescent="0.25">
      <c r="I167" s="8">
        <v>161</v>
      </c>
      <c r="J167" s="55"/>
      <c r="K167" s="4"/>
      <c r="L167" s="4"/>
      <c r="M167" s="4"/>
      <c r="N167" s="10"/>
      <c r="P167" s="8">
        <v>161</v>
      </c>
      <c r="Q167" s="55"/>
      <c r="R167" s="4"/>
      <c r="S167" s="4"/>
      <c r="T167" s="4"/>
      <c r="U167" s="10"/>
    </row>
    <row r="168" spans="9:21" x14ac:dyDescent="0.25">
      <c r="I168" s="8">
        <v>162</v>
      </c>
      <c r="J168" s="55"/>
      <c r="K168" s="4"/>
      <c r="L168" s="4"/>
      <c r="M168" s="4"/>
      <c r="N168" s="10"/>
      <c r="P168" s="8">
        <v>162</v>
      </c>
      <c r="Q168" s="55"/>
      <c r="R168" s="4"/>
      <c r="S168" s="4"/>
      <c r="T168" s="4"/>
      <c r="U168" s="10"/>
    </row>
    <row r="169" spans="9:21" x14ac:dyDescent="0.25">
      <c r="I169" s="8">
        <v>163</v>
      </c>
      <c r="J169" s="55"/>
      <c r="K169" s="4"/>
      <c r="L169" s="4"/>
      <c r="M169" s="4"/>
      <c r="N169" s="10"/>
      <c r="P169" s="8">
        <v>163</v>
      </c>
      <c r="Q169" s="55"/>
      <c r="R169" s="4"/>
      <c r="S169" s="4"/>
      <c r="T169" s="4"/>
      <c r="U169" s="10"/>
    </row>
    <row r="170" spans="9:21" x14ac:dyDescent="0.25">
      <c r="I170" s="9">
        <v>164</v>
      </c>
      <c r="J170" s="56"/>
      <c r="K170" s="12"/>
      <c r="L170" s="12"/>
      <c r="M170" s="12"/>
      <c r="N170" s="57"/>
      <c r="P170" s="9">
        <v>164</v>
      </c>
      <c r="Q170" s="56"/>
      <c r="R170" s="12"/>
      <c r="S170" s="12"/>
      <c r="T170" s="12"/>
      <c r="U170" s="57"/>
    </row>
  </sheetData>
  <mergeCells count="1">
    <mergeCell ref="B6:G15"/>
  </mergeCells>
  <phoneticPr fontId="6" type="noConversion"/>
  <conditionalFormatting sqref="X7:Y9 K34:N37 J38:N170 J7:N33">
    <cfRule type="containsText" dxfId="23" priority="113" operator="containsText" text="SCAT2">
      <formula>NOT(ISERROR(SEARCH("SCAT2",J7)))</formula>
    </cfRule>
    <cfRule type="containsText" dxfId="22" priority="114" operator="containsText" text="WILD">
      <formula>NOT(ISERROR(SEARCH("WILD",J7)))</formula>
    </cfRule>
  </conditionalFormatting>
  <conditionalFormatting sqref="K34:N37 J38:N170 J7:N33">
    <cfRule type="containsText" dxfId="21" priority="41" operator="containsText" text="FG">
      <formula>NOT(ISERROR(SEARCH("FG",J7)))</formula>
    </cfRule>
    <cfRule type="containsText" dxfId="20" priority="50" operator="containsText" text="SYM">
      <formula>NOT(ISERROR(SEARCH("SYM",J7)))</formula>
    </cfRule>
  </conditionalFormatting>
  <conditionalFormatting sqref="Q74:U170">
    <cfRule type="containsText" dxfId="19" priority="39" operator="containsText" text="SCAT2">
      <formula>NOT(ISERROR(SEARCH("SCAT2",Q74)))</formula>
    </cfRule>
    <cfRule type="containsText" dxfId="18" priority="40" operator="containsText" text="WILD">
      <formula>NOT(ISERROR(SEARCH("WILD",Q74)))</formula>
    </cfRule>
  </conditionalFormatting>
  <conditionalFormatting sqref="Q74:U170">
    <cfRule type="containsText" dxfId="17" priority="37" operator="containsText" text="FG">
      <formula>NOT(ISERROR(SEARCH("FG",Q74)))</formula>
    </cfRule>
    <cfRule type="containsText" dxfId="16" priority="38" operator="containsText" text="SYM">
      <formula>NOT(ISERROR(SEARCH("SYM",Q74)))</formula>
    </cfRule>
  </conditionalFormatting>
  <conditionalFormatting sqref="J34:J37">
    <cfRule type="containsText" dxfId="15" priority="27" operator="containsText" text="SCAT2">
      <formula>NOT(ISERROR(SEARCH("SCAT2",J34)))</formula>
    </cfRule>
    <cfRule type="containsText" dxfId="14" priority="28" operator="containsText" text="WILD">
      <formula>NOT(ISERROR(SEARCH("WILD",J34)))</formula>
    </cfRule>
  </conditionalFormatting>
  <conditionalFormatting sqref="J34:J37">
    <cfRule type="containsText" dxfId="13" priority="25" operator="containsText" text="FG">
      <formula>NOT(ISERROR(SEARCH("FG",J34)))</formula>
    </cfRule>
    <cfRule type="containsText" dxfId="12" priority="26" operator="containsText" text="SYM">
      <formula>NOT(ISERROR(SEARCH("SYM",J34)))</formula>
    </cfRule>
  </conditionalFormatting>
  <conditionalFormatting sqref="Q60:U73">
    <cfRule type="containsText" dxfId="11" priority="15" operator="containsText" text="SCAT2">
      <formula>NOT(ISERROR(SEARCH("SCAT2",Q60)))</formula>
    </cfRule>
    <cfRule type="containsText" dxfId="10" priority="16" operator="containsText" text="WILD">
      <formula>NOT(ISERROR(SEARCH("WILD",Q60)))</formula>
    </cfRule>
  </conditionalFormatting>
  <conditionalFormatting sqref="Q60:U73">
    <cfRule type="containsText" dxfId="9" priority="13" operator="containsText" text="FG">
      <formula>NOT(ISERROR(SEARCH("FG",Q60)))</formula>
    </cfRule>
    <cfRule type="containsText" dxfId="8" priority="14" operator="containsText" text="SYM">
      <formula>NOT(ISERROR(SEARCH("SYM",Q60)))</formula>
    </cfRule>
  </conditionalFormatting>
  <conditionalFormatting sqref="R34:U37 Q38:U59 Q7:U33">
    <cfRule type="containsText" dxfId="7" priority="7" operator="containsText" text="SCAT2">
      <formula>NOT(ISERROR(SEARCH("SCAT2",Q7)))</formula>
    </cfRule>
    <cfRule type="containsText" dxfId="6" priority="8" operator="containsText" text="WILD">
      <formula>NOT(ISERROR(SEARCH("WILD",Q7)))</formula>
    </cfRule>
  </conditionalFormatting>
  <conditionalFormatting sqref="R34:U37 Q38:U59 Q7:U33">
    <cfRule type="containsText" dxfId="5" priority="5" operator="containsText" text="FG">
      <formula>NOT(ISERROR(SEARCH("FG",Q7)))</formula>
    </cfRule>
    <cfRule type="containsText" dxfId="4" priority="6" operator="containsText" text="SYM">
      <formula>NOT(ISERROR(SEARCH("SYM",Q7)))</formula>
    </cfRule>
  </conditionalFormatting>
  <conditionalFormatting sqref="Q34:Q37">
    <cfRule type="containsText" dxfId="3" priority="3" operator="containsText" text="SCAT2">
      <formula>NOT(ISERROR(SEARCH("SCAT2",Q34)))</formula>
    </cfRule>
    <cfRule type="containsText" dxfId="2" priority="4" operator="containsText" text="WILD">
      <formula>NOT(ISERROR(SEARCH("WILD",Q34)))</formula>
    </cfRule>
  </conditionalFormatting>
  <conditionalFormatting sqref="Q34:Q37">
    <cfRule type="containsText" dxfId="1" priority="1" operator="containsText" text="FG">
      <formula>NOT(ISERROR(SEARCH("FG",Q34)))</formula>
    </cfRule>
    <cfRule type="containsText" dxfId="0" priority="2" operator="containsText" text="SYM">
      <formula>NOT(ISERROR(SEARCH("SYM",Q34)))</formula>
    </cfRule>
  </conditionalFormatting>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A9EC-6D64-4CD5-B512-F22D6E9EC0E1}">
  <dimension ref="B2:W74"/>
  <sheetViews>
    <sheetView tabSelected="1" zoomScale="115" zoomScaleNormal="115" workbookViewId="0">
      <selection activeCell="C4" sqref="C4"/>
    </sheetView>
  </sheetViews>
  <sheetFormatPr defaultColWidth="8.85546875" defaultRowHeight="15" x14ac:dyDescent="0.25"/>
  <cols>
    <col min="1" max="1" width="3.42578125" style="16" customWidth="1"/>
    <col min="2" max="2" width="13.28515625" style="16" customWidth="1"/>
    <col min="3" max="6" width="12.7109375" style="16" customWidth="1"/>
    <col min="7" max="8" width="10.7109375" style="16" customWidth="1"/>
    <col min="9" max="9" width="13.28515625" style="16" customWidth="1"/>
    <col min="10" max="19" width="8.85546875" style="16" customWidth="1"/>
    <col min="20" max="20" width="10.7109375" style="16" customWidth="1"/>
    <col min="21" max="21" width="13.28515625" style="16" customWidth="1"/>
    <col min="22" max="25" width="12.7109375" style="16" customWidth="1"/>
    <col min="26" max="16384" width="8.85546875" style="16"/>
  </cols>
  <sheetData>
    <row r="2" spans="2:7" x14ac:dyDescent="0.25">
      <c r="B2" s="16" t="s">
        <v>29</v>
      </c>
      <c r="C2" s="73">
        <f>SUM(F39:F74,W39:W54)</f>
        <v>0.69431468492965875</v>
      </c>
      <c r="F2" s="54" t="s">
        <v>43</v>
      </c>
      <c r="G2" s="76">
        <f>1/SUM(U39:U54)</f>
        <v>134.31834750911301</v>
      </c>
    </row>
    <row r="3" spans="2:7" x14ac:dyDescent="0.25">
      <c r="B3" s="16" t="s">
        <v>30</v>
      </c>
      <c r="C3" s="74">
        <f>FG!C5/G2</f>
        <v>0.225534689480859</v>
      </c>
    </row>
    <row r="4" spans="2:7" x14ac:dyDescent="0.25">
      <c r="B4" s="16" t="s">
        <v>16</v>
      </c>
      <c r="C4" s="75">
        <f>C2+C3</f>
        <v>0.91984937441051773</v>
      </c>
    </row>
    <row r="6" spans="2:7" x14ac:dyDescent="0.25">
      <c r="B6" s="46" t="s">
        <v>42</v>
      </c>
    </row>
    <row r="7" spans="2:7" x14ac:dyDescent="0.25">
      <c r="B7" s="32" t="s">
        <v>17</v>
      </c>
      <c r="C7" s="30" t="s">
        <v>1</v>
      </c>
      <c r="D7" s="30" t="s">
        <v>2</v>
      </c>
      <c r="E7" s="30" t="s">
        <v>3</v>
      </c>
      <c r="F7" s="30" t="s">
        <v>4</v>
      </c>
      <c r="G7" s="31" t="s">
        <v>5</v>
      </c>
    </row>
    <row r="8" spans="2:7" x14ac:dyDescent="0.25">
      <c r="B8" s="33" t="s">
        <v>11</v>
      </c>
      <c r="C8" s="20">
        <f>COUNTIF('Game Info'!J$7:J$170,BG!$B8)</f>
        <v>2</v>
      </c>
      <c r="D8" s="21">
        <f>COUNTIF('Game Info'!K$7:K$170,BG!$B8)</f>
        <v>1</v>
      </c>
      <c r="E8" s="21">
        <f>COUNTIF('Game Info'!L$7:L$170,BG!$B8)</f>
        <v>1</v>
      </c>
      <c r="F8" s="21">
        <f>COUNTIF('Game Info'!M$7:M$170,BG!$B8)</f>
        <v>1</v>
      </c>
      <c r="G8" s="22">
        <f>COUNTIF('Game Info'!N$7:N$170,BG!$B8)</f>
        <v>1</v>
      </c>
    </row>
    <row r="9" spans="2:7" x14ac:dyDescent="0.25">
      <c r="B9" s="33" t="s">
        <v>32</v>
      </c>
      <c r="C9" s="20">
        <f>COUNTIF('Game Info'!J$7:J$170,BG!$B9)</f>
        <v>2</v>
      </c>
      <c r="D9" s="21">
        <f>COUNTIF('Game Info'!K$7:K$170,BG!$B9)</f>
        <v>2</v>
      </c>
      <c r="E9" s="21">
        <f>COUNTIF('Game Info'!L$7:L$170,BG!$B9)</f>
        <v>2</v>
      </c>
      <c r="F9" s="21">
        <f>COUNTIF('Game Info'!M$7:M$170,BG!$B9)</f>
        <v>1</v>
      </c>
      <c r="G9" s="22">
        <f>COUNTIF('Game Info'!N$7:N$170,BG!$B9)</f>
        <v>2</v>
      </c>
    </row>
    <row r="10" spans="2:7" x14ac:dyDescent="0.25">
      <c r="B10" s="33" t="s">
        <v>33</v>
      </c>
      <c r="C10" s="20">
        <f>COUNTIF('Game Info'!J$7:J$170,BG!$B10)</f>
        <v>4</v>
      </c>
      <c r="D10" s="21">
        <f>COUNTIF('Game Info'!K$7:K$170,BG!$B10)</f>
        <v>5</v>
      </c>
      <c r="E10" s="21">
        <f>COUNTIF('Game Info'!L$7:L$170,BG!$B10)</f>
        <v>4</v>
      </c>
      <c r="F10" s="21">
        <f>COUNTIF('Game Info'!M$7:M$170,BG!$B10)</f>
        <v>3</v>
      </c>
      <c r="G10" s="22">
        <f>COUNTIF('Game Info'!N$7:N$170,BG!$B10)</f>
        <v>4</v>
      </c>
    </row>
    <row r="11" spans="2:7" x14ac:dyDescent="0.25">
      <c r="B11" s="33" t="s">
        <v>34</v>
      </c>
      <c r="C11" s="20">
        <f>COUNTIF('Game Info'!J$7:J$170,BG!$B11)</f>
        <v>4</v>
      </c>
      <c r="D11" s="21">
        <f>COUNTIF('Game Info'!K$7:K$170,BG!$B11)</f>
        <v>3</v>
      </c>
      <c r="E11" s="21">
        <f>COUNTIF('Game Info'!L$7:L$170,BG!$B11)</f>
        <v>7</v>
      </c>
      <c r="F11" s="21">
        <f>COUNTIF('Game Info'!M$7:M$170,BG!$B11)</f>
        <v>3</v>
      </c>
      <c r="G11" s="22">
        <f>COUNTIF('Game Info'!N$7:N$170,BG!$B11)</f>
        <v>3</v>
      </c>
    </row>
    <row r="12" spans="2:7" x14ac:dyDescent="0.25">
      <c r="B12" s="33" t="s">
        <v>35</v>
      </c>
      <c r="C12" s="20">
        <f>COUNTIF('Game Info'!J$7:J$170,BG!$B12)</f>
        <v>6</v>
      </c>
      <c r="D12" s="21">
        <f>COUNTIF('Game Info'!K$7:K$170,BG!$B12)</f>
        <v>2</v>
      </c>
      <c r="E12" s="21">
        <f>COUNTIF('Game Info'!L$7:L$170,BG!$B12)</f>
        <v>1</v>
      </c>
      <c r="F12" s="21">
        <f>COUNTIF('Game Info'!M$7:M$170,BG!$B12)</f>
        <v>4</v>
      </c>
      <c r="G12" s="22">
        <f>COUNTIF('Game Info'!N$7:N$170,BG!$B12)</f>
        <v>4</v>
      </c>
    </row>
    <row r="13" spans="2:7" x14ac:dyDescent="0.25">
      <c r="B13" s="33" t="s">
        <v>36</v>
      </c>
      <c r="C13" s="20">
        <f>COUNTIF('Game Info'!J$7:J$170,BG!$B13)</f>
        <v>2</v>
      </c>
      <c r="D13" s="21">
        <f>COUNTIF('Game Info'!K$7:K$170,BG!$B13)</f>
        <v>2</v>
      </c>
      <c r="E13" s="21">
        <f>COUNTIF('Game Info'!L$7:L$170,BG!$B13)</f>
        <v>4</v>
      </c>
      <c r="F13" s="21">
        <f>COUNTIF('Game Info'!M$7:M$170,BG!$B13)</f>
        <v>2</v>
      </c>
      <c r="G13" s="22">
        <f>COUNTIF('Game Info'!N$7:N$170,BG!$B13)</f>
        <v>3</v>
      </c>
    </row>
    <row r="14" spans="2:7" x14ac:dyDescent="0.25">
      <c r="B14" s="33" t="s">
        <v>31</v>
      </c>
      <c r="C14" s="20">
        <f>COUNTIF('Game Info'!J$7:J$170,BG!$B14)</f>
        <v>4</v>
      </c>
      <c r="D14" s="21">
        <f>COUNTIF('Game Info'!K$7:K$170,BG!$B14)</f>
        <v>3</v>
      </c>
      <c r="E14" s="21">
        <f>COUNTIF('Game Info'!L$7:L$170,BG!$B14)</f>
        <v>2</v>
      </c>
      <c r="F14" s="21">
        <f>COUNTIF('Game Info'!M$7:M$170,BG!$B14)</f>
        <v>3</v>
      </c>
      <c r="G14" s="22">
        <f>COUNTIF('Game Info'!N$7:N$170,BG!$B14)</f>
        <v>2</v>
      </c>
    </row>
    <row r="15" spans="2:7" x14ac:dyDescent="0.25">
      <c r="B15" s="33" t="s">
        <v>6</v>
      </c>
      <c r="C15" s="20">
        <f>COUNTIF('Game Info'!J$7:J$170,BG!$B15)</f>
        <v>5</v>
      </c>
      <c r="D15" s="21">
        <f>COUNTIF('Game Info'!K$7:K$170,BG!$B15)</f>
        <v>4</v>
      </c>
      <c r="E15" s="21">
        <f>COUNTIF('Game Info'!L$7:L$170,BG!$B15)</f>
        <v>7</v>
      </c>
      <c r="F15" s="21">
        <f>COUNTIF('Game Info'!M$7:M$170,BG!$B15)</f>
        <v>4</v>
      </c>
      <c r="G15" s="22">
        <f>COUNTIF('Game Info'!N$7:N$170,BG!$B15)</f>
        <v>2</v>
      </c>
    </row>
    <row r="16" spans="2:7" x14ac:dyDescent="0.25">
      <c r="B16" s="33" t="s">
        <v>10</v>
      </c>
      <c r="C16" s="20">
        <f>COUNTIF('Game Info'!J$7:J$170,BG!$B16)</f>
        <v>4</v>
      </c>
      <c r="D16" s="21">
        <f>COUNTIF('Game Info'!K$7:K$170,BG!$B16)</f>
        <v>1</v>
      </c>
      <c r="E16" s="21">
        <f>COUNTIF('Game Info'!L$7:L$170,BG!$B16)</f>
        <v>5</v>
      </c>
      <c r="F16" s="21">
        <f>COUNTIF('Game Info'!M$7:M$170,BG!$B16)</f>
        <v>2</v>
      </c>
      <c r="G16" s="22">
        <f>COUNTIF('Game Info'!N$7:N$170,BG!$B16)</f>
        <v>6</v>
      </c>
    </row>
    <row r="17" spans="2:7" x14ac:dyDescent="0.25">
      <c r="B17" s="33" t="s">
        <v>7</v>
      </c>
      <c r="C17" s="20">
        <f>COUNTIF('Game Info'!J$7:J$170,BG!$B17)</f>
        <v>3</v>
      </c>
      <c r="D17" s="21">
        <f>COUNTIF('Game Info'!K$7:K$170,BG!$B17)</f>
        <v>6</v>
      </c>
      <c r="E17" s="21">
        <f>COUNTIF('Game Info'!L$7:L$170,BG!$B17)</f>
        <v>5</v>
      </c>
      <c r="F17" s="21">
        <f>COUNTIF('Game Info'!M$7:M$170,BG!$B17)</f>
        <v>3</v>
      </c>
      <c r="G17" s="22">
        <f>COUNTIF('Game Info'!N$7:N$170,BG!$B17)</f>
        <v>5</v>
      </c>
    </row>
    <row r="18" spans="2:7" x14ac:dyDescent="0.25">
      <c r="B18" s="33">
        <v>10</v>
      </c>
      <c r="C18" s="20">
        <f>COUNTIF('Game Info'!J$7:J$170,BG!$B18)</f>
        <v>6</v>
      </c>
      <c r="D18" s="21">
        <f>COUNTIF('Game Info'!K$7:K$170,BG!$B18)</f>
        <v>4</v>
      </c>
      <c r="E18" s="21">
        <f>COUNTIF('Game Info'!L$7:L$170,BG!$B18)</f>
        <v>3</v>
      </c>
      <c r="F18" s="21">
        <f>COUNTIF('Game Info'!M$7:M$170,BG!$B18)</f>
        <v>5</v>
      </c>
      <c r="G18" s="22">
        <f>COUNTIF('Game Info'!N$7:N$170,BG!$B18)</f>
        <v>6</v>
      </c>
    </row>
    <row r="19" spans="2:7" x14ac:dyDescent="0.25">
      <c r="B19" s="33">
        <v>9</v>
      </c>
      <c r="C19" s="20">
        <f>COUNTIF('Game Info'!J$7:J$170,BG!$B19)</f>
        <v>5</v>
      </c>
      <c r="D19" s="21">
        <f>COUNTIF('Game Info'!K$7:K$170,BG!$B19)</f>
        <v>7</v>
      </c>
      <c r="E19" s="21">
        <f>COUNTIF('Game Info'!L$7:L$170,BG!$B19)</f>
        <v>4</v>
      </c>
      <c r="F19" s="21">
        <f>COUNTIF('Game Info'!M$7:M$170,BG!$B19)</f>
        <v>4</v>
      </c>
      <c r="G19" s="22">
        <f>COUNTIF('Game Info'!N$7:N$170,BG!$B19)</f>
        <v>3</v>
      </c>
    </row>
    <row r="20" spans="2:7" x14ac:dyDescent="0.25">
      <c r="B20" s="33" t="s">
        <v>15</v>
      </c>
      <c r="C20" s="20">
        <f>COUNTIF('Game Info'!J$7:J$170,BG!$B20)</f>
        <v>1</v>
      </c>
      <c r="D20" s="21">
        <f>COUNTIF('Game Info'!K$7:K$170,BG!$B20)</f>
        <v>2</v>
      </c>
      <c r="E20" s="21">
        <f>COUNTIF('Game Info'!L$7:L$170,BG!$B20)</f>
        <v>2</v>
      </c>
      <c r="F20" s="21">
        <f>COUNTIF('Game Info'!M$7:M$170,BG!$B20)</f>
        <v>1</v>
      </c>
      <c r="G20" s="22">
        <f>COUNTIF('Game Info'!N$7:N$170,BG!$B20)</f>
        <v>1</v>
      </c>
    </row>
    <row r="21" spans="2:7" x14ac:dyDescent="0.25">
      <c r="B21" s="35" t="s">
        <v>16</v>
      </c>
      <c r="C21" s="27">
        <f>SUM(C8:C20)</f>
        <v>48</v>
      </c>
      <c r="D21" s="27">
        <f>SUM(D8:D20)</f>
        <v>42</v>
      </c>
      <c r="E21" s="27">
        <f>SUM(E8:E20)</f>
        <v>47</v>
      </c>
      <c r="F21" s="27">
        <f>SUM(F8:F20)</f>
        <v>36</v>
      </c>
      <c r="G21" s="28">
        <f>SUM(G8:G20)</f>
        <v>42</v>
      </c>
    </row>
    <row r="22" spans="2:7" x14ac:dyDescent="0.25">
      <c r="F22" s="26" t="s">
        <v>18</v>
      </c>
      <c r="G22" s="28">
        <f>PRODUCT(C21:G21)</f>
        <v>143265024</v>
      </c>
    </row>
    <row r="24" spans="2:7" x14ac:dyDescent="0.25">
      <c r="B24" s="46" t="s">
        <v>47</v>
      </c>
    </row>
    <row r="25" spans="2:7" x14ac:dyDescent="0.25">
      <c r="B25" s="36" t="str">
        <f>B9 &amp; " + WILD"</f>
        <v>SYM1 + WILD</v>
      </c>
      <c r="C25" s="18">
        <f t="shared" ref="C25:G28" si="0">C$8+C9</f>
        <v>4</v>
      </c>
      <c r="D25" s="18">
        <f t="shared" si="0"/>
        <v>3</v>
      </c>
      <c r="E25" s="18">
        <f t="shared" si="0"/>
        <v>3</v>
      </c>
      <c r="F25" s="18">
        <f t="shared" si="0"/>
        <v>2</v>
      </c>
      <c r="G25" s="19">
        <f t="shared" si="0"/>
        <v>3</v>
      </c>
    </row>
    <row r="26" spans="2:7" x14ac:dyDescent="0.25">
      <c r="B26" s="33" t="str">
        <f t="shared" ref="B26:B34" si="1">B10 &amp; " + WILD"</f>
        <v>SYM2 + WILD</v>
      </c>
      <c r="C26" s="21">
        <f t="shared" si="0"/>
        <v>6</v>
      </c>
      <c r="D26" s="21">
        <f t="shared" si="0"/>
        <v>6</v>
      </c>
      <c r="E26" s="21">
        <f t="shared" si="0"/>
        <v>5</v>
      </c>
      <c r="F26" s="21">
        <f t="shared" si="0"/>
        <v>4</v>
      </c>
      <c r="G26" s="22">
        <f t="shared" si="0"/>
        <v>5</v>
      </c>
    </row>
    <row r="27" spans="2:7" x14ac:dyDescent="0.25">
      <c r="B27" s="33" t="str">
        <f t="shared" si="1"/>
        <v>SYM3 + WILD</v>
      </c>
      <c r="C27" s="21">
        <f t="shared" si="0"/>
        <v>6</v>
      </c>
      <c r="D27" s="21">
        <f t="shared" si="0"/>
        <v>4</v>
      </c>
      <c r="E27" s="21">
        <f t="shared" si="0"/>
        <v>8</v>
      </c>
      <c r="F27" s="21">
        <f t="shared" si="0"/>
        <v>4</v>
      </c>
      <c r="G27" s="22">
        <f t="shared" si="0"/>
        <v>4</v>
      </c>
    </row>
    <row r="28" spans="2:7" x14ac:dyDescent="0.25">
      <c r="B28" s="33" t="str">
        <f t="shared" si="1"/>
        <v>SYM4 + WILD</v>
      </c>
      <c r="C28" s="21">
        <f t="shared" si="0"/>
        <v>8</v>
      </c>
      <c r="D28" s="21">
        <f t="shared" si="0"/>
        <v>3</v>
      </c>
      <c r="E28" s="21">
        <f t="shared" si="0"/>
        <v>2</v>
      </c>
      <c r="F28" s="21">
        <f t="shared" si="0"/>
        <v>5</v>
      </c>
      <c r="G28" s="22">
        <f t="shared" si="0"/>
        <v>5</v>
      </c>
    </row>
    <row r="29" spans="2:7" x14ac:dyDescent="0.25">
      <c r="B29" s="33" t="str">
        <f t="shared" si="1"/>
        <v>SYM5 + WILD</v>
      </c>
      <c r="C29" s="21">
        <f t="shared" ref="C29:G34" si="2">C$8+C14</f>
        <v>6</v>
      </c>
      <c r="D29" s="21">
        <f t="shared" si="2"/>
        <v>4</v>
      </c>
      <c r="E29" s="21">
        <f t="shared" si="2"/>
        <v>3</v>
      </c>
      <c r="F29" s="21">
        <f t="shared" si="2"/>
        <v>4</v>
      </c>
      <c r="G29" s="22">
        <f t="shared" si="2"/>
        <v>3</v>
      </c>
    </row>
    <row r="30" spans="2:7" x14ac:dyDescent="0.25">
      <c r="B30" s="33" t="str">
        <f t="shared" si="1"/>
        <v>A + WILD</v>
      </c>
      <c r="C30" s="21">
        <f t="shared" si="2"/>
        <v>7</v>
      </c>
      <c r="D30" s="21">
        <f t="shared" si="2"/>
        <v>5</v>
      </c>
      <c r="E30" s="21">
        <f t="shared" si="2"/>
        <v>8</v>
      </c>
      <c r="F30" s="21">
        <f t="shared" si="2"/>
        <v>5</v>
      </c>
      <c r="G30" s="22">
        <f t="shared" si="2"/>
        <v>3</v>
      </c>
    </row>
    <row r="31" spans="2:7" x14ac:dyDescent="0.25">
      <c r="B31" s="33" t="str">
        <f t="shared" si="1"/>
        <v>K + WILD</v>
      </c>
      <c r="C31" s="21">
        <f t="shared" si="2"/>
        <v>6</v>
      </c>
      <c r="D31" s="21">
        <f t="shared" si="2"/>
        <v>2</v>
      </c>
      <c r="E31" s="21">
        <f t="shared" si="2"/>
        <v>6</v>
      </c>
      <c r="F31" s="21">
        <f t="shared" si="2"/>
        <v>3</v>
      </c>
      <c r="G31" s="22">
        <f t="shared" si="2"/>
        <v>7</v>
      </c>
    </row>
    <row r="32" spans="2:7" x14ac:dyDescent="0.25">
      <c r="B32" s="33" t="str">
        <f t="shared" si="1"/>
        <v>Q + WILD</v>
      </c>
      <c r="C32" s="21">
        <f t="shared" si="2"/>
        <v>5</v>
      </c>
      <c r="D32" s="21">
        <f t="shared" si="2"/>
        <v>7</v>
      </c>
      <c r="E32" s="21">
        <f t="shared" si="2"/>
        <v>6</v>
      </c>
      <c r="F32" s="21">
        <f t="shared" si="2"/>
        <v>4</v>
      </c>
      <c r="G32" s="22">
        <f t="shared" si="2"/>
        <v>6</v>
      </c>
    </row>
    <row r="33" spans="2:23" x14ac:dyDescent="0.25">
      <c r="B33" s="33" t="str">
        <f t="shared" si="1"/>
        <v>J + WILD</v>
      </c>
      <c r="C33" s="21">
        <f t="shared" si="2"/>
        <v>8</v>
      </c>
      <c r="D33" s="21">
        <f t="shared" si="2"/>
        <v>5</v>
      </c>
      <c r="E33" s="21">
        <f t="shared" si="2"/>
        <v>4</v>
      </c>
      <c r="F33" s="21">
        <f t="shared" si="2"/>
        <v>6</v>
      </c>
      <c r="G33" s="22">
        <f t="shared" si="2"/>
        <v>7</v>
      </c>
    </row>
    <row r="34" spans="2:23" x14ac:dyDescent="0.25">
      <c r="B34" s="34" t="str">
        <f t="shared" si="1"/>
        <v>10 + WILD</v>
      </c>
      <c r="C34" s="24">
        <f t="shared" si="2"/>
        <v>7</v>
      </c>
      <c r="D34" s="24">
        <f t="shared" si="2"/>
        <v>8</v>
      </c>
      <c r="E34" s="24">
        <f t="shared" si="2"/>
        <v>5</v>
      </c>
      <c r="F34" s="24">
        <f t="shared" si="2"/>
        <v>5</v>
      </c>
      <c r="G34" s="25">
        <f t="shared" si="2"/>
        <v>4</v>
      </c>
    </row>
    <row r="35" spans="2:23" x14ac:dyDescent="0.25">
      <c r="B35" s="35" t="s">
        <v>46</v>
      </c>
      <c r="C35" s="27">
        <f>3*C20</f>
        <v>3</v>
      </c>
      <c r="D35" s="27">
        <f t="shared" ref="D35:G35" si="3">3*D20</f>
        <v>6</v>
      </c>
      <c r="E35" s="27">
        <f t="shared" si="3"/>
        <v>6</v>
      </c>
      <c r="F35" s="27">
        <f t="shared" si="3"/>
        <v>3</v>
      </c>
      <c r="G35" s="28">
        <f t="shared" si="3"/>
        <v>3</v>
      </c>
    </row>
    <row r="37" spans="2:23" x14ac:dyDescent="0.25">
      <c r="B37" s="46" t="s">
        <v>56</v>
      </c>
      <c r="I37" s="46" t="s">
        <v>57</v>
      </c>
      <c r="L37" s="50"/>
      <c r="M37" s="49"/>
    </row>
    <row r="38" spans="2:23" x14ac:dyDescent="0.25">
      <c r="B38" s="29" t="s">
        <v>23</v>
      </c>
      <c r="C38" s="30" t="s">
        <v>24</v>
      </c>
      <c r="D38" s="30" t="s">
        <v>25</v>
      </c>
      <c r="E38" s="30" t="s">
        <v>26</v>
      </c>
      <c r="F38" s="32" t="s">
        <v>27</v>
      </c>
      <c r="I38" s="29" t="s">
        <v>23</v>
      </c>
      <c r="J38" s="29" t="s">
        <v>1</v>
      </c>
      <c r="K38" s="30" t="s">
        <v>2</v>
      </c>
      <c r="L38" s="30" t="s">
        <v>3</v>
      </c>
      <c r="M38" s="30" t="s">
        <v>4</v>
      </c>
      <c r="N38" s="31" t="s">
        <v>5</v>
      </c>
      <c r="O38" s="29" t="s">
        <v>1</v>
      </c>
      <c r="P38" s="30" t="s">
        <v>2</v>
      </c>
      <c r="Q38" s="30" t="s">
        <v>3</v>
      </c>
      <c r="R38" s="30" t="s">
        <v>4</v>
      </c>
      <c r="S38" s="31" t="s">
        <v>5</v>
      </c>
      <c r="T38" s="30" t="s">
        <v>24</v>
      </c>
      <c r="U38" s="30" t="s">
        <v>25</v>
      </c>
      <c r="V38" s="30" t="s">
        <v>26</v>
      </c>
      <c r="W38" s="31" t="s">
        <v>27</v>
      </c>
    </row>
    <row r="39" spans="2:23" x14ac:dyDescent="0.25">
      <c r="B39" s="20" t="str">
        <f t="shared" ref="B39:B50" si="4">B8 &amp; " x5"</f>
        <v>WILD x5</v>
      </c>
      <c r="C39" s="77">
        <f>C8*D8*E8*F8*G8</f>
        <v>2</v>
      </c>
      <c r="D39" s="95">
        <f>'Game Info'!$C$3*C39/$G$22</f>
        <v>2.7920282901708095E-7</v>
      </c>
      <c r="E39" s="38">
        <f>'Game Info'!AA13</f>
        <v>2500</v>
      </c>
      <c r="F39" s="98">
        <f>D39*E39/'Game Info'!$C$2</f>
        <v>6.9800707254270234E-5</v>
      </c>
      <c r="I39" s="23" t="s">
        <v>52</v>
      </c>
      <c r="J39" s="23" t="s">
        <v>55</v>
      </c>
      <c r="K39" s="24" t="s">
        <v>55</v>
      </c>
      <c r="L39" s="24" t="s">
        <v>55</v>
      </c>
      <c r="M39" s="24" t="s">
        <v>55</v>
      </c>
      <c r="N39" s="25" t="s">
        <v>55</v>
      </c>
      <c r="O39" s="23">
        <f>IF(J39="X",C$35,C$21-C$35)</f>
        <v>3</v>
      </c>
      <c r="P39" s="24">
        <f t="shared" ref="P39:S39" si="5">IF(K39="X",D$35,D$21-D$35)</f>
        <v>6</v>
      </c>
      <c r="Q39" s="24">
        <f t="shared" si="5"/>
        <v>6</v>
      </c>
      <c r="R39" s="24">
        <f t="shared" si="5"/>
        <v>3</v>
      </c>
      <c r="S39" s="25">
        <f t="shared" si="5"/>
        <v>3</v>
      </c>
      <c r="T39" s="78">
        <f>PRODUCT(O39:S39)</f>
        <v>972</v>
      </c>
      <c r="U39" s="39">
        <f>T39/$G$22</f>
        <v>6.7846287451150675E-6</v>
      </c>
      <c r="V39" s="40">
        <f>'Game Info'!AA25</f>
        <v>100</v>
      </c>
      <c r="W39" s="72">
        <f>V39*U39</f>
        <v>6.7846287451150673E-4</v>
      </c>
    </row>
    <row r="40" spans="2:23" x14ac:dyDescent="0.25">
      <c r="B40" s="20" t="str">
        <f t="shared" si="4"/>
        <v>SYM1 x5</v>
      </c>
      <c r="C40" s="77">
        <f>C25*D25*E25*F25*G25-$C$8*$D$8*$E$8*$F$8*$G$8</f>
        <v>214</v>
      </c>
      <c r="D40" s="95">
        <f>'Game Info'!$C$3*C40/$G$22</f>
        <v>2.9874702704827661E-5</v>
      </c>
      <c r="E40" s="38">
        <f>'Game Info'!AA14</f>
        <v>750</v>
      </c>
      <c r="F40" s="98">
        <f>D40*E40/'Game Info'!$C$2</f>
        <v>2.2406027028620745E-3</v>
      </c>
      <c r="I40" s="20" t="s">
        <v>53</v>
      </c>
      <c r="J40" s="20" t="s">
        <v>55</v>
      </c>
      <c r="K40" s="21" t="s">
        <v>55</v>
      </c>
      <c r="L40" s="21" t="s">
        <v>55</v>
      </c>
      <c r="M40" s="21" t="s">
        <v>55</v>
      </c>
      <c r="N40" s="85" t="s">
        <v>45</v>
      </c>
      <c r="O40" s="20">
        <f t="shared" ref="O40:O54" si="6">IF(J40="X",C$35,C$21-C$35)</f>
        <v>3</v>
      </c>
      <c r="P40" s="21">
        <f t="shared" ref="P40:P54" si="7">IF(K40="X",D$35,D$21-D$35)</f>
        <v>6</v>
      </c>
      <c r="Q40" s="21">
        <f t="shared" ref="Q40:Q54" si="8">IF(L40="X",E$35,E$21-E$35)</f>
        <v>6</v>
      </c>
      <c r="R40" s="21">
        <f t="shared" ref="R40:R54" si="9">IF(M40="X",F$35,F$21-F$35)</f>
        <v>3</v>
      </c>
      <c r="S40" s="85">
        <f t="shared" ref="S40:S54" si="10">IF(N40="X",G$35,G$21-G$35)</f>
        <v>39</v>
      </c>
      <c r="T40" s="77">
        <f t="shared" ref="T40:T54" si="11">PRODUCT(O40:S40)</f>
        <v>12636</v>
      </c>
      <c r="U40" s="37">
        <f t="shared" ref="U40:U54" si="12">T40/$G$22</f>
        <v>8.8200173686495879E-5</v>
      </c>
      <c r="V40" s="38">
        <f>'Game Info'!Z25</f>
        <v>20</v>
      </c>
      <c r="W40" s="69">
        <f t="shared" ref="W40:W54" si="13">V40*U40</f>
        <v>1.7640034737299176E-3</v>
      </c>
    </row>
    <row r="41" spans="2:23" x14ac:dyDescent="0.25">
      <c r="B41" s="20" t="str">
        <f t="shared" si="4"/>
        <v>SYM2 x5</v>
      </c>
      <c r="C41" s="77">
        <f t="shared" ref="C41:C42" si="14">C26*D26*E26*F26*G26-$C$8*$D$8*$E$8*$F$8*$G$8</f>
        <v>3598</v>
      </c>
      <c r="D41" s="95">
        <f>'Game Info'!$C$3*C41/$G$22</f>
        <v>5.0228588940172869E-4</v>
      </c>
      <c r="E41" s="38">
        <f>'Game Info'!AA15</f>
        <v>750</v>
      </c>
      <c r="F41" s="98">
        <f>D41*E41/'Game Info'!$C$2</f>
        <v>3.7671441705129649E-2</v>
      </c>
      <c r="I41" s="20" t="s">
        <v>53</v>
      </c>
      <c r="J41" s="20" t="s">
        <v>55</v>
      </c>
      <c r="K41" s="21" t="s">
        <v>55</v>
      </c>
      <c r="L41" s="21" t="s">
        <v>55</v>
      </c>
      <c r="M41" s="70" t="s">
        <v>45</v>
      </c>
      <c r="N41" s="22" t="s">
        <v>55</v>
      </c>
      <c r="O41" s="20">
        <f t="shared" si="6"/>
        <v>3</v>
      </c>
      <c r="P41" s="21">
        <f t="shared" si="7"/>
        <v>6</v>
      </c>
      <c r="Q41" s="21">
        <f t="shared" si="8"/>
        <v>6</v>
      </c>
      <c r="R41" s="70">
        <f t="shared" si="9"/>
        <v>33</v>
      </c>
      <c r="S41" s="22">
        <f t="shared" si="10"/>
        <v>3</v>
      </c>
      <c r="T41" s="77">
        <f t="shared" si="11"/>
        <v>10692</v>
      </c>
      <c r="U41" s="37">
        <f t="shared" si="12"/>
        <v>7.4630916196265741E-5</v>
      </c>
      <c r="V41" s="38">
        <f>V40</f>
        <v>20</v>
      </c>
      <c r="W41" s="69">
        <f t="shared" si="13"/>
        <v>1.4926183239253148E-3</v>
      </c>
    </row>
    <row r="42" spans="2:23" x14ac:dyDescent="0.25">
      <c r="B42" s="20" t="str">
        <f t="shared" si="4"/>
        <v>SYM3 x5</v>
      </c>
      <c r="C42" s="77">
        <f t="shared" si="14"/>
        <v>3070</v>
      </c>
      <c r="D42" s="95">
        <f>'Game Info'!$C$3*C42/$G$22</f>
        <v>4.2857634254121925E-4</v>
      </c>
      <c r="E42" s="38">
        <f>'Game Info'!AA16</f>
        <v>750</v>
      </c>
      <c r="F42" s="98">
        <f>D42*E42/'Game Info'!$C$2</f>
        <v>3.2143225690591443E-2</v>
      </c>
      <c r="I42" s="20" t="s">
        <v>53</v>
      </c>
      <c r="J42" s="20" t="s">
        <v>55</v>
      </c>
      <c r="K42" s="21" t="s">
        <v>55</v>
      </c>
      <c r="L42" s="70" t="s">
        <v>45</v>
      </c>
      <c r="M42" s="21" t="s">
        <v>55</v>
      </c>
      <c r="N42" s="22" t="s">
        <v>55</v>
      </c>
      <c r="O42" s="20">
        <f t="shared" si="6"/>
        <v>3</v>
      </c>
      <c r="P42" s="21">
        <f t="shared" si="7"/>
        <v>6</v>
      </c>
      <c r="Q42" s="70">
        <f t="shared" si="8"/>
        <v>41</v>
      </c>
      <c r="R42" s="21">
        <f t="shared" si="9"/>
        <v>3</v>
      </c>
      <c r="S42" s="22">
        <f t="shared" si="10"/>
        <v>3</v>
      </c>
      <c r="T42" s="77">
        <f t="shared" si="11"/>
        <v>6642</v>
      </c>
      <c r="U42" s="37">
        <f t="shared" si="12"/>
        <v>4.6361629758286296E-5</v>
      </c>
      <c r="V42" s="38">
        <f t="shared" ref="V42:V44" si="15">V41</f>
        <v>20</v>
      </c>
      <c r="W42" s="69">
        <f t="shared" si="13"/>
        <v>9.272325951657259E-4</v>
      </c>
    </row>
    <row r="43" spans="2:23" x14ac:dyDescent="0.25">
      <c r="B43" s="20" t="str">
        <f t="shared" si="4"/>
        <v>SYM4 x5</v>
      </c>
      <c r="C43" s="77">
        <f>(C28*D28*E28*F28-$C$8*$D$8*$E$8*$F$8)*G28</f>
        <v>1190</v>
      </c>
      <c r="D43" s="95">
        <f>'Game Info'!$C$3*C43/$G$22</f>
        <v>1.6612568326516318E-4</v>
      </c>
      <c r="E43" s="38">
        <f>'Game Info'!AA17</f>
        <v>250</v>
      </c>
      <c r="F43" s="98">
        <f>D43*E43/'Game Info'!$C$2</f>
        <v>4.1531420816290797E-3</v>
      </c>
      <c r="I43" s="20" t="s">
        <v>53</v>
      </c>
      <c r="J43" s="20" t="s">
        <v>55</v>
      </c>
      <c r="K43" s="70" t="s">
        <v>45</v>
      </c>
      <c r="L43" s="21" t="s">
        <v>55</v>
      </c>
      <c r="M43" s="21" t="s">
        <v>55</v>
      </c>
      <c r="N43" s="22" t="s">
        <v>55</v>
      </c>
      <c r="O43" s="20">
        <f t="shared" si="6"/>
        <v>3</v>
      </c>
      <c r="P43" s="70">
        <f t="shared" si="7"/>
        <v>36</v>
      </c>
      <c r="Q43" s="21">
        <f t="shared" si="8"/>
        <v>6</v>
      </c>
      <c r="R43" s="21">
        <f t="shared" si="9"/>
        <v>3</v>
      </c>
      <c r="S43" s="22">
        <f t="shared" si="10"/>
        <v>3</v>
      </c>
      <c r="T43" s="77">
        <f t="shared" si="11"/>
        <v>5832</v>
      </c>
      <c r="U43" s="37">
        <f t="shared" si="12"/>
        <v>4.0707772470690402E-5</v>
      </c>
      <c r="V43" s="38">
        <f t="shared" si="15"/>
        <v>20</v>
      </c>
      <c r="W43" s="69">
        <f t="shared" si="13"/>
        <v>8.1415544941380803E-4</v>
      </c>
    </row>
    <row r="44" spans="2:23" x14ac:dyDescent="0.25">
      <c r="B44" s="20" t="str">
        <f t="shared" si="4"/>
        <v>SYM5 x5</v>
      </c>
      <c r="C44" s="77">
        <f t="shared" ref="C44:C45" si="16">(C29*D29*E29*F29-$C$8*$D$8*$E$8*$F$8)*G29</f>
        <v>858</v>
      </c>
      <c r="D44" s="95">
        <f>'Game Info'!$C$3*C44/$G$22</f>
        <v>1.1977801364832772E-4</v>
      </c>
      <c r="E44" s="38">
        <f>'Game Info'!AA18</f>
        <v>250</v>
      </c>
      <c r="F44" s="98">
        <f>D44*E44/'Game Info'!$C$2</f>
        <v>2.9944503412081933E-3</v>
      </c>
      <c r="I44" s="23" t="s">
        <v>53</v>
      </c>
      <c r="J44" s="87" t="s">
        <v>45</v>
      </c>
      <c r="K44" s="24" t="s">
        <v>55</v>
      </c>
      <c r="L44" s="24" t="s">
        <v>55</v>
      </c>
      <c r="M44" s="24" t="s">
        <v>55</v>
      </c>
      <c r="N44" s="25" t="s">
        <v>55</v>
      </c>
      <c r="O44" s="87">
        <f t="shared" si="6"/>
        <v>45</v>
      </c>
      <c r="P44" s="24">
        <f t="shared" si="7"/>
        <v>6</v>
      </c>
      <c r="Q44" s="24">
        <f t="shared" si="8"/>
        <v>6</v>
      </c>
      <c r="R44" s="24">
        <f t="shared" si="9"/>
        <v>3</v>
      </c>
      <c r="S44" s="25">
        <f t="shared" si="10"/>
        <v>3</v>
      </c>
      <c r="T44" s="78">
        <f t="shared" si="11"/>
        <v>14580</v>
      </c>
      <c r="U44" s="39">
        <f t="shared" si="12"/>
        <v>1.01769431176726E-4</v>
      </c>
      <c r="V44" s="40">
        <f t="shared" si="15"/>
        <v>20</v>
      </c>
      <c r="W44" s="72">
        <f t="shared" si="13"/>
        <v>2.03538862353452E-3</v>
      </c>
    </row>
    <row r="45" spans="2:23" x14ac:dyDescent="0.25">
      <c r="B45" s="20" t="str">
        <f t="shared" si="4"/>
        <v>A x5</v>
      </c>
      <c r="C45" s="77">
        <f t="shared" si="16"/>
        <v>4194</v>
      </c>
      <c r="D45" s="95">
        <f>'Game Info'!$C$3*C45/$G$22</f>
        <v>5.854883324488188E-4</v>
      </c>
      <c r="E45" s="38">
        <f>'Game Info'!AA19</f>
        <v>125</v>
      </c>
      <c r="F45" s="98">
        <f>D45*E45/'Game Info'!$C$2</f>
        <v>7.318604155610235E-3</v>
      </c>
      <c r="I45" s="20" t="s">
        <v>54</v>
      </c>
      <c r="J45" s="20" t="s">
        <v>55</v>
      </c>
      <c r="K45" s="21" t="s">
        <v>55</v>
      </c>
      <c r="L45" s="21" t="s">
        <v>55</v>
      </c>
      <c r="M45" s="70" t="s">
        <v>45</v>
      </c>
      <c r="N45" s="85" t="s">
        <v>45</v>
      </c>
      <c r="O45" s="20">
        <f t="shared" si="6"/>
        <v>3</v>
      </c>
      <c r="P45" s="21">
        <f t="shared" si="7"/>
        <v>6</v>
      </c>
      <c r="Q45" s="21">
        <f t="shared" si="8"/>
        <v>6</v>
      </c>
      <c r="R45" s="70">
        <f t="shared" si="9"/>
        <v>33</v>
      </c>
      <c r="S45" s="85">
        <f t="shared" si="10"/>
        <v>39</v>
      </c>
      <c r="T45" s="77">
        <f t="shared" si="11"/>
        <v>138996</v>
      </c>
      <c r="U45" s="37">
        <f t="shared" si="12"/>
        <v>9.7020191055145462E-4</v>
      </c>
      <c r="V45" s="38">
        <f>'Game Info'!Y25</f>
        <v>5</v>
      </c>
      <c r="W45" s="69">
        <f t="shared" si="13"/>
        <v>4.851009552757273E-3</v>
      </c>
    </row>
    <row r="46" spans="2:23" x14ac:dyDescent="0.25">
      <c r="B46" s="20" t="str">
        <f t="shared" si="4"/>
        <v>K x5</v>
      </c>
      <c r="C46" s="77">
        <f>(C31*D31*E31-$C$8*$D$8*$E$8)*F31*G31</f>
        <v>1470</v>
      </c>
      <c r="D46" s="95">
        <f>'Game Info'!$C$3*C46/$G$22</f>
        <v>2.0521407932755451E-4</v>
      </c>
      <c r="E46" s="38">
        <f>'Game Info'!AA20</f>
        <v>100</v>
      </c>
      <c r="F46" s="98">
        <f>D46*E46/'Game Info'!$C$2</f>
        <v>2.0521407932755451E-3</v>
      </c>
      <c r="I46" s="20" t="s">
        <v>54</v>
      </c>
      <c r="J46" s="20" t="s">
        <v>55</v>
      </c>
      <c r="K46" s="21" t="s">
        <v>55</v>
      </c>
      <c r="L46" s="70" t="s">
        <v>45</v>
      </c>
      <c r="M46" s="21" t="s">
        <v>55</v>
      </c>
      <c r="N46" s="85" t="s">
        <v>45</v>
      </c>
      <c r="O46" s="20">
        <f t="shared" si="6"/>
        <v>3</v>
      </c>
      <c r="P46" s="21">
        <f t="shared" si="7"/>
        <v>6</v>
      </c>
      <c r="Q46" s="70">
        <f t="shared" si="8"/>
        <v>41</v>
      </c>
      <c r="R46" s="21">
        <f t="shared" si="9"/>
        <v>3</v>
      </c>
      <c r="S46" s="85">
        <f t="shared" si="10"/>
        <v>39</v>
      </c>
      <c r="T46" s="77">
        <f t="shared" si="11"/>
        <v>86346</v>
      </c>
      <c r="U46" s="37">
        <f t="shared" si="12"/>
        <v>6.0270118685772176E-4</v>
      </c>
      <c r="V46" s="38">
        <f>V45</f>
        <v>5</v>
      </c>
      <c r="W46" s="69">
        <f t="shared" si="13"/>
        <v>3.0135059342886088E-3</v>
      </c>
    </row>
    <row r="47" spans="2:23" x14ac:dyDescent="0.25">
      <c r="B47" s="20" t="str">
        <f t="shared" si="4"/>
        <v>Q x5</v>
      </c>
      <c r="C47" s="77">
        <f t="shared" ref="C47:C50" si="17">(C32*D32*E32-$C$8*$D$8*$E$8)*F32*G32</f>
        <v>4992</v>
      </c>
      <c r="D47" s="95">
        <f>'Game Info'!$C$3*C47/$G$22</f>
        <v>6.9689026122663411E-4</v>
      </c>
      <c r="E47" s="38">
        <f>'Game Info'!AA21</f>
        <v>100</v>
      </c>
      <c r="F47" s="98">
        <f>D47*E47/'Game Info'!$C$2</f>
        <v>6.9689026122663408E-3</v>
      </c>
      <c r="I47" s="20" t="s">
        <v>54</v>
      </c>
      <c r="J47" s="20" t="s">
        <v>55</v>
      </c>
      <c r="K47" s="70" t="s">
        <v>45</v>
      </c>
      <c r="L47" s="21" t="s">
        <v>55</v>
      </c>
      <c r="M47" s="21" t="s">
        <v>55</v>
      </c>
      <c r="N47" s="85" t="s">
        <v>45</v>
      </c>
      <c r="O47" s="20">
        <f t="shared" si="6"/>
        <v>3</v>
      </c>
      <c r="P47" s="70">
        <f t="shared" si="7"/>
        <v>36</v>
      </c>
      <c r="Q47" s="21">
        <f t="shared" si="8"/>
        <v>6</v>
      </c>
      <c r="R47" s="21">
        <f t="shared" si="9"/>
        <v>3</v>
      </c>
      <c r="S47" s="85">
        <f t="shared" si="10"/>
        <v>39</v>
      </c>
      <c r="T47" s="77">
        <f t="shared" si="11"/>
        <v>75816</v>
      </c>
      <c r="U47" s="37">
        <f t="shared" si="12"/>
        <v>5.2920104211897528E-4</v>
      </c>
      <c r="V47" s="38">
        <f t="shared" ref="V47:V54" si="18">V46</f>
        <v>5</v>
      </c>
      <c r="W47" s="69">
        <f t="shared" si="13"/>
        <v>2.6460052105948765E-3</v>
      </c>
    </row>
    <row r="48" spans="2:23" x14ac:dyDescent="0.25">
      <c r="B48" s="20" t="str">
        <f t="shared" si="4"/>
        <v>J x5</v>
      </c>
      <c r="C48" s="77">
        <f t="shared" si="17"/>
        <v>6636</v>
      </c>
      <c r="D48" s="95">
        <f>'Game Info'!$C$3*C48/$G$22</f>
        <v>9.2639498667867462E-4</v>
      </c>
      <c r="E48" s="38">
        <f>'Game Info'!AA22</f>
        <v>100</v>
      </c>
      <c r="F48" s="98">
        <f>D48*E48/'Game Info'!$C$2</f>
        <v>9.2639498667867453E-3</v>
      </c>
      <c r="I48" s="20" t="s">
        <v>54</v>
      </c>
      <c r="J48" s="86" t="s">
        <v>45</v>
      </c>
      <c r="K48" s="21" t="s">
        <v>55</v>
      </c>
      <c r="L48" s="21" t="s">
        <v>55</v>
      </c>
      <c r="M48" s="21" t="s">
        <v>55</v>
      </c>
      <c r="N48" s="85" t="s">
        <v>45</v>
      </c>
      <c r="O48" s="86">
        <f t="shared" si="6"/>
        <v>45</v>
      </c>
      <c r="P48" s="21">
        <f t="shared" si="7"/>
        <v>6</v>
      </c>
      <c r="Q48" s="21">
        <f t="shared" si="8"/>
        <v>6</v>
      </c>
      <c r="R48" s="21">
        <f t="shared" si="9"/>
        <v>3</v>
      </c>
      <c r="S48" s="85">
        <f t="shared" si="10"/>
        <v>39</v>
      </c>
      <c r="T48" s="77">
        <f t="shared" si="11"/>
        <v>189540</v>
      </c>
      <c r="U48" s="37">
        <f t="shared" si="12"/>
        <v>1.323002605297438E-3</v>
      </c>
      <c r="V48" s="38">
        <f t="shared" si="18"/>
        <v>5</v>
      </c>
      <c r="W48" s="69">
        <f t="shared" si="13"/>
        <v>6.6150130264871904E-3</v>
      </c>
    </row>
    <row r="49" spans="2:23" x14ac:dyDescent="0.25">
      <c r="B49" s="20" t="str">
        <f t="shared" si="4"/>
        <v>10 x5</v>
      </c>
      <c r="C49" s="77">
        <f t="shared" si="17"/>
        <v>5560</v>
      </c>
      <c r="D49" s="95">
        <f>'Game Info'!$C$3*C49/$G$22</f>
        <v>7.7618386466748502E-4</v>
      </c>
      <c r="E49" s="38">
        <f>'Game Info'!AA23</f>
        <v>100</v>
      </c>
      <c r="F49" s="98">
        <f>D49*E49/'Game Info'!$C$2</f>
        <v>7.76183864667485E-3</v>
      </c>
      <c r="I49" s="20" t="s">
        <v>54</v>
      </c>
      <c r="J49" s="20" t="s">
        <v>55</v>
      </c>
      <c r="K49" s="21" t="s">
        <v>55</v>
      </c>
      <c r="L49" s="70" t="s">
        <v>45</v>
      </c>
      <c r="M49" s="70" t="s">
        <v>45</v>
      </c>
      <c r="N49" s="22" t="s">
        <v>55</v>
      </c>
      <c r="O49" s="20">
        <f t="shared" si="6"/>
        <v>3</v>
      </c>
      <c r="P49" s="21">
        <f t="shared" si="7"/>
        <v>6</v>
      </c>
      <c r="Q49" s="70">
        <f t="shared" si="8"/>
        <v>41</v>
      </c>
      <c r="R49" s="70">
        <f t="shared" si="9"/>
        <v>33</v>
      </c>
      <c r="S49" s="22">
        <f t="shared" si="10"/>
        <v>3</v>
      </c>
      <c r="T49" s="77">
        <f t="shared" si="11"/>
        <v>73062</v>
      </c>
      <c r="U49" s="37">
        <f t="shared" si="12"/>
        <v>5.0997792734114918E-4</v>
      </c>
      <c r="V49" s="38">
        <f t="shared" si="18"/>
        <v>5</v>
      </c>
      <c r="W49" s="69">
        <f t="shared" si="13"/>
        <v>2.5498896367057459E-3</v>
      </c>
    </row>
    <row r="50" spans="2:23" x14ac:dyDescent="0.25">
      <c r="B50" s="23" t="str">
        <f t="shared" si="4"/>
        <v>9 x5</v>
      </c>
      <c r="C50" s="78">
        <f t="shared" si="17"/>
        <v>954</v>
      </c>
      <c r="D50" s="97">
        <f>'Game Info'!$C$3*C50/$G$22</f>
        <v>1.3317974944114763E-4</v>
      </c>
      <c r="E50" s="40">
        <f>'Game Info'!AA24</f>
        <v>100</v>
      </c>
      <c r="F50" s="99">
        <f>D50*E50/'Game Info'!$C$2</f>
        <v>1.3317974944114764E-3</v>
      </c>
      <c r="I50" s="20" t="s">
        <v>54</v>
      </c>
      <c r="J50" s="20" t="s">
        <v>55</v>
      </c>
      <c r="K50" s="70" t="s">
        <v>45</v>
      </c>
      <c r="L50" s="21" t="s">
        <v>55</v>
      </c>
      <c r="M50" s="70" t="s">
        <v>45</v>
      </c>
      <c r="N50" s="22" t="s">
        <v>55</v>
      </c>
      <c r="O50" s="20">
        <f t="shared" si="6"/>
        <v>3</v>
      </c>
      <c r="P50" s="70">
        <f t="shared" si="7"/>
        <v>36</v>
      </c>
      <c r="Q50" s="21">
        <f t="shared" si="8"/>
        <v>6</v>
      </c>
      <c r="R50" s="70">
        <f t="shared" si="9"/>
        <v>33</v>
      </c>
      <c r="S50" s="22">
        <f t="shared" si="10"/>
        <v>3</v>
      </c>
      <c r="T50" s="77">
        <f t="shared" si="11"/>
        <v>64152</v>
      </c>
      <c r="U50" s="37">
        <f t="shared" si="12"/>
        <v>4.4778549717759442E-4</v>
      </c>
      <c r="V50" s="38">
        <f t="shared" si="18"/>
        <v>5</v>
      </c>
      <c r="W50" s="69">
        <f t="shared" si="13"/>
        <v>2.2389274858879721E-3</v>
      </c>
    </row>
    <row r="51" spans="2:23" x14ac:dyDescent="0.25">
      <c r="B51" s="20" t="str">
        <f t="shared" ref="B51:B62" si="19">B8 &amp; " x4"</f>
        <v>WILD x4</v>
      </c>
      <c r="C51" s="77">
        <f>C8*D8*E8*F8*(G21-G8-G9-G10-G11)</f>
        <v>64</v>
      </c>
      <c r="D51" s="95">
        <f>'Game Info'!$C$3*C51/$G$22</f>
        <v>8.9344905285465905E-6</v>
      </c>
      <c r="E51" s="38">
        <f>'Game Info'!Z13</f>
        <v>500</v>
      </c>
      <c r="F51" s="98">
        <f>D51*E51/'Game Info'!$C$2</f>
        <v>4.4672452642732948E-4</v>
      </c>
      <c r="I51" s="20" t="s">
        <v>54</v>
      </c>
      <c r="J51" s="86" t="s">
        <v>45</v>
      </c>
      <c r="K51" s="21" t="s">
        <v>55</v>
      </c>
      <c r="L51" s="21" t="s">
        <v>55</v>
      </c>
      <c r="M51" s="70" t="s">
        <v>45</v>
      </c>
      <c r="N51" s="22" t="s">
        <v>55</v>
      </c>
      <c r="O51" s="86">
        <f t="shared" si="6"/>
        <v>45</v>
      </c>
      <c r="P51" s="21">
        <f t="shared" si="7"/>
        <v>6</v>
      </c>
      <c r="Q51" s="21">
        <f t="shared" si="8"/>
        <v>6</v>
      </c>
      <c r="R51" s="70">
        <f t="shared" si="9"/>
        <v>33</v>
      </c>
      <c r="S51" s="22">
        <f t="shared" si="10"/>
        <v>3</v>
      </c>
      <c r="T51" s="77">
        <f t="shared" si="11"/>
        <v>160380</v>
      </c>
      <c r="U51" s="37">
        <f t="shared" si="12"/>
        <v>1.1194637429439861E-3</v>
      </c>
      <c r="V51" s="38">
        <f t="shared" si="18"/>
        <v>5</v>
      </c>
      <c r="W51" s="69">
        <f t="shared" si="13"/>
        <v>5.5973187147199304E-3</v>
      </c>
    </row>
    <row r="52" spans="2:23" x14ac:dyDescent="0.25">
      <c r="B52" s="20" t="str">
        <f t="shared" si="19"/>
        <v>SYM1 x4</v>
      </c>
      <c r="C52" s="77">
        <f>(C25*D25*E25-$C$8*$D$8*$E$8)*F25*($G$21-G25)</f>
        <v>2652</v>
      </c>
      <c r="D52" s="95">
        <f>'Game Info'!$C$3*C52/$G$22</f>
        <v>3.7022295127664938E-4</v>
      </c>
      <c r="E52" s="38">
        <f>'Game Info'!Z14</f>
        <v>100</v>
      </c>
      <c r="F52" s="98">
        <f>D52*E52/'Game Info'!$C$2</f>
        <v>3.7022295127664938E-3</v>
      </c>
      <c r="I52" s="20" t="s">
        <v>54</v>
      </c>
      <c r="J52" s="20" t="s">
        <v>55</v>
      </c>
      <c r="K52" s="70" t="s">
        <v>45</v>
      </c>
      <c r="L52" s="70" t="s">
        <v>45</v>
      </c>
      <c r="M52" s="21" t="s">
        <v>55</v>
      </c>
      <c r="N52" s="22" t="s">
        <v>55</v>
      </c>
      <c r="O52" s="20">
        <f t="shared" si="6"/>
        <v>3</v>
      </c>
      <c r="P52" s="70">
        <f t="shared" si="7"/>
        <v>36</v>
      </c>
      <c r="Q52" s="70">
        <f t="shared" si="8"/>
        <v>41</v>
      </c>
      <c r="R52" s="21">
        <f t="shared" si="9"/>
        <v>3</v>
      </c>
      <c r="S52" s="22">
        <f t="shared" si="10"/>
        <v>3</v>
      </c>
      <c r="T52" s="77">
        <f t="shared" si="11"/>
        <v>39852</v>
      </c>
      <c r="U52" s="37">
        <f t="shared" si="12"/>
        <v>2.7816977854971774E-4</v>
      </c>
      <c r="V52" s="38">
        <f t="shared" si="18"/>
        <v>5</v>
      </c>
      <c r="W52" s="69">
        <f t="shared" si="13"/>
        <v>1.3908488927485887E-3</v>
      </c>
    </row>
    <row r="53" spans="2:23" x14ac:dyDescent="0.25">
      <c r="B53" s="20" t="str">
        <f t="shared" si="19"/>
        <v>SYM2 x4</v>
      </c>
      <c r="C53" s="77">
        <f t="shared" ref="C53:C62" si="20">(C26*D26*E26-$C$8*$D$8*$E$8)*F26*($G$21-G26)</f>
        <v>26344</v>
      </c>
      <c r="D53" s="95">
        <f>'Game Info'!$C$3*C53/$G$22</f>
        <v>3.6776596638129905E-3</v>
      </c>
      <c r="E53" s="38">
        <f>'Game Info'!Z15</f>
        <v>100</v>
      </c>
      <c r="F53" s="98">
        <f>D53*E53/'Game Info'!$C$2</f>
        <v>3.6776596638129905E-2</v>
      </c>
      <c r="I53" s="20" t="s">
        <v>54</v>
      </c>
      <c r="J53" s="86" t="s">
        <v>45</v>
      </c>
      <c r="K53" s="21" t="s">
        <v>55</v>
      </c>
      <c r="L53" s="70" t="s">
        <v>45</v>
      </c>
      <c r="M53" s="21" t="s">
        <v>55</v>
      </c>
      <c r="N53" s="22" t="s">
        <v>55</v>
      </c>
      <c r="O53" s="86">
        <f t="shared" si="6"/>
        <v>45</v>
      </c>
      <c r="P53" s="21">
        <f t="shared" si="7"/>
        <v>6</v>
      </c>
      <c r="Q53" s="70">
        <f t="shared" si="8"/>
        <v>41</v>
      </c>
      <c r="R53" s="21">
        <f t="shared" si="9"/>
        <v>3</v>
      </c>
      <c r="S53" s="22">
        <f t="shared" si="10"/>
        <v>3</v>
      </c>
      <c r="T53" s="77">
        <f t="shared" si="11"/>
        <v>99630</v>
      </c>
      <c r="U53" s="37">
        <f t="shared" si="12"/>
        <v>6.9542444637429445E-4</v>
      </c>
      <c r="V53" s="38">
        <f t="shared" si="18"/>
        <v>5</v>
      </c>
      <c r="W53" s="69">
        <f t="shared" si="13"/>
        <v>3.4771222318714721E-3</v>
      </c>
    </row>
    <row r="54" spans="2:23" x14ac:dyDescent="0.25">
      <c r="B54" s="20" t="str">
        <f t="shared" si="19"/>
        <v>SYM3 x4</v>
      </c>
      <c r="C54" s="77">
        <f t="shared" si="20"/>
        <v>28880</v>
      </c>
      <c r="D54" s="95">
        <f>'Game Info'!$C$3*C54/$G$22</f>
        <v>4.0316888510066491E-3</v>
      </c>
      <c r="E54" s="38">
        <f>'Game Info'!Z16</f>
        <v>100</v>
      </c>
      <c r="F54" s="98">
        <f>D54*E54/'Game Info'!$C$2</f>
        <v>4.0316888510066491E-2</v>
      </c>
      <c r="I54" s="23" t="s">
        <v>54</v>
      </c>
      <c r="J54" s="87" t="s">
        <v>45</v>
      </c>
      <c r="K54" s="71" t="s">
        <v>45</v>
      </c>
      <c r="L54" s="24" t="s">
        <v>55</v>
      </c>
      <c r="M54" s="24" t="s">
        <v>55</v>
      </c>
      <c r="N54" s="25" t="s">
        <v>55</v>
      </c>
      <c r="O54" s="87">
        <f t="shared" si="6"/>
        <v>45</v>
      </c>
      <c r="P54" s="71">
        <f t="shared" si="7"/>
        <v>36</v>
      </c>
      <c r="Q54" s="24">
        <f t="shared" si="8"/>
        <v>6</v>
      </c>
      <c r="R54" s="24">
        <f t="shared" si="9"/>
        <v>3</v>
      </c>
      <c r="S54" s="25">
        <f t="shared" si="10"/>
        <v>3</v>
      </c>
      <c r="T54" s="78">
        <f t="shared" si="11"/>
        <v>87480</v>
      </c>
      <c r="U54" s="39">
        <f t="shared" si="12"/>
        <v>6.1061658706035608E-4</v>
      </c>
      <c r="V54" s="40">
        <f t="shared" si="18"/>
        <v>5</v>
      </c>
      <c r="W54" s="72">
        <f t="shared" si="13"/>
        <v>3.0530829353017804E-3</v>
      </c>
    </row>
    <row r="55" spans="2:23" x14ac:dyDescent="0.25">
      <c r="B55" s="20" t="str">
        <f t="shared" si="19"/>
        <v>SYM4 x4</v>
      </c>
      <c r="C55" s="77">
        <f t="shared" si="20"/>
        <v>8510</v>
      </c>
      <c r="D55" s="95">
        <f>'Game Info'!$C$3*C55/$G$22</f>
        <v>1.1880080374676795E-3</v>
      </c>
      <c r="E55" s="38">
        <f>'Game Info'!Z17</f>
        <v>75</v>
      </c>
      <c r="F55" s="98">
        <f>D55*E55/'Game Info'!$C$2</f>
        <v>8.9100602810075966E-3</v>
      </c>
    </row>
    <row r="56" spans="2:23" x14ac:dyDescent="0.25">
      <c r="B56" s="20" t="str">
        <f t="shared" si="19"/>
        <v>SYM5 x4</v>
      </c>
      <c r="C56" s="77">
        <f t="shared" si="20"/>
        <v>10920</v>
      </c>
      <c r="D56" s="95">
        <f>'Game Info'!$C$3*C56/$G$22</f>
        <v>1.5244474464332621E-3</v>
      </c>
      <c r="E56" s="38">
        <f>'Game Info'!Z18</f>
        <v>50</v>
      </c>
      <c r="F56" s="98">
        <f>D56*E56/'Game Info'!$C$2</f>
        <v>7.6222372321663109E-3</v>
      </c>
    </row>
    <row r="57" spans="2:23" x14ac:dyDescent="0.25">
      <c r="B57" s="20" t="str">
        <f t="shared" si="19"/>
        <v>A x4</v>
      </c>
      <c r="C57" s="77">
        <f t="shared" si="20"/>
        <v>54210</v>
      </c>
      <c r="D57" s="95">
        <f>'Game Info'!$C$3*C57/$G$22</f>
        <v>7.5677926805079792E-3</v>
      </c>
      <c r="E57" s="38">
        <f>'Game Info'!Z19</f>
        <v>50</v>
      </c>
      <c r="F57" s="98">
        <f>D57*E57/'Game Info'!$C$2</f>
        <v>3.7838963402539894E-2</v>
      </c>
    </row>
    <row r="58" spans="2:23" x14ac:dyDescent="0.25">
      <c r="B58" s="20" t="str">
        <f t="shared" si="19"/>
        <v>K x4</v>
      </c>
      <c r="C58" s="77">
        <f t="shared" si="20"/>
        <v>7350</v>
      </c>
      <c r="D58" s="95">
        <f>'Game Info'!$C$3*C58/$G$22</f>
        <v>1.0260703966377726E-3</v>
      </c>
      <c r="E58" s="38">
        <f>'Game Info'!Z20</f>
        <v>50</v>
      </c>
      <c r="F58" s="98">
        <f>D58*E58/'Game Info'!$C$2</f>
        <v>5.1303519831888628E-3</v>
      </c>
    </row>
    <row r="59" spans="2:23" x14ac:dyDescent="0.25">
      <c r="B59" s="20" t="str">
        <f t="shared" si="19"/>
        <v>Q x4</v>
      </c>
      <c r="C59" s="77">
        <f t="shared" si="20"/>
        <v>29952</v>
      </c>
      <c r="D59" s="95">
        <f>'Game Info'!$C$3*C59/$G$22</f>
        <v>4.1813415673598048E-3</v>
      </c>
      <c r="E59" s="38">
        <f>'Game Info'!Z21</f>
        <v>50</v>
      </c>
      <c r="F59" s="98">
        <f>D59*E59/'Game Info'!$C$2</f>
        <v>2.0906707836799023E-2</v>
      </c>
    </row>
    <row r="60" spans="2:23" x14ac:dyDescent="0.25">
      <c r="B60" s="20" t="str">
        <f t="shared" si="19"/>
        <v>J x4</v>
      </c>
      <c r="C60" s="77">
        <f t="shared" si="20"/>
        <v>33180</v>
      </c>
      <c r="D60" s="95">
        <f>'Game Info'!$C$3*C60/$G$22</f>
        <v>4.6319749333933735E-3</v>
      </c>
      <c r="E60" s="38">
        <f>'Game Info'!Z22</f>
        <v>25</v>
      </c>
      <c r="F60" s="98">
        <f>D60*E60/'Game Info'!$C$2</f>
        <v>1.1579937333483434E-2</v>
      </c>
    </row>
    <row r="61" spans="2:23" x14ac:dyDescent="0.25">
      <c r="B61" s="20" t="str">
        <f t="shared" si="19"/>
        <v>10 x4</v>
      </c>
      <c r="C61" s="77">
        <f t="shared" si="20"/>
        <v>52820</v>
      </c>
      <c r="D61" s="95">
        <f>'Game Info'!$C$3*C61/$G$22</f>
        <v>7.3737467143411084E-3</v>
      </c>
      <c r="E61" s="38">
        <f>'Game Info'!Z23</f>
        <v>25</v>
      </c>
      <c r="F61" s="98">
        <f>D61*E61/'Game Info'!$C$2</f>
        <v>1.8434366785852772E-2</v>
      </c>
    </row>
    <row r="62" spans="2:23" x14ac:dyDescent="0.25">
      <c r="B62" s="23" t="str">
        <f t="shared" si="19"/>
        <v>9 x4</v>
      </c>
      <c r="C62" s="78">
        <f t="shared" si="20"/>
        <v>12402</v>
      </c>
      <c r="D62" s="97">
        <f>'Game Info'!$C$3*C62/$G$22</f>
        <v>1.7313367427349191E-3</v>
      </c>
      <c r="E62" s="40">
        <f>'Game Info'!Z24</f>
        <v>25</v>
      </c>
      <c r="F62" s="99">
        <f>D62*E62/'Game Info'!$C$2</f>
        <v>4.3283418568372976E-3</v>
      </c>
    </row>
    <row r="63" spans="2:23" x14ac:dyDescent="0.25">
      <c r="B63" s="20" t="str">
        <f t="shared" ref="B63:B74" si="21">B8 &amp; " x3"</f>
        <v>WILD x3</v>
      </c>
      <c r="C63" s="77">
        <f>C8*D8*E8*((F21-F8)*G21-SUMPRODUCT(F9:F14,G25:G30))</f>
        <v>2810</v>
      </c>
      <c r="D63" s="95">
        <f>'Game Info'!$C$3*C63/$G$22</f>
        <v>3.9227997476899874E-4</v>
      </c>
      <c r="E63" s="38">
        <f>'Game Info'!Y13</f>
        <v>100</v>
      </c>
      <c r="F63" s="98">
        <f>D63*E63/'Game Info'!$C$2</f>
        <v>3.9227997476899874E-3</v>
      </c>
    </row>
    <row r="64" spans="2:23" x14ac:dyDescent="0.25">
      <c r="B64" s="20" t="str">
        <f t="shared" si="21"/>
        <v>SYM1 x3</v>
      </c>
      <c r="C64" s="77">
        <f>(C25*D25*E25-$C$8*$D$8*$E$8)*($F$21-F25)*$G$21</f>
        <v>48552</v>
      </c>
      <c r="D64" s="95">
        <f>'Game Info'!$C$3*C64/$G$22</f>
        <v>6.7779278772186575E-3</v>
      </c>
      <c r="E64" s="38">
        <f>'Game Info'!Y14</f>
        <v>25</v>
      </c>
      <c r="F64" s="98">
        <f>D64*E64/'Game Info'!$C$2</f>
        <v>1.6944819693046644E-2</v>
      </c>
    </row>
    <row r="65" spans="2:6" x14ac:dyDescent="0.25">
      <c r="B65" s="20" t="str">
        <f t="shared" si="21"/>
        <v>SYM2 x3</v>
      </c>
      <c r="C65" s="77">
        <f t="shared" ref="C65:C74" si="22">(C26*D26*E26-$C$8*$D$8*$E$8)*($F$21-F26)*$G$21</f>
        <v>239232</v>
      </c>
      <c r="D65" s="95">
        <f>'Game Info'!$C$3*C65/$G$22</f>
        <v>3.3397125595707157E-2</v>
      </c>
      <c r="E65" s="38">
        <f>'Game Info'!Y15</f>
        <v>25</v>
      </c>
      <c r="F65" s="98">
        <f>D65*E65/'Game Info'!$C$2</f>
        <v>8.3492813989267889E-2</v>
      </c>
    </row>
    <row r="66" spans="2:6" x14ac:dyDescent="0.25">
      <c r="B66" s="20" t="str">
        <f t="shared" si="21"/>
        <v>SYM3 x3</v>
      </c>
      <c r="C66" s="77">
        <f t="shared" si="22"/>
        <v>255360</v>
      </c>
      <c r="D66" s="95">
        <f>'Game Info'!$C$3*C66/$G$22</f>
        <v>3.5648617208900897E-2</v>
      </c>
      <c r="E66" s="38">
        <f>'Game Info'!Y16</f>
        <v>25</v>
      </c>
      <c r="F66" s="98">
        <f>D66*E66/'Game Info'!$C$2</f>
        <v>8.9121543022252253E-2</v>
      </c>
    </row>
    <row r="67" spans="2:6" x14ac:dyDescent="0.25">
      <c r="B67" s="20" t="str">
        <f t="shared" si="21"/>
        <v>SYM4 x3</v>
      </c>
      <c r="C67" s="77">
        <f t="shared" si="22"/>
        <v>59892</v>
      </c>
      <c r="D67" s="95">
        <f>'Game Info'!$C$3*C67/$G$22</f>
        <v>8.3610079177455065E-3</v>
      </c>
      <c r="E67" s="38">
        <f>'Game Info'!Y17</f>
        <v>10</v>
      </c>
      <c r="F67" s="98">
        <f>D67*E67/'Game Info'!$C$2</f>
        <v>8.3610079177455065E-3</v>
      </c>
    </row>
    <row r="68" spans="2:6" x14ac:dyDescent="0.25">
      <c r="B68" s="20" t="str">
        <f t="shared" si="21"/>
        <v>SYM5 x3</v>
      </c>
      <c r="C68" s="77">
        <f t="shared" si="22"/>
        <v>94080</v>
      </c>
      <c r="D68" s="95">
        <f>'Game Info'!$C$3*C68/$G$22</f>
        <v>1.3133701076963489E-2</v>
      </c>
      <c r="E68" s="38">
        <f>'Game Info'!Y18</f>
        <v>10</v>
      </c>
      <c r="F68" s="98">
        <f>D68*E68/'Game Info'!$C$2</f>
        <v>1.3133701076963489E-2</v>
      </c>
    </row>
    <row r="69" spans="2:6" x14ac:dyDescent="0.25">
      <c r="B69" s="20" t="str">
        <f t="shared" si="21"/>
        <v>A x3</v>
      </c>
      <c r="C69" s="77">
        <f t="shared" si="22"/>
        <v>361956</v>
      </c>
      <c r="D69" s="95">
        <f>'Game Info'!$C$3*C69/$G$22</f>
        <v>5.0529569589853281E-2</v>
      </c>
      <c r="E69" s="38">
        <f>'Game Info'!Y19</f>
        <v>10</v>
      </c>
      <c r="F69" s="98">
        <f>D69*E69/'Game Info'!$C$2</f>
        <v>5.0529569589853288E-2</v>
      </c>
    </row>
    <row r="70" spans="2:6" x14ac:dyDescent="0.25">
      <c r="B70" s="20" t="str">
        <f t="shared" si="21"/>
        <v>K x3</v>
      </c>
      <c r="C70" s="77">
        <f t="shared" si="22"/>
        <v>97020</v>
      </c>
      <c r="D70" s="95">
        <f>'Game Info'!$C$3*C70/$G$22</f>
        <v>1.3544129235618598E-2</v>
      </c>
      <c r="E70" s="38">
        <f>'Game Info'!Y20</f>
        <v>5</v>
      </c>
      <c r="F70" s="98">
        <f>D70*E70/'Game Info'!$C$2</f>
        <v>6.7720646178092998E-3</v>
      </c>
    </row>
    <row r="71" spans="2:6" x14ac:dyDescent="0.25">
      <c r="B71" s="20" t="str">
        <f t="shared" si="21"/>
        <v>Q x3</v>
      </c>
      <c r="C71" s="77">
        <f t="shared" si="22"/>
        <v>279552</v>
      </c>
      <c r="D71" s="95">
        <f>'Game Info'!$C$3*C71/$G$22</f>
        <v>3.9025854628691507E-2</v>
      </c>
      <c r="E71" s="38">
        <f>'Game Info'!Y21</f>
        <v>5</v>
      </c>
      <c r="F71" s="98">
        <f>D71*E71/'Game Info'!$C$2</f>
        <v>1.9512927314345754E-2</v>
      </c>
    </row>
    <row r="72" spans="2:6" x14ac:dyDescent="0.25">
      <c r="B72" s="20" t="str">
        <f t="shared" si="21"/>
        <v>J x3</v>
      </c>
      <c r="C72" s="77">
        <f t="shared" si="22"/>
        <v>199080</v>
      </c>
      <c r="D72" s="95">
        <f>'Game Info'!$C$3*C72/$G$22</f>
        <v>2.7791849600360238E-2</v>
      </c>
      <c r="E72" s="38">
        <f>'Game Info'!Y22</f>
        <v>5</v>
      </c>
      <c r="F72" s="98">
        <f>D72*E72/'Game Info'!$C$2</f>
        <v>1.3895924800180117E-2</v>
      </c>
    </row>
    <row r="73" spans="2:6" x14ac:dyDescent="0.25">
      <c r="B73" s="20" t="str">
        <f t="shared" si="21"/>
        <v>10 x3</v>
      </c>
      <c r="C73" s="77">
        <f t="shared" si="22"/>
        <v>361956</v>
      </c>
      <c r="D73" s="95">
        <f>'Game Info'!$C$3*C73/$G$22</f>
        <v>5.0529569589853281E-2</v>
      </c>
      <c r="E73" s="38">
        <f>'Game Info'!Y23</f>
        <v>5</v>
      </c>
      <c r="F73" s="98">
        <f>D73*E73/'Game Info'!$C$2</f>
        <v>2.5264784794926644E-2</v>
      </c>
    </row>
    <row r="74" spans="2:6" x14ac:dyDescent="0.25">
      <c r="B74" s="23" t="str">
        <f t="shared" si="21"/>
        <v>9 x3</v>
      </c>
      <c r="C74" s="78">
        <f t="shared" si="22"/>
        <v>146916</v>
      </c>
      <c r="D74" s="97">
        <f>'Game Info'!$C$3*C74/$G$22</f>
        <v>2.0509681413936734E-2</v>
      </c>
      <c r="E74" s="40">
        <f>'Game Info'!Y24</f>
        <v>5</v>
      </c>
      <c r="F74" s="99">
        <f>D74*E74/'Game Info'!$C$2</f>
        <v>1.0254840706968367E-2</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CC7CD-198C-4E44-AFA8-9C4B699C8726}">
  <dimension ref="B2:W75"/>
  <sheetViews>
    <sheetView zoomScale="130" zoomScaleNormal="130" workbookViewId="0">
      <selection activeCell="C6" sqref="C6"/>
    </sheetView>
  </sheetViews>
  <sheetFormatPr defaultColWidth="8.85546875" defaultRowHeight="15" x14ac:dyDescent="0.25"/>
  <cols>
    <col min="1" max="1" width="3.42578125" style="16" customWidth="1"/>
    <col min="2" max="2" width="13.7109375" style="16" customWidth="1"/>
    <col min="3" max="6" width="12.7109375" style="16" customWidth="1"/>
    <col min="7" max="7" width="12.28515625" style="16" customWidth="1"/>
    <col min="8" max="8" width="8.85546875" style="16"/>
    <col min="9" max="13" width="12.7109375" style="16" customWidth="1"/>
    <col min="14" max="14" width="8.85546875" style="16"/>
    <col min="15" max="15" width="12.7109375" style="16" customWidth="1"/>
    <col min="16" max="16" width="10.85546875" style="16" bestFit="1" customWidth="1"/>
    <col min="17" max="17" width="8.85546875" style="16"/>
    <col min="18" max="18" width="12.28515625" style="16" bestFit="1" customWidth="1"/>
    <col min="19" max="20" width="8.85546875" style="16"/>
    <col min="21" max="21" width="10.85546875" style="16" bestFit="1" customWidth="1"/>
    <col min="22" max="16384" width="8.85546875" style="16"/>
  </cols>
  <sheetData>
    <row r="2" spans="2:12" x14ac:dyDescent="0.25">
      <c r="B2" s="16" t="s">
        <v>62</v>
      </c>
      <c r="C2" s="63">
        <v>3</v>
      </c>
      <c r="F2" s="44" t="s">
        <v>28</v>
      </c>
      <c r="G2" s="45" t="s">
        <v>58</v>
      </c>
      <c r="J2" s="44" t="s">
        <v>59</v>
      </c>
      <c r="K2" s="91" t="s">
        <v>60</v>
      </c>
      <c r="L2" s="45" t="s">
        <v>61</v>
      </c>
    </row>
    <row r="3" spans="2:12" x14ac:dyDescent="0.25">
      <c r="B3" s="16" t="s">
        <v>41</v>
      </c>
      <c r="C3" s="83">
        <f>C2*SUM(F40:F75,W40:W55)</f>
        <v>3.1905527060114824</v>
      </c>
      <c r="E3" s="17" t="s">
        <v>14</v>
      </c>
      <c r="F3" s="79">
        <f>SUM(J3:J5)</f>
        <v>7.4449992763062668E-3</v>
      </c>
      <c r="G3" s="80">
        <f>SUMPRODUCT(J3:J5,L3:L5)/SUM(J3:J5)</f>
        <v>8.1962332928311046</v>
      </c>
      <c r="I3" s="17" t="s">
        <v>52</v>
      </c>
      <c r="J3" s="92">
        <f>BG!U39</f>
        <v>6.7846287451150675E-6</v>
      </c>
      <c r="K3" s="93">
        <f>U40</f>
        <v>2.713851498046027E-5</v>
      </c>
      <c r="L3" s="88">
        <f>'Game Info'!X7</f>
        <v>16</v>
      </c>
    </row>
    <row r="4" spans="2:12" x14ac:dyDescent="0.25">
      <c r="B4" s="16" t="s">
        <v>58</v>
      </c>
      <c r="C4" s="83">
        <f>G3/(1-F4*G4)</f>
        <v>9.4947332291275082</v>
      </c>
      <c r="E4" s="23" t="s">
        <v>15</v>
      </c>
      <c r="F4" s="81">
        <f>SUM(K3:K5)</f>
        <v>1.6540924880590533E-2</v>
      </c>
      <c r="G4" s="82">
        <f>SUMPRODUCT(K3:K5,L3:L5)/SUM(K3:K5)</f>
        <v>8.2679792179381995</v>
      </c>
      <c r="I4" s="20" t="s">
        <v>53</v>
      </c>
      <c r="J4" s="94">
        <f>SUM(BG!U40:U44)</f>
        <v>3.5166992328846433E-4</v>
      </c>
      <c r="K4" s="95">
        <f>SUM(U41:U45)</f>
        <v>1.0538789984078738E-3</v>
      </c>
      <c r="L4" s="89">
        <f>'Game Info'!X8</f>
        <v>12</v>
      </c>
    </row>
    <row r="5" spans="2:12" x14ac:dyDescent="0.25">
      <c r="B5" s="16" t="s">
        <v>51</v>
      </c>
      <c r="C5" s="84">
        <f>C3*C4</f>
        <v>30.293446797049913</v>
      </c>
      <c r="I5" s="23" t="s">
        <v>54</v>
      </c>
      <c r="J5" s="96">
        <f>SUM(BG!U45:U54)</f>
        <v>7.0865447242726871E-3</v>
      </c>
      <c r="K5" s="97">
        <f>SUM(U46:U55)</f>
        <v>1.5459907367202199E-2</v>
      </c>
      <c r="L5" s="90">
        <f>'Game Info'!X9</f>
        <v>8</v>
      </c>
    </row>
    <row r="7" spans="2:12" x14ac:dyDescent="0.25">
      <c r="B7" s="46" t="s">
        <v>42</v>
      </c>
    </row>
    <row r="8" spans="2:12" x14ac:dyDescent="0.25">
      <c r="B8" s="32" t="s">
        <v>17</v>
      </c>
      <c r="C8" s="30" t="s">
        <v>1</v>
      </c>
      <c r="D8" s="30" t="s">
        <v>2</v>
      </c>
      <c r="E8" s="30" t="s">
        <v>3</v>
      </c>
      <c r="F8" s="30" t="s">
        <v>4</v>
      </c>
      <c r="G8" s="31" t="s">
        <v>5</v>
      </c>
    </row>
    <row r="9" spans="2:12" x14ac:dyDescent="0.25">
      <c r="B9" s="33" t="s">
        <v>11</v>
      </c>
      <c r="C9" s="20">
        <f>COUNTIF('Game Info'!Q$7:Q$170,$B9)</f>
        <v>2</v>
      </c>
      <c r="D9" s="21">
        <f>COUNTIF('Game Info'!R$7:R$170,$B9)</f>
        <v>3</v>
      </c>
      <c r="E9" s="21">
        <f>COUNTIF('Game Info'!S$7:S$170,$B9)</f>
        <v>2</v>
      </c>
      <c r="F9" s="21">
        <f>COUNTIF('Game Info'!T$7:T$170,$B9)</f>
        <v>1</v>
      </c>
      <c r="G9" s="22">
        <f>COUNTIF('Game Info'!U$7:U$170,$B9)</f>
        <v>1</v>
      </c>
    </row>
    <row r="10" spans="2:12" x14ac:dyDescent="0.25">
      <c r="B10" s="33" t="s">
        <v>32</v>
      </c>
      <c r="C10" s="20">
        <f>COUNTIF('Game Info'!Q$7:Q$170,$B10)</f>
        <v>2</v>
      </c>
      <c r="D10" s="21">
        <f>COUNTIF('Game Info'!R$7:R$170,$B10)</f>
        <v>2</v>
      </c>
      <c r="E10" s="21">
        <f>COUNTIF('Game Info'!S$7:S$170,$B10)</f>
        <v>1</v>
      </c>
      <c r="F10" s="21">
        <f>COUNTIF('Game Info'!T$7:T$170,$B10)</f>
        <v>1</v>
      </c>
      <c r="G10" s="22">
        <f>COUNTIF('Game Info'!U$7:U$170,$B10)</f>
        <v>2</v>
      </c>
    </row>
    <row r="11" spans="2:12" x14ac:dyDescent="0.25">
      <c r="B11" s="33" t="s">
        <v>33</v>
      </c>
      <c r="C11" s="20">
        <f>COUNTIF('Game Info'!Q$7:Q$170,$B11)</f>
        <v>4</v>
      </c>
      <c r="D11" s="21">
        <f>COUNTIF('Game Info'!R$7:R$170,$B11)</f>
        <v>4</v>
      </c>
      <c r="E11" s="21">
        <f>COUNTIF('Game Info'!S$7:S$170,$B11)</f>
        <v>4</v>
      </c>
      <c r="F11" s="21">
        <f>COUNTIF('Game Info'!T$7:T$170,$B11)</f>
        <v>3</v>
      </c>
      <c r="G11" s="22">
        <f>COUNTIF('Game Info'!U$7:U$170,$B11)</f>
        <v>4</v>
      </c>
    </row>
    <row r="12" spans="2:12" x14ac:dyDescent="0.25">
      <c r="B12" s="33" t="s">
        <v>34</v>
      </c>
      <c r="C12" s="20">
        <f>COUNTIF('Game Info'!Q$7:Q$170,$B12)</f>
        <v>3</v>
      </c>
      <c r="D12" s="21">
        <f>COUNTIF('Game Info'!R$7:R$170,$B12)</f>
        <v>2</v>
      </c>
      <c r="E12" s="21">
        <f>COUNTIF('Game Info'!S$7:S$170,$B12)</f>
        <v>7</v>
      </c>
      <c r="F12" s="21">
        <f>COUNTIF('Game Info'!T$7:T$170,$B12)</f>
        <v>3</v>
      </c>
      <c r="G12" s="22">
        <f>COUNTIF('Game Info'!U$7:U$170,$B12)</f>
        <v>2</v>
      </c>
    </row>
    <row r="13" spans="2:12" x14ac:dyDescent="0.25">
      <c r="B13" s="33" t="s">
        <v>35</v>
      </c>
      <c r="C13" s="20">
        <f>COUNTIF('Game Info'!Q$7:Q$170,$B13)</f>
        <v>6</v>
      </c>
      <c r="D13" s="21">
        <f>COUNTIF('Game Info'!R$7:R$170,$B13)</f>
        <v>2</v>
      </c>
      <c r="E13" s="21">
        <f>COUNTIF('Game Info'!S$7:S$170,$B13)</f>
        <v>1</v>
      </c>
      <c r="F13" s="21">
        <f>COUNTIF('Game Info'!T$7:T$170,$B13)</f>
        <v>4</v>
      </c>
      <c r="G13" s="22">
        <f>COUNTIF('Game Info'!U$7:U$170,$B13)</f>
        <v>4</v>
      </c>
    </row>
    <row r="14" spans="2:12" x14ac:dyDescent="0.25">
      <c r="B14" s="33" t="s">
        <v>36</v>
      </c>
      <c r="C14" s="20">
        <f>COUNTIF('Game Info'!Q$7:Q$170,$B14)</f>
        <v>2</v>
      </c>
      <c r="D14" s="21">
        <f>COUNTIF('Game Info'!R$7:R$170,$B14)</f>
        <v>2</v>
      </c>
      <c r="E14" s="21">
        <f>COUNTIF('Game Info'!S$7:S$170,$B14)</f>
        <v>4</v>
      </c>
      <c r="F14" s="21">
        <f>COUNTIF('Game Info'!T$7:T$170,$B14)</f>
        <v>1</v>
      </c>
      <c r="G14" s="22">
        <f>COUNTIF('Game Info'!U$7:U$170,$B14)</f>
        <v>3</v>
      </c>
    </row>
    <row r="15" spans="2:12" x14ac:dyDescent="0.25">
      <c r="B15" s="33" t="s">
        <v>31</v>
      </c>
      <c r="C15" s="20">
        <f>COUNTIF('Game Info'!Q$7:Q$170,$B15)</f>
        <v>5</v>
      </c>
      <c r="D15" s="21">
        <f>COUNTIF('Game Info'!R$7:R$170,$B15)</f>
        <v>3</v>
      </c>
      <c r="E15" s="21">
        <f>COUNTIF('Game Info'!S$7:S$170,$B15)</f>
        <v>2</v>
      </c>
      <c r="F15" s="21">
        <f>COUNTIF('Game Info'!T$7:T$170,$B15)</f>
        <v>3</v>
      </c>
      <c r="G15" s="22">
        <f>COUNTIF('Game Info'!U$7:U$170,$B15)</f>
        <v>2</v>
      </c>
    </row>
    <row r="16" spans="2:12" x14ac:dyDescent="0.25">
      <c r="B16" s="33" t="s">
        <v>6</v>
      </c>
      <c r="C16" s="20">
        <f>COUNTIF('Game Info'!Q$7:Q$170,$B16)</f>
        <v>5</v>
      </c>
      <c r="D16" s="21">
        <f>COUNTIF('Game Info'!R$7:R$170,$B16)</f>
        <v>4</v>
      </c>
      <c r="E16" s="21">
        <f>COUNTIF('Game Info'!S$7:S$170,$B16)</f>
        <v>7</v>
      </c>
      <c r="F16" s="21">
        <f>COUNTIF('Game Info'!T$7:T$170,$B16)</f>
        <v>4</v>
      </c>
      <c r="G16" s="22">
        <f>COUNTIF('Game Info'!U$7:U$170,$B16)</f>
        <v>2</v>
      </c>
    </row>
    <row r="17" spans="2:7" x14ac:dyDescent="0.25">
      <c r="B17" s="33" t="s">
        <v>10</v>
      </c>
      <c r="C17" s="20">
        <f>COUNTIF('Game Info'!Q$7:Q$170,$B17)</f>
        <v>4</v>
      </c>
      <c r="D17" s="21">
        <f>COUNTIF('Game Info'!R$7:R$170,$B17)</f>
        <v>1</v>
      </c>
      <c r="E17" s="21">
        <f>COUNTIF('Game Info'!S$7:S$170,$B17)</f>
        <v>5</v>
      </c>
      <c r="F17" s="21">
        <f>COUNTIF('Game Info'!T$7:T$170,$B17)</f>
        <v>2</v>
      </c>
      <c r="G17" s="22">
        <f>COUNTIF('Game Info'!U$7:U$170,$B17)</f>
        <v>6</v>
      </c>
    </row>
    <row r="18" spans="2:7" x14ac:dyDescent="0.25">
      <c r="B18" s="33" t="s">
        <v>7</v>
      </c>
      <c r="C18" s="20">
        <f>COUNTIF('Game Info'!Q$7:Q$170,$B18)</f>
        <v>4</v>
      </c>
      <c r="D18" s="21">
        <f>COUNTIF('Game Info'!R$7:R$170,$B18)</f>
        <v>6</v>
      </c>
      <c r="E18" s="21">
        <f>COUNTIF('Game Info'!S$7:S$170,$B18)</f>
        <v>5</v>
      </c>
      <c r="F18" s="21">
        <f>COUNTIF('Game Info'!T$7:T$170,$B18)</f>
        <v>3</v>
      </c>
      <c r="G18" s="22">
        <f>COUNTIF('Game Info'!U$7:U$170,$B18)</f>
        <v>5</v>
      </c>
    </row>
    <row r="19" spans="2:7" x14ac:dyDescent="0.25">
      <c r="B19" s="33">
        <v>10</v>
      </c>
      <c r="C19" s="20">
        <f>COUNTIF('Game Info'!Q$7:Q$170,$B19)</f>
        <v>5</v>
      </c>
      <c r="D19" s="21">
        <f>COUNTIF('Game Info'!R$7:R$170,$B19)</f>
        <v>4</v>
      </c>
      <c r="E19" s="21">
        <f>COUNTIF('Game Info'!S$7:S$170,$B19)</f>
        <v>3</v>
      </c>
      <c r="F19" s="21">
        <f>COUNTIF('Game Info'!T$7:T$170,$B19)</f>
        <v>5</v>
      </c>
      <c r="G19" s="22">
        <f>COUNTIF('Game Info'!U$7:U$170,$B19)</f>
        <v>6</v>
      </c>
    </row>
    <row r="20" spans="2:7" x14ac:dyDescent="0.25">
      <c r="B20" s="33">
        <v>9</v>
      </c>
      <c r="C20" s="20">
        <f>COUNTIF('Game Info'!Q$7:Q$170,$B20)</f>
        <v>5</v>
      </c>
      <c r="D20" s="21">
        <f>COUNTIF('Game Info'!R$7:R$170,$B20)</f>
        <v>7</v>
      </c>
      <c r="E20" s="21">
        <f>COUNTIF('Game Info'!S$7:S$170,$B20)</f>
        <v>4</v>
      </c>
      <c r="F20" s="21">
        <f>COUNTIF('Game Info'!T$7:T$170,$B20)</f>
        <v>4</v>
      </c>
      <c r="G20" s="22">
        <f>COUNTIF('Game Info'!U$7:U$170,$B20)</f>
        <v>3</v>
      </c>
    </row>
    <row r="21" spans="2:7" x14ac:dyDescent="0.25">
      <c r="B21" s="33" t="s">
        <v>15</v>
      </c>
      <c r="C21" s="20">
        <f>COUNTIF('Game Info'!Q$7:Q$170,$B21)</f>
        <v>1</v>
      </c>
      <c r="D21" s="21">
        <f>COUNTIF('Game Info'!R$7:R$170,$B21)</f>
        <v>2</v>
      </c>
      <c r="E21" s="21">
        <f>COUNTIF('Game Info'!S$7:S$170,$B21)</f>
        <v>2</v>
      </c>
      <c r="F21" s="21">
        <f>COUNTIF('Game Info'!T$7:T$170,$B21)</f>
        <v>2</v>
      </c>
      <c r="G21" s="22">
        <f>COUNTIF('Game Info'!U$7:U$170,$B21)</f>
        <v>2</v>
      </c>
    </row>
    <row r="22" spans="2:7" x14ac:dyDescent="0.25">
      <c r="B22" s="35" t="s">
        <v>16</v>
      </c>
      <c r="C22" s="27">
        <f>SUM(C9:C21)</f>
        <v>48</v>
      </c>
      <c r="D22" s="27">
        <f>SUM(D9:D21)</f>
        <v>42</v>
      </c>
      <c r="E22" s="27">
        <f>SUM(E9:E21)</f>
        <v>47</v>
      </c>
      <c r="F22" s="27">
        <f>SUM(F9:F21)</f>
        <v>36</v>
      </c>
      <c r="G22" s="28">
        <f>SUM(G9:G21)</f>
        <v>42</v>
      </c>
    </row>
    <row r="23" spans="2:7" x14ac:dyDescent="0.25">
      <c r="F23" s="26" t="s">
        <v>18</v>
      </c>
      <c r="G23" s="28">
        <f>PRODUCT(C22:G22)</f>
        <v>143265024</v>
      </c>
    </row>
    <row r="25" spans="2:7" x14ac:dyDescent="0.25">
      <c r="B25" s="46" t="s">
        <v>47</v>
      </c>
    </row>
    <row r="26" spans="2:7" x14ac:dyDescent="0.25">
      <c r="B26" s="36" t="str">
        <f>B10 &amp; " + WILD"</f>
        <v>SYM1 + WILD</v>
      </c>
      <c r="C26" s="18">
        <f t="shared" ref="C26:G29" si="0">C$9+C10</f>
        <v>4</v>
      </c>
      <c r="D26" s="18">
        <f t="shared" si="0"/>
        <v>5</v>
      </c>
      <c r="E26" s="18">
        <f t="shared" si="0"/>
        <v>3</v>
      </c>
      <c r="F26" s="18">
        <f t="shared" si="0"/>
        <v>2</v>
      </c>
      <c r="G26" s="19">
        <f t="shared" si="0"/>
        <v>3</v>
      </c>
    </row>
    <row r="27" spans="2:7" x14ac:dyDescent="0.25">
      <c r="B27" s="33" t="str">
        <f t="shared" ref="B27:B35" si="1">B11 &amp; " + WILD"</f>
        <v>SYM2 + WILD</v>
      </c>
      <c r="C27" s="21">
        <f t="shared" si="0"/>
        <v>6</v>
      </c>
      <c r="D27" s="21">
        <f t="shared" si="0"/>
        <v>7</v>
      </c>
      <c r="E27" s="21">
        <f t="shared" si="0"/>
        <v>6</v>
      </c>
      <c r="F27" s="21">
        <f t="shared" si="0"/>
        <v>4</v>
      </c>
      <c r="G27" s="22">
        <f t="shared" si="0"/>
        <v>5</v>
      </c>
    </row>
    <row r="28" spans="2:7" x14ac:dyDescent="0.25">
      <c r="B28" s="33" t="str">
        <f t="shared" si="1"/>
        <v>SYM3 + WILD</v>
      </c>
      <c r="C28" s="21">
        <f t="shared" si="0"/>
        <v>5</v>
      </c>
      <c r="D28" s="21">
        <f t="shared" si="0"/>
        <v>5</v>
      </c>
      <c r="E28" s="21">
        <f t="shared" si="0"/>
        <v>9</v>
      </c>
      <c r="F28" s="21">
        <f t="shared" si="0"/>
        <v>4</v>
      </c>
      <c r="G28" s="22">
        <f t="shared" si="0"/>
        <v>3</v>
      </c>
    </row>
    <row r="29" spans="2:7" x14ac:dyDescent="0.25">
      <c r="B29" s="33" t="str">
        <f t="shared" si="1"/>
        <v>SYM4 + WILD</v>
      </c>
      <c r="C29" s="21">
        <f t="shared" si="0"/>
        <v>8</v>
      </c>
      <c r="D29" s="21">
        <f t="shared" si="0"/>
        <v>5</v>
      </c>
      <c r="E29" s="21">
        <f t="shared" si="0"/>
        <v>3</v>
      </c>
      <c r="F29" s="21">
        <f t="shared" si="0"/>
        <v>5</v>
      </c>
      <c r="G29" s="22">
        <f t="shared" si="0"/>
        <v>5</v>
      </c>
    </row>
    <row r="30" spans="2:7" x14ac:dyDescent="0.25">
      <c r="B30" s="33" t="str">
        <f t="shared" si="1"/>
        <v>SYM5 + WILD</v>
      </c>
      <c r="C30" s="21">
        <f t="shared" ref="C30:G35" si="2">C$9+C15</f>
        <v>7</v>
      </c>
      <c r="D30" s="21">
        <f t="shared" si="2"/>
        <v>6</v>
      </c>
      <c r="E30" s="21">
        <f t="shared" si="2"/>
        <v>4</v>
      </c>
      <c r="F30" s="21">
        <f t="shared" si="2"/>
        <v>4</v>
      </c>
      <c r="G30" s="22">
        <f t="shared" si="2"/>
        <v>3</v>
      </c>
    </row>
    <row r="31" spans="2:7" x14ac:dyDescent="0.25">
      <c r="B31" s="33" t="str">
        <f t="shared" si="1"/>
        <v>A + WILD</v>
      </c>
      <c r="C31" s="21">
        <f t="shared" si="2"/>
        <v>7</v>
      </c>
      <c r="D31" s="21">
        <f t="shared" si="2"/>
        <v>7</v>
      </c>
      <c r="E31" s="21">
        <f t="shared" si="2"/>
        <v>9</v>
      </c>
      <c r="F31" s="21">
        <f t="shared" si="2"/>
        <v>5</v>
      </c>
      <c r="G31" s="22">
        <f t="shared" si="2"/>
        <v>3</v>
      </c>
    </row>
    <row r="32" spans="2:7" x14ac:dyDescent="0.25">
      <c r="B32" s="33" t="str">
        <f t="shared" si="1"/>
        <v>K + WILD</v>
      </c>
      <c r="C32" s="21">
        <f t="shared" si="2"/>
        <v>6</v>
      </c>
      <c r="D32" s="21">
        <f t="shared" si="2"/>
        <v>4</v>
      </c>
      <c r="E32" s="21">
        <f t="shared" si="2"/>
        <v>7</v>
      </c>
      <c r="F32" s="21">
        <f t="shared" si="2"/>
        <v>3</v>
      </c>
      <c r="G32" s="22">
        <f t="shared" si="2"/>
        <v>7</v>
      </c>
    </row>
    <row r="33" spans="2:23" x14ac:dyDescent="0.25">
      <c r="B33" s="33" t="str">
        <f t="shared" si="1"/>
        <v>Q + WILD</v>
      </c>
      <c r="C33" s="21">
        <f t="shared" si="2"/>
        <v>6</v>
      </c>
      <c r="D33" s="21">
        <f t="shared" si="2"/>
        <v>9</v>
      </c>
      <c r="E33" s="21">
        <f t="shared" si="2"/>
        <v>7</v>
      </c>
      <c r="F33" s="21">
        <f t="shared" si="2"/>
        <v>4</v>
      </c>
      <c r="G33" s="22">
        <f t="shared" si="2"/>
        <v>6</v>
      </c>
    </row>
    <row r="34" spans="2:23" x14ac:dyDescent="0.25">
      <c r="B34" s="33" t="str">
        <f t="shared" si="1"/>
        <v>J + WILD</v>
      </c>
      <c r="C34" s="21">
        <f t="shared" si="2"/>
        <v>7</v>
      </c>
      <c r="D34" s="21">
        <f t="shared" si="2"/>
        <v>7</v>
      </c>
      <c r="E34" s="21">
        <f t="shared" si="2"/>
        <v>5</v>
      </c>
      <c r="F34" s="21">
        <f t="shared" si="2"/>
        <v>6</v>
      </c>
      <c r="G34" s="22">
        <f t="shared" si="2"/>
        <v>7</v>
      </c>
    </row>
    <row r="35" spans="2:23" x14ac:dyDescent="0.25">
      <c r="B35" s="34" t="str">
        <f t="shared" si="1"/>
        <v>10 + WILD</v>
      </c>
      <c r="C35" s="24">
        <f t="shared" si="2"/>
        <v>7</v>
      </c>
      <c r="D35" s="24">
        <f t="shared" si="2"/>
        <v>10</v>
      </c>
      <c r="E35" s="24">
        <f t="shared" si="2"/>
        <v>6</v>
      </c>
      <c r="F35" s="24">
        <f t="shared" si="2"/>
        <v>5</v>
      </c>
      <c r="G35" s="25">
        <f t="shared" si="2"/>
        <v>4</v>
      </c>
    </row>
    <row r="36" spans="2:23" x14ac:dyDescent="0.25">
      <c r="B36" s="35" t="s">
        <v>46</v>
      </c>
      <c r="C36" s="27">
        <f>3*C21</f>
        <v>3</v>
      </c>
      <c r="D36" s="27">
        <f t="shared" ref="D36:G36" si="3">3*D21</f>
        <v>6</v>
      </c>
      <c r="E36" s="27">
        <f t="shared" si="3"/>
        <v>6</v>
      </c>
      <c r="F36" s="27">
        <f t="shared" si="3"/>
        <v>6</v>
      </c>
      <c r="G36" s="28">
        <f t="shared" si="3"/>
        <v>6</v>
      </c>
    </row>
    <row r="38" spans="2:23" x14ac:dyDescent="0.25">
      <c r="B38" s="46" t="s">
        <v>56</v>
      </c>
      <c r="I38" s="46" t="s">
        <v>57</v>
      </c>
      <c r="L38" s="50"/>
      <c r="M38" s="49"/>
    </row>
    <row r="39" spans="2:23" x14ac:dyDescent="0.25">
      <c r="B39" s="29" t="s">
        <v>23</v>
      </c>
      <c r="C39" s="30" t="s">
        <v>24</v>
      </c>
      <c r="D39" s="30" t="s">
        <v>25</v>
      </c>
      <c r="E39" s="30" t="s">
        <v>26</v>
      </c>
      <c r="F39" s="32" t="s">
        <v>27</v>
      </c>
      <c r="I39" s="29" t="s">
        <v>23</v>
      </c>
      <c r="J39" s="29" t="s">
        <v>1</v>
      </c>
      <c r="K39" s="30" t="s">
        <v>2</v>
      </c>
      <c r="L39" s="30" t="s">
        <v>3</v>
      </c>
      <c r="M39" s="30" t="s">
        <v>4</v>
      </c>
      <c r="N39" s="31" t="s">
        <v>5</v>
      </c>
      <c r="O39" s="29" t="s">
        <v>1</v>
      </c>
      <c r="P39" s="30" t="s">
        <v>2</v>
      </c>
      <c r="Q39" s="30" t="s">
        <v>3</v>
      </c>
      <c r="R39" s="30" t="s">
        <v>4</v>
      </c>
      <c r="S39" s="31" t="s">
        <v>5</v>
      </c>
      <c r="T39" s="30" t="s">
        <v>24</v>
      </c>
      <c r="U39" s="30" t="s">
        <v>25</v>
      </c>
      <c r="V39" s="30" t="s">
        <v>26</v>
      </c>
      <c r="W39" s="31" t="s">
        <v>27</v>
      </c>
    </row>
    <row r="40" spans="2:23" x14ac:dyDescent="0.25">
      <c r="B40" s="20" t="str">
        <f t="shared" ref="B40:B51" si="4">B9 &amp; " x5"</f>
        <v>WILD x5</v>
      </c>
      <c r="C40" s="77">
        <f>C9*D9*E9*F9*G9</f>
        <v>12</v>
      </c>
      <c r="D40" s="95">
        <f>'Game Info'!$C$3*C40/$G$23</f>
        <v>1.6752169741024857E-6</v>
      </c>
      <c r="E40" s="38">
        <f>'Game Info'!AA13</f>
        <v>2500</v>
      </c>
      <c r="F40" s="98">
        <f>D40*E40/'Game Info'!$C$2</f>
        <v>4.1880424352562143E-4</v>
      </c>
      <c r="I40" s="23" t="s">
        <v>52</v>
      </c>
      <c r="J40" s="23" t="s">
        <v>55</v>
      </c>
      <c r="K40" s="24" t="s">
        <v>55</v>
      </c>
      <c r="L40" s="24" t="s">
        <v>55</v>
      </c>
      <c r="M40" s="24" t="s">
        <v>55</v>
      </c>
      <c r="N40" s="25" t="s">
        <v>55</v>
      </c>
      <c r="O40" s="23">
        <f>IF(J40="X",C$36,C$22-C$36)</f>
        <v>3</v>
      </c>
      <c r="P40" s="24">
        <f t="shared" ref="P40:S55" si="5">IF(K40="X",D$36,D$22-D$36)</f>
        <v>6</v>
      </c>
      <c r="Q40" s="24">
        <f t="shared" si="5"/>
        <v>6</v>
      </c>
      <c r="R40" s="24">
        <f t="shared" si="5"/>
        <v>6</v>
      </c>
      <c r="S40" s="25">
        <f t="shared" si="5"/>
        <v>6</v>
      </c>
      <c r="T40" s="78">
        <f>PRODUCT(O40:S40)</f>
        <v>3888</v>
      </c>
      <c r="U40" s="39">
        <f>T40/$G$23</f>
        <v>2.713851498046027E-5</v>
      </c>
      <c r="V40" s="40">
        <f>'Game Info'!AA25</f>
        <v>100</v>
      </c>
      <c r="W40" s="72">
        <f>V40*U40</f>
        <v>2.7138514980460269E-3</v>
      </c>
    </row>
    <row r="41" spans="2:23" x14ac:dyDescent="0.25">
      <c r="B41" s="20" t="str">
        <f t="shared" si="4"/>
        <v>SYM1 x5</v>
      </c>
      <c r="C41" s="77">
        <f>C26*D26*E26*F26*G26-$C$9*$D$9*$E$9*$F$9*$G$9</f>
        <v>348</v>
      </c>
      <c r="D41" s="95">
        <f>'Game Info'!$C$3*C41/$G$23</f>
        <v>4.8581292248972087E-5</v>
      </c>
      <c r="E41" s="38">
        <f>'Game Info'!AA14</f>
        <v>750</v>
      </c>
      <c r="F41" s="98">
        <f>D41*E41/'Game Info'!$C$2</f>
        <v>3.6435969186729067E-3</v>
      </c>
      <c r="I41" s="20" t="s">
        <v>53</v>
      </c>
      <c r="J41" s="20" t="s">
        <v>55</v>
      </c>
      <c r="K41" s="21" t="s">
        <v>55</v>
      </c>
      <c r="L41" s="21" t="s">
        <v>55</v>
      </c>
      <c r="M41" s="21" t="s">
        <v>55</v>
      </c>
      <c r="N41" s="85" t="s">
        <v>45</v>
      </c>
      <c r="O41" s="20">
        <f t="shared" ref="O41:O55" si="6">IF(J41="X",C$36,C$22-C$36)</f>
        <v>3</v>
      </c>
      <c r="P41" s="21">
        <f t="shared" si="5"/>
        <v>6</v>
      </c>
      <c r="Q41" s="21">
        <f t="shared" si="5"/>
        <v>6</v>
      </c>
      <c r="R41" s="21">
        <f t="shared" si="5"/>
        <v>6</v>
      </c>
      <c r="S41" s="85">
        <f t="shared" si="5"/>
        <v>36</v>
      </c>
      <c r="T41" s="77">
        <f t="shared" ref="T41:T55" si="7">PRODUCT(O41:S41)</f>
        <v>23328</v>
      </c>
      <c r="U41" s="37">
        <f t="shared" ref="U41:U55" si="8">T41/$G$23</f>
        <v>1.6283108988276161E-4</v>
      </c>
      <c r="V41" s="38">
        <f>'Game Info'!Z25</f>
        <v>20</v>
      </c>
      <c r="W41" s="69">
        <f t="shared" ref="W41:W55" si="9">V41*U41</f>
        <v>3.2566217976552321E-3</v>
      </c>
    </row>
    <row r="42" spans="2:23" x14ac:dyDescent="0.25">
      <c r="B42" s="20" t="str">
        <f t="shared" si="4"/>
        <v>SYM2 x5</v>
      </c>
      <c r="C42" s="77">
        <f t="shared" ref="C42:C43" si="10">C27*D27*E27*F27*G27-$C$9*$D$9*$E$9*$F$9*$G$9</f>
        <v>5028</v>
      </c>
      <c r="D42" s="95">
        <f>'Game Info'!$C$3*C42/$G$23</f>
        <v>7.0191591214894156E-4</v>
      </c>
      <c r="E42" s="38">
        <f>'Game Info'!AA15</f>
        <v>750</v>
      </c>
      <c r="F42" s="98">
        <f>D42*E42/'Game Info'!$C$2</f>
        <v>5.2643693411170624E-2</v>
      </c>
      <c r="I42" s="20" t="s">
        <v>53</v>
      </c>
      <c r="J42" s="20" t="s">
        <v>55</v>
      </c>
      <c r="K42" s="21" t="s">
        <v>55</v>
      </c>
      <c r="L42" s="21" t="s">
        <v>55</v>
      </c>
      <c r="M42" s="70" t="s">
        <v>45</v>
      </c>
      <c r="N42" s="22" t="s">
        <v>55</v>
      </c>
      <c r="O42" s="20">
        <f t="shared" si="6"/>
        <v>3</v>
      </c>
      <c r="P42" s="21">
        <f t="shared" si="5"/>
        <v>6</v>
      </c>
      <c r="Q42" s="21">
        <f t="shared" si="5"/>
        <v>6</v>
      </c>
      <c r="R42" s="70">
        <f t="shared" si="5"/>
        <v>30</v>
      </c>
      <c r="S42" s="22">
        <f t="shared" si="5"/>
        <v>6</v>
      </c>
      <c r="T42" s="77">
        <f t="shared" si="7"/>
        <v>19440</v>
      </c>
      <c r="U42" s="37">
        <f t="shared" si="8"/>
        <v>1.3569257490230136E-4</v>
      </c>
      <c r="V42" s="38">
        <f>V41</f>
        <v>20</v>
      </c>
      <c r="W42" s="69">
        <f t="shared" si="9"/>
        <v>2.7138514980460269E-3</v>
      </c>
    </row>
    <row r="43" spans="2:23" x14ac:dyDescent="0.25">
      <c r="B43" s="20" t="str">
        <f t="shared" si="4"/>
        <v>SYM3 x5</v>
      </c>
      <c r="C43" s="77">
        <f t="shared" si="10"/>
        <v>2688</v>
      </c>
      <c r="D43" s="95">
        <f>'Game Info'!$C$3*C43/$G$23</f>
        <v>3.7524860219895683E-4</v>
      </c>
      <c r="E43" s="38">
        <f>'Game Info'!AA16</f>
        <v>750</v>
      </c>
      <c r="F43" s="98">
        <f>D43*E43/'Game Info'!$C$2</f>
        <v>2.8143645164921759E-2</v>
      </c>
      <c r="I43" s="20" t="s">
        <v>53</v>
      </c>
      <c r="J43" s="20" t="s">
        <v>55</v>
      </c>
      <c r="K43" s="21" t="s">
        <v>55</v>
      </c>
      <c r="L43" s="70" t="s">
        <v>45</v>
      </c>
      <c r="M43" s="21" t="s">
        <v>55</v>
      </c>
      <c r="N43" s="22" t="s">
        <v>55</v>
      </c>
      <c r="O43" s="20">
        <f t="shared" si="6"/>
        <v>3</v>
      </c>
      <c r="P43" s="21">
        <f t="shared" si="5"/>
        <v>6</v>
      </c>
      <c r="Q43" s="70">
        <f t="shared" si="5"/>
        <v>41</v>
      </c>
      <c r="R43" s="21">
        <f t="shared" si="5"/>
        <v>6</v>
      </c>
      <c r="S43" s="22">
        <f t="shared" si="5"/>
        <v>6</v>
      </c>
      <c r="T43" s="77">
        <f t="shared" si="7"/>
        <v>26568</v>
      </c>
      <c r="U43" s="37">
        <f t="shared" si="8"/>
        <v>1.8544651903314518E-4</v>
      </c>
      <c r="V43" s="38">
        <f t="shared" ref="V43:V45" si="11">V42</f>
        <v>20</v>
      </c>
      <c r="W43" s="69">
        <f t="shared" si="9"/>
        <v>3.7089303806629036E-3</v>
      </c>
    </row>
    <row r="44" spans="2:23" x14ac:dyDescent="0.25">
      <c r="B44" s="20" t="str">
        <f t="shared" si="4"/>
        <v>SYM4 x5</v>
      </c>
      <c r="C44" s="77">
        <f>(C29*D29*E29*F29-$C$9*$D$9*$E$9*$F$9)*G29</f>
        <v>2940</v>
      </c>
      <c r="D44" s="95">
        <f>'Game Info'!$C$3*C44/$G$23</f>
        <v>4.1042815865510902E-4</v>
      </c>
      <c r="E44" s="38">
        <f>'Game Info'!AA17</f>
        <v>250</v>
      </c>
      <c r="F44" s="98">
        <f>D44*E44/'Game Info'!$C$2</f>
        <v>1.0260703966377726E-2</v>
      </c>
      <c r="I44" s="20" t="s">
        <v>53</v>
      </c>
      <c r="J44" s="20" t="s">
        <v>55</v>
      </c>
      <c r="K44" s="70" t="s">
        <v>45</v>
      </c>
      <c r="L44" s="21" t="s">
        <v>55</v>
      </c>
      <c r="M44" s="21" t="s">
        <v>55</v>
      </c>
      <c r="N44" s="22" t="s">
        <v>55</v>
      </c>
      <c r="O44" s="20">
        <f t="shared" si="6"/>
        <v>3</v>
      </c>
      <c r="P44" s="70">
        <f t="shared" si="5"/>
        <v>36</v>
      </c>
      <c r="Q44" s="21">
        <f t="shared" si="5"/>
        <v>6</v>
      </c>
      <c r="R44" s="21">
        <f t="shared" si="5"/>
        <v>6</v>
      </c>
      <c r="S44" s="22">
        <f t="shared" si="5"/>
        <v>6</v>
      </c>
      <c r="T44" s="77">
        <f t="shared" si="7"/>
        <v>23328</v>
      </c>
      <c r="U44" s="37">
        <f t="shared" si="8"/>
        <v>1.6283108988276161E-4</v>
      </c>
      <c r="V44" s="38">
        <f t="shared" si="11"/>
        <v>20</v>
      </c>
      <c r="W44" s="69">
        <f t="shared" si="9"/>
        <v>3.2566217976552321E-3</v>
      </c>
    </row>
    <row r="45" spans="2:23" x14ac:dyDescent="0.25">
      <c r="B45" s="20" t="str">
        <f t="shared" si="4"/>
        <v>SYM5 x5</v>
      </c>
      <c r="C45" s="77">
        <f t="shared" ref="C45:C46" si="12">(C30*D30*E30*F30-$C$9*$D$9*$E$9*$F$9)*G30</f>
        <v>1980</v>
      </c>
      <c r="D45" s="95">
        <f>'Game Info'!$C$3*C45/$G$23</f>
        <v>2.7641080072691017E-4</v>
      </c>
      <c r="E45" s="38">
        <f>'Game Info'!AA18</f>
        <v>250</v>
      </c>
      <c r="F45" s="98">
        <f>D45*E45/'Game Info'!$C$2</f>
        <v>6.9102700181727537E-3</v>
      </c>
      <c r="I45" s="23" t="s">
        <v>53</v>
      </c>
      <c r="J45" s="87" t="s">
        <v>45</v>
      </c>
      <c r="K45" s="24" t="s">
        <v>55</v>
      </c>
      <c r="L45" s="24" t="s">
        <v>55</v>
      </c>
      <c r="M45" s="24" t="s">
        <v>55</v>
      </c>
      <c r="N45" s="25" t="s">
        <v>55</v>
      </c>
      <c r="O45" s="87">
        <f t="shared" si="6"/>
        <v>45</v>
      </c>
      <c r="P45" s="24">
        <f t="shared" si="5"/>
        <v>6</v>
      </c>
      <c r="Q45" s="24">
        <f t="shared" si="5"/>
        <v>6</v>
      </c>
      <c r="R45" s="24">
        <f t="shared" si="5"/>
        <v>6</v>
      </c>
      <c r="S45" s="25">
        <f t="shared" si="5"/>
        <v>6</v>
      </c>
      <c r="T45" s="78">
        <f t="shared" si="7"/>
        <v>58320</v>
      </c>
      <c r="U45" s="39">
        <f t="shared" si="8"/>
        <v>4.0707772470690402E-4</v>
      </c>
      <c r="V45" s="40">
        <f t="shared" si="11"/>
        <v>20</v>
      </c>
      <c r="W45" s="72">
        <f t="shared" si="9"/>
        <v>8.1415544941380799E-3</v>
      </c>
    </row>
    <row r="46" spans="2:23" x14ac:dyDescent="0.25">
      <c r="B46" s="20" t="str">
        <f t="shared" si="4"/>
        <v>A x5</v>
      </c>
      <c r="C46" s="77">
        <f t="shared" si="12"/>
        <v>6579</v>
      </c>
      <c r="D46" s="95">
        <f>'Game Info'!$C$3*C46/$G$23</f>
        <v>9.1843770605168785E-4</v>
      </c>
      <c r="E46" s="38">
        <f>'Game Info'!AA19</f>
        <v>125</v>
      </c>
      <c r="F46" s="98">
        <f>D46*E46/'Game Info'!$C$2</f>
        <v>1.1480471325646098E-2</v>
      </c>
      <c r="I46" s="20" t="s">
        <v>54</v>
      </c>
      <c r="J46" s="20" t="s">
        <v>55</v>
      </c>
      <c r="K46" s="21" t="s">
        <v>55</v>
      </c>
      <c r="L46" s="21" t="s">
        <v>55</v>
      </c>
      <c r="M46" s="70" t="s">
        <v>45</v>
      </c>
      <c r="N46" s="85" t="s">
        <v>45</v>
      </c>
      <c r="O46" s="20">
        <f t="shared" si="6"/>
        <v>3</v>
      </c>
      <c r="P46" s="21">
        <f t="shared" si="5"/>
        <v>6</v>
      </c>
      <c r="Q46" s="21">
        <f t="shared" si="5"/>
        <v>6</v>
      </c>
      <c r="R46" s="70">
        <f t="shared" si="5"/>
        <v>30</v>
      </c>
      <c r="S46" s="85">
        <f t="shared" si="5"/>
        <v>36</v>
      </c>
      <c r="T46" s="77">
        <f t="shared" si="7"/>
        <v>116640</v>
      </c>
      <c r="U46" s="37">
        <f t="shared" si="8"/>
        <v>8.1415544941380803E-4</v>
      </c>
      <c r="V46" s="38">
        <f>'Game Info'!Y25</f>
        <v>5</v>
      </c>
      <c r="W46" s="69">
        <f t="shared" si="9"/>
        <v>4.07077724706904E-3</v>
      </c>
    </row>
    <row r="47" spans="2:23" x14ac:dyDescent="0.25">
      <c r="B47" s="20" t="str">
        <f t="shared" si="4"/>
        <v>K x5</v>
      </c>
      <c r="C47" s="77">
        <f>(C32*D32*E32-$C$9*$D$9*$E$9)*F32*G32</f>
        <v>3276</v>
      </c>
      <c r="D47" s="95">
        <f>'Game Info'!$C$3*C47/$G$23</f>
        <v>4.5733423392997863E-4</v>
      </c>
      <c r="E47" s="38">
        <f>'Game Info'!AA20</f>
        <v>100</v>
      </c>
      <c r="F47" s="98">
        <f>D47*E47/'Game Info'!$C$2</f>
        <v>4.5733423392997864E-3</v>
      </c>
      <c r="I47" s="20" t="s">
        <v>54</v>
      </c>
      <c r="J47" s="20" t="s">
        <v>55</v>
      </c>
      <c r="K47" s="21" t="s">
        <v>55</v>
      </c>
      <c r="L47" s="70" t="s">
        <v>45</v>
      </c>
      <c r="M47" s="21" t="s">
        <v>55</v>
      </c>
      <c r="N47" s="85" t="s">
        <v>45</v>
      </c>
      <c r="O47" s="20">
        <f t="shared" si="6"/>
        <v>3</v>
      </c>
      <c r="P47" s="21">
        <f t="shared" si="5"/>
        <v>6</v>
      </c>
      <c r="Q47" s="70">
        <f t="shared" si="5"/>
        <v>41</v>
      </c>
      <c r="R47" s="21">
        <f t="shared" si="5"/>
        <v>6</v>
      </c>
      <c r="S47" s="85">
        <f t="shared" si="5"/>
        <v>36</v>
      </c>
      <c r="T47" s="77">
        <f t="shared" si="7"/>
        <v>159408</v>
      </c>
      <c r="U47" s="37">
        <f t="shared" si="8"/>
        <v>1.1126791141988709E-3</v>
      </c>
      <c r="V47" s="38">
        <f>V46</f>
        <v>5</v>
      </c>
      <c r="W47" s="69">
        <f t="shared" si="9"/>
        <v>5.5633955709943547E-3</v>
      </c>
    </row>
    <row r="48" spans="2:23" x14ac:dyDescent="0.25">
      <c r="B48" s="20" t="str">
        <f t="shared" si="4"/>
        <v>Q x5</v>
      </c>
      <c r="C48" s="77">
        <f t="shared" ref="C48:C51" si="13">(C33*D33*E33-$C$9*$D$9*$E$9)*F33*G33</f>
        <v>8784</v>
      </c>
      <c r="D48" s="95">
        <f>'Game Info'!$C$3*C48/$G$23</f>
        <v>1.2262588250430196E-3</v>
      </c>
      <c r="E48" s="38">
        <f>'Game Info'!AA21</f>
        <v>100</v>
      </c>
      <c r="F48" s="98">
        <f>D48*E48/'Game Info'!$C$2</f>
        <v>1.2262588250430197E-2</v>
      </c>
      <c r="I48" s="20" t="s">
        <v>54</v>
      </c>
      <c r="J48" s="20" t="s">
        <v>55</v>
      </c>
      <c r="K48" s="70" t="s">
        <v>45</v>
      </c>
      <c r="L48" s="21" t="s">
        <v>55</v>
      </c>
      <c r="M48" s="21" t="s">
        <v>55</v>
      </c>
      <c r="N48" s="85" t="s">
        <v>45</v>
      </c>
      <c r="O48" s="20">
        <f t="shared" si="6"/>
        <v>3</v>
      </c>
      <c r="P48" s="70">
        <f t="shared" si="5"/>
        <v>36</v>
      </c>
      <c r="Q48" s="21">
        <f t="shared" si="5"/>
        <v>6</v>
      </c>
      <c r="R48" s="21">
        <f t="shared" si="5"/>
        <v>6</v>
      </c>
      <c r="S48" s="85">
        <f t="shared" si="5"/>
        <v>36</v>
      </c>
      <c r="T48" s="77">
        <f t="shared" si="7"/>
        <v>139968</v>
      </c>
      <c r="U48" s="37">
        <f t="shared" si="8"/>
        <v>9.7698653929656964E-4</v>
      </c>
      <c r="V48" s="38">
        <f t="shared" ref="V48:V55" si="14">V47</f>
        <v>5</v>
      </c>
      <c r="W48" s="69">
        <f t="shared" si="9"/>
        <v>4.8849326964828486E-3</v>
      </c>
    </row>
    <row r="49" spans="2:23" x14ac:dyDescent="0.25">
      <c r="B49" s="20" t="str">
        <f t="shared" si="4"/>
        <v>J x5</v>
      </c>
      <c r="C49" s="77">
        <f t="shared" si="13"/>
        <v>9786</v>
      </c>
      <c r="D49" s="95">
        <f>'Game Info'!$C$3*C49/$G$23</f>
        <v>1.3661394423805772E-3</v>
      </c>
      <c r="E49" s="38">
        <f>'Game Info'!AA22</f>
        <v>100</v>
      </c>
      <c r="F49" s="98">
        <f>D49*E49/'Game Info'!$C$2</f>
        <v>1.3661394423805772E-2</v>
      </c>
      <c r="I49" s="20" t="s">
        <v>54</v>
      </c>
      <c r="J49" s="86" t="s">
        <v>45</v>
      </c>
      <c r="K49" s="21" t="s">
        <v>55</v>
      </c>
      <c r="L49" s="21" t="s">
        <v>55</v>
      </c>
      <c r="M49" s="21" t="s">
        <v>55</v>
      </c>
      <c r="N49" s="85" t="s">
        <v>45</v>
      </c>
      <c r="O49" s="86">
        <f t="shared" si="6"/>
        <v>45</v>
      </c>
      <c r="P49" s="21">
        <f t="shared" si="5"/>
        <v>6</v>
      </c>
      <c r="Q49" s="21">
        <f t="shared" si="5"/>
        <v>6</v>
      </c>
      <c r="R49" s="21">
        <f t="shared" si="5"/>
        <v>6</v>
      </c>
      <c r="S49" s="85">
        <f t="shared" si="5"/>
        <v>36</v>
      </c>
      <c r="T49" s="77">
        <f t="shared" si="7"/>
        <v>349920</v>
      </c>
      <c r="U49" s="37">
        <f t="shared" si="8"/>
        <v>2.4424663482414243E-3</v>
      </c>
      <c r="V49" s="38">
        <f t="shared" si="14"/>
        <v>5</v>
      </c>
      <c r="W49" s="69">
        <f t="shared" si="9"/>
        <v>1.2212331741207122E-2</v>
      </c>
    </row>
    <row r="50" spans="2:23" x14ac:dyDescent="0.25">
      <c r="B50" s="20" t="str">
        <f t="shared" si="4"/>
        <v>10 x5</v>
      </c>
      <c r="C50" s="77">
        <f t="shared" si="13"/>
        <v>8160</v>
      </c>
      <c r="D50" s="95">
        <f>'Game Info'!$C$3*C50/$G$23</f>
        <v>1.1391475423896903E-3</v>
      </c>
      <c r="E50" s="38">
        <f>'Game Info'!AA23</f>
        <v>100</v>
      </c>
      <c r="F50" s="98">
        <f>D50*E50/'Game Info'!$C$2</f>
        <v>1.1391475423896904E-2</v>
      </c>
      <c r="I50" s="20" t="s">
        <v>54</v>
      </c>
      <c r="J50" s="20" t="s">
        <v>55</v>
      </c>
      <c r="K50" s="21" t="s">
        <v>55</v>
      </c>
      <c r="L50" s="70" t="s">
        <v>45</v>
      </c>
      <c r="M50" s="70" t="s">
        <v>45</v>
      </c>
      <c r="N50" s="22" t="s">
        <v>55</v>
      </c>
      <c r="O50" s="20">
        <f t="shared" si="6"/>
        <v>3</v>
      </c>
      <c r="P50" s="21">
        <f t="shared" si="5"/>
        <v>6</v>
      </c>
      <c r="Q50" s="70">
        <f t="shared" si="5"/>
        <v>41</v>
      </c>
      <c r="R50" s="70">
        <f t="shared" si="5"/>
        <v>30</v>
      </c>
      <c r="S50" s="22">
        <f t="shared" si="5"/>
        <v>6</v>
      </c>
      <c r="T50" s="77">
        <f t="shared" si="7"/>
        <v>132840</v>
      </c>
      <c r="U50" s="37">
        <f t="shared" si="8"/>
        <v>9.272325951657259E-4</v>
      </c>
      <c r="V50" s="38">
        <f t="shared" si="14"/>
        <v>5</v>
      </c>
      <c r="W50" s="69">
        <f t="shared" si="9"/>
        <v>4.6361629758286298E-3</v>
      </c>
    </row>
    <row r="51" spans="2:23" x14ac:dyDescent="0.25">
      <c r="B51" s="23" t="str">
        <f t="shared" si="4"/>
        <v>9 x5</v>
      </c>
      <c r="C51" s="78">
        <f t="shared" si="13"/>
        <v>3456</v>
      </c>
      <c r="D51" s="97">
        <f>'Game Info'!$C$3*C51/$G$23</f>
        <v>4.8246248854151591E-4</v>
      </c>
      <c r="E51" s="40">
        <f>'Game Info'!AA24</f>
        <v>100</v>
      </c>
      <c r="F51" s="99">
        <f>D51*E51/'Game Info'!$C$2</f>
        <v>4.8246248854151592E-3</v>
      </c>
      <c r="I51" s="20" t="s">
        <v>54</v>
      </c>
      <c r="J51" s="20" t="s">
        <v>55</v>
      </c>
      <c r="K51" s="70" t="s">
        <v>45</v>
      </c>
      <c r="L51" s="21" t="s">
        <v>55</v>
      </c>
      <c r="M51" s="70" t="s">
        <v>45</v>
      </c>
      <c r="N51" s="22" t="s">
        <v>55</v>
      </c>
      <c r="O51" s="20">
        <f t="shared" si="6"/>
        <v>3</v>
      </c>
      <c r="P51" s="70">
        <f t="shared" si="5"/>
        <v>36</v>
      </c>
      <c r="Q51" s="21">
        <f t="shared" si="5"/>
        <v>6</v>
      </c>
      <c r="R51" s="70">
        <f t="shared" si="5"/>
        <v>30</v>
      </c>
      <c r="S51" s="22">
        <f t="shared" si="5"/>
        <v>6</v>
      </c>
      <c r="T51" s="77">
        <f t="shared" si="7"/>
        <v>116640</v>
      </c>
      <c r="U51" s="37">
        <f t="shared" si="8"/>
        <v>8.1415544941380803E-4</v>
      </c>
      <c r="V51" s="38">
        <f t="shared" si="14"/>
        <v>5</v>
      </c>
      <c r="W51" s="69">
        <f t="shared" si="9"/>
        <v>4.07077724706904E-3</v>
      </c>
    </row>
    <row r="52" spans="2:23" x14ac:dyDescent="0.25">
      <c r="B52" s="20" t="str">
        <f t="shared" ref="B52:B63" si="15">B9 &amp; " x4"</f>
        <v>WILD x4</v>
      </c>
      <c r="C52" s="77">
        <f>C9*D9*E9*F9*(G22-G9-G10-G11-G12)</f>
        <v>396</v>
      </c>
      <c r="D52" s="95">
        <f>'Game Info'!$C$3*C52/$G$23</f>
        <v>5.5282160145382033E-5</v>
      </c>
      <c r="E52" s="38">
        <f>'Game Info'!Z13</f>
        <v>500</v>
      </c>
      <c r="F52" s="98">
        <f>D52*E52/'Game Info'!$C$2</f>
        <v>2.7641080072691015E-3</v>
      </c>
      <c r="I52" s="20" t="s">
        <v>54</v>
      </c>
      <c r="J52" s="86" t="s">
        <v>45</v>
      </c>
      <c r="K52" s="21" t="s">
        <v>55</v>
      </c>
      <c r="L52" s="21" t="s">
        <v>55</v>
      </c>
      <c r="M52" s="70" t="s">
        <v>45</v>
      </c>
      <c r="N52" s="22" t="s">
        <v>55</v>
      </c>
      <c r="O52" s="86">
        <f t="shared" si="6"/>
        <v>45</v>
      </c>
      <c r="P52" s="21">
        <f t="shared" si="5"/>
        <v>6</v>
      </c>
      <c r="Q52" s="21">
        <f t="shared" si="5"/>
        <v>6</v>
      </c>
      <c r="R52" s="70">
        <f t="shared" si="5"/>
        <v>30</v>
      </c>
      <c r="S52" s="22">
        <f t="shared" si="5"/>
        <v>6</v>
      </c>
      <c r="T52" s="77">
        <f t="shared" si="7"/>
        <v>291600</v>
      </c>
      <c r="U52" s="37">
        <f t="shared" si="8"/>
        <v>2.03538862353452E-3</v>
      </c>
      <c r="V52" s="38">
        <f t="shared" si="14"/>
        <v>5</v>
      </c>
      <c r="W52" s="69">
        <f t="shared" si="9"/>
        <v>1.01769431176726E-2</v>
      </c>
    </row>
    <row r="53" spans="2:23" x14ac:dyDescent="0.25">
      <c r="B53" s="20" t="str">
        <f t="shared" si="15"/>
        <v>SYM1 x4</v>
      </c>
      <c r="C53" s="77">
        <f>(C26*D26*E26-$C$9*$D$9*$E$9)*F26*($G$22-G26)</f>
        <v>3744</v>
      </c>
      <c r="D53" s="95">
        <f>'Game Info'!$C$3*C53/$G$23</f>
        <v>5.2266769591997561E-4</v>
      </c>
      <c r="E53" s="38">
        <f>'Game Info'!Z14</f>
        <v>100</v>
      </c>
      <c r="F53" s="98">
        <f>D53*E53/'Game Info'!$C$2</f>
        <v>5.2266769591997556E-3</v>
      </c>
      <c r="I53" s="20" t="s">
        <v>54</v>
      </c>
      <c r="J53" s="20" t="s">
        <v>55</v>
      </c>
      <c r="K53" s="70" t="s">
        <v>45</v>
      </c>
      <c r="L53" s="70" t="s">
        <v>45</v>
      </c>
      <c r="M53" s="21" t="s">
        <v>55</v>
      </c>
      <c r="N53" s="22" t="s">
        <v>55</v>
      </c>
      <c r="O53" s="20">
        <f t="shared" si="6"/>
        <v>3</v>
      </c>
      <c r="P53" s="70">
        <f t="shared" si="5"/>
        <v>36</v>
      </c>
      <c r="Q53" s="70">
        <f t="shared" si="5"/>
        <v>41</v>
      </c>
      <c r="R53" s="21">
        <f t="shared" si="5"/>
        <v>6</v>
      </c>
      <c r="S53" s="22">
        <f t="shared" si="5"/>
        <v>6</v>
      </c>
      <c r="T53" s="77">
        <f t="shared" si="7"/>
        <v>159408</v>
      </c>
      <c r="U53" s="37">
        <f t="shared" si="8"/>
        <v>1.1126791141988709E-3</v>
      </c>
      <c r="V53" s="38">
        <f t="shared" si="14"/>
        <v>5</v>
      </c>
      <c r="W53" s="69">
        <f t="shared" si="9"/>
        <v>5.5633955709943547E-3</v>
      </c>
    </row>
    <row r="54" spans="2:23" x14ac:dyDescent="0.25">
      <c r="B54" s="20" t="str">
        <f t="shared" si="15"/>
        <v>SYM2 x4</v>
      </c>
      <c r="C54" s="77">
        <f t="shared" ref="C54:C63" si="16">(C27*D27*E27-$C$9*$D$9*$E$9)*F27*($G$22-G27)</f>
        <v>35520</v>
      </c>
      <c r="D54" s="95">
        <f>'Game Info'!$C$3*C54/$G$23</f>
        <v>4.9586422433433577E-3</v>
      </c>
      <c r="E54" s="38">
        <f>'Game Info'!Z15</f>
        <v>100</v>
      </c>
      <c r="F54" s="98">
        <f>D54*E54/'Game Info'!$C$2</f>
        <v>4.9586422433433572E-2</v>
      </c>
      <c r="I54" s="20" t="s">
        <v>54</v>
      </c>
      <c r="J54" s="86" t="s">
        <v>45</v>
      </c>
      <c r="K54" s="21" t="s">
        <v>55</v>
      </c>
      <c r="L54" s="70" t="s">
        <v>45</v>
      </c>
      <c r="M54" s="21" t="s">
        <v>55</v>
      </c>
      <c r="N54" s="22" t="s">
        <v>55</v>
      </c>
      <c r="O54" s="86">
        <f t="shared" si="6"/>
        <v>45</v>
      </c>
      <c r="P54" s="21">
        <f t="shared" si="5"/>
        <v>6</v>
      </c>
      <c r="Q54" s="70">
        <f t="shared" si="5"/>
        <v>41</v>
      </c>
      <c r="R54" s="21">
        <f t="shared" si="5"/>
        <v>6</v>
      </c>
      <c r="S54" s="22">
        <f t="shared" si="5"/>
        <v>6</v>
      </c>
      <c r="T54" s="77">
        <f t="shared" si="7"/>
        <v>398520</v>
      </c>
      <c r="U54" s="37">
        <f t="shared" si="8"/>
        <v>2.7816977854971778E-3</v>
      </c>
      <c r="V54" s="38">
        <f t="shared" si="14"/>
        <v>5</v>
      </c>
      <c r="W54" s="69">
        <f t="shared" si="9"/>
        <v>1.3908488927485889E-2</v>
      </c>
    </row>
    <row r="55" spans="2:23" x14ac:dyDescent="0.25">
      <c r="B55" s="20" t="str">
        <f t="shared" si="15"/>
        <v>SYM3 x4</v>
      </c>
      <c r="C55" s="77">
        <f t="shared" si="16"/>
        <v>33228</v>
      </c>
      <c r="D55" s="95">
        <f>'Game Info'!$C$3*C55/$G$23</f>
        <v>4.6386758012897829E-3</v>
      </c>
      <c r="E55" s="38">
        <f>'Game Info'!Z16</f>
        <v>100</v>
      </c>
      <c r="F55" s="98">
        <f>D55*E55/'Game Info'!$C$2</f>
        <v>4.6386758012897829E-2</v>
      </c>
      <c r="I55" s="23" t="s">
        <v>54</v>
      </c>
      <c r="J55" s="87" t="s">
        <v>45</v>
      </c>
      <c r="K55" s="71" t="s">
        <v>45</v>
      </c>
      <c r="L55" s="24" t="s">
        <v>55</v>
      </c>
      <c r="M55" s="24" t="s">
        <v>55</v>
      </c>
      <c r="N55" s="25" t="s">
        <v>55</v>
      </c>
      <c r="O55" s="87">
        <f t="shared" si="6"/>
        <v>45</v>
      </c>
      <c r="P55" s="71">
        <f t="shared" si="5"/>
        <v>36</v>
      </c>
      <c r="Q55" s="24">
        <f t="shared" si="5"/>
        <v>6</v>
      </c>
      <c r="R55" s="24">
        <f t="shared" si="5"/>
        <v>6</v>
      </c>
      <c r="S55" s="25">
        <f t="shared" si="5"/>
        <v>6</v>
      </c>
      <c r="T55" s="78">
        <f t="shared" si="7"/>
        <v>349920</v>
      </c>
      <c r="U55" s="39">
        <f t="shared" si="8"/>
        <v>2.4424663482414243E-3</v>
      </c>
      <c r="V55" s="40">
        <f t="shared" si="14"/>
        <v>5</v>
      </c>
      <c r="W55" s="72">
        <f t="shared" si="9"/>
        <v>1.2212331741207122E-2</v>
      </c>
    </row>
    <row r="56" spans="2:23" x14ac:dyDescent="0.25">
      <c r="B56" s="20" t="str">
        <f t="shared" si="15"/>
        <v>SYM4 x4</v>
      </c>
      <c r="C56" s="77">
        <f t="shared" si="16"/>
        <v>19980</v>
      </c>
      <c r="D56" s="95">
        <f>'Game Info'!$C$3*C56/$G$23</f>
        <v>2.7892362618806388E-3</v>
      </c>
      <c r="E56" s="38">
        <f>'Game Info'!Z17</f>
        <v>75</v>
      </c>
      <c r="F56" s="98">
        <f>D56*E56/'Game Info'!$C$2</f>
        <v>2.0919271964104792E-2</v>
      </c>
    </row>
    <row r="57" spans="2:23" x14ac:dyDescent="0.25">
      <c r="B57" s="20" t="str">
        <f t="shared" si="15"/>
        <v>SYM5 x4</v>
      </c>
      <c r="C57" s="77">
        <f t="shared" si="16"/>
        <v>24336</v>
      </c>
      <c r="D57" s="95">
        <f>'Game Info'!$C$3*C57/$G$23</f>
        <v>3.3973400234798409E-3</v>
      </c>
      <c r="E57" s="38">
        <f>'Game Info'!Z18</f>
        <v>50</v>
      </c>
      <c r="F57" s="98">
        <f>D57*E57/'Game Info'!$C$2</f>
        <v>1.6986700117399202E-2</v>
      </c>
    </row>
    <row r="58" spans="2:23" x14ac:dyDescent="0.25">
      <c r="B58" s="20" t="str">
        <f t="shared" si="15"/>
        <v>A x4</v>
      </c>
      <c r="C58" s="77">
        <f t="shared" si="16"/>
        <v>83655</v>
      </c>
      <c r="D58" s="95">
        <f>'Game Info'!$C$3*C58/$G$23</f>
        <v>1.1678356330711953E-2</v>
      </c>
      <c r="E58" s="38">
        <f>'Game Info'!Z19</f>
        <v>50</v>
      </c>
      <c r="F58" s="98">
        <f>D58*E58/'Game Info'!$C$2</f>
        <v>5.8391781653559773E-2</v>
      </c>
    </row>
    <row r="59" spans="2:23" x14ac:dyDescent="0.25">
      <c r="B59" s="20" t="str">
        <f t="shared" si="15"/>
        <v>K x4</v>
      </c>
      <c r="C59" s="77">
        <f t="shared" si="16"/>
        <v>16380</v>
      </c>
      <c r="D59" s="95">
        <f>'Game Info'!$C$3*C59/$G$23</f>
        <v>2.2866711696498932E-3</v>
      </c>
      <c r="E59" s="38">
        <f>'Game Info'!Z20</f>
        <v>50</v>
      </c>
      <c r="F59" s="98">
        <f>D59*E59/'Game Info'!$C$2</f>
        <v>1.1433355848249466E-2</v>
      </c>
    </row>
    <row r="60" spans="2:23" x14ac:dyDescent="0.25">
      <c r="B60" s="20" t="str">
        <f t="shared" si="15"/>
        <v>Q x4</v>
      </c>
      <c r="C60" s="77">
        <f t="shared" si="16"/>
        <v>52704</v>
      </c>
      <c r="D60" s="95">
        <f>'Game Info'!$C$3*C60/$G$23</f>
        <v>7.3575529502581177E-3</v>
      </c>
      <c r="E60" s="38">
        <f>'Game Info'!Z21</f>
        <v>50</v>
      </c>
      <c r="F60" s="98">
        <f>D60*E60/'Game Info'!$C$2</f>
        <v>3.6787764751290586E-2</v>
      </c>
    </row>
    <row r="61" spans="2:23" x14ac:dyDescent="0.25">
      <c r="B61" s="20" t="str">
        <f t="shared" si="15"/>
        <v>J x4</v>
      </c>
      <c r="C61" s="77">
        <f t="shared" si="16"/>
        <v>48930</v>
      </c>
      <c r="D61" s="95">
        <f>'Game Info'!$C$3*C61/$G$23</f>
        <v>6.830697211902886E-3</v>
      </c>
      <c r="E61" s="38">
        <f>'Game Info'!Z22</f>
        <v>25</v>
      </c>
      <c r="F61" s="98">
        <f>D61*E61/'Game Info'!$C$2</f>
        <v>1.7076743029757216E-2</v>
      </c>
    </row>
    <row r="62" spans="2:23" x14ac:dyDescent="0.25">
      <c r="B62" s="20" t="str">
        <f t="shared" si="15"/>
        <v>10 x4</v>
      </c>
      <c r="C62" s="77">
        <f t="shared" si="16"/>
        <v>77520</v>
      </c>
      <c r="D62" s="95">
        <f>'Game Info'!$C$3*C62/$G$23</f>
        <v>1.0821901652702057E-2</v>
      </c>
      <c r="E62" s="38">
        <f>'Game Info'!Z23</f>
        <v>25</v>
      </c>
      <c r="F62" s="98">
        <f>D62*E62/'Game Info'!$C$2</f>
        <v>2.7054754131755142E-2</v>
      </c>
    </row>
    <row r="63" spans="2:23" x14ac:dyDescent="0.25">
      <c r="B63" s="23" t="str">
        <f t="shared" si="15"/>
        <v>9 x4</v>
      </c>
      <c r="C63" s="78">
        <f t="shared" si="16"/>
        <v>20736</v>
      </c>
      <c r="D63" s="97">
        <f>'Game Info'!$C$3*C63/$G$23</f>
        <v>2.8947749312490953E-3</v>
      </c>
      <c r="E63" s="40">
        <f>'Game Info'!Z24</f>
        <v>25</v>
      </c>
      <c r="F63" s="99">
        <f>D63*E63/'Game Info'!$C$2</f>
        <v>7.2369373281227388E-3</v>
      </c>
    </row>
    <row r="64" spans="2:23" x14ac:dyDescent="0.25">
      <c r="B64" s="20" t="str">
        <f t="shared" ref="B64:B75" si="17">B9 &amp; " x3"</f>
        <v>WILD x3</v>
      </c>
      <c r="C64" s="77">
        <f>C9*D9*E9*((F22-F9)*G22-SUMPRODUCT(F10:F15,G26:G31))</f>
        <v>16932</v>
      </c>
      <c r="D64" s="95">
        <f>'Game Info'!$C$3*C64/$G$23</f>
        <v>2.3637311504586074E-3</v>
      </c>
      <c r="E64" s="38">
        <f>'Game Info'!Y13</f>
        <v>100</v>
      </c>
      <c r="F64" s="98">
        <f>D64*E64/'Game Info'!$C$2</f>
        <v>2.3637311504586072E-2</v>
      </c>
    </row>
    <row r="65" spans="2:6" x14ac:dyDescent="0.25">
      <c r="B65" s="20" t="str">
        <f t="shared" si="17"/>
        <v>SYM1 x3</v>
      </c>
      <c r="C65" s="77">
        <f>(C26*D26*E26-$C$9*$D$9*$E$9)*($F$22-F26)*$G$22</f>
        <v>68544</v>
      </c>
      <c r="D65" s="95">
        <f>'Game Info'!$C$3*C65/$G$23</f>
        <v>9.5688393560733991E-3</v>
      </c>
      <c r="E65" s="38">
        <f>'Game Info'!Y14</f>
        <v>25</v>
      </c>
      <c r="F65" s="98">
        <f>D65*E65/'Game Info'!$C$2</f>
        <v>2.3922098390183496E-2</v>
      </c>
    </row>
    <row r="66" spans="2:6" x14ac:dyDescent="0.25">
      <c r="B66" s="20" t="str">
        <f t="shared" si="17"/>
        <v>SYM2 x3</v>
      </c>
      <c r="C66" s="77">
        <f t="shared" ref="C66:C75" si="18">(C27*D27*E27-$C$9*$D$9*$E$9)*($F$22-F27)*$G$22</f>
        <v>322560</v>
      </c>
      <c r="D66" s="95">
        <f>'Game Info'!$C$3*C66/$G$23</f>
        <v>4.5029832263874817E-2</v>
      </c>
      <c r="E66" s="38">
        <f>'Game Info'!Y15</f>
        <v>25</v>
      </c>
      <c r="F66" s="98">
        <f>D66*E66/'Game Info'!$C$2</f>
        <v>0.11257458065968703</v>
      </c>
    </row>
    <row r="67" spans="2:6" x14ac:dyDescent="0.25">
      <c r="B67" s="20" t="str">
        <f t="shared" si="17"/>
        <v>SYM3 x3</v>
      </c>
      <c r="C67" s="77">
        <f t="shared" si="18"/>
        <v>286272</v>
      </c>
      <c r="D67" s="95">
        <f>'Game Info'!$C$3*C67/$G$23</f>
        <v>3.9963976134188901E-2</v>
      </c>
      <c r="E67" s="38">
        <f>'Game Info'!Y16</f>
        <v>25</v>
      </c>
      <c r="F67" s="98">
        <f>D67*E67/'Game Info'!$C$2</f>
        <v>9.9909940335472264E-2</v>
      </c>
    </row>
    <row r="68" spans="2:6" x14ac:dyDescent="0.25">
      <c r="B68" s="20" t="str">
        <f t="shared" si="17"/>
        <v>SYM4 x3</v>
      </c>
      <c r="C68" s="77">
        <f t="shared" si="18"/>
        <v>140616</v>
      </c>
      <c r="D68" s="95">
        <f>'Game Info'!$C$3*C68/$G$23</f>
        <v>1.963019250253293E-2</v>
      </c>
      <c r="E68" s="38">
        <f>'Game Info'!Y17</f>
        <v>10</v>
      </c>
      <c r="F68" s="98">
        <f>D68*E68/'Game Info'!$C$2</f>
        <v>1.963019250253293E-2</v>
      </c>
    </row>
    <row r="69" spans="2:6" x14ac:dyDescent="0.25">
      <c r="B69" s="20" t="str">
        <f t="shared" si="17"/>
        <v>SYM5 x3</v>
      </c>
      <c r="C69" s="77">
        <f t="shared" si="18"/>
        <v>209664</v>
      </c>
      <c r="D69" s="95">
        <f>'Game Info'!$C$3*C69/$G$23</f>
        <v>2.9269390971518632E-2</v>
      </c>
      <c r="E69" s="38">
        <f>'Game Info'!Y18</f>
        <v>10</v>
      </c>
      <c r="F69" s="98">
        <f>D69*E69/'Game Info'!$C$2</f>
        <v>2.9269390971518632E-2</v>
      </c>
    </row>
    <row r="70" spans="2:6" x14ac:dyDescent="0.25">
      <c r="B70" s="20" t="str">
        <f t="shared" si="17"/>
        <v>A x3</v>
      </c>
      <c r="C70" s="77">
        <f t="shared" si="18"/>
        <v>558558</v>
      </c>
      <c r="D70" s="95">
        <f>'Game Info'!$C$3*C70/$G$23</f>
        <v>7.7975486885061354E-2</v>
      </c>
      <c r="E70" s="38">
        <f>'Game Info'!Y19</f>
        <v>10</v>
      </c>
      <c r="F70" s="98">
        <f>D70*E70/'Game Info'!$C$2</f>
        <v>7.7975486885061354E-2</v>
      </c>
    </row>
    <row r="71" spans="2:6" x14ac:dyDescent="0.25">
      <c r="B71" s="20" t="str">
        <f t="shared" si="17"/>
        <v>K x3</v>
      </c>
      <c r="C71" s="77">
        <f t="shared" si="18"/>
        <v>216216</v>
      </c>
      <c r="D71" s="95">
        <f>'Game Info'!$C$3*C71/$G$23</f>
        <v>3.0184059439378588E-2</v>
      </c>
      <c r="E71" s="38">
        <f>'Game Info'!Y20</f>
        <v>5</v>
      </c>
      <c r="F71" s="98">
        <f>D71*E71/'Game Info'!$C$2</f>
        <v>1.5092029719689292E-2</v>
      </c>
    </row>
    <row r="72" spans="2:6" x14ac:dyDescent="0.25">
      <c r="B72" s="20" t="str">
        <f t="shared" si="17"/>
        <v>Q x3</v>
      </c>
      <c r="C72" s="77">
        <f t="shared" si="18"/>
        <v>491904</v>
      </c>
      <c r="D72" s="95">
        <f>'Game Info'!$C$3*C72/$G$23</f>
        <v>6.8670494202409102E-2</v>
      </c>
      <c r="E72" s="38">
        <f>'Game Info'!Y21</f>
        <v>5</v>
      </c>
      <c r="F72" s="98">
        <f>D72*E72/'Game Info'!$C$2</f>
        <v>3.4335247101204551E-2</v>
      </c>
    </row>
    <row r="73" spans="2:6" x14ac:dyDescent="0.25">
      <c r="B73" s="20" t="str">
        <f t="shared" si="17"/>
        <v>J x3</v>
      </c>
      <c r="C73" s="77">
        <f t="shared" si="18"/>
        <v>293580</v>
      </c>
      <c r="D73" s="95">
        <f>'Game Info'!$C$3*C73/$G$23</f>
        <v>4.0984183271417313E-2</v>
      </c>
      <c r="E73" s="38">
        <f>'Game Info'!Y22</f>
        <v>5</v>
      </c>
      <c r="F73" s="98">
        <f>D73*E73/'Game Info'!$C$2</f>
        <v>2.0492091635708656E-2</v>
      </c>
    </row>
    <row r="74" spans="2:6" x14ac:dyDescent="0.25">
      <c r="B74" s="20" t="str">
        <f t="shared" si="17"/>
        <v>10 x3</v>
      </c>
      <c r="C74" s="77">
        <f t="shared" si="18"/>
        <v>531216</v>
      </c>
      <c r="D74" s="95">
        <f>'Game Info'!$C$3*C74/$G$23</f>
        <v>7.4158505009568845E-2</v>
      </c>
      <c r="E74" s="38">
        <f>'Game Info'!Y23</f>
        <v>5</v>
      </c>
      <c r="F74" s="98">
        <f>D74*E74/'Game Info'!$C$2</f>
        <v>3.7079252504784423E-2</v>
      </c>
    </row>
    <row r="75" spans="2:6" x14ac:dyDescent="0.25">
      <c r="B75" s="23" t="str">
        <f t="shared" si="17"/>
        <v>9 x3</v>
      </c>
      <c r="C75" s="78">
        <f t="shared" si="18"/>
        <v>120960</v>
      </c>
      <c r="D75" s="97">
        <f>'Game Info'!$C$3*C75/$G$23</f>
        <v>1.6886187098953058E-2</v>
      </c>
      <c r="E75" s="40">
        <f>'Game Info'!Y24</f>
        <v>5</v>
      </c>
      <c r="F75" s="99">
        <f>D75*E75/'Game Info'!$C$2</f>
        <v>8.443093549476529E-3</v>
      </c>
    </row>
  </sheetData>
  <phoneticPr fontId="6" type="noConversion"/>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Game Info</vt:lpstr>
      <vt:lpstr>BG</vt:lpstr>
      <vt:lpstr>FG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2022-05-30T18:06:38Z</dcterms:modified>
</cp:coreProperties>
</file>