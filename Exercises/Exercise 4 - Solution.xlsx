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filterPrivacy="1"/>
  <xr:revisionPtr revIDLastSave="0" documentId="13_ncr:1_{6C7CBC4E-6FCB-4495-8E4E-7C4BCA06E99B}" xr6:coauthVersionLast="47" xr6:coauthVersionMax="47" xr10:uidLastSave="{00000000-0000-0000-0000-000000000000}"/>
  <bookViews>
    <workbookView xWindow="-23148" yWindow="-2244" windowWidth="23256" windowHeight="13176" activeTab="1" xr2:uid="{00000000-000D-0000-FFFF-FFFF00000000}"/>
  </bookViews>
  <sheets>
    <sheet name="Game Info" sheetId="1" r:id="rId1"/>
    <sheet name="BG" sheetId="2" r:id="rId2"/>
    <sheet name="Symbol Distributio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" i="2" l="1"/>
  <c r="E26" i="2"/>
  <c r="D26" i="2"/>
  <c r="C26" i="2"/>
  <c r="C28" i="2" s="1"/>
  <c r="G103" i="2"/>
  <c r="G102" i="2"/>
  <c r="G101" i="2"/>
  <c r="G93" i="2"/>
  <c r="G92" i="2"/>
  <c r="G91" i="2"/>
  <c r="G83" i="2"/>
  <c r="G78" i="2"/>
  <c r="G70" i="2"/>
  <c r="G62" i="2"/>
  <c r="G54" i="2"/>
  <c r="G46" i="2"/>
  <c r="G96" i="2" l="1"/>
  <c r="G99" i="2"/>
  <c r="D89" i="2"/>
  <c r="G88" i="2"/>
  <c r="C88" i="2"/>
  <c r="B87" i="2"/>
  <c r="G86" i="2"/>
  <c r="D86" i="2"/>
  <c r="C86" i="2"/>
  <c r="D85" i="2"/>
  <c r="B85" i="2"/>
  <c r="G84" i="2"/>
  <c r="C84" i="2"/>
  <c r="B84" i="2"/>
  <c r="G89" i="2"/>
  <c r="D83" i="2"/>
  <c r="C83" i="2"/>
  <c r="D81" i="2"/>
  <c r="C81" i="2"/>
  <c r="D80" i="2"/>
  <c r="B80" i="2"/>
  <c r="C79" i="2"/>
  <c r="B79" i="2"/>
  <c r="G81" i="2"/>
  <c r="D78" i="2"/>
  <c r="C78" i="2"/>
  <c r="G76" i="2"/>
  <c r="D76" i="2"/>
  <c r="C75" i="2"/>
  <c r="G74" i="2"/>
  <c r="B74" i="2"/>
  <c r="D73" i="2"/>
  <c r="C73" i="2"/>
  <c r="D72" i="2"/>
  <c r="B72" i="2"/>
  <c r="G71" i="2"/>
  <c r="C71" i="2"/>
  <c r="B71" i="2"/>
  <c r="G72" i="2"/>
  <c r="D70" i="2"/>
  <c r="C70" i="2"/>
  <c r="D68" i="2"/>
  <c r="G67" i="2"/>
  <c r="C67" i="2"/>
  <c r="B66" i="2"/>
  <c r="G65" i="2"/>
  <c r="D65" i="2"/>
  <c r="C65" i="2"/>
  <c r="D64" i="2"/>
  <c r="B64" i="2"/>
  <c r="C63" i="2"/>
  <c r="B63" i="2"/>
  <c r="G68" i="2"/>
  <c r="D62" i="2"/>
  <c r="C62" i="2"/>
  <c r="G60" i="2"/>
  <c r="D60" i="2"/>
  <c r="C59" i="2"/>
  <c r="G58" i="2"/>
  <c r="B58" i="2"/>
  <c r="C57" i="2"/>
  <c r="G56" i="2"/>
  <c r="B56" i="2"/>
  <c r="C55" i="2"/>
  <c r="B55" i="2"/>
  <c r="G59" i="2"/>
  <c r="C54" i="2"/>
  <c r="D52" i="2"/>
  <c r="C51" i="2"/>
  <c r="B50" i="2"/>
  <c r="D49" i="2"/>
  <c r="C49" i="2"/>
  <c r="G48" i="2"/>
  <c r="D48" i="2"/>
  <c r="B48" i="2"/>
  <c r="C47" i="2"/>
  <c r="B47" i="2"/>
  <c r="G51" i="2"/>
  <c r="D46" i="2"/>
  <c r="C46" i="2"/>
  <c r="O10" i="4"/>
  <c r="N10" i="4"/>
  <c r="M10" i="4"/>
  <c r="J10" i="4"/>
  <c r="I10" i="4"/>
  <c r="H10" i="4"/>
  <c r="E10" i="4"/>
  <c r="D10" i="4"/>
  <c r="C10" i="4"/>
  <c r="O9" i="4"/>
  <c r="N9" i="4"/>
  <c r="M9" i="4"/>
  <c r="J9" i="4"/>
  <c r="I9" i="4"/>
  <c r="H9" i="4"/>
  <c r="E9" i="4"/>
  <c r="D9" i="4"/>
  <c r="C9" i="4"/>
  <c r="O8" i="4"/>
  <c r="N8" i="4"/>
  <c r="M8" i="4"/>
  <c r="J8" i="4"/>
  <c r="I8" i="4"/>
  <c r="H8" i="4"/>
  <c r="E8" i="4"/>
  <c r="D8" i="4"/>
  <c r="C8" i="4"/>
  <c r="O7" i="4"/>
  <c r="N7" i="4"/>
  <c r="M7" i="4"/>
  <c r="J7" i="4"/>
  <c r="J11" i="4" s="1"/>
  <c r="I7" i="4"/>
  <c r="H7" i="4"/>
  <c r="E7" i="4"/>
  <c r="D7" i="4"/>
  <c r="D11" i="4" s="1"/>
  <c r="C7" i="4"/>
  <c r="O6" i="4"/>
  <c r="N6" i="4"/>
  <c r="M6" i="4"/>
  <c r="M11" i="4" s="1"/>
  <c r="J6" i="4"/>
  <c r="I6" i="4"/>
  <c r="H6" i="4"/>
  <c r="E6" i="4"/>
  <c r="E11" i="4" s="1"/>
  <c r="D6" i="4"/>
  <c r="C6" i="4"/>
  <c r="O5" i="4"/>
  <c r="N5" i="4"/>
  <c r="N11" i="4" s="1"/>
  <c r="M5" i="4"/>
  <c r="J5" i="4"/>
  <c r="I5" i="4"/>
  <c r="H5" i="4"/>
  <c r="H11" i="4" s="1"/>
  <c r="E5" i="4"/>
  <c r="D5" i="4"/>
  <c r="C5" i="4"/>
  <c r="O4" i="4"/>
  <c r="O11" i="4" s="1"/>
  <c r="N4" i="4"/>
  <c r="M4" i="4"/>
  <c r="J4" i="4"/>
  <c r="I4" i="4"/>
  <c r="I11" i="4" s="1"/>
  <c r="H4" i="4"/>
  <c r="E4" i="4"/>
  <c r="D4" i="4"/>
  <c r="C4" i="4"/>
  <c r="C11" i="4" s="1"/>
  <c r="G79" i="2" l="1"/>
  <c r="G80" i="2"/>
  <c r="G47" i="2"/>
  <c r="G50" i="2"/>
  <c r="G52" i="2"/>
  <c r="G64" i="2"/>
  <c r="G85" i="2"/>
  <c r="G97" i="2"/>
  <c r="G55" i="2"/>
  <c r="G57" i="2"/>
  <c r="G63" i="2"/>
  <c r="G66" i="2"/>
  <c r="G73" i="2"/>
  <c r="G75" i="2"/>
  <c r="G87" i="2"/>
  <c r="G94" i="2"/>
  <c r="G98" i="2"/>
  <c r="G49" i="2"/>
  <c r="G95" i="2"/>
  <c r="C12" i="2"/>
  <c r="H12" i="2"/>
  <c r="I12" i="2"/>
  <c r="J12" i="2"/>
  <c r="M12" i="2"/>
  <c r="N12" i="2"/>
  <c r="O12" i="2"/>
  <c r="H13" i="2"/>
  <c r="I13" i="2"/>
  <c r="J13" i="2"/>
  <c r="M13" i="2"/>
  <c r="N13" i="2"/>
  <c r="O13" i="2"/>
  <c r="H14" i="2"/>
  <c r="I14" i="2"/>
  <c r="J14" i="2"/>
  <c r="M14" i="2"/>
  <c r="N14" i="2"/>
  <c r="O14" i="2"/>
  <c r="H15" i="2"/>
  <c r="I15" i="2"/>
  <c r="J15" i="2"/>
  <c r="M15" i="2"/>
  <c r="N15" i="2"/>
  <c r="O15" i="2"/>
  <c r="H16" i="2"/>
  <c r="I16" i="2"/>
  <c r="J16" i="2"/>
  <c r="M16" i="2"/>
  <c r="N16" i="2"/>
  <c r="O16" i="2"/>
  <c r="H17" i="2"/>
  <c r="I17" i="2"/>
  <c r="J17" i="2"/>
  <c r="M17" i="2"/>
  <c r="N17" i="2"/>
  <c r="O17" i="2"/>
  <c r="H18" i="2"/>
  <c r="I18" i="2"/>
  <c r="J18" i="2"/>
  <c r="M18" i="2"/>
  <c r="N18" i="2"/>
  <c r="O18" i="2"/>
  <c r="D12" i="2"/>
  <c r="E12" i="2"/>
  <c r="C13" i="2"/>
  <c r="D13" i="2"/>
  <c r="E13" i="2"/>
  <c r="C14" i="2"/>
  <c r="D14" i="2"/>
  <c r="E14" i="2"/>
  <c r="C15" i="2"/>
  <c r="D15" i="2"/>
  <c r="E15" i="2"/>
  <c r="C16" i="2"/>
  <c r="D16" i="2"/>
  <c r="E16" i="2"/>
  <c r="C17" i="2"/>
  <c r="D17" i="2"/>
  <c r="E17" i="2"/>
  <c r="C18" i="2"/>
  <c r="D18" i="2"/>
  <c r="E18" i="2"/>
  <c r="I4" i="2"/>
  <c r="I3" i="2"/>
  <c r="C17" i="4"/>
  <c r="D17" i="4"/>
  <c r="E17" i="4"/>
  <c r="F17" i="4"/>
  <c r="G17" i="4"/>
  <c r="H17" i="4"/>
  <c r="C18" i="4"/>
  <c r="D18" i="4"/>
  <c r="E18" i="4"/>
  <c r="F18" i="4"/>
  <c r="G18" i="4"/>
  <c r="H18" i="4"/>
  <c r="C19" i="4"/>
  <c r="D19" i="4"/>
  <c r="E19" i="4"/>
  <c r="F19" i="4"/>
  <c r="G19" i="4"/>
  <c r="H19" i="4"/>
  <c r="C20" i="4"/>
  <c r="D20" i="4"/>
  <c r="E20" i="4"/>
  <c r="F20" i="4"/>
  <c r="G20" i="4"/>
  <c r="H20" i="4"/>
  <c r="C21" i="4"/>
  <c r="D21" i="4"/>
  <c r="E21" i="4"/>
  <c r="F21" i="4"/>
  <c r="G21" i="4"/>
  <c r="H21" i="4"/>
  <c r="C22" i="4"/>
  <c r="D22" i="4"/>
  <c r="E22" i="4"/>
  <c r="F22" i="4"/>
  <c r="G22" i="4"/>
  <c r="H22" i="4"/>
  <c r="C23" i="4"/>
  <c r="D23" i="4"/>
  <c r="E23" i="4"/>
  <c r="F23" i="4"/>
  <c r="G23" i="4"/>
  <c r="H23" i="4"/>
  <c r="C24" i="4"/>
  <c r="D24" i="4"/>
  <c r="E24" i="4"/>
  <c r="F24" i="4"/>
  <c r="G24" i="4"/>
  <c r="H24" i="4"/>
  <c r="C25" i="4"/>
  <c r="D25" i="4"/>
  <c r="E25" i="4"/>
  <c r="F25" i="4"/>
  <c r="G25" i="4"/>
  <c r="H25" i="4"/>
  <c r="C26" i="4"/>
  <c r="D26" i="4"/>
  <c r="E26" i="4"/>
  <c r="F26" i="4"/>
  <c r="G26" i="4"/>
  <c r="H26" i="4"/>
  <c r="C27" i="4"/>
  <c r="D27" i="4"/>
  <c r="E27" i="4"/>
  <c r="F27" i="4"/>
  <c r="G27" i="4"/>
  <c r="H27" i="4"/>
  <c r="C28" i="4"/>
  <c r="D28" i="4"/>
  <c r="E28" i="4"/>
  <c r="F28" i="4"/>
  <c r="G28" i="4"/>
  <c r="H28" i="4"/>
  <c r="C29" i="4"/>
  <c r="D29" i="4"/>
  <c r="E29" i="4"/>
  <c r="F29" i="4"/>
  <c r="G29" i="4"/>
  <c r="H29" i="4"/>
  <c r="C30" i="4"/>
  <c r="D30" i="4"/>
  <c r="E30" i="4"/>
  <c r="F30" i="4"/>
  <c r="G30" i="4"/>
  <c r="H30" i="4"/>
  <c r="C31" i="4"/>
  <c r="D31" i="4"/>
  <c r="E31" i="4"/>
  <c r="F31" i="4"/>
  <c r="G31" i="4"/>
  <c r="H31" i="4"/>
  <c r="C32" i="4"/>
  <c r="D32" i="4"/>
  <c r="E32" i="4"/>
  <c r="F32" i="4"/>
  <c r="G32" i="4"/>
  <c r="H32" i="4"/>
  <c r="C33" i="4"/>
  <c r="D33" i="4"/>
  <c r="E33" i="4"/>
  <c r="F33" i="4"/>
  <c r="G33" i="4"/>
  <c r="H33" i="4"/>
  <c r="C34" i="4"/>
  <c r="D34" i="4"/>
  <c r="E34" i="4"/>
  <c r="F34" i="4"/>
  <c r="G34" i="4"/>
  <c r="H34" i="4"/>
  <c r="C35" i="4"/>
  <c r="C15" i="4" s="1"/>
  <c r="D35" i="4"/>
  <c r="D15" i="4" s="1"/>
  <c r="E35" i="4"/>
  <c r="E15" i="4" s="1"/>
  <c r="F35" i="4"/>
  <c r="F15" i="4" s="1"/>
  <c r="G35" i="4"/>
  <c r="G15" i="4" s="1"/>
  <c r="H35" i="4"/>
  <c r="H15" i="4" s="1"/>
  <c r="D16" i="4"/>
  <c r="D36" i="4" s="1"/>
  <c r="E16" i="4"/>
  <c r="E36" i="4" s="1"/>
  <c r="F16" i="4"/>
  <c r="F36" i="4" s="1"/>
  <c r="G16" i="4"/>
  <c r="G36" i="4" s="1"/>
  <c r="H16" i="4"/>
  <c r="H36" i="4" s="1"/>
  <c r="C16" i="4"/>
  <c r="C36" i="4" s="1"/>
  <c r="C29" i="2" l="1"/>
  <c r="C34" i="2"/>
  <c r="C30" i="2"/>
  <c r="E34" i="2"/>
  <c r="E33" i="2"/>
  <c r="C32" i="2"/>
  <c r="E29" i="2"/>
  <c r="D33" i="2"/>
  <c r="D29" i="2"/>
  <c r="C33" i="2"/>
  <c r="E32" i="2"/>
  <c r="C31" i="2"/>
  <c r="E30" i="2"/>
  <c r="E28" i="2"/>
  <c r="E31" i="2"/>
  <c r="D31" i="2"/>
  <c r="D34" i="2"/>
  <c r="D32" i="2"/>
  <c r="D30" i="2"/>
  <c r="D28" i="2"/>
  <c r="H19" i="2"/>
  <c r="N19" i="2"/>
  <c r="M19" i="2"/>
  <c r="O19" i="2"/>
  <c r="I19" i="2"/>
  <c r="J19" i="2"/>
  <c r="E19" i="2"/>
  <c r="D19" i="2"/>
  <c r="C19" i="2"/>
  <c r="E89" i="2" l="1"/>
  <c r="E88" i="2"/>
  <c r="E87" i="2"/>
  <c r="E86" i="2"/>
  <c r="E85" i="2"/>
  <c r="E84" i="2"/>
  <c r="E83" i="2"/>
  <c r="E52" i="2"/>
  <c r="E76" i="2"/>
  <c r="E68" i="2"/>
  <c r="E60" i="2"/>
  <c r="E65" i="2"/>
  <c r="E67" i="2"/>
  <c r="E62" i="2"/>
  <c r="E66" i="2"/>
  <c r="E63" i="2"/>
  <c r="E64" i="2"/>
  <c r="E59" i="2"/>
  <c r="E57" i="2"/>
  <c r="E54" i="2"/>
  <c r="E58" i="2"/>
  <c r="E55" i="2"/>
  <c r="E56" i="2"/>
  <c r="E73" i="2"/>
  <c r="E75" i="2"/>
  <c r="E71" i="2"/>
  <c r="E72" i="2"/>
  <c r="E70" i="2"/>
  <c r="E74" i="2"/>
  <c r="E49" i="2"/>
  <c r="E51" i="2"/>
  <c r="E46" i="2"/>
  <c r="E50" i="2"/>
  <c r="E47" i="2"/>
  <c r="E48" i="2"/>
  <c r="E44" i="2"/>
  <c r="C39" i="2"/>
  <c r="C35" i="2"/>
  <c r="C40" i="2" s="1"/>
  <c r="E39" i="2"/>
  <c r="D39" i="2"/>
  <c r="E35" i="2"/>
  <c r="E40" i="2" s="1"/>
  <c r="E97" i="2" s="1"/>
  <c r="D35" i="2"/>
  <c r="D40" i="2" s="1"/>
  <c r="J20" i="2"/>
  <c r="O20" i="2"/>
  <c r="E20" i="2"/>
  <c r="F85" i="2" s="1"/>
  <c r="E81" i="2" l="1"/>
  <c r="F81" i="2" s="1"/>
  <c r="H81" i="2" s="1"/>
  <c r="E79" i="2"/>
  <c r="F79" i="2" s="1"/>
  <c r="H79" i="2" s="1"/>
  <c r="E80" i="2"/>
  <c r="F80" i="2" s="1"/>
  <c r="H80" i="2" s="1"/>
  <c r="E78" i="2"/>
  <c r="F78" i="2" s="1"/>
  <c r="H78" i="2" s="1"/>
  <c r="E101" i="2"/>
  <c r="E103" i="2"/>
  <c r="E102" i="2"/>
  <c r="F102" i="2" s="1"/>
  <c r="H102" i="2" s="1"/>
  <c r="E98" i="2"/>
  <c r="E99" i="2"/>
  <c r="F99" i="2" s="1"/>
  <c r="H99" i="2" s="1"/>
  <c r="E91" i="2"/>
  <c r="F91" i="2" s="1"/>
  <c r="H91" i="2" s="1"/>
  <c r="F97" i="2"/>
  <c r="H97" i="2" s="1"/>
  <c r="E95" i="2"/>
  <c r="E94" i="2"/>
  <c r="F94" i="2" s="1"/>
  <c r="H94" i="2" s="1"/>
  <c r="E96" i="2"/>
  <c r="F96" i="2" s="1"/>
  <c r="H96" i="2" s="1"/>
  <c r="E93" i="2"/>
  <c r="F93" i="2" s="1"/>
  <c r="H93" i="2" s="1"/>
  <c r="E92" i="2"/>
  <c r="E36" i="2"/>
  <c r="F88" i="2"/>
  <c r="H88" i="2" s="1"/>
  <c r="F48" i="2"/>
  <c r="H48" i="2" s="1"/>
  <c r="F57" i="2"/>
  <c r="H57" i="2" s="1"/>
  <c r="F72" i="2"/>
  <c r="H72" i="2" s="1"/>
  <c r="F76" i="2"/>
  <c r="H76" i="2" s="1"/>
  <c r="F56" i="2"/>
  <c r="H56" i="2" s="1"/>
  <c r="F50" i="2"/>
  <c r="H50" i="2" s="1"/>
  <c r="F70" i="2"/>
  <c r="H70" i="2" s="1"/>
  <c r="F86" i="2"/>
  <c r="H86" i="2" s="1"/>
  <c r="F58" i="2"/>
  <c r="H58" i="2" s="1"/>
  <c r="F49" i="2"/>
  <c r="H49" i="2" s="1"/>
  <c r="F89" i="2"/>
  <c r="H89" i="2" s="1"/>
  <c r="F75" i="2"/>
  <c r="H75" i="2" s="1"/>
  <c r="F60" i="2"/>
  <c r="H60" i="2" s="1"/>
  <c r="F55" i="2"/>
  <c r="H55" i="2" s="1"/>
  <c r="F64" i="2"/>
  <c r="H64" i="2" s="1"/>
  <c r="F83" i="2"/>
  <c r="H83" i="2" s="1"/>
  <c r="F51" i="2"/>
  <c r="H51" i="2" s="1"/>
  <c r="F87" i="2"/>
  <c r="H87" i="2" s="1"/>
  <c r="F59" i="2"/>
  <c r="H59" i="2" s="1"/>
  <c r="F62" i="2"/>
  <c r="H62" i="2" s="1"/>
  <c r="F54" i="2"/>
  <c r="H54" i="2" s="1"/>
  <c r="F46" i="2"/>
  <c r="H46" i="2" s="1"/>
  <c r="F73" i="2"/>
  <c r="H73" i="2" s="1"/>
  <c r="F74" i="2"/>
  <c r="H74" i="2" s="1"/>
  <c r="F67" i="2"/>
  <c r="H67" i="2" s="1"/>
  <c r="F68" i="2"/>
  <c r="H68" i="2" s="1"/>
  <c r="F52" i="2"/>
  <c r="H52" i="2" s="1"/>
  <c r="F71" i="2"/>
  <c r="H71" i="2" s="1"/>
  <c r="F65" i="2"/>
  <c r="H65" i="2" s="1"/>
  <c r="F84" i="2"/>
  <c r="H84" i="2" s="1"/>
  <c r="F63" i="2"/>
  <c r="H63" i="2" s="1"/>
  <c r="F47" i="2"/>
  <c r="H47" i="2" s="1"/>
  <c r="F66" i="2"/>
  <c r="H66" i="2" s="1"/>
  <c r="H85" i="2"/>
  <c r="F44" i="2"/>
  <c r="I5" i="2" s="1"/>
  <c r="I6" i="2" s="1"/>
  <c r="I7" i="2" s="1"/>
  <c r="C3" i="2" s="1"/>
  <c r="H44" i="2" l="1"/>
  <c r="F101" i="2"/>
  <c r="H101" i="2" s="1"/>
  <c r="F92" i="2"/>
  <c r="H92" i="2" s="1"/>
  <c r="F95" i="2"/>
  <c r="H95" i="2" s="1"/>
  <c r="F98" i="2"/>
  <c r="H98" i="2" s="1"/>
  <c r="F103" i="2"/>
  <c r="H103" i="2" s="1"/>
  <c r="C23" i="2" l="1"/>
  <c r="F3" i="2" l="1"/>
  <c r="C2" i="2" s="1"/>
  <c r="C4" i="2" s="1"/>
</calcChain>
</file>

<file path=xl/sharedStrings.xml><?xml version="1.0" encoding="utf-8"?>
<sst xmlns="http://schemas.openxmlformats.org/spreadsheetml/2006/main" count="365" uniqueCount="70">
  <si>
    <t>Pos.</t>
  </si>
  <si>
    <t>Reel 1</t>
  </si>
  <si>
    <t>Reel 2</t>
  </si>
  <si>
    <t>Reel 3</t>
  </si>
  <si>
    <t>WILD</t>
  </si>
  <si>
    <t>Lines</t>
  </si>
  <si>
    <t>Total</t>
  </si>
  <si>
    <t>Symbol</t>
  </si>
  <si>
    <t>Cycle</t>
  </si>
  <si>
    <t>2x</t>
  </si>
  <si>
    <t>3x</t>
  </si>
  <si>
    <t>Hits</t>
  </si>
  <si>
    <t>Prob</t>
  </si>
  <si>
    <t>Pay</t>
  </si>
  <si>
    <t>BASE GAME REELS</t>
  </si>
  <si>
    <t>PAYTABLE</t>
  </si>
  <si>
    <t>GAME RULES</t>
  </si>
  <si>
    <t>--</t>
  </si>
  <si>
    <t>Total Bet</t>
  </si>
  <si>
    <t>PAY LINES</t>
  </si>
  <si>
    <t>X</t>
  </si>
  <si>
    <t>Weight 1</t>
  </si>
  <si>
    <t>Weight 2</t>
  </si>
  <si>
    <t>Weight 3</t>
  </si>
  <si>
    <t>Line 1</t>
  </si>
  <si>
    <t>Line 2</t>
  </si>
  <si>
    <t>Line 3</t>
  </si>
  <si>
    <t>BLANK</t>
  </si>
  <si>
    <t>BAR3</t>
  </si>
  <si>
    <t>BAR2</t>
  </si>
  <si>
    <t>SEVEN</t>
  </si>
  <si>
    <t>BAR1</t>
  </si>
  <si>
    <t>CHERRY</t>
  </si>
  <si>
    <t>ANYBAR</t>
  </si>
  <si>
    <t>1x</t>
  </si>
  <si>
    <t>* Weights are offset based on the center row.</t>
  </si>
  <si>
    <t>Jackpot</t>
  </si>
  <si>
    <t>Jackpot Info</t>
  </si>
  <si>
    <t>Startup</t>
  </si>
  <si>
    <t>Increment%</t>
  </si>
  <si>
    <t>Return</t>
  </si>
  <si>
    <t>Line 4</t>
  </si>
  <si>
    <t>Line 5</t>
  </si>
  <si>
    <t>Symbol Distribution - Row 0</t>
  </si>
  <si>
    <t>Symbol Distribution - Row 1</t>
  </si>
  <si>
    <t>Symbol Distribution - Row 2</t>
  </si>
  <si>
    <t>&lt;-- Line 1, only</t>
  </si>
  <si>
    <t>&lt;-- Lines 2 through 5, only</t>
  </si>
  <si>
    <t>Total RTP</t>
  </si>
  <si>
    <t>Line</t>
  </si>
  <si>
    <t>Odds</t>
  </si>
  <si>
    <t>Increment %</t>
  </si>
  <si>
    <t>Avg Value</t>
  </si>
  <si>
    <t>Combinations</t>
  </si>
  <si>
    <t>Return (excluding JP)</t>
  </si>
  <si>
    <t>Line Return</t>
  </si>
  <si>
    <t>JP Return</t>
  </si>
  <si>
    <t>NO CHERRY</t>
  </si>
  <si>
    <t>&lt;-- CHERRY pays anywhere on a line</t>
  </si>
  <si>
    <t>Reel 4</t>
  </si>
  <si>
    <t>Reel 5</t>
  </si>
  <si>
    <t>Reel 6</t>
  </si>
  <si>
    <t>Reel 7</t>
  </si>
  <si>
    <t>Reel 8</t>
  </si>
  <si>
    <t>Reel 9</t>
  </si>
  <si>
    <r>
      <t xml:space="preserve">WILD matches any other symbol on the payline.
Wins with exactly one WILD pay 2x the regular win amount.
Wins with exactly two WILD pay 4x the regular win amount.
</t>
    </r>
    <r>
      <rPr>
        <sz val="11"/>
        <color rgb="FFFF0000"/>
        <rFont val="Calibri"/>
        <family val="2"/>
        <scheme val="minor"/>
      </rPr>
      <t>The progressive jackpot is won by getting 3x WILD on line 1.</t>
    </r>
  </si>
  <si>
    <t>Derived Symbols</t>
  </si>
  <si>
    <t>Symbol Distribution - LINE X</t>
  </si>
  <si>
    <t>Line: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</si>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</sst>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7" fillId="5" borderId="0" applyNumberFormat="0" applyBorder="0" applyAlignment="0" applyProtection="0"/>
  </cellStyleXfs>
  <cellXfs count="121">
    <xf numFmtId="0" fontId="0" fillId="0" borderId="0" xfId="0"/>
    <xf numFmtId="0" fontId="2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12" xfId="0" applyFont="1" applyFill="1" applyBorder="1" applyAlignment="1">
      <alignment horizontal="center"/>
    </xf>
    <xf numFmtId="0" fontId="0" fillId="3" borderId="1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4" fillId="3" borderId="12" xfId="0" applyNumberFormat="1" applyFont="1" applyFill="1" applyBorder="1" applyAlignment="1">
      <alignment horizontal="center"/>
    </xf>
    <xf numFmtId="0" fontId="4" fillId="3" borderId="13" xfId="0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2" fillId="0" borderId="6" xfId="0" applyFont="1" applyBorder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applyFont="1" applyAlignment="1">
      <alignment horizontal="left"/>
    </xf>
    <xf numFmtId="49" fontId="4" fillId="0" borderId="5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8" xfId="0" quotePrefix="1" applyBorder="1" applyAlignment="1">
      <alignment horizontal="center"/>
    </xf>
    <xf numFmtId="10" fontId="0" fillId="4" borderId="0" xfId="0" applyNumberFormat="1" applyFill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7" fillId="5" borderId="1" xfId="5" applyBorder="1" applyAlignment="1">
      <alignment horizontal="center"/>
    </xf>
    <xf numFmtId="0" fontId="0" fillId="0" borderId="5" xfId="0" applyNumberFormat="1" applyFont="1" applyBorder="1" applyAlignment="1">
      <alignment horizontal="center"/>
    </xf>
    <xf numFmtId="0" fontId="4" fillId="3" borderId="14" xfId="0" applyNumberFormat="1" applyFont="1" applyFill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0" fontId="0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2" fillId="0" borderId="6" xfId="0" applyNumberFormat="1" applyFont="1" applyBorder="1" applyAlignment="1">
      <alignment horizontal="center"/>
    </xf>
    <xf numFmtId="0" fontId="2" fillId="0" borderId="9" xfId="0" applyNumberFormat="1" applyFont="1" applyBorder="1" applyAlignment="1">
      <alignment horizontal="center"/>
    </xf>
    <xf numFmtId="49" fontId="4" fillId="6" borderId="5" xfId="0" applyNumberFormat="1" applyFont="1" applyFill="1" applyBorder="1" applyAlignment="1">
      <alignment horizontal="center"/>
    </xf>
    <xf numFmtId="0" fontId="2" fillId="6" borderId="6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49" fontId="4" fillId="6" borderId="7" xfId="0" applyNumberFormat="1" applyFont="1" applyFill="1" applyBorder="1" applyAlignment="1">
      <alignment horizontal="center"/>
    </xf>
    <xf numFmtId="0" fontId="2" fillId="6" borderId="9" xfId="0" applyNumberFormat="1" applyFont="1" applyFill="1" applyBorder="1" applyAlignment="1">
      <alignment horizontal="center"/>
    </xf>
    <xf numFmtId="49" fontId="4" fillId="6" borderId="0" xfId="0" applyNumberFormat="1" applyFont="1" applyFill="1" applyBorder="1" applyAlignment="1">
      <alignment horizontal="center"/>
    </xf>
    <xf numFmtId="0" fontId="0" fillId="0" borderId="0" xfId="0" applyNumberFormat="1"/>
    <xf numFmtId="49" fontId="4" fillId="7" borderId="12" xfId="0" applyNumberFormat="1" applyFont="1" applyFill="1" applyBorder="1" applyAlignment="1">
      <alignment horizontal="center"/>
    </xf>
    <xf numFmtId="0" fontId="4" fillId="7" borderId="12" xfId="0" applyNumberFormat="1" applyFont="1" applyFill="1" applyBorder="1" applyAlignment="1">
      <alignment horizontal="center"/>
    </xf>
    <xf numFmtId="0" fontId="2" fillId="7" borderId="13" xfId="0" applyNumberFormat="1" applyFont="1" applyFill="1" applyBorder="1" applyAlignment="1">
      <alignment horizontal="center"/>
    </xf>
    <xf numFmtId="0" fontId="3" fillId="0" borderId="0" xfId="0" applyFont="1"/>
    <xf numFmtId="0" fontId="0" fillId="0" borderId="0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4" fillId="7" borderId="14" xfId="0" quotePrefix="1" applyNumberFormat="1" applyFont="1" applyFill="1" applyBorder="1" applyAlignment="1">
      <alignment horizontal="center"/>
    </xf>
    <xf numFmtId="49" fontId="4" fillId="6" borderId="8" xfId="0" applyNumberFormat="1" applyFont="1" applyFill="1" applyBorder="1" applyAlignment="1">
      <alignment horizontal="center"/>
    </xf>
    <xf numFmtId="49" fontId="4" fillId="7" borderId="14" xfId="0" applyNumberFormat="1" applyFont="1" applyFill="1" applyBorder="1" applyAlignment="1">
      <alignment horizontal="center"/>
    </xf>
    <xf numFmtId="0" fontId="4" fillId="7" borderId="14" xfId="0" applyNumberFormat="1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0" borderId="0" xfId="0" applyFont="1" applyAlignment="1"/>
    <xf numFmtId="10" fontId="0" fillId="0" borderId="0" xfId="0" applyNumberFormat="1" applyFont="1" applyAlignment="1">
      <alignment horizontal="center"/>
    </xf>
    <xf numFmtId="0" fontId="0" fillId="0" borderId="2" xfId="0" applyFont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10" fontId="2" fillId="0" borderId="9" xfId="0" applyNumberFormat="1" applyFont="1" applyBorder="1" applyAlignment="1">
      <alignment horizontal="center"/>
    </xf>
    <xf numFmtId="10" fontId="3" fillId="8" borderId="1" xfId="0" applyNumberFormat="1" applyFon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0" fillId="0" borderId="8" xfId="1" applyNumberFormat="1" applyFont="1" applyBorder="1" applyAlignment="1">
      <alignment horizontal="center"/>
    </xf>
    <xf numFmtId="10" fontId="0" fillId="0" borderId="0" xfId="1" applyNumberFormat="1" applyFont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3" xfId="0" quotePrefix="1" applyBorder="1" applyAlignment="1">
      <alignment horizontal="center"/>
    </xf>
    <xf numFmtId="10" fontId="0" fillId="0" borderId="3" xfId="1" applyNumberFormat="1" applyFont="1" applyBorder="1" applyAlignment="1">
      <alignment horizontal="center"/>
    </xf>
    <xf numFmtId="0" fontId="0" fillId="4" borderId="0" xfId="0" applyFill="1" applyAlignment="1">
      <alignment horizontal="center"/>
    </xf>
    <xf numFmtId="3" fontId="0" fillId="2" borderId="4" xfId="0" applyNumberFormat="1" applyFill="1" applyBorder="1" applyAlignment="1">
      <alignment horizontal="center"/>
    </xf>
    <xf numFmtId="10" fontId="0" fillId="2" borderId="6" xfId="1" applyNumberFormat="1" applyFont="1" applyFill="1" applyBorder="1" applyAlignment="1">
      <alignment horizontal="center"/>
    </xf>
    <xf numFmtId="3" fontId="0" fillId="4" borderId="6" xfId="0" applyNumberFormat="1" applyFill="1" applyBorder="1" applyAlignment="1">
      <alignment horizontal="center"/>
    </xf>
    <xf numFmtId="10" fontId="0" fillId="4" borderId="9" xfId="1" applyNumberFormat="1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  <xf numFmtId="0" fontId="0" fillId="0" borderId="4" xfId="0" applyFont="1" applyBorder="1" applyAlignment="1">
      <alignment horizontal="left" vertical="top" wrapText="1"/>
    </xf>
    <xf numFmtId="0" fontId="0" fillId="0" borderId="5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left" vertical="top" wrapText="1"/>
    </xf>
    <xf numFmtId="0" fontId="0" fillId="0" borderId="6" xfId="0" applyFont="1" applyBorder="1" applyAlignment="1">
      <alignment horizontal="left" vertical="top" wrapText="1"/>
    </xf>
    <xf numFmtId="0" fontId="0" fillId="0" borderId="7" xfId="0" applyFont="1" applyBorder="1" applyAlignment="1">
      <alignment horizontal="left" vertical="top" wrapText="1"/>
    </xf>
    <xf numFmtId="0" fontId="0" fillId="0" borderId="8" xfId="0" applyFont="1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0" fillId="8" borderId="0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1" xfId="0" applyFill="1" applyBorder="1" applyAlignment="1">
      <alignment horizontal="center"/>
    </xf>
    <xf numFmtId="0" fontId="3" fillId="8" borderId="0" xfId="0" applyFont="1" applyFill="1"/>
    <xf numFmtId="0" fontId="0" fillId="8" borderId="0" xfId="0" applyFill="1"/>
    <xf numFmtId="0" fontId="0" fillId="8" borderId="0" xfId="0" applyFont="1" applyFill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3" fillId="8" borderId="0" xfId="0" applyFont="1" applyFill="1" applyAlignment="1">
      <alignment horizontal="left"/>
    </xf>
    <xf numFmtId="0" fontId="0" fillId="8" borderId="15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10" fontId="3" fillId="9" borderId="1" xfId="0" applyNumberFormat="1" applyFont="1" applyFill="1" applyBorder="1" applyAlignment="1">
      <alignment horizontal="center"/>
    </xf>
    <xf numFmtId="0" fontId="2" fillId="8" borderId="0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10" fontId="0" fillId="4" borderId="6" xfId="0" applyNumberFormat="1" applyFill="1" applyBorder="1" applyAlignment="1">
      <alignment horizontal="center"/>
    </xf>
    <xf numFmtId="10" fontId="0" fillId="4" borderId="9" xfId="0" applyNumberFormat="1" applyFill="1" applyBorder="1" applyAlignment="1">
      <alignment horizontal="center"/>
    </xf>
  </cellXfs>
  <cellStyles count="6">
    <cellStyle name="Bad" xfId="5" builtinId="27"/>
    <cellStyle name="Normal" xfId="0" builtinId="0"/>
    <cellStyle name="Normal 10 2" xfId="4" xr:uid="{0659EA68-4221-495B-82A2-D9BD8E5B1822}"/>
    <cellStyle name="Normal 2" xfId="3" xr:uid="{DF87EDFA-42B2-4A67-9B9F-31789A40C196}"/>
    <cellStyle name="Normal 3" xfId="2" xr:uid="{ABF30E5B-B690-4ACC-B7EA-E6B7292E2881}"/>
    <cellStyle name="Percent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30"/>
  <sheetViews>
    <sheetView zoomScale="120" zoomScaleNormal="120" workbookViewId="0">
      <selection activeCell="S12" sqref="S12"/>
    </sheetView>
  </sheetViews>
  <sheetFormatPr defaultColWidth="10.28515625" defaultRowHeight="15" x14ac:dyDescent="0.25"/>
  <cols>
    <col min="1" max="1" width="3.5703125" style="2" customWidth="1"/>
    <col min="2" max="16" width="10.28515625" style="2"/>
    <col min="17" max="17" width="13.140625" style="2" customWidth="1"/>
    <col min="18" max="16384" width="10.28515625" style="2"/>
  </cols>
  <sheetData>
    <row r="2" spans="2:21" x14ac:dyDescent="0.25">
      <c r="B2" s="2" t="s">
        <v>18</v>
      </c>
      <c r="C2" s="29">
        <v>5</v>
      </c>
    </row>
    <row r="3" spans="2:21" ht="15" customHeight="1" x14ac:dyDescent="0.25">
      <c r="B3" s="2" t="s">
        <v>5</v>
      </c>
      <c r="C3" s="29">
        <v>5</v>
      </c>
      <c r="I3" s="66"/>
    </row>
    <row r="5" spans="2:21" x14ac:dyDescent="0.25">
      <c r="B5" s="24" t="s">
        <v>16</v>
      </c>
      <c r="I5" s="24" t="s">
        <v>14</v>
      </c>
      <c r="Q5" s="24" t="s">
        <v>15</v>
      </c>
    </row>
    <row r="6" spans="2:21" ht="15" customHeight="1" x14ac:dyDescent="0.25">
      <c r="B6" s="87" t="s">
        <v>65</v>
      </c>
      <c r="C6" s="88"/>
      <c r="D6" s="88"/>
      <c r="E6" s="88"/>
      <c r="F6" s="88"/>
      <c r="G6" s="89"/>
      <c r="I6" s="36" t="s">
        <v>0</v>
      </c>
      <c r="J6" s="36" t="s">
        <v>1</v>
      </c>
      <c r="K6" s="23" t="s">
        <v>21</v>
      </c>
      <c r="L6" s="36" t="s">
        <v>2</v>
      </c>
      <c r="M6" s="23" t="s">
        <v>22</v>
      </c>
      <c r="N6" s="36" t="s">
        <v>3</v>
      </c>
      <c r="O6" s="23" t="s">
        <v>23</v>
      </c>
      <c r="Q6" s="3" t="s">
        <v>7</v>
      </c>
      <c r="R6" s="4" t="s">
        <v>34</v>
      </c>
      <c r="S6" s="4" t="s">
        <v>9</v>
      </c>
      <c r="T6" s="5" t="s">
        <v>10</v>
      </c>
    </row>
    <row r="7" spans="2:21" x14ac:dyDescent="0.25">
      <c r="B7" s="90"/>
      <c r="C7" s="91"/>
      <c r="D7" s="91"/>
      <c r="E7" s="91"/>
      <c r="F7" s="91"/>
      <c r="G7" s="92"/>
      <c r="I7" s="35">
        <v>1</v>
      </c>
      <c r="J7" s="28" t="s">
        <v>4</v>
      </c>
      <c r="K7" s="42">
        <v>6</v>
      </c>
      <c r="L7" s="28" t="s">
        <v>4</v>
      </c>
      <c r="M7" s="42">
        <v>3</v>
      </c>
      <c r="N7" s="28" t="s">
        <v>4</v>
      </c>
      <c r="O7" s="42">
        <v>2</v>
      </c>
      <c r="Q7" s="20" t="s">
        <v>4</v>
      </c>
      <c r="R7" s="1" t="s">
        <v>17</v>
      </c>
      <c r="S7" s="1" t="s">
        <v>17</v>
      </c>
      <c r="T7" s="25" t="s">
        <v>36</v>
      </c>
      <c r="U7" s="65" t="s">
        <v>46</v>
      </c>
    </row>
    <row r="8" spans="2:21" x14ac:dyDescent="0.25">
      <c r="B8" s="90"/>
      <c r="C8" s="91"/>
      <c r="D8" s="91"/>
      <c r="E8" s="91"/>
      <c r="F8" s="91"/>
      <c r="G8" s="92"/>
      <c r="I8" s="35">
        <v>2</v>
      </c>
      <c r="J8" s="28" t="s">
        <v>27</v>
      </c>
      <c r="K8" s="42">
        <v>8</v>
      </c>
      <c r="L8" s="28" t="s">
        <v>27</v>
      </c>
      <c r="M8" s="42">
        <v>8</v>
      </c>
      <c r="N8" s="28" t="s">
        <v>27</v>
      </c>
      <c r="O8" s="42">
        <v>1</v>
      </c>
      <c r="Q8" s="20" t="s">
        <v>4</v>
      </c>
      <c r="R8" s="1" t="s">
        <v>17</v>
      </c>
      <c r="S8" s="1" t="s">
        <v>17</v>
      </c>
      <c r="T8" s="25">
        <v>1000</v>
      </c>
      <c r="U8" s="65" t="s">
        <v>47</v>
      </c>
    </row>
    <row r="9" spans="2:21" x14ac:dyDescent="0.25">
      <c r="B9" s="93"/>
      <c r="C9" s="94"/>
      <c r="D9" s="94"/>
      <c r="E9" s="94"/>
      <c r="F9" s="94"/>
      <c r="G9" s="95"/>
      <c r="I9" s="35">
        <v>3</v>
      </c>
      <c r="J9" s="28" t="s">
        <v>31</v>
      </c>
      <c r="K9" s="42">
        <v>15</v>
      </c>
      <c r="L9" s="28" t="s">
        <v>31</v>
      </c>
      <c r="M9" s="42">
        <v>15</v>
      </c>
      <c r="N9" s="28" t="s">
        <v>31</v>
      </c>
      <c r="O9" s="42">
        <v>15</v>
      </c>
      <c r="Q9" s="20" t="s">
        <v>30</v>
      </c>
      <c r="R9" s="1" t="s">
        <v>17</v>
      </c>
      <c r="S9" s="1" t="s">
        <v>17</v>
      </c>
      <c r="T9" s="25">
        <v>80</v>
      </c>
    </row>
    <row r="10" spans="2:21" x14ac:dyDescent="0.25">
      <c r="I10" s="35">
        <v>4</v>
      </c>
      <c r="J10" s="28" t="s">
        <v>27</v>
      </c>
      <c r="K10" s="42">
        <v>15</v>
      </c>
      <c r="L10" s="28" t="s">
        <v>27</v>
      </c>
      <c r="M10" s="42">
        <v>10</v>
      </c>
      <c r="N10" s="28" t="s">
        <v>27</v>
      </c>
      <c r="O10" s="42">
        <v>10</v>
      </c>
      <c r="Q10" s="20" t="s">
        <v>28</v>
      </c>
      <c r="R10" s="1" t="s">
        <v>17</v>
      </c>
      <c r="S10" s="1" t="s">
        <v>17</v>
      </c>
      <c r="T10" s="25">
        <v>40</v>
      </c>
    </row>
    <row r="11" spans="2:21" x14ac:dyDescent="0.25">
      <c r="B11" s="24" t="s">
        <v>19</v>
      </c>
      <c r="I11" s="35">
        <v>5</v>
      </c>
      <c r="J11" s="28" t="s">
        <v>30</v>
      </c>
      <c r="K11" s="42">
        <v>10</v>
      </c>
      <c r="L11" s="28" t="s">
        <v>30</v>
      </c>
      <c r="M11" s="42">
        <v>5</v>
      </c>
      <c r="N11" s="28" t="s">
        <v>30</v>
      </c>
      <c r="O11" s="42">
        <v>5</v>
      </c>
      <c r="Q11" s="20" t="s">
        <v>29</v>
      </c>
      <c r="R11" s="1" t="s">
        <v>17</v>
      </c>
      <c r="S11" s="1" t="s">
        <v>17</v>
      </c>
      <c r="T11" s="25">
        <v>25</v>
      </c>
    </row>
    <row r="12" spans="2:21" x14ac:dyDescent="0.25">
      <c r="B12" s="2" t="s">
        <v>24</v>
      </c>
      <c r="C12" s="33"/>
      <c r="D12" s="33"/>
      <c r="E12" s="33"/>
      <c r="I12" s="35">
        <v>6</v>
      </c>
      <c r="J12" s="28" t="s">
        <v>27</v>
      </c>
      <c r="K12" s="42">
        <v>15</v>
      </c>
      <c r="L12" s="28" t="s">
        <v>27</v>
      </c>
      <c r="M12" s="42">
        <v>10</v>
      </c>
      <c r="N12" s="28" t="s">
        <v>27</v>
      </c>
      <c r="O12" s="42">
        <v>10</v>
      </c>
      <c r="Q12" s="20" t="s">
        <v>31</v>
      </c>
      <c r="R12" s="1" t="s">
        <v>17</v>
      </c>
      <c r="S12" s="1" t="s">
        <v>17</v>
      </c>
      <c r="T12" s="25">
        <v>10</v>
      </c>
    </row>
    <row r="13" spans="2:21" x14ac:dyDescent="0.25">
      <c r="C13" s="34" t="s">
        <v>20</v>
      </c>
      <c r="D13" s="34" t="s">
        <v>20</v>
      </c>
      <c r="E13" s="34" t="s">
        <v>20</v>
      </c>
      <c r="I13" s="35">
        <v>7</v>
      </c>
      <c r="J13" s="28" t="s">
        <v>29</v>
      </c>
      <c r="K13" s="42">
        <v>15</v>
      </c>
      <c r="L13" s="28" t="s">
        <v>29</v>
      </c>
      <c r="M13" s="42">
        <v>15</v>
      </c>
      <c r="N13" s="28" t="s">
        <v>29</v>
      </c>
      <c r="O13" s="42">
        <v>15</v>
      </c>
      <c r="Q13" s="20" t="s">
        <v>33</v>
      </c>
      <c r="R13" s="41" t="s">
        <v>17</v>
      </c>
      <c r="S13" s="1" t="s">
        <v>17</v>
      </c>
      <c r="T13" s="25">
        <v>5</v>
      </c>
    </row>
    <row r="14" spans="2:21" x14ac:dyDescent="0.25">
      <c r="C14" s="33"/>
      <c r="D14" s="33"/>
      <c r="E14" s="33"/>
      <c r="I14" s="35">
        <v>8</v>
      </c>
      <c r="J14" s="28" t="s">
        <v>27</v>
      </c>
      <c r="K14" s="42">
        <v>12</v>
      </c>
      <c r="L14" s="28" t="s">
        <v>27</v>
      </c>
      <c r="M14" s="42">
        <v>12</v>
      </c>
      <c r="N14" s="28" t="s">
        <v>27</v>
      </c>
      <c r="O14" s="42">
        <v>12</v>
      </c>
      <c r="Q14" s="21" t="s">
        <v>32</v>
      </c>
      <c r="R14" s="39">
        <v>2</v>
      </c>
      <c r="S14" s="39">
        <v>5</v>
      </c>
      <c r="T14" s="40">
        <v>10</v>
      </c>
      <c r="U14" s="27" t="s">
        <v>58</v>
      </c>
    </row>
    <row r="15" spans="2:21" x14ac:dyDescent="0.25">
      <c r="I15" s="35">
        <v>9</v>
      </c>
      <c r="J15" s="28" t="s">
        <v>28</v>
      </c>
      <c r="K15" s="42">
        <v>8</v>
      </c>
      <c r="L15" s="28" t="s">
        <v>28</v>
      </c>
      <c r="M15" s="42">
        <v>8</v>
      </c>
      <c r="N15" s="28" t="s">
        <v>28</v>
      </c>
      <c r="O15" s="42">
        <v>8</v>
      </c>
      <c r="R15" s="2" t="s">
        <v>29</v>
      </c>
      <c r="S15" s="2" t="s">
        <v>29</v>
      </c>
      <c r="T15" s="2" t="s">
        <v>29</v>
      </c>
    </row>
    <row r="16" spans="2:21" x14ac:dyDescent="0.25">
      <c r="B16" s="2" t="s">
        <v>25</v>
      </c>
      <c r="C16" s="34" t="s">
        <v>20</v>
      </c>
      <c r="D16" s="34" t="s">
        <v>20</v>
      </c>
      <c r="E16" s="34" t="s">
        <v>20</v>
      </c>
      <c r="I16" s="35">
        <v>10</v>
      </c>
      <c r="J16" s="28" t="s">
        <v>27</v>
      </c>
      <c r="K16" s="42">
        <v>8</v>
      </c>
      <c r="L16" s="28" t="s">
        <v>27</v>
      </c>
      <c r="M16" s="42">
        <v>8</v>
      </c>
      <c r="N16" s="28" t="s">
        <v>27</v>
      </c>
      <c r="O16" s="42">
        <v>8</v>
      </c>
      <c r="R16" s="2" t="s">
        <v>31</v>
      </c>
      <c r="S16" s="2" t="s">
        <v>29</v>
      </c>
      <c r="T16" s="2" t="s">
        <v>28</v>
      </c>
    </row>
    <row r="17" spans="2:18" x14ac:dyDescent="0.25">
      <c r="C17" s="33"/>
      <c r="D17" s="33"/>
      <c r="E17" s="33"/>
      <c r="I17" s="35">
        <v>11</v>
      </c>
      <c r="J17" s="28" t="s">
        <v>32</v>
      </c>
      <c r="K17" s="42">
        <v>8</v>
      </c>
      <c r="L17" s="28" t="s">
        <v>32</v>
      </c>
      <c r="M17" s="42">
        <v>8</v>
      </c>
      <c r="N17" s="28" t="s">
        <v>32</v>
      </c>
      <c r="O17" s="42">
        <v>8</v>
      </c>
      <c r="Q17" s="24" t="s">
        <v>37</v>
      </c>
    </row>
    <row r="18" spans="2:18" x14ac:dyDescent="0.25">
      <c r="C18" s="33"/>
      <c r="D18" s="33"/>
      <c r="E18" s="33"/>
      <c r="I18" s="35">
        <v>12</v>
      </c>
      <c r="J18" s="28" t="s">
        <v>27</v>
      </c>
      <c r="K18" s="42">
        <v>8</v>
      </c>
      <c r="L18" s="28" t="s">
        <v>27</v>
      </c>
      <c r="M18" s="42">
        <v>8</v>
      </c>
      <c r="N18" s="28" t="s">
        <v>27</v>
      </c>
      <c r="O18" s="42">
        <v>8</v>
      </c>
      <c r="Q18" s="67" t="s">
        <v>38</v>
      </c>
      <c r="R18" s="68">
        <v>10000</v>
      </c>
    </row>
    <row r="19" spans="2:18" x14ac:dyDescent="0.25">
      <c r="I19" s="35">
        <v>13</v>
      </c>
      <c r="J19" s="28" t="s">
        <v>31</v>
      </c>
      <c r="K19" s="42">
        <v>15</v>
      </c>
      <c r="L19" s="28" t="s">
        <v>31</v>
      </c>
      <c r="M19" s="42">
        <v>15</v>
      </c>
      <c r="N19" s="28" t="s">
        <v>31</v>
      </c>
      <c r="O19" s="42">
        <v>15</v>
      </c>
      <c r="Q19" s="69" t="s">
        <v>39</v>
      </c>
      <c r="R19" s="70">
        <v>0.01</v>
      </c>
    </row>
    <row r="20" spans="2:18" x14ac:dyDescent="0.25">
      <c r="B20" s="2" t="s">
        <v>26</v>
      </c>
      <c r="C20" s="33"/>
      <c r="D20" s="33"/>
      <c r="E20" s="33"/>
      <c r="I20" s="35">
        <v>14</v>
      </c>
      <c r="J20" s="28" t="s">
        <v>27</v>
      </c>
      <c r="K20" s="42">
        <v>10</v>
      </c>
      <c r="L20" s="28" t="s">
        <v>27</v>
      </c>
      <c r="M20" s="42">
        <v>10</v>
      </c>
      <c r="N20" s="28" t="s">
        <v>27</v>
      </c>
      <c r="O20" s="42">
        <v>8</v>
      </c>
    </row>
    <row r="21" spans="2:18" x14ac:dyDescent="0.25">
      <c r="C21" s="33"/>
      <c r="D21" s="33"/>
      <c r="E21" s="33"/>
      <c r="I21" s="35">
        <v>15</v>
      </c>
      <c r="J21" s="28" t="s">
        <v>28</v>
      </c>
      <c r="K21" s="42">
        <v>15</v>
      </c>
      <c r="L21" s="28" t="s">
        <v>28</v>
      </c>
      <c r="M21" s="42">
        <v>8</v>
      </c>
      <c r="N21" s="28" t="s">
        <v>28</v>
      </c>
      <c r="O21" s="42">
        <v>5</v>
      </c>
    </row>
    <row r="22" spans="2:18" x14ac:dyDescent="0.25">
      <c r="C22" s="34" t="s">
        <v>20</v>
      </c>
      <c r="D22" s="34" t="s">
        <v>20</v>
      </c>
      <c r="E22" s="34" t="s">
        <v>20</v>
      </c>
      <c r="I22" s="35">
        <v>16</v>
      </c>
      <c r="J22" s="28" t="s">
        <v>27</v>
      </c>
      <c r="K22" s="42">
        <v>10</v>
      </c>
      <c r="L22" s="28" t="s">
        <v>27</v>
      </c>
      <c r="M22" s="42">
        <v>10</v>
      </c>
      <c r="N22" s="28" t="s">
        <v>27</v>
      </c>
      <c r="O22" s="42">
        <v>8</v>
      </c>
    </row>
    <row r="23" spans="2:18" x14ac:dyDescent="0.25">
      <c r="I23" s="35">
        <v>17</v>
      </c>
      <c r="J23" s="28" t="s">
        <v>29</v>
      </c>
      <c r="K23" s="42">
        <v>15</v>
      </c>
      <c r="L23" s="28" t="s">
        <v>29</v>
      </c>
      <c r="M23" s="42">
        <v>15</v>
      </c>
      <c r="N23" s="28" t="s">
        <v>29</v>
      </c>
      <c r="O23" s="42">
        <v>15</v>
      </c>
    </row>
    <row r="24" spans="2:18" x14ac:dyDescent="0.25">
      <c r="B24" s="2" t="s">
        <v>41</v>
      </c>
      <c r="C24" s="34" t="s">
        <v>20</v>
      </c>
      <c r="D24" s="33"/>
      <c r="E24" s="33"/>
      <c r="I24" s="35">
        <v>18</v>
      </c>
      <c r="J24" s="28" t="s">
        <v>27</v>
      </c>
      <c r="K24" s="42">
        <v>12</v>
      </c>
      <c r="L24" s="28" t="s">
        <v>27</v>
      </c>
      <c r="M24" s="42">
        <v>12</v>
      </c>
      <c r="N24" s="28" t="s">
        <v>27</v>
      </c>
      <c r="O24" s="42">
        <v>5</v>
      </c>
    </row>
    <row r="25" spans="2:18" x14ac:dyDescent="0.25">
      <c r="C25" s="33"/>
      <c r="D25" s="34" t="s">
        <v>20</v>
      </c>
      <c r="E25" s="33"/>
      <c r="I25" s="35">
        <v>19</v>
      </c>
      <c r="J25" s="28" t="s">
        <v>30</v>
      </c>
      <c r="K25" s="42">
        <v>8</v>
      </c>
      <c r="L25" s="28" t="s">
        <v>31</v>
      </c>
      <c r="M25" s="42">
        <v>5</v>
      </c>
      <c r="N25" s="28" t="s">
        <v>30</v>
      </c>
      <c r="O25" s="42">
        <v>8</v>
      </c>
    </row>
    <row r="26" spans="2:18" x14ac:dyDescent="0.25">
      <c r="C26" s="33"/>
      <c r="D26" s="33"/>
      <c r="E26" s="34" t="s">
        <v>20</v>
      </c>
      <c r="I26" s="38">
        <v>20</v>
      </c>
      <c r="J26" s="37" t="s">
        <v>27</v>
      </c>
      <c r="K26" s="43">
        <v>8</v>
      </c>
      <c r="L26" s="37" t="s">
        <v>27</v>
      </c>
      <c r="M26" s="43">
        <v>8</v>
      </c>
      <c r="N26" s="37" t="s">
        <v>27</v>
      </c>
      <c r="O26" s="43">
        <v>1</v>
      </c>
    </row>
    <row r="27" spans="2:18" x14ac:dyDescent="0.25">
      <c r="I27" s="27" t="s">
        <v>35</v>
      </c>
    </row>
    <row r="28" spans="2:18" x14ac:dyDescent="0.25">
      <c r="B28" s="2" t="s">
        <v>42</v>
      </c>
      <c r="C28" s="33"/>
      <c r="D28" s="33"/>
      <c r="E28" s="34" t="s">
        <v>20</v>
      </c>
    </row>
    <row r="29" spans="2:18" x14ac:dyDescent="0.25">
      <c r="C29" s="33"/>
      <c r="D29" s="34" t="s">
        <v>20</v>
      </c>
      <c r="E29" s="33"/>
    </row>
    <row r="30" spans="2:18" x14ac:dyDescent="0.25">
      <c r="C30" s="34" t="s">
        <v>20</v>
      </c>
      <c r="D30" s="33"/>
      <c r="E30" s="33"/>
    </row>
  </sheetData>
  <mergeCells count="1">
    <mergeCell ref="B6:G9"/>
  </mergeCells>
  <phoneticPr fontId="6" type="noConversion"/>
  <conditionalFormatting sqref="J7:O26">
    <cfRule type="containsText" dxfId="10" priority="117" operator="containsText" text="WILD">
      <formula>NOT(ISERROR(SEARCH("WILD",J7)))</formula>
    </cfRule>
  </conditionalFormatting>
  <conditionalFormatting sqref="J7:J26 L7:L26 N7:N26">
    <cfRule type="containsText" dxfId="9" priority="1" operator="containsText" text="SEVEN">
      <formula>NOT(ISERROR(SEARCH("SEVEN",J7)))</formula>
    </cfRule>
    <cfRule type="containsText" dxfId="8" priority="2" operator="containsText" text="CHERRY">
      <formula>NOT(ISERROR(SEARCH("CHERRY",J7)))</formula>
    </cfRule>
    <cfRule type="containsText" dxfId="7" priority="3" operator="containsText" text="BAR">
      <formula>NOT(ISERROR(SEARCH("BAR",J7)))</formula>
    </cfRule>
  </conditionalFormatting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1A9EC-6D64-4CD5-B512-F22D6E9EC0E1}">
  <dimension ref="B2:W103"/>
  <sheetViews>
    <sheetView tabSelected="1" zoomScale="110" zoomScaleNormal="110" workbookViewId="0">
      <selection activeCell="B11" sqref="B11"/>
    </sheetView>
  </sheetViews>
  <sheetFormatPr defaultColWidth="8.85546875" defaultRowHeight="15" x14ac:dyDescent="0.25"/>
  <cols>
    <col min="1" max="1" width="3.42578125" style="6" customWidth="1"/>
    <col min="2" max="5" width="11.85546875" style="6" customWidth="1"/>
    <col min="6" max="7" width="19.140625" style="6" customWidth="1"/>
    <col min="8" max="11" width="12.7109375" style="6" customWidth="1"/>
    <col min="12" max="13" width="10.7109375" style="6" customWidth="1"/>
    <col min="14" max="14" width="13.28515625" style="6" customWidth="1"/>
    <col min="15" max="27" width="8.85546875" style="6" customWidth="1"/>
    <col min="28" max="28" width="10.7109375" style="6" customWidth="1"/>
    <col min="29" max="29" width="13.28515625" style="6" customWidth="1"/>
    <col min="30" max="33" width="12.7109375" style="6" customWidth="1"/>
    <col min="34" max="16384" width="8.85546875" style="6"/>
  </cols>
  <sheetData>
    <row r="2" spans="2:23" x14ac:dyDescent="0.25">
      <c r="B2" s="6" t="s">
        <v>55</v>
      </c>
      <c r="C2" s="31">
        <f ca="1">AVERAGE(F3:F7)</f>
        <v>0.91832491442220454</v>
      </c>
      <c r="E2" s="19" t="s">
        <v>49</v>
      </c>
      <c r="F2" s="18" t="s">
        <v>54</v>
      </c>
      <c r="H2" s="24" t="s">
        <v>37</v>
      </c>
    </row>
    <row r="3" spans="2:23" x14ac:dyDescent="0.25">
      <c r="B3" s="6" t="s">
        <v>56</v>
      </c>
      <c r="C3" s="31">
        <f ca="1">I7</f>
        <v>2.0108028146927491E-2</v>
      </c>
      <c r="E3" s="20">
        <v>1</v>
      </c>
      <c r="F3" s="119">
        <f ca="1">C23</f>
        <v>1.0796254301703021</v>
      </c>
      <c r="H3" s="7" t="s">
        <v>38</v>
      </c>
      <c r="I3" s="81">
        <f>'Game Info'!R18</f>
        <v>10000</v>
      </c>
    </row>
    <row r="4" spans="2:23" x14ac:dyDescent="0.25">
      <c r="B4" s="6" t="s">
        <v>48</v>
      </c>
      <c r="C4" s="71">
        <f ca="1">SUM(C2:C3)</f>
        <v>0.93843294256913201</v>
      </c>
      <c r="E4" s="20">
        <v>2</v>
      </c>
      <c r="F4" s="119">
        <f t="dataTable" ref="F4:F7" dt2D="0" dtr="0" r1="C22" ca="1"/>
        <v>0.94565460783588362</v>
      </c>
      <c r="H4" s="9" t="s">
        <v>51</v>
      </c>
      <c r="I4" s="82">
        <f>'Game Info'!R19</f>
        <v>0.01</v>
      </c>
    </row>
    <row r="5" spans="2:23" x14ac:dyDescent="0.25">
      <c r="E5" s="20">
        <v>3</v>
      </c>
      <c r="F5" s="119">
        <v>0.98557008787386202</v>
      </c>
      <c r="H5" s="9" t="s">
        <v>50</v>
      </c>
      <c r="I5" s="83">
        <f ca="1">1/F44</f>
        <v>197862.52777777778</v>
      </c>
    </row>
    <row r="6" spans="2:23" x14ac:dyDescent="0.25">
      <c r="E6" s="20">
        <v>4</v>
      </c>
      <c r="F6" s="119">
        <v>0.78462669999133783</v>
      </c>
      <c r="H6" s="9" t="s">
        <v>52</v>
      </c>
      <c r="I6" s="83">
        <f ca="1">I3+I5*I4*'Game Info'!C2</f>
        <v>19893.12638888889</v>
      </c>
    </row>
    <row r="7" spans="2:23" x14ac:dyDescent="0.25">
      <c r="E7" s="21">
        <v>5</v>
      </c>
      <c r="F7" s="120">
        <v>0.79614774623963802</v>
      </c>
      <c r="H7" s="11" t="s">
        <v>40</v>
      </c>
      <c r="I7" s="84">
        <f ca="1">I6/I5/'Game Info'!C2</f>
        <v>2.0108028146927491E-2</v>
      </c>
    </row>
    <row r="9" spans="2:23" customFormat="1" x14ac:dyDescent="0.25">
      <c r="B9" s="54"/>
      <c r="Q9" s="6"/>
      <c r="R9" s="6"/>
      <c r="S9" s="6"/>
      <c r="T9" s="6"/>
      <c r="U9" s="6"/>
      <c r="V9" s="6"/>
      <c r="W9" s="6"/>
    </row>
    <row r="10" spans="2:23" customFormat="1" x14ac:dyDescent="0.25">
      <c r="B10" s="54" t="s">
        <v>43</v>
      </c>
      <c r="G10" s="54" t="s">
        <v>44</v>
      </c>
      <c r="L10" s="54" t="s">
        <v>45</v>
      </c>
      <c r="Q10" s="6"/>
      <c r="R10" s="6"/>
      <c r="S10" s="6"/>
      <c r="T10" s="6"/>
      <c r="U10" s="6"/>
      <c r="V10" s="6"/>
      <c r="W10" s="6"/>
    </row>
    <row r="11" spans="2:23" customFormat="1" x14ac:dyDescent="0.25">
      <c r="B11" s="19" t="s">
        <v>7</v>
      </c>
      <c r="C11" s="17" t="s">
        <v>1</v>
      </c>
      <c r="D11" s="17" t="s">
        <v>2</v>
      </c>
      <c r="E11" s="18" t="s">
        <v>3</v>
      </c>
      <c r="G11" s="19" t="s">
        <v>7</v>
      </c>
      <c r="H11" s="17" t="s">
        <v>59</v>
      </c>
      <c r="I11" s="17" t="s">
        <v>60</v>
      </c>
      <c r="J11" s="18" t="s">
        <v>61</v>
      </c>
      <c r="L11" s="19" t="s">
        <v>69</v>
      </c>
      <c r="M11" s="17" t="s">
        <v>62</v>
      </c>
      <c r="N11" s="17" t="s">
        <v>63</v>
      </c>
      <c r="O11" s="18" t="s">
        <v>64</v>
      </c>
      <c r="Q11" s="6"/>
      <c r="R11" s="6"/>
      <c r="S11" s="6"/>
      <c r="T11" s="6"/>
      <c r="U11" s="6"/>
      <c r="V11" s="6"/>
      <c r="W11" s="6"/>
    </row>
    <row r="12" spans="2:23" customFormat="1" x14ac:dyDescent="0.25">
      <c r="B12" s="20" t="s">
        <v>4</v>
      </c>
      <c r="C12" s="55">
        <f>'Symbol Distribution'!C4</f>
        <v>8</v>
      </c>
      <c r="D12" s="55">
        <f ca="1">OFFSET('Symbol Distribution'!D4,,D$10*5)</f>
        <v>8</v>
      </c>
      <c r="E12" s="72">
        <f ca="1">OFFSET('Symbol Distribution'!E4,,E$10*5)</f>
        <v>1</v>
      </c>
      <c r="G12" s="20" t="s">
        <v>4</v>
      </c>
      <c r="H12" s="55">
        <f>'Symbol Distribution'!H4</f>
        <v>6</v>
      </c>
      <c r="I12" s="55">
        <f ca="1">OFFSET('Symbol Distribution'!I4,,I$10*5)</f>
        <v>3</v>
      </c>
      <c r="J12" s="72">
        <f ca="1">OFFSET('Symbol Distribution'!J4,,J$10*5)</f>
        <v>2</v>
      </c>
      <c r="L12" s="20" t="s">
        <v>4</v>
      </c>
      <c r="M12" s="55">
        <f>'Symbol Distribution'!M4</f>
        <v>8</v>
      </c>
      <c r="N12" s="55">
        <f ca="1">OFFSET('Symbol Distribution'!N4,,N$10*5)</f>
        <v>8</v>
      </c>
      <c r="O12" s="72">
        <f ca="1">OFFSET('Symbol Distribution'!O4,,O$10*5)</f>
        <v>1</v>
      </c>
      <c r="Q12" s="6"/>
      <c r="R12" s="6"/>
      <c r="S12" s="6"/>
      <c r="T12" s="6"/>
      <c r="U12" s="6"/>
      <c r="V12" s="6"/>
      <c r="W12" s="6"/>
    </row>
    <row r="13" spans="2:23" customFormat="1" x14ac:dyDescent="0.25">
      <c r="B13" s="20" t="s">
        <v>30</v>
      </c>
      <c r="C13" s="55">
        <f ca="1">OFFSET('Symbol Distribution'!C5,,C$10*5)</f>
        <v>23</v>
      </c>
      <c r="D13" s="55">
        <f ca="1">OFFSET('Symbol Distribution'!D5,,D$10*5)</f>
        <v>10</v>
      </c>
      <c r="E13" s="72">
        <f ca="1">OFFSET('Symbol Distribution'!E5,,E$10*5)</f>
        <v>11</v>
      </c>
      <c r="G13" s="20" t="s">
        <v>30</v>
      </c>
      <c r="H13" s="55">
        <f ca="1">OFFSET('Symbol Distribution'!H5,,H$10*5)</f>
        <v>18</v>
      </c>
      <c r="I13" s="55">
        <f ca="1">OFFSET('Symbol Distribution'!I5,,I$10*5)</f>
        <v>5</v>
      </c>
      <c r="J13" s="72">
        <f ca="1">OFFSET('Symbol Distribution'!J5,,J$10*5)</f>
        <v>13</v>
      </c>
      <c r="L13" s="20" t="s">
        <v>30</v>
      </c>
      <c r="M13" s="55">
        <f ca="1">OFFSET('Symbol Distribution'!M5,,M$10*5)</f>
        <v>27</v>
      </c>
      <c r="N13" s="55">
        <f ca="1">OFFSET('Symbol Distribution'!N5,,N$10*5)</f>
        <v>10</v>
      </c>
      <c r="O13" s="72">
        <f ca="1">OFFSET('Symbol Distribution'!O5,,O$10*5)</f>
        <v>15</v>
      </c>
      <c r="Q13" s="6"/>
      <c r="R13" s="6"/>
      <c r="S13" s="6"/>
      <c r="T13" s="6"/>
      <c r="U13" s="6"/>
      <c r="V13" s="6"/>
      <c r="W13" s="6"/>
    </row>
    <row r="14" spans="2:23" customFormat="1" x14ac:dyDescent="0.25">
      <c r="B14" s="20" t="s">
        <v>28</v>
      </c>
      <c r="C14" s="55">
        <f ca="1">OFFSET('Symbol Distribution'!C6,,C$10*5)</f>
        <v>18</v>
      </c>
      <c r="D14" s="55">
        <f ca="1">OFFSET('Symbol Distribution'!D6,,D$10*5)</f>
        <v>18</v>
      </c>
      <c r="E14" s="72">
        <f ca="1">OFFSET('Symbol Distribution'!E6,,E$10*5)</f>
        <v>16</v>
      </c>
      <c r="F14" s="55"/>
      <c r="G14" s="20" t="s">
        <v>28</v>
      </c>
      <c r="H14" s="55">
        <f ca="1">OFFSET('Symbol Distribution'!H6,,H$10*5)</f>
        <v>23</v>
      </c>
      <c r="I14" s="55">
        <f ca="1">OFFSET('Symbol Distribution'!I6,,I$10*5)</f>
        <v>16</v>
      </c>
      <c r="J14" s="72">
        <f ca="1">OFFSET('Symbol Distribution'!J6,,J$10*5)</f>
        <v>13</v>
      </c>
      <c r="K14" s="55"/>
      <c r="L14" s="20" t="s">
        <v>28</v>
      </c>
      <c r="M14" s="55">
        <f ca="1">OFFSET('Symbol Distribution'!M6,,M$10*5)</f>
        <v>22</v>
      </c>
      <c r="N14" s="55">
        <f ca="1">OFFSET('Symbol Distribution'!N6,,N$10*5)</f>
        <v>22</v>
      </c>
      <c r="O14" s="72">
        <f ca="1">OFFSET('Symbol Distribution'!O6,,O$10*5)</f>
        <v>20</v>
      </c>
      <c r="P14" s="55"/>
      <c r="Q14" s="6"/>
      <c r="R14" s="6"/>
      <c r="S14" s="6"/>
      <c r="T14" s="6"/>
      <c r="U14" s="6"/>
      <c r="V14" s="6"/>
      <c r="W14" s="6"/>
    </row>
    <row r="15" spans="2:23" customFormat="1" x14ac:dyDescent="0.25">
      <c r="B15" s="20" t="s">
        <v>29</v>
      </c>
      <c r="C15" s="55">
        <f ca="1">OFFSET('Symbol Distribution'!C7,,C$10*5)</f>
        <v>24</v>
      </c>
      <c r="D15" s="55">
        <f ca="1">OFFSET('Symbol Distribution'!D7,,D$10*5)</f>
        <v>24</v>
      </c>
      <c r="E15" s="72">
        <f ca="1">OFFSET('Symbol Distribution'!E7,,E$10*5)</f>
        <v>17</v>
      </c>
      <c r="F15" s="55"/>
      <c r="G15" s="20" t="s">
        <v>29</v>
      </c>
      <c r="H15" s="55">
        <f ca="1">OFFSET('Symbol Distribution'!H7,,H$10*5)</f>
        <v>30</v>
      </c>
      <c r="I15" s="55">
        <f ca="1">OFFSET('Symbol Distribution'!I7,,I$10*5)</f>
        <v>30</v>
      </c>
      <c r="J15" s="72">
        <f ca="1">OFFSET('Symbol Distribution'!J7,,J$10*5)</f>
        <v>30</v>
      </c>
      <c r="K15" s="55"/>
      <c r="L15" s="20" t="s">
        <v>29</v>
      </c>
      <c r="M15" s="55">
        <f ca="1">OFFSET('Symbol Distribution'!M7,,M$10*5)</f>
        <v>25</v>
      </c>
      <c r="N15" s="55">
        <f ca="1">OFFSET('Symbol Distribution'!N7,,N$10*5)</f>
        <v>20</v>
      </c>
      <c r="O15" s="72">
        <f ca="1">OFFSET('Symbol Distribution'!O7,,O$10*5)</f>
        <v>18</v>
      </c>
      <c r="P15" s="55"/>
      <c r="Q15" s="6"/>
      <c r="R15" s="6"/>
      <c r="S15" s="6"/>
      <c r="T15" s="6"/>
      <c r="U15" s="6"/>
      <c r="V15" s="6"/>
      <c r="W15" s="6"/>
    </row>
    <row r="16" spans="2:23" customFormat="1" x14ac:dyDescent="0.25">
      <c r="B16" s="20" t="s">
        <v>31</v>
      </c>
      <c r="C16" s="55">
        <f ca="1">OFFSET('Symbol Distribution'!C8,,C$10*5)</f>
        <v>25</v>
      </c>
      <c r="D16" s="55">
        <f ca="1">OFFSET('Symbol Distribution'!D8,,D$10*5)</f>
        <v>28</v>
      </c>
      <c r="E16" s="72">
        <f ca="1">OFFSET('Symbol Distribution'!E8,,E$10*5)</f>
        <v>18</v>
      </c>
      <c r="F16" s="55"/>
      <c r="G16" s="20" t="s">
        <v>31</v>
      </c>
      <c r="H16" s="55">
        <f ca="1">OFFSET('Symbol Distribution'!H8,,H$10*5)</f>
        <v>30</v>
      </c>
      <c r="I16" s="55">
        <f ca="1">OFFSET('Symbol Distribution'!I8,,I$10*5)</f>
        <v>35</v>
      </c>
      <c r="J16" s="72">
        <f ca="1">OFFSET('Symbol Distribution'!J8,,J$10*5)</f>
        <v>30</v>
      </c>
      <c r="K16" s="55"/>
      <c r="L16" s="20" t="s">
        <v>31</v>
      </c>
      <c r="M16" s="55">
        <f ca="1">OFFSET('Symbol Distribution'!M8,,M$10*5)</f>
        <v>16</v>
      </c>
      <c r="N16" s="55">
        <f ca="1">OFFSET('Symbol Distribution'!N8,,N$10*5)</f>
        <v>28</v>
      </c>
      <c r="O16" s="72">
        <f ca="1">OFFSET('Symbol Distribution'!O8,,O$10*5)</f>
        <v>9</v>
      </c>
      <c r="P16" s="55"/>
      <c r="Q16" s="6"/>
      <c r="R16" s="6"/>
      <c r="S16" s="6"/>
      <c r="T16" s="6"/>
      <c r="U16" s="6"/>
      <c r="V16" s="6"/>
      <c r="W16" s="6"/>
    </row>
    <row r="17" spans="2:23" customFormat="1" x14ac:dyDescent="0.25">
      <c r="B17" s="20" t="s">
        <v>32</v>
      </c>
      <c r="C17" s="55">
        <f ca="1">OFFSET('Symbol Distribution'!C9,,C$10*5)</f>
        <v>8</v>
      </c>
      <c r="D17" s="55">
        <f ca="1">OFFSET('Symbol Distribution'!D9,,D$10*5)</f>
        <v>8</v>
      </c>
      <c r="E17" s="72">
        <f ca="1">OFFSET('Symbol Distribution'!E9,,E$10*5)</f>
        <v>8</v>
      </c>
      <c r="F17" s="55"/>
      <c r="G17" s="20" t="s">
        <v>32</v>
      </c>
      <c r="H17" s="55">
        <f ca="1">OFFSET('Symbol Distribution'!H9,,H$10*5)</f>
        <v>8</v>
      </c>
      <c r="I17" s="55">
        <f ca="1">OFFSET('Symbol Distribution'!I9,,I$10*5)</f>
        <v>8</v>
      </c>
      <c r="J17" s="72">
        <f ca="1">OFFSET('Symbol Distribution'!J9,,J$10*5)</f>
        <v>8</v>
      </c>
      <c r="K17" s="55"/>
      <c r="L17" s="20" t="s">
        <v>32</v>
      </c>
      <c r="M17" s="55">
        <f ca="1">OFFSET('Symbol Distribution'!M9,,M$10*5)</f>
        <v>8</v>
      </c>
      <c r="N17" s="55">
        <f ca="1">OFFSET('Symbol Distribution'!N9,,N$10*5)</f>
        <v>8</v>
      </c>
      <c r="O17" s="72">
        <f ca="1">OFFSET('Symbol Distribution'!O9,,O$10*5)</f>
        <v>8</v>
      </c>
      <c r="P17" s="55"/>
      <c r="Q17" s="6"/>
      <c r="R17" s="6"/>
      <c r="S17" s="6"/>
      <c r="T17" s="6"/>
      <c r="U17" s="6"/>
      <c r="V17" s="6"/>
      <c r="W17" s="6"/>
    </row>
    <row r="18" spans="2:23" customFormat="1" x14ac:dyDescent="0.25">
      <c r="B18" s="56" t="s">
        <v>27</v>
      </c>
      <c r="C18" s="55">
        <f ca="1">OFFSET('Symbol Distribution'!C10,,C$10*5)</f>
        <v>115</v>
      </c>
      <c r="D18" s="55">
        <f ca="1">OFFSET('Symbol Distribution'!D10,,D$10*5)</f>
        <v>97</v>
      </c>
      <c r="E18" s="72">
        <f ca="1">OFFSET('Symbol Distribution'!E10,,E$10*5)</f>
        <v>96</v>
      </c>
      <c r="F18" s="55"/>
      <c r="G18" s="56" t="s">
        <v>27</v>
      </c>
      <c r="H18" s="55">
        <f ca="1">OFFSET('Symbol Distribution'!H10,,H$10*5)</f>
        <v>106</v>
      </c>
      <c r="I18" s="55">
        <f ca="1">OFFSET('Symbol Distribution'!I10,,I$10*5)</f>
        <v>96</v>
      </c>
      <c r="J18" s="72">
        <f ca="1">OFFSET('Symbol Distribution'!J10,,J$10*5)</f>
        <v>71</v>
      </c>
      <c r="K18" s="55"/>
      <c r="L18" s="56" t="s">
        <v>27</v>
      </c>
      <c r="M18" s="55">
        <f ca="1">OFFSET('Symbol Distribution'!M10,,M$10*5)</f>
        <v>115</v>
      </c>
      <c r="N18" s="55">
        <f ca="1">OFFSET('Symbol Distribution'!N10,,N$10*5)</f>
        <v>97</v>
      </c>
      <c r="O18" s="72">
        <f ca="1">OFFSET('Symbol Distribution'!O10,,O$10*5)</f>
        <v>96</v>
      </c>
      <c r="P18" s="55"/>
      <c r="Q18" s="6"/>
      <c r="R18" s="6"/>
      <c r="S18" s="6"/>
      <c r="T18" s="6"/>
      <c r="U18" s="6"/>
      <c r="V18" s="6"/>
      <c r="W18" s="6"/>
    </row>
    <row r="19" spans="2:23" customFormat="1" x14ac:dyDescent="0.25">
      <c r="B19" s="57" t="s">
        <v>6</v>
      </c>
      <c r="C19" s="73">
        <f ca="1">SUM(C12:C18)</f>
        <v>221</v>
      </c>
      <c r="D19" s="73">
        <f t="shared" ref="D19:E19" ca="1" si="0">SUM(D12:D18)</f>
        <v>193</v>
      </c>
      <c r="E19" s="74">
        <f t="shared" ca="1" si="0"/>
        <v>167</v>
      </c>
      <c r="F19" s="55"/>
      <c r="G19" s="57" t="s">
        <v>6</v>
      </c>
      <c r="H19" s="73">
        <f t="shared" ref="H19:J19" ca="1" si="1">SUM(H12:H18)</f>
        <v>221</v>
      </c>
      <c r="I19" s="73">
        <f t="shared" ca="1" si="1"/>
        <v>193</v>
      </c>
      <c r="J19" s="74">
        <f t="shared" ca="1" si="1"/>
        <v>167</v>
      </c>
      <c r="K19" s="55"/>
      <c r="L19" s="57" t="s">
        <v>6</v>
      </c>
      <c r="M19" s="73">
        <f t="shared" ref="M19:O19" ca="1" si="2">SUM(M12:M18)</f>
        <v>221</v>
      </c>
      <c r="N19" s="73">
        <f t="shared" ca="1" si="2"/>
        <v>193</v>
      </c>
      <c r="O19" s="74">
        <f t="shared" ca="1" si="2"/>
        <v>167</v>
      </c>
      <c r="P19" s="55"/>
      <c r="Q19" s="6"/>
      <c r="R19" s="6"/>
      <c r="S19" s="6"/>
      <c r="T19" s="6"/>
      <c r="U19" s="6"/>
      <c r="V19" s="6"/>
      <c r="W19" s="6"/>
    </row>
    <row r="20" spans="2:23" x14ac:dyDescent="0.25">
      <c r="D20" s="13" t="s">
        <v>8</v>
      </c>
      <c r="E20" s="15">
        <f ca="1">PRODUCT(C19:E19)</f>
        <v>7123051</v>
      </c>
      <c r="F20" s="10"/>
      <c r="I20" s="13" t="s">
        <v>8</v>
      </c>
      <c r="J20" s="15">
        <f t="shared" ref="J20" ca="1" si="3">PRODUCT(H19:J19)</f>
        <v>7123051</v>
      </c>
      <c r="K20" s="10"/>
      <c r="N20" s="13" t="s">
        <v>8</v>
      </c>
      <c r="O20" s="15">
        <f t="shared" ref="O20" ca="1" si="4">PRODUCT(M19:O19)</f>
        <v>7123051</v>
      </c>
      <c r="P20" s="10"/>
    </row>
    <row r="21" spans="2:23" x14ac:dyDescent="0.25">
      <c r="D21" s="10"/>
      <c r="E21" s="10"/>
      <c r="F21" s="10"/>
      <c r="I21" s="10"/>
      <c r="J21" s="10"/>
      <c r="K21" s="10"/>
      <c r="N21" s="10"/>
      <c r="O21" s="10"/>
      <c r="P21" s="10"/>
    </row>
    <row r="22" spans="2:23" x14ac:dyDescent="0.25">
      <c r="B22" s="100" t="s">
        <v>49</v>
      </c>
      <c r="C22" s="101">
        <v>1</v>
      </c>
      <c r="D22" s="96"/>
      <c r="E22" s="96"/>
      <c r="F22" s="96"/>
      <c r="G22" s="100"/>
      <c r="H22" s="100"/>
      <c r="I22" s="100"/>
      <c r="J22" s="100"/>
      <c r="K22" s="10"/>
      <c r="N22" s="10"/>
      <c r="O22" s="10"/>
      <c r="P22" s="10"/>
    </row>
    <row r="23" spans="2:23" x14ac:dyDescent="0.25">
      <c r="B23" s="96" t="s">
        <v>55</v>
      </c>
      <c r="C23" s="114">
        <f ca="1">SUM(H44:H103)</f>
        <v>1.0796254301703021</v>
      </c>
      <c r="D23" s="96"/>
      <c r="E23" s="96"/>
      <c r="F23" s="96"/>
      <c r="G23" s="100"/>
      <c r="H23" s="100"/>
      <c r="I23" s="100"/>
      <c r="J23" s="100"/>
      <c r="K23" s="10"/>
      <c r="N23" s="10"/>
      <c r="O23" s="10"/>
      <c r="P23" s="10"/>
    </row>
    <row r="24" spans="2:23" x14ac:dyDescent="0.25">
      <c r="B24" s="100"/>
      <c r="C24" s="96"/>
      <c r="D24" s="96"/>
      <c r="E24" s="96"/>
      <c r="F24" s="96"/>
      <c r="G24" s="100"/>
      <c r="H24" s="100"/>
      <c r="I24" s="100"/>
      <c r="J24" s="100"/>
      <c r="K24" s="10"/>
      <c r="N24" s="10"/>
      <c r="O24" s="10"/>
      <c r="P24" s="10"/>
    </row>
    <row r="25" spans="2:23" x14ac:dyDescent="0.25">
      <c r="B25" s="102" t="s">
        <v>67</v>
      </c>
      <c r="C25" s="103"/>
      <c r="D25" s="103"/>
      <c r="E25" s="103"/>
      <c r="F25" s="96"/>
      <c r="G25" s="100"/>
      <c r="H25" s="100"/>
      <c r="I25" s="96"/>
      <c r="J25" s="96"/>
      <c r="K25" s="10"/>
      <c r="N25" s="10"/>
      <c r="O25" s="10"/>
      <c r="P25" s="10"/>
    </row>
    <row r="26" spans="2:23" x14ac:dyDescent="0.25">
      <c r="B26" s="104" t="s">
        <v>68</v>
      </c>
      <c r="C26" s="101">
        <f>VLOOKUP($C$22,$G$28:$J$32,2,)</f>
        <v>1</v>
      </c>
      <c r="D26" s="101">
        <f>VLOOKUP($C$22,$G$28:$J$32,3,)</f>
        <v>1</v>
      </c>
      <c r="E26" s="101">
        <f>VLOOKUP($C$22,$G$28:$J$32,4,)</f>
        <v>1</v>
      </c>
      <c r="F26" s="96"/>
      <c r="G26" s="100"/>
      <c r="H26" s="100"/>
      <c r="I26" s="96"/>
      <c r="J26" s="96"/>
      <c r="K26" s="10"/>
      <c r="N26" s="10"/>
      <c r="O26" s="10"/>
      <c r="P26" s="10"/>
    </row>
    <row r="27" spans="2:23" x14ac:dyDescent="0.25">
      <c r="B27" s="101" t="s">
        <v>7</v>
      </c>
      <c r="C27" s="98" t="s">
        <v>1</v>
      </c>
      <c r="D27" s="98" t="s">
        <v>2</v>
      </c>
      <c r="E27" s="99" t="s">
        <v>3</v>
      </c>
      <c r="F27" s="96"/>
      <c r="G27" s="101" t="s">
        <v>7</v>
      </c>
      <c r="H27" s="98" t="s">
        <v>1</v>
      </c>
      <c r="I27" s="98" t="s">
        <v>2</v>
      </c>
      <c r="J27" s="99" t="s">
        <v>3</v>
      </c>
      <c r="K27" s="10"/>
      <c r="N27" s="10"/>
      <c r="O27" s="10"/>
      <c r="P27" s="10"/>
    </row>
    <row r="28" spans="2:23" x14ac:dyDescent="0.25">
      <c r="B28" s="105" t="s">
        <v>4</v>
      </c>
      <c r="C28" s="96">
        <f ca="1">OFFSET(C12,,C$26*5)</f>
        <v>6</v>
      </c>
      <c r="D28" s="96">
        <f ca="1">OFFSET(D12,,D$26*5)</f>
        <v>3</v>
      </c>
      <c r="E28" s="97">
        <f ca="1">OFFSET(E12,,E$26*5)</f>
        <v>2</v>
      </c>
      <c r="F28" s="96"/>
      <c r="G28" s="105">
        <v>1</v>
      </c>
      <c r="H28" s="115">
        <v>1</v>
      </c>
      <c r="I28" s="115">
        <v>1</v>
      </c>
      <c r="J28" s="116">
        <v>1</v>
      </c>
      <c r="K28" s="10"/>
      <c r="L28" s="10"/>
      <c r="M28" s="10"/>
      <c r="N28" s="10"/>
      <c r="O28" s="10"/>
      <c r="P28" s="10"/>
      <c r="V28" s="10"/>
      <c r="W28" s="10"/>
    </row>
    <row r="29" spans="2:23" x14ac:dyDescent="0.25">
      <c r="B29" s="105" t="s">
        <v>30</v>
      </c>
      <c r="C29" s="96">
        <f ca="1">OFFSET(C13,,C$26*5)</f>
        <v>18</v>
      </c>
      <c r="D29" s="96">
        <f ca="1">OFFSET(D13,,D$26*5)</f>
        <v>5</v>
      </c>
      <c r="E29" s="97">
        <f ca="1">OFFSET(E13,,E$26*5)</f>
        <v>13</v>
      </c>
      <c r="F29" s="100"/>
      <c r="G29" s="105">
        <v>2</v>
      </c>
      <c r="H29" s="115">
        <v>0</v>
      </c>
      <c r="I29" s="115">
        <v>0</v>
      </c>
      <c r="J29" s="116">
        <v>0</v>
      </c>
    </row>
    <row r="30" spans="2:23" x14ac:dyDescent="0.25">
      <c r="B30" s="105" t="s">
        <v>28</v>
      </c>
      <c r="C30" s="96">
        <f ca="1">OFFSET(C14,,C$26*5)</f>
        <v>23</v>
      </c>
      <c r="D30" s="96">
        <f ca="1">OFFSET(D14,,D$26*5)</f>
        <v>16</v>
      </c>
      <c r="E30" s="97">
        <f ca="1">OFFSET(E14,,E$26*5)</f>
        <v>13</v>
      </c>
      <c r="F30" s="100"/>
      <c r="G30" s="105">
        <v>3</v>
      </c>
      <c r="H30" s="115">
        <v>2</v>
      </c>
      <c r="I30" s="115">
        <v>2</v>
      </c>
      <c r="J30" s="116">
        <v>2</v>
      </c>
    </row>
    <row r="31" spans="2:23" x14ac:dyDescent="0.25">
      <c r="B31" s="105" t="s">
        <v>29</v>
      </c>
      <c r="C31" s="96">
        <f ca="1">OFFSET(C15,,C$26*5)</f>
        <v>30</v>
      </c>
      <c r="D31" s="96">
        <f ca="1">OFFSET(D15,,D$26*5)</f>
        <v>30</v>
      </c>
      <c r="E31" s="97">
        <f ca="1">OFFSET(E15,,E$26*5)</f>
        <v>30</v>
      </c>
      <c r="F31" s="100"/>
      <c r="G31" s="105">
        <v>4</v>
      </c>
      <c r="H31" s="115">
        <v>0</v>
      </c>
      <c r="I31" s="115">
        <v>1</v>
      </c>
      <c r="J31" s="116">
        <v>2</v>
      </c>
    </row>
    <row r="32" spans="2:23" x14ac:dyDescent="0.25">
      <c r="B32" s="105" t="s">
        <v>31</v>
      </c>
      <c r="C32" s="96">
        <f ca="1">OFFSET(C16,,C$26*5)</f>
        <v>30</v>
      </c>
      <c r="D32" s="96">
        <f ca="1">OFFSET(D16,,D$26*5)</f>
        <v>35</v>
      </c>
      <c r="E32" s="97">
        <f ca="1">OFFSET(E16,,E$26*5)</f>
        <v>30</v>
      </c>
      <c r="F32" s="100"/>
      <c r="G32" s="106">
        <v>5</v>
      </c>
      <c r="H32" s="117">
        <v>2</v>
      </c>
      <c r="I32" s="117">
        <v>1</v>
      </c>
      <c r="J32" s="118">
        <v>0</v>
      </c>
    </row>
    <row r="33" spans="2:10" x14ac:dyDescent="0.25">
      <c r="B33" s="105" t="s">
        <v>32</v>
      </c>
      <c r="C33" s="96">
        <f ca="1">OFFSET(C17,,C$26*5)</f>
        <v>8</v>
      </c>
      <c r="D33" s="96">
        <f ca="1">OFFSET(D17,,D$26*5)</f>
        <v>8</v>
      </c>
      <c r="E33" s="97">
        <f ca="1">OFFSET(E17,,E$26*5)</f>
        <v>8</v>
      </c>
      <c r="F33" s="100"/>
      <c r="G33" s="100"/>
      <c r="H33" s="100"/>
      <c r="I33" s="100"/>
      <c r="J33" s="100"/>
    </row>
    <row r="34" spans="2:10" x14ac:dyDescent="0.25">
      <c r="B34" s="105" t="s">
        <v>27</v>
      </c>
      <c r="C34" s="96">
        <f ca="1">OFFSET(C18,,C$26*5)</f>
        <v>106</v>
      </c>
      <c r="D34" s="96">
        <f ca="1">OFFSET(D18,,D$26*5)</f>
        <v>96</v>
      </c>
      <c r="E34" s="97">
        <f ca="1">OFFSET(E18,,E$26*5)</f>
        <v>71</v>
      </c>
      <c r="F34" s="100"/>
      <c r="G34" s="100"/>
      <c r="H34" s="100"/>
      <c r="I34" s="100"/>
      <c r="J34" s="100"/>
    </row>
    <row r="35" spans="2:10" x14ac:dyDescent="0.25">
      <c r="B35" s="101" t="s">
        <v>6</v>
      </c>
      <c r="C35" s="98">
        <f ca="1">SUM(C28:C34)</f>
        <v>221</v>
      </c>
      <c r="D35" s="98">
        <f t="shared" ref="D35:E35" ca="1" si="5">SUM(D28:D34)</f>
        <v>193</v>
      </c>
      <c r="E35" s="99">
        <f t="shared" ca="1" si="5"/>
        <v>167</v>
      </c>
      <c r="F35" s="100"/>
      <c r="G35" s="100"/>
      <c r="H35" s="100"/>
      <c r="I35" s="100"/>
      <c r="J35" s="100"/>
    </row>
    <row r="36" spans="2:10" x14ac:dyDescent="0.25">
      <c r="B36" s="100"/>
      <c r="C36" s="100"/>
      <c r="D36" s="109" t="s">
        <v>8</v>
      </c>
      <c r="E36" s="99">
        <f ca="1">PRODUCT(C35:E35)</f>
        <v>7123051</v>
      </c>
      <c r="F36" s="100"/>
      <c r="G36" s="100"/>
      <c r="H36" s="100"/>
      <c r="I36" s="100"/>
      <c r="J36" s="100"/>
    </row>
    <row r="37" spans="2:10" x14ac:dyDescent="0.25">
      <c r="B37" s="100"/>
      <c r="C37" s="100"/>
      <c r="D37" s="100"/>
      <c r="E37" s="100"/>
      <c r="F37" s="100"/>
      <c r="G37" s="100"/>
      <c r="H37" s="100"/>
      <c r="I37" s="100"/>
      <c r="J37" s="100"/>
    </row>
    <row r="38" spans="2:10" x14ac:dyDescent="0.25">
      <c r="B38" s="110" t="s">
        <v>66</v>
      </c>
      <c r="C38" s="100"/>
      <c r="D38" s="100"/>
      <c r="E38" s="100"/>
      <c r="F38" s="100"/>
      <c r="G38" s="100"/>
      <c r="H38" s="100"/>
      <c r="I38" s="100"/>
      <c r="J38" s="100"/>
    </row>
    <row r="39" spans="2:10" x14ac:dyDescent="0.25">
      <c r="B39" s="111" t="s">
        <v>33</v>
      </c>
      <c r="C39" s="112">
        <f ca="1">SUM(C30:C32)</f>
        <v>83</v>
      </c>
      <c r="D39" s="112">
        <f t="shared" ref="D39:E39" ca="1" si="6">SUM(D30:D32)</f>
        <v>81</v>
      </c>
      <c r="E39" s="113">
        <f t="shared" ca="1" si="6"/>
        <v>73</v>
      </c>
      <c r="F39" s="100"/>
      <c r="G39" s="100"/>
      <c r="H39" s="100"/>
      <c r="I39" s="100"/>
      <c r="J39" s="100"/>
    </row>
    <row r="40" spans="2:10" x14ac:dyDescent="0.25">
      <c r="B40" s="106" t="s">
        <v>57</v>
      </c>
      <c r="C40" s="107">
        <f ca="1">C35-C33-C28</f>
        <v>207</v>
      </c>
      <c r="D40" s="107">
        <f t="shared" ref="D40:E40" ca="1" si="7">D35-D33-D28</f>
        <v>182</v>
      </c>
      <c r="E40" s="108">
        <f t="shared" ca="1" si="7"/>
        <v>157</v>
      </c>
      <c r="F40" s="100"/>
      <c r="G40" s="100"/>
      <c r="H40" s="100"/>
      <c r="I40" s="100"/>
      <c r="J40" s="100"/>
    </row>
    <row r="42" spans="2:10" x14ac:dyDescent="0.25">
      <c r="B42" s="24" t="s">
        <v>53</v>
      </c>
    </row>
    <row r="43" spans="2:10" x14ac:dyDescent="0.25">
      <c r="B43" s="16" t="s">
        <v>1</v>
      </c>
      <c r="C43" s="17" t="s">
        <v>2</v>
      </c>
      <c r="D43" s="17" t="s">
        <v>3</v>
      </c>
      <c r="E43" s="17" t="s">
        <v>11</v>
      </c>
      <c r="F43" s="17" t="s">
        <v>12</v>
      </c>
      <c r="G43" s="17" t="s">
        <v>13</v>
      </c>
      <c r="H43" s="18" t="s">
        <v>40</v>
      </c>
    </row>
    <row r="44" spans="2:10" x14ac:dyDescent="0.25">
      <c r="B44" s="12" t="s">
        <v>4</v>
      </c>
      <c r="C44" s="12" t="s">
        <v>4</v>
      </c>
      <c r="D44" s="12" t="s">
        <v>4</v>
      </c>
      <c r="E44" s="32">
        <f ca="1">VLOOKUP(B44,$B$28:$E$40,2,)*VLOOKUP(C44,$B$28:$E$40,3,)*VLOOKUP(D44,$B$28:$E$40,4,)</f>
        <v>36</v>
      </c>
      <c r="F44" s="12">
        <f ca="1">E44/$E$20</f>
        <v>5.0540140734637445E-6</v>
      </c>
      <c r="G44" s="32">
        <f>IF(C22=1,0,'Game Info'!T8)</f>
        <v>0</v>
      </c>
      <c r="H44" s="75">
        <f ca="1">F44*G44</f>
        <v>0</v>
      </c>
    </row>
    <row r="45" spans="2:10" x14ac:dyDescent="0.25">
      <c r="B45" s="14"/>
      <c r="C45" s="14"/>
      <c r="D45" s="14"/>
      <c r="E45" s="14"/>
      <c r="F45" s="14"/>
      <c r="G45" s="14"/>
      <c r="H45" s="14"/>
    </row>
    <row r="46" spans="2:10" x14ac:dyDescent="0.25">
      <c r="B46" s="6" t="s">
        <v>30</v>
      </c>
      <c r="C46" s="6" t="str">
        <f>B46</f>
        <v>SEVEN</v>
      </c>
      <c r="D46" s="6" t="str">
        <f>B46</f>
        <v>SEVEN</v>
      </c>
      <c r="E46" s="80">
        <f t="shared" ref="E45:E76" ca="1" si="8">VLOOKUP(B46,$B$28:$E$40,2,)*VLOOKUP(C46,$B$28:$E$40,3,)*VLOOKUP(D46,$B$28:$E$40,4,)</f>
        <v>1170</v>
      </c>
      <c r="F46" s="6">
        <f t="shared" ref="F45:F103" ca="1" si="9">E46/$E$20</f>
        <v>1.642554573875717E-4</v>
      </c>
      <c r="G46" s="80">
        <f>'Game Info'!$T$9</f>
        <v>80</v>
      </c>
      <c r="H46" s="26">
        <f t="shared" ref="H46:H103" ca="1" si="10">F46*G46</f>
        <v>1.3140436591005736E-2</v>
      </c>
    </row>
    <row r="47" spans="2:10" x14ac:dyDescent="0.25">
      <c r="B47" s="6" t="str">
        <f>B46</f>
        <v>SEVEN</v>
      </c>
      <c r="C47" s="6" t="str">
        <f>B46</f>
        <v>SEVEN</v>
      </c>
      <c r="D47" s="6" t="s">
        <v>4</v>
      </c>
      <c r="E47" s="80">
        <f t="shared" ca="1" si="8"/>
        <v>180</v>
      </c>
      <c r="F47" s="6">
        <f t="shared" ca="1" si="9"/>
        <v>2.5270070367318723E-5</v>
      </c>
      <c r="G47" s="80">
        <f>2*G46</f>
        <v>160</v>
      </c>
      <c r="H47" s="26">
        <f t="shared" ca="1" si="10"/>
        <v>4.0432112587709956E-3</v>
      </c>
    </row>
    <row r="48" spans="2:10" x14ac:dyDescent="0.25">
      <c r="B48" s="6" t="str">
        <f>B46</f>
        <v>SEVEN</v>
      </c>
      <c r="C48" s="6" t="s">
        <v>4</v>
      </c>
      <c r="D48" s="6" t="str">
        <f>B46</f>
        <v>SEVEN</v>
      </c>
      <c r="E48" s="80">
        <f t="shared" ca="1" si="8"/>
        <v>702</v>
      </c>
      <c r="F48" s="6">
        <f t="shared" ca="1" si="9"/>
        <v>9.8553274432543019E-5</v>
      </c>
      <c r="G48" s="80">
        <f>2*G46</f>
        <v>160</v>
      </c>
      <c r="H48" s="26">
        <f t="shared" ca="1" si="10"/>
        <v>1.5768523909206883E-2</v>
      </c>
    </row>
    <row r="49" spans="2:8" x14ac:dyDescent="0.25">
      <c r="B49" s="6" t="s">
        <v>4</v>
      </c>
      <c r="C49" s="6" t="str">
        <f>B46</f>
        <v>SEVEN</v>
      </c>
      <c r="D49" s="6" t="str">
        <f>B46</f>
        <v>SEVEN</v>
      </c>
      <c r="E49" s="80">
        <f t="shared" ca="1" si="8"/>
        <v>390</v>
      </c>
      <c r="F49" s="6">
        <f t="shared" ca="1" si="9"/>
        <v>5.4751819129190568E-5</v>
      </c>
      <c r="G49" s="80">
        <f>2*G46</f>
        <v>160</v>
      </c>
      <c r="H49" s="26">
        <f t="shared" ca="1" si="10"/>
        <v>8.7602910606704911E-3</v>
      </c>
    </row>
    <row r="50" spans="2:8" x14ac:dyDescent="0.25">
      <c r="B50" s="6" t="str">
        <f>B46</f>
        <v>SEVEN</v>
      </c>
      <c r="C50" s="6" t="s">
        <v>4</v>
      </c>
      <c r="D50" s="6" t="s">
        <v>4</v>
      </c>
      <c r="E50" s="80">
        <f t="shared" ca="1" si="8"/>
        <v>108</v>
      </c>
      <c r="F50" s="6">
        <f t="shared" ca="1" si="9"/>
        <v>1.5162042220391234E-5</v>
      </c>
      <c r="G50" s="80">
        <f>4*G46</f>
        <v>320</v>
      </c>
      <c r="H50" s="26">
        <f t="shared" ca="1" si="10"/>
        <v>4.8518535105251948E-3</v>
      </c>
    </row>
    <row r="51" spans="2:8" x14ac:dyDescent="0.25">
      <c r="B51" s="6" t="s">
        <v>4</v>
      </c>
      <c r="C51" s="6" t="str">
        <f>B46</f>
        <v>SEVEN</v>
      </c>
      <c r="D51" s="6" t="s">
        <v>4</v>
      </c>
      <c r="E51" s="80">
        <f t="shared" ca="1" si="8"/>
        <v>60</v>
      </c>
      <c r="F51" s="6">
        <f t="shared" ca="1" si="9"/>
        <v>8.4233567891062403E-6</v>
      </c>
      <c r="G51" s="80">
        <f>4*G46</f>
        <v>320</v>
      </c>
      <c r="H51" s="26">
        <f t="shared" ca="1" si="10"/>
        <v>2.6954741725139968E-3</v>
      </c>
    </row>
    <row r="52" spans="2:8" x14ac:dyDescent="0.25">
      <c r="B52" s="12" t="s">
        <v>4</v>
      </c>
      <c r="C52" s="12" t="s">
        <v>4</v>
      </c>
      <c r="D52" s="12" t="str">
        <f>B46</f>
        <v>SEVEN</v>
      </c>
      <c r="E52" s="32">
        <f t="shared" ca="1" si="8"/>
        <v>234</v>
      </c>
      <c r="F52" s="12">
        <f t="shared" ca="1" si="9"/>
        <v>3.285109147751434E-5</v>
      </c>
      <c r="G52" s="32">
        <f>4*G46</f>
        <v>320</v>
      </c>
      <c r="H52" s="75">
        <f t="shared" ca="1" si="10"/>
        <v>1.0512349272804589E-2</v>
      </c>
    </row>
    <row r="53" spans="2:8" x14ac:dyDescent="0.25">
      <c r="B53" s="14"/>
      <c r="C53" s="14"/>
      <c r="D53" s="14"/>
      <c r="E53" s="14"/>
      <c r="F53" s="14"/>
      <c r="G53" s="14"/>
      <c r="H53" s="14"/>
    </row>
    <row r="54" spans="2:8" x14ac:dyDescent="0.25">
      <c r="B54" s="6" t="s">
        <v>28</v>
      </c>
      <c r="C54" s="6" t="str">
        <f>B54</f>
        <v>BAR3</v>
      </c>
      <c r="D54" s="6" t="s">
        <v>28</v>
      </c>
      <c r="E54" s="80">
        <f t="shared" ca="1" si="8"/>
        <v>4784</v>
      </c>
      <c r="F54" s="6">
        <f t="shared" ca="1" si="9"/>
        <v>6.716223146514043E-4</v>
      </c>
      <c r="G54" s="80">
        <f>'Game Info'!$T$10</f>
        <v>40</v>
      </c>
      <c r="H54" s="26">
        <f t="shared" ca="1" si="10"/>
        <v>2.686489258605617E-2</v>
      </c>
    </row>
    <row r="55" spans="2:8" x14ac:dyDescent="0.25">
      <c r="B55" s="6" t="str">
        <f>B54</f>
        <v>BAR3</v>
      </c>
      <c r="C55" s="6" t="str">
        <f>B54</f>
        <v>BAR3</v>
      </c>
      <c r="D55" s="6" t="s">
        <v>4</v>
      </c>
      <c r="E55" s="80">
        <f t="shared" ca="1" si="8"/>
        <v>736</v>
      </c>
      <c r="F55" s="6">
        <f t="shared" ca="1" si="9"/>
        <v>1.0332650994636989E-4</v>
      </c>
      <c r="G55" s="80">
        <f>2*G54</f>
        <v>80</v>
      </c>
      <c r="H55" s="26">
        <f t="shared" ca="1" si="10"/>
        <v>8.2661207957095903E-3</v>
      </c>
    </row>
    <row r="56" spans="2:8" x14ac:dyDescent="0.25">
      <c r="B56" s="6" t="str">
        <f>B54</f>
        <v>BAR3</v>
      </c>
      <c r="C56" s="6" t="s">
        <v>4</v>
      </c>
      <c r="D56" s="6" t="s">
        <v>29</v>
      </c>
      <c r="E56" s="80">
        <f t="shared" ca="1" si="8"/>
        <v>2070</v>
      </c>
      <c r="F56" s="6">
        <f t="shared" ca="1" si="9"/>
        <v>2.9060580922416531E-4</v>
      </c>
      <c r="G56" s="80">
        <f>2*G54</f>
        <v>80</v>
      </c>
      <c r="H56" s="26">
        <f t="shared" ca="1" si="10"/>
        <v>2.3248464737933225E-2</v>
      </c>
    </row>
    <row r="57" spans="2:8" x14ac:dyDescent="0.25">
      <c r="B57" s="6" t="s">
        <v>4</v>
      </c>
      <c r="C57" s="6" t="str">
        <f>B54</f>
        <v>BAR3</v>
      </c>
      <c r="D57" s="6" t="s">
        <v>31</v>
      </c>
      <c r="E57" s="80">
        <f t="shared" ca="1" si="8"/>
        <v>2880</v>
      </c>
      <c r="F57" s="6">
        <f t="shared" ca="1" si="9"/>
        <v>4.0432112587709956E-4</v>
      </c>
      <c r="G57" s="80">
        <f>2*G54</f>
        <v>80</v>
      </c>
      <c r="H57" s="26">
        <f t="shared" ca="1" si="10"/>
        <v>3.2345690070167965E-2</v>
      </c>
    </row>
    <row r="58" spans="2:8" x14ac:dyDescent="0.25">
      <c r="B58" s="6" t="str">
        <f>B54</f>
        <v>BAR3</v>
      </c>
      <c r="C58" s="6" t="s">
        <v>4</v>
      </c>
      <c r="D58" s="6" t="s">
        <v>4</v>
      </c>
      <c r="E58" s="80">
        <f t="shared" ca="1" si="8"/>
        <v>138</v>
      </c>
      <c r="F58" s="6">
        <f t="shared" ca="1" si="9"/>
        <v>1.9373720614944353E-5</v>
      </c>
      <c r="G58" s="80">
        <f>4*G54</f>
        <v>160</v>
      </c>
      <c r="H58" s="26">
        <f t="shared" ca="1" si="10"/>
        <v>3.0997952983910964E-3</v>
      </c>
    </row>
    <row r="59" spans="2:8" x14ac:dyDescent="0.25">
      <c r="B59" s="6" t="s">
        <v>4</v>
      </c>
      <c r="C59" s="6" t="str">
        <f>B54</f>
        <v>BAR3</v>
      </c>
      <c r="D59" s="6" t="s">
        <v>4</v>
      </c>
      <c r="E59" s="80">
        <f t="shared" ca="1" si="8"/>
        <v>192</v>
      </c>
      <c r="F59" s="6">
        <f t="shared" ca="1" si="9"/>
        <v>2.6954741725139973E-5</v>
      </c>
      <c r="G59" s="80">
        <f>4*G54</f>
        <v>160</v>
      </c>
      <c r="H59" s="76">
        <f t="shared" ca="1" si="10"/>
        <v>4.3127586760223959E-3</v>
      </c>
    </row>
    <row r="60" spans="2:8" x14ac:dyDescent="0.25">
      <c r="B60" s="12" t="s">
        <v>4</v>
      </c>
      <c r="C60" s="12" t="s">
        <v>4</v>
      </c>
      <c r="D60" s="12" t="str">
        <f>B54</f>
        <v>BAR3</v>
      </c>
      <c r="E60" s="32">
        <f t="shared" ca="1" si="8"/>
        <v>234</v>
      </c>
      <c r="F60" s="12">
        <f t="shared" ca="1" si="9"/>
        <v>3.285109147751434E-5</v>
      </c>
      <c r="G60" s="32">
        <f>4*G54</f>
        <v>160</v>
      </c>
      <c r="H60" s="75">
        <f t="shared" ca="1" si="10"/>
        <v>5.2561746364022943E-3</v>
      </c>
    </row>
    <row r="61" spans="2:8" x14ac:dyDescent="0.25">
      <c r="B61" s="14"/>
      <c r="C61" s="14"/>
      <c r="D61" s="14"/>
      <c r="E61" s="14"/>
      <c r="F61" s="14"/>
      <c r="G61" s="14"/>
      <c r="H61" s="14"/>
    </row>
    <row r="62" spans="2:8" x14ac:dyDescent="0.25">
      <c r="B62" s="6" t="s">
        <v>29</v>
      </c>
      <c r="C62" s="6" t="str">
        <f>B62</f>
        <v>BAR2</v>
      </c>
      <c r="D62" s="6" t="str">
        <f>B62</f>
        <v>BAR2</v>
      </c>
      <c r="E62" s="80">
        <f t="shared" ca="1" si="8"/>
        <v>27000</v>
      </c>
      <c r="F62" s="6">
        <f t="shared" ca="1" si="9"/>
        <v>3.7905105550978084E-3</v>
      </c>
      <c r="G62" s="80">
        <f>'Game Info'!$T$11</f>
        <v>25</v>
      </c>
      <c r="H62" s="26">
        <f t="shared" ca="1" si="10"/>
        <v>9.4762763877445214E-2</v>
      </c>
    </row>
    <row r="63" spans="2:8" x14ac:dyDescent="0.25">
      <c r="B63" s="6" t="str">
        <f>B62</f>
        <v>BAR2</v>
      </c>
      <c r="C63" s="6" t="str">
        <f>B62</f>
        <v>BAR2</v>
      </c>
      <c r="D63" s="6" t="s">
        <v>4</v>
      </c>
      <c r="E63" s="80">
        <f t="shared" ca="1" si="8"/>
        <v>1800</v>
      </c>
      <c r="F63" s="6">
        <f t="shared" ca="1" si="9"/>
        <v>2.5270070367318723E-4</v>
      </c>
      <c r="G63" s="80">
        <f>2*G62</f>
        <v>50</v>
      </c>
      <c r="H63" s="26">
        <f t="shared" ca="1" si="10"/>
        <v>1.2635035183659361E-2</v>
      </c>
    </row>
    <row r="64" spans="2:8" x14ac:dyDescent="0.25">
      <c r="B64" s="6" t="str">
        <f>B62</f>
        <v>BAR2</v>
      </c>
      <c r="C64" s="6" t="s">
        <v>4</v>
      </c>
      <c r="D64" s="6" t="str">
        <f>B62</f>
        <v>BAR2</v>
      </c>
      <c r="E64" s="80">
        <f t="shared" ca="1" si="8"/>
        <v>2700</v>
      </c>
      <c r="F64" s="6">
        <f t="shared" ca="1" si="9"/>
        <v>3.7905105550978084E-4</v>
      </c>
      <c r="G64" s="80">
        <f>2*G62</f>
        <v>50</v>
      </c>
      <c r="H64" s="26">
        <f t="shared" ca="1" si="10"/>
        <v>1.8952552775489042E-2</v>
      </c>
    </row>
    <row r="65" spans="2:8" x14ac:dyDescent="0.25">
      <c r="B65" s="6" t="s">
        <v>4</v>
      </c>
      <c r="C65" s="6" t="str">
        <f>B62</f>
        <v>BAR2</v>
      </c>
      <c r="D65" s="6" t="str">
        <f>B62</f>
        <v>BAR2</v>
      </c>
      <c r="E65" s="80">
        <f t="shared" ca="1" si="8"/>
        <v>5400</v>
      </c>
      <c r="F65" s="6">
        <f t="shared" ca="1" si="9"/>
        <v>7.5810211101956168E-4</v>
      </c>
      <c r="G65" s="80">
        <f>2*G62</f>
        <v>50</v>
      </c>
      <c r="H65" s="26">
        <f t="shared" ca="1" si="10"/>
        <v>3.7905105550978084E-2</v>
      </c>
    </row>
    <row r="66" spans="2:8" x14ac:dyDescent="0.25">
      <c r="B66" s="6" t="str">
        <f>B62</f>
        <v>BAR2</v>
      </c>
      <c r="C66" s="6" t="s">
        <v>4</v>
      </c>
      <c r="D66" s="6" t="s">
        <v>4</v>
      </c>
      <c r="E66" s="80">
        <f t="shared" ca="1" si="8"/>
        <v>180</v>
      </c>
      <c r="F66" s="6">
        <f t="shared" ca="1" si="9"/>
        <v>2.5270070367318723E-5</v>
      </c>
      <c r="G66" s="80">
        <f>4*G62</f>
        <v>100</v>
      </c>
      <c r="H66" s="26">
        <f t="shared" ca="1" si="10"/>
        <v>2.5270070367318723E-3</v>
      </c>
    </row>
    <row r="67" spans="2:8" x14ac:dyDescent="0.25">
      <c r="B67" s="6" t="s">
        <v>4</v>
      </c>
      <c r="C67" s="6" t="str">
        <f>B62</f>
        <v>BAR2</v>
      </c>
      <c r="D67" s="6" t="s">
        <v>4</v>
      </c>
      <c r="E67" s="80">
        <f t="shared" ca="1" si="8"/>
        <v>360</v>
      </c>
      <c r="F67" s="6">
        <f t="shared" ca="1" si="9"/>
        <v>5.0540140734637445E-5</v>
      </c>
      <c r="G67" s="80">
        <f>4*G62</f>
        <v>100</v>
      </c>
      <c r="H67" s="76">
        <f t="shared" ca="1" si="10"/>
        <v>5.0540140734637445E-3</v>
      </c>
    </row>
    <row r="68" spans="2:8" x14ac:dyDescent="0.25">
      <c r="B68" s="12" t="s">
        <v>4</v>
      </c>
      <c r="C68" s="12" t="s">
        <v>4</v>
      </c>
      <c r="D68" s="12" t="str">
        <f>B62</f>
        <v>BAR2</v>
      </c>
      <c r="E68" s="32">
        <f t="shared" ca="1" si="8"/>
        <v>540</v>
      </c>
      <c r="F68" s="12">
        <f t="shared" ca="1" si="9"/>
        <v>7.5810211101956168E-5</v>
      </c>
      <c r="G68" s="32">
        <f>4*G62</f>
        <v>100</v>
      </c>
      <c r="H68" s="75">
        <f t="shared" ca="1" si="10"/>
        <v>7.5810211101956168E-3</v>
      </c>
    </row>
    <row r="69" spans="2:8" x14ac:dyDescent="0.25">
      <c r="B69" s="14"/>
      <c r="C69" s="14"/>
      <c r="D69" s="14"/>
      <c r="E69" s="14"/>
      <c r="F69" s="14"/>
      <c r="G69" s="14"/>
      <c r="H69" s="14"/>
    </row>
    <row r="70" spans="2:8" x14ac:dyDescent="0.25">
      <c r="B70" s="6" t="s">
        <v>31</v>
      </c>
      <c r="C70" s="6" t="str">
        <f>B70</f>
        <v>BAR1</v>
      </c>
      <c r="D70" s="6" t="str">
        <f>B70</f>
        <v>BAR1</v>
      </c>
      <c r="E70" s="80">
        <f t="shared" ca="1" si="8"/>
        <v>31500</v>
      </c>
      <c r="F70" s="6">
        <f t="shared" ca="1" si="9"/>
        <v>4.4222623142807765E-3</v>
      </c>
      <c r="G70" s="80">
        <f>'Game Info'!$T$12</f>
        <v>10</v>
      </c>
      <c r="H70" s="26">
        <f t="shared" ca="1" si="10"/>
        <v>4.4222623142807768E-2</v>
      </c>
    </row>
    <row r="71" spans="2:8" x14ac:dyDescent="0.25">
      <c r="B71" s="6" t="str">
        <f>B70</f>
        <v>BAR1</v>
      </c>
      <c r="C71" s="6" t="str">
        <f>B70</f>
        <v>BAR1</v>
      </c>
      <c r="D71" s="6" t="s">
        <v>4</v>
      </c>
      <c r="E71" s="80">
        <f t="shared" ca="1" si="8"/>
        <v>2100</v>
      </c>
      <c r="F71" s="6">
        <f t="shared" ca="1" si="9"/>
        <v>2.9481748761871841E-4</v>
      </c>
      <c r="G71" s="80">
        <f>2*G70</f>
        <v>20</v>
      </c>
      <c r="H71" s="26">
        <f t="shared" ca="1" si="10"/>
        <v>5.8963497523743681E-3</v>
      </c>
    </row>
    <row r="72" spans="2:8" x14ac:dyDescent="0.25">
      <c r="B72" s="6" t="str">
        <f>B70</f>
        <v>BAR1</v>
      </c>
      <c r="C72" s="6" t="s">
        <v>4</v>
      </c>
      <c r="D72" s="6" t="str">
        <f>B70</f>
        <v>BAR1</v>
      </c>
      <c r="E72" s="80">
        <f t="shared" ca="1" si="8"/>
        <v>2700</v>
      </c>
      <c r="F72" s="6">
        <f t="shared" ca="1" si="9"/>
        <v>3.7905105550978084E-4</v>
      </c>
      <c r="G72" s="80">
        <f>2*G70</f>
        <v>20</v>
      </c>
      <c r="H72" s="26">
        <f t="shared" ca="1" si="10"/>
        <v>7.5810211101956168E-3</v>
      </c>
    </row>
    <row r="73" spans="2:8" x14ac:dyDescent="0.25">
      <c r="B73" s="6" t="s">
        <v>4</v>
      </c>
      <c r="C73" s="6" t="str">
        <f>B70</f>
        <v>BAR1</v>
      </c>
      <c r="D73" s="6" t="str">
        <f>B70</f>
        <v>BAR1</v>
      </c>
      <c r="E73" s="80">
        <f t="shared" ca="1" si="8"/>
        <v>6300</v>
      </c>
      <c r="F73" s="6">
        <f t="shared" ca="1" si="9"/>
        <v>8.8445246285615529E-4</v>
      </c>
      <c r="G73" s="80">
        <f>2*G70</f>
        <v>20</v>
      </c>
      <c r="H73" s="26">
        <f t="shared" ca="1" si="10"/>
        <v>1.7689049257123106E-2</v>
      </c>
    </row>
    <row r="74" spans="2:8" x14ac:dyDescent="0.25">
      <c r="B74" s="6" t="str">
        <f>B70</f>
        <v>BAR1</v>
      </c>
      <c r="C74" s="6" t="s">
        <v>4</v>
      </c>
      <c r="D74" s="6" t="s">
        <v>4</v>
      </c>
      <c r="E74" s="80">
        <f t="shared" ca="1" si="8"/>
        <v>180</v>
      </c>
      <c r="F74" s="6">
        <f t="shared" ca="1" si="9"/>
        <v>2.5270070367318723E-5</v>
      </c>
      <c r="G74" s="80">
        <f>4*G70</f>
        <v>40</v>
      </c>
      <c r="H74" s="76">
        <f t="shared" ca="1" si="10"/>
        <v>1.0108028146927489E-3</v>
      </c>
    </row>
    <row r="75" spans="2:8" x14ac:dyDescent="0.25">
      <c r="B75" s="6" t="s">
        <v>4</v>
      </c>
      <c r="C75" s="6" t="str">
        <f>B70</f>
        <v>BAR1</v>
      </c>
      <c r="D75" s="6" t="s">
        <v>4</v>
      </c>
      <c r="E75" s="80">
        <f t="shared" ca="1" si="8"/>
        <v>420</v>
      </c>
      <c r="F75" s="6">
        <f t="shared" ca="1" si="9"/>
        <v>5.8963497523743691E-5</v>
      </c>
      <c r="G75" s="80">
        <f>4*G70</f>
        <v>40</v>
      </c>
      <c r="H75" s="76">
        <f t="shared" ca="1" si="10"/>
        <v>2.3585399009497477E-3</v>
      </c>
    </row>
    <row r="76" spans="2:8" x14ac:dyDescent="0.25">
      <c r="B76" s="12" t="s">
        <v>4</v>
      </c>
      <c r="C76" s="12" t="s">
        <v>4</v>
      </c>
      <c r="D76" s="12" t="str">
        <f>B70</f>
        <v>BAR1</v>
      </c>
      <c r="E76" s="32">
        <f t="shared" ca="1" si="8"/>
        <v>540</v>
      </c>
      <c r="F76" s="12">
        <f t="shared" ca="1" si="9"/>
        <v>7.5810211101956168E-5</v>
      </c>
      <c r="G76" s="32">
        <f>4*G70</f>
        <v>40</v>
      </c>
      <c r="H76" s="75">
        <f t="shared" ca="1" si="10"/>
        <v>3.0324084440782467E-3</v>
      </c>
    </row>
    <row r="77" spans="2:8" x14ac:dyDescent="0.25">
      <c r="B77" s="14"/>
      <c r="C77" s="14"/>
      <c r="D77" s="14"/>
      <c r="E77" s="14"/>
      <c r="F77" s="14"/>
      <c r="G77" s="14"/>
      <c r="H77" s="14"/>
    </row>
    <row r="78" spans="2:8" x14ac:dyDescent="0.25">
      <c r="B78" s="6" t="s">
        <v>33</v>
      </c>
      <c r="C78" s="6" t="str">
        <f>B78</f>
        <v>ANYBAR</v>
      </c>
      <c r="D78" s="6" t="str">
        <f>B78</f>
        <v>ANYBAR</v>
      </c>
      <c r="E78" s="80">
        <f ca="1">VLOOKUP(B78,$B$28:$E$40,2,)*VLOOKUP(C78,$B$28:$E$40,3,)*VLOOKUP(D78,$B$28:$E$40,4,)
-IF(B78="ANYBAR",$C$30,$C$28)*IF(C78="ANYBAR",$D$30,$D$28)*IF(D78="ANYBAR",$E$30,$E$28)
-IF(B78="ANYBAR",$C$31,$C$28)*IF(C78="ANYBAR",$D$31,$D$28)*IF(D78="ANYBAR",$E$31,$E$28)
-IF(B78="ANYBAR",$C$32,$C$28)*IF(C78="ANYBAR",$D$32,$D$28)*IF(D78="ANYBAR",$E$32,$E$28)</f>
        <v>427495</v>
      </c>
      <c r="F78" s="6">
        <f t="shared" ca="1" si="9"/>
        <v>6.0015715175982878E-2</v>
      </c>
      <c r="G78" s="80">
        <f>'Game Info'!$T$13</f>
        <v>5</v>
      </c>
      <c r="H78" s="76">
        <f t="shared" ca="1" si="10"/>
        <v>0.30007857587991438</v>
      </c>
    </row>
    <row r="79" spans="2:8" x14ac:dyDescent="0.25">
      <c r="B79" s="6" t="str">
        <f>B78</f>
        <v>ANYBAR</v>
      </c>
      <c r="C79" s="6" t="str">
        <f>B78</f>
        <v>ANYBAR</v>
      </c>
      <c r="D79" s="6" t="s">
        <v>4</v>
      </c>
      <c r="E79" s="80">
        <f t="shared" ref="E79:E81" ca="1" si="11">VLOOKUP(B79,$B$28:$E$40,2,)*VLOOKUP(C79,$B$28:$E$40,3,)*VLOOKUP(D79,$B$28:$E$40,4,)
-IF(B79="ANYBAR",$C$30,$C$28)*IF(C79="ANYBAR",$D$30,$D$28)*IF(D79="ANYBAR",$E$30,$E$28)
-IF(B79="ANYBAR",$C$31,$C$28)*IF(C79="ANYBAR",$D$31,$D$28)*IF(D79="ANYBAR",$E$31,$E$28)
-IF(B79="ANYBAR",$C$32,$C$28)*IF(C79="ANYBAR",$D$32,$D$28)*IF(D79="ANYBAR",$E$32,$E$28)</f>
        <v>8810</v>
      </c>
      <c r="F79" s="6">
        <f t="shared" ca="1" si="9"/>
        <v>1.236829555200433E-3</v>
      </c>
      <c r="G79" s="80">
        <f>2*G78</f>
        <v>10</v>
      </c>
      <c r="H79" s="76">
        <f t="shared" ca="1" si="10"/>
        <v>1.2368295552004329E-2</v>
      </c>
    </row>
    <row r="80" spans="2:8" x14ac:dyDescent="0.25">
      <c r="B80" s="6" t="str">
        <f>B78</f>
        <v>ANYBAR</v>
      </c>
      <c r="C80" s="6" t="s">
        <v>4</v>
      </c>
      <c r="D80" s="6" t="str">
        <f>B78</f>
        <v>ANYBAR</v>
      </c>
      <c r="E80" s="80">
        <f t="shared" ca="1" si="11"/>
        <v>11880</v>
      </c>
      <c r="F80" s="6">
        <f t="shared" ca="1" si="9"/>
        <v>1.6678246442430357E-3</v>
      </c>
      <c r="G80" s="80">
        <f>2*G78</f>
        <v>10</v>
      </c>
      <c r="H80" s="76">
        <f t="shared" ca="1" si="10"/>
        <v>1.6678246442430357E-2</v>
      </c>
    </row>
    <row r="81" spans="2:8" x14ac:dyDescent="0.25">
      <c r="B81" s="12" t="s">
        <v>4</v>
      </c>
      <c r="C81" s="12" t="str">
        <f>B78</f>
        <v>ANYBAR</v>
      </c>
      <c r="D81" s="12" t="str">
        <f>B78</f>
        <v>ANYBAR</v>
      </c>
      <c r="E81" s="80">
        <f t="shared" ca="1" si="11"/>
        <v>22530</v>
      </c>
      <c r="F81" s="12">
        <f t="shared" ca="1" si="9"/>
        <v>3.1629704743093936E-3</v>
      </c>
      <c r="G81" s="32">
        <f>2*G78</f>
        <v>10</v>
      </c>
      <c r="H81" s="75">
        <f t="shared" ca="1" si="10"/>
        <v>3.1629704743093935E-2</v>
      </c>
    </row>
    <row r="82" spans="2:8" x14ac:dyDescent="0.25">
      <c r="B82" s="14"/>
      <c r="C82" s="14"/>
      <c r="D82" s="14"/>
      <c r="E82" s="14"/>
      <c r="F82" s="14"/>
      <c r="G82" s="14"/>
      <c r="H82" s="14"/>
    </row>
    <row r="83" spans="2:8" x14ac:dyDescent="0.25">
      <c r="B83" s="6" t="s">
        <v>32</v>
      </c>
      <c r="C83" s="6" t="str">
        <f>B83</f>
        <v>CHERRY</v>
      </c>
      <c r="D83" s="6" t="str">
        <f>B83</f>
        <v>CHERRY</v>
      </c>
      <c r="E83" s="80">
        <f t="shared" ref="E83:E103" ca="1" si="12">VLOOKUP(B83,$B$28:$E$40,2,)*VLOOKUP(C83,$B$28:$E$40,3,)*VLOOKUP(D83,$B$28:$E$40,4,)</f>
        <v>512</v>
      </c>
      <c r="F83" s="6">
        <f t="shared" ca="1" si="9"/>
        <v>7.1879311267039928E-5</v>
      </c>
      <c r="G83" s="80">
        <f>'Game Info'!T14</f>
        <v>10</v>
      </c>
      <c r="H83" s="26">
        <f t="shared" ca="1" si="10"/>
        <v>7.1879311267039928E-4</v>
      </c>
    </row>
    <row r="84" spans="2:8" x14ac:dyDescent="0.25">
      <c r="B84" s="6" t="str">
        <f>B83</f>
        <v>CHERRY</v>
      </c>
      <c r="C84" s="6" t="str">
        <f>B83</f>
        <v>CHERRY</v>
      </c>
      <c r="D84" s="6" t="s">
        <v>4</v>
      </c>
      <c r="E84" s="80">
        <f t="shared" ca="1" si="12"/>
        <v>128</v>
      </c>
      <c r="F84" s="6">
        <f t="shared" ca="1" si="9"/>
        <v>1.7969827816759982E-5</v>
      </c>
      <c r="G84" s="80">
        <f>2*G83</f>
        <v>20</v>
      </c>
      <c r="H84" s="26">
        <f t="shared" ca="1" si="10"/>
        <v>3.5939655633519964E-4</v>
      </c>
    </row>
    <row r="85" spans="2:8" x14ac:dyDescent="0.25">
      <c r="B85" s="6" t="str">
        <f>B83</f>
        <v>CHERRY</v>
      </c>
      <c r="C85" s="6" t="s">
        <v>4</v>
      </c>
      <c r="D85" s="6" t="str">
        <f>B83</f>
        <v>CHERRY</v>
      </c>
      <c r="E85" s="80">
        <f t="shared" ca="1" si="12"/>
        <v>192</v>
      </c>
      <c r="F85" s="6">
        <f t="shared" ca="1" si="9"/>
        <v>2.6954741725139973E-5</v>
      </c>
      <c r="G85" s="80">
        <f>2*G83</f>
        <v>20</v>
      </c>
      <c r="H85" s="26">
        <f t="shared" ca="1" si="10"/>
        <v>5.3909483450279949E-4</v>
      </c>
    </row>
    <row r="86" spans="2:8" x14ac:dyDescent="0.25">
      <c r="B86" s="6" t="s">
        <v>4</v>
      </c>
      <c r="C86" s="6" t="str">
        <f>B83</f>
        <v>CHERRY</v>
      </c>
      <c r="D86" s="6" t="str">
        <f>B83</f>
        <v>CHERRY</v>
      </c>
      <c r="E86" s="80">
        <f t="shared" ca="1" si="12"/>
        <v>384</v>
      </c>
      <c r="F86" s="6">
        <f t="shared" ca="1" si="9"/>
        <v>5.3909483450279946E-5</v>
      </c>
      <c r="G86" s="80">
        <f>2*G83</f>
        <v>20</v>
      </c>
      <c r="H86" s="26">
        <f t="shared" ca="1" si="10"/>
        <v>1.078189669005599E-3</v>
      </c>
    </row>
    <row r="87" spans="2:8" x14ac:dyDescent="0.25">
      <c r="B87" s="6" t="str">
        <f>B83</f>
        <v>CHERRY</v>
      </c>
      <c r="C87" s="6" t="s">
        <v>4</v>
      </c>
      <c r="D87" s="6" t="s">
        <v>4</v>
      </c>
      <c r="E87" s="80">
        <f t="shared" ca="1" si="12"/>
        <v>48</v>
      </c>
      <c r="F87" s="6">
        <f t="shared" ca="1" si="9"/>
        <v>6.7386854312849933E-6</v>
      </c>
      <c r="G87" s="80">
        <f>4*G83</f>
        <v>40</v>
      </c>
      <c r="H87" s="26">
        <f t="shared" ca="1" si="10"/>
        <v>2.6954741725139974E-4</v>
      </c>
    </row>
    <row r="88" spans="2:8" x14ac:dyDescent="0.25">
      <c r="B88" s="6" t="s">
        <v>4</v>
      </c>
      <c r="C88" s="6" t="str">
        <f>B83</f>
        <v>CHERRY</v>
      </c>
      <c r="D88" s="6" t="s">
        <v>4</v>
      </c>
      <c r="E88" s="80">
        <f t="shared" ca="1" si="12"/>
        <v>96</v>
      </c>
      <c r="F88" s="6">
        <f t="shared" ca="1" si="9"/>
        <v>1.3477370862569987E-5</v>
      </c>
      <c r="G88" s="80">
        <f>4*G83</f>
        <v>40</v>
      </c>
      <c r="H88" s="76">
        <f t="shared" ca="1" si="10"/>
        <v>5.3909483450279949E-4</v>
      </c>
    </row>
    <row r="89" spans="2:8" x14ac:dyDescent="0.25">
      <c r="B89" s="12" t="s">
        <v>4</v>
      </c>
      <c r="C89" s="12" t="s">
        <v>4</v>
      </c>
      <c r="D89" s="12" t="str">
        <f>B83</f>
        <v>CHERRY</v>
      </c>
      <c r="E89" s="32">
        <f t="shared" ca="1" si="12"/>
        <v>144</v>
      </c>
      <c r="F89" s="12">
        <f t="shared" ca="1" si="9"/>
        <v>2.0216056293854978E-5</v>
      </c>
      <c r="G89" s="32">
        <f>4*G83</f>
        <v>40</v>
      </c>
      <c r="H89" s="75">
        <f t="shared" ca="1" si="10"/>
        <v>8.0864225175419913E-4</v>
      </c>
    </row>
    <row r="90" spans="2:8" x14ac:dyDescent="0.25">
      <c r="B90" s="14"/>
      <c r="C90" s="14"/>
      <c r="D90" s="14"/>
      <c r="E90" s="14"/>
      <c r="F90" s="14"/>
      <c r="G90" s="14"/>
      <c r="H90" s="14"/>
    </row>
    <row r="91" spans="2:8" x14ac:dyDescent="0.25">
      <c r="B91" s="6" t="s">
        <v>32</v>
      </c>
      <c r="C91" s="6" t="s">
        <v>32</v>
      </c>
      <c r="D91" s="77" t="s">
        <v>57</v>
      </c>
      <c r="E91" s="80">
        <f t="shared" ca="1" si="12"/>
        <v>10048</v>
      </c>
      <c r="F91" s="6">
        <f t="shared" ca="1" si="9"/>
        <v>1.4106314836156585E-3</v>
      </c>
      <c r="G91" s="80">
        <f>'Game Info'!S14</f>
        <v>5</v>
      </c>
      <c r="H91" s="26">
        <f t="shared" ca="1" si="10"/>
        <v>7.0531574180782925E-3</v>
      </c>
    </row>
    <row r="92" spans="2:8" x14ac:dyDescent="0.25">
      <c r="B92" s="6" t="s">
        <v>32</v>
      </c>
      <c r="C92" s="77" t="s">
        <v>57</v>
      </c>
      <c r="D92" s="6" t="s">
        <v>32</v>
      </c>
      <c r="E92" s="80">
        <f t="shared" ca="1" si="12"/>
        <v>11648</v>
      </c>
      <c r="F92" s="6">
        <f t="shared" ca="1" si="9"/>
        <v>1.6352543313251583E-3</v>
      </c>
      <c r="G92" s="80">
        <f>'Game Info'!S14</f>
        <v>5</v>
      </c>
      <c r="H92" s="26">
        <f t="shared" ca="1" si="10"/>
        <v>8.1762716566257908E-3</v>
      </c>
    </row>
    <row r="93" spans="2:8" x14ac:dyDescent="0.25">
      <c r="B93" s="77" t="s">
        <v>57</v>
      </c>
      <c r="C93" s="6" t="s">
        <v>32</v>
      </c>
      <c r="D93" s="6" t="s">
        <v>32</v>
      </c>
      <c r="E93" s="80">
        <f t="shared" ca="1" si="12"/>
        <v>13248</v>
      </c>
      <c r="F93" s="6">
        <f t="shared" ca="1" si="9"/>
        <v>1.859877179034658E-3</v>
      </c>
      <c r="G93" s="80">
        <f>'Game Info'!S14</f>
        <v>5</v>
      </c>
      <c r="H93" s="26">
        <f t="shared" ca="1" si="10"/>
        <v>9.29938589517329E-3</v>
      </c>
    </row>
    <row r="94" spans="2:8" x14ac:dyDescent="0.25">
      <c r="B94" s="6" t="s">
        <v>4</v>
      </c>
      <c r="C94" s="6" t="s">
        <v>32</v>
      </c>
      <c r="D94" s="77" t="s">
        <v>57</v>
      </c>
      <c r="E94" s="80">
        <f t="shared" ca="1" si="12"/>
        <v>7536</v>
      </c>
      <c r="F94" s="6">
        <f t="shared" ca="1" si="9"/>
        <v>1.0579736127117438E-3</v>
      </c>
      <c r="G94" s="80">
        <f>2*G91</f>
        <v>10</v>
      </c>
      <c r="H94" s="26">
        <f t="shared" ca="1" si="10"/>
        <v>1.0579736127117437E-2</v>
      </c>
    </row>
    <row r="95" spans="2:8" x14ac:dyDescent="0.25">
      <c r="B95" s="6" t="s">
        <v>4</v>
      </c>
      <c r="C95" s="77" t="s">
        <v>57</v>
      </c>
      <c r="D95" s="6" t="s">
        <v>32</v>
      </c>
      <c r="E95" s="80">
        <f t="shared" ca="1" si="12"/>
        <v>8736</v>
      </c>
      <c r="F95" s="6">
        <f t="shared" ca="1" si="9"/>
        <v>1.2264407484938687E-3</v>
      </c>
      <c r="G95" s="80">
        <f>2*G91</f>
        <v>10</v>
      </c>
      <c r="H95" s="26">
        <f t="shared" ca="1" si="10"/>
        <v>1.2264407484938688E-2</v>
      </c>
    </row>
    <row r="96" spans="2:8" x14ac:dyDescent="0.25">
      <c r="B96" s="77" t="s">
        <v>57</v>
      </c>
      <c r="C96" s="6" t="s">
        <v>4</v>
      </c>
      <c r="D96" s="6" t="s">
        <v>32</v>
      </c>
      <c r="E96" s="80">
        <f t="shared" ca="1" si="12"/>
        <v>4968</v>
      </c>
      <c r="F96" s="6">
        <f t="shared" ca="1" si="9"/>
        <v>6.9745394213799675E-4</v>
      </c>
      <c r="G96" s="80">
        <f>2*G91</f>
        <v>10</v>
      </c>
      <c r="H96" s="26">
        <f t="shared" ca="1" si="10"/>
        <v>6.9745394213799675E-3</v>
      </c>
    </row>
    <row r="97" spans="2:8" x14ac:dyDescent="0.25">
      <c r="B97" s="6" t="s">
        <v>32</v>
      </c>
      <c r="C97" s="6" t="s">
        <v>4</v>
      </c>
      <c r="D97" s="77" t="s">
        <v>57</v>
      </c>
      <c r="E97" s="80">
        <f t="shared" ca="1" si="12"/>
        <v>3768</v>
      </c>
      <c r="F97" s="6">
        <f t="shared" ca="1" si="9"/>
        <v>5.2898680635587189E-4</v>
      </c>
      <c r="G97" s="80">
        <f>2*G91</f>
        <v>10</v>
      </c>
      <c r="H97" s="26">
        <f t="shared" ca="1" si="10"/>
        <v>5.2898680635587187E-3</v>
      </c>
    </row>
    <row r="98" spans="2:8" x14ac:dyDescent="0.25">
      <c r="B98" s="6" t="s">
        <v>32</v>
      </c>
      <c r="C98" s="77" t="s">
        <v>57</v>
      </c>
      <c r="D98" s="6" t="s">
        <v>4</v>
      </c>
      <c r="E98" s="80">
        <f t="shared" ca="1" si="12"/>
        <v>2912</v>
      </c>
      <c r="F98" s="6">
        <f t="shared" ca="1" si="9"/>
        <v>4.0881358283128958E-4</v>
      </c>
      <c r="G98" s="80">
        <f>2*G91</f>
        <v>10</v>
      </c>
      <c r="H98" s="26">
        <f t="shared" ca="1" si="10"/>
        <v>4.0881358283128954E-3</v>
      </c>
    </row>
    <row r="99" spans="2:8" x14ac:dyDescent="0.25">
      <c r="B99" s="30" t="s">
        <v>57</v>
      </c>
      <c r="C99" s="12" t="s">
        <v>32</v>
      </c>
      <c r="D99" s="12" t="s">
        <v>4</v>
      </c>
      <c r="E99" s="32">
        <f t="shared" ca="1" si="12"/>
        <v>3312</v>
      </c>
      <c r="F99" s="12">
        <f t="shared" ca="1" si="9"/>
        <v>4.649692947586645E-4</v>
      </c>
      <c r="G99" s="32">
        <f>2*G91</f>
        <v>10</v>
      </c>
      <c r="H99" s="75">
        <f t="shared" ca="1" si="10"/>
        <v>4.649692947586645E-3</v>
      </c>
    </row>
    <row r="100" spans="2:8" x14ac:dyDescent="0.25">
      <c r="B100" s="14"/>
      <c r="C100" s="14"/>
      <c r="D100" s="14"/>
      <c r="E100" s="14"/>
      <c r="F100" s="14"/>
      <c r="G100" s="14"/>
      <c r="H100" s="14"/>
    </row>
    <row r="101" spans="2:8" x14ac:dyDescent="0.25">
      <c r="B101" s="8" t="s">
        <v>32</v>
      </c>
      <c r="C101" s="78" t="s">
        <v>57</v>
      </c>
      <c r="D101" s="78" t="s">
        <v>57</v>
      </c>
      <c r="E101" s="85">
        <f t="shared" ca="1" si="12"/>
        <v>228592</v>
      </c>
      <c r="F101" s="8">
        <f t="shared" ca="1" si="9"/>
        <v>3.2091866252256233E-2</v>
      </c>
      <c r="G101" s="85">
        <f>'Game Info'!R14</f>
        <v>2</v>
      </c>
      <c r="H101" s="79">
        <f t="shared" ca="1" si="10"/>
        <v>6.4183732504512467E-2</v>
      </c>
    </row>
    <row r="102" spans="2:8" x14ac:dyDescent="0.25">
      <c r="B102" s="77" t="s">
        <v>57</v>
      </c>
      <c r="C102" s="6" t="s">
        <v>32</v>
      </c>
      <c r="D102" s="77" t="s">
        <v>57</v>
      </c>
      <c r="E102" s="80">
        <f t="shared" ca="1" si="12"/>
        <v>259992</v>
      </c>
      <c r="F102" s="6">
        <f t="shared" ca="1" si="9"/>
        <v>3.6500089638555167E-2</v>
      </c>
      <c r="G102" s="80">
        <f>'Game Info'!R14</f>
        <v>2</v>
      </c>
      <c r="H102" s="76">
        <f t="shared" ca="1" si="10"/>
        <v>7.3000179277110333E-2</v>
      </c>
    </row>
    <row r="103" spans="2:8" x14ac:dyDescent="0.25">
      <c r="B103" s="30" t="s">
        <v>57</v>
      </c>
      <c r="C103" s="30" t="s">
        <v>57</v>
      </c>
      <c r="D103" s="12" t="s">
        <v>32</v>
      </c>
      <c r="E103" s="32">
        <f t="shared" ca="1" si="12"/>
        <v>301392</v>
      </c>
      <c r="F103" s="12">
        <f t="shared" ca="1" si="9"/>
        <v>4.2312205823038469E-2</v>
      </c>
      <c r="G103" s="32">
        <f>'Game Info'!R14</f>
        <v>2</v>
      </c>
      <c r="H103" s="75">
        <f t="shared" ca="1" si="10"/>
        <v>8.4624411646076939E-2</v>
      </c>
    </row>
  </sheetData>
  <phoneticPr fontId="6" type="noConversion"/>
  <conditionalFormatting sqref="B44:D44 B46:D52 B54:D60 B62:D68 B70:D76 B78:D81 B83:D89 B91:D99 B101:D103 K45:L45 B45:H45 B53:H53 B61:H61 B69:H69 B77:H77 B82:H82 B90:H90 B100:H100">
    <cfRule type="containsText" dxfId="6" priority="1" operator="containsText" text="WILD">
      <formula>NOT(ISERROR(SEARCH("WILD",B44)))</formula>
    </cfRule>
  </conditionalFormatting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55AA0-B2D4-4253-B8CF-7881401DBB34}">
  <dimension ref="B2:O37"/>
  <sheetViews>
    <sheetView zoomScale="140" zoomScaleNormal="140" workbookViewId="0">
      <selection activeCell="B3" sqref="B3"/>
    </sheetView>
  </sheetViews>
  <sheetFormatPr defaultRowHeight="15" x14ac:dyDescent="0.25"/>
  <cols>
    <col min="1" max="1" width="3.5703125" customWidth="1"/>
  </cols>
  <sheetData>
    <row r="2" spans="2:15" x14ac:dyDescent="0.25">
      <c r="B2" s="54" t="s">
        <v>43</v>
      </c>
      <c r="G2" s="54" t="s">
        <v>44</v>
      </c>
      <c r="L2" s="54" t="s">
        <v>45</v>
      </c>
    </row>
    <row r="3" spans="2:15" x14ac:dyDescent="0.25">
      <c r="B3" s="19" t="s">
        <v>7</v>
      </c>
      <c r="C3" s="17" t="s">
        <v>1</v>
      </c>
      <c r="D3" s="17" t="s">
        <v>2</v>
      </c>
      <c r="E3" s="18" t="s">
        <v>3</v>
      </c>
      <c r="G3" s="19" t="s">
        <v>7</v>
      </c>
      <c r="H3" s="17" t="s">
        <v>1</v>
      </c>
      <c r="I3" s="17" t="s">
        <v>2</v>
      </c>
      <c r="J3" s="18" t="s">
        <v>3</v>
      </c>
      <c r="L3" s="19" t="s">
        <v>7</v>
      </c>
      <c r="M3" s="17" t="s">
        <v>1</v>
      </c>
      <c r="N3" s="17" t="s">
        <v>2</v>
      </c>
      <c r="O3" s="18" t="s">
        <v>3</v>
      </c>
    </row>
    <row r="4" spans="2:15" x14ac:dyDescent="0.25">
      <c r="B4" s="20" t="s">
        <v>4</v>
      </c>
      <c r="C4" s="80">
        <f t="shared" ref="C4:C10" si="0">SUMIF(C$16:C$35,$G4,D$17:D$36)</f>
        <v>8</v>
      </c>
      <c r="D4" s="80">
        <f t="shared" ref="D4:D10" si="1">SUMIF(E$16:E$35,$G4,F$17:F$36)</f>
        <v>8</v>
      </c>
      <c r="E4" s="62">
        <f t="shared" ref="E4:E10" si="2">SUMIF(G$16:G$35,$G4,H$17:H$36)</f>
        <v>1</v>
      </c>
      <c r="G4" s="20" t="s">
        <v>4</v>
      </c>
      <c r="H4" s="80">
        <f t="shared" ref="H4:H10" si="3">SUMIF(C$16:C$35,$G4,D$16:D$35)</f>
        <v>6</v>
      </c>
      <c r="I4" s="80">
        <f t="shared" ref="I4:I10" si="4">SUMIF(E$16:E$35,$G4,F$16:F$35)</f>
        <v>3</v>
      </c>
      <c r="J4" s="62">
        <f t="shared" ref="J4:J10" si="5">SUMIF(G$16:G$35,$G4,H$16:H$35)</f>
        <v>2</v>
      </c>
      <c r="L4" s="20" t="s">
        <v>4</v>
      </c>
      <c r="M4" s="80">
        <f t="shared" ref="M4:M10" si="6">SUMIF(C$16:C$35,$G4,D$15:D$34)</f>
        <v>8</v>
      </c>
      <c r="N4" s="80">
        <f t="shared" ref="N4:N10" si="7">SUMIF(E$16:E$35,$G4,F$15:F$34)</f>
        <v>8</v>
      </c>
      <c r="O4" s="62">
        <f t="shared" ref="O4:O10" si="8">SUMIF(G$16:G$35,$G4,H$15:H$34)</f>
        <v>1</v>
      </c>
    </row>
    <row r="5" spans="2:15" x14ac:dyDescent="0.25">
      <c r="B5" s="20" t="s">
        <v>30</v>
      </c>
      <c r="C5" s="80">
        <f t="shared" si="0"/>
        <v>23</v>
      </c>
      <c r="D5" s="80">
        <f t="shared" si="1"/>
        <v>10</v>
      </c>
      <c r="E5" s="62">
        <f t="shared" si="2"/>
        <v>11</v>
      </c>
      <c r="G5" s="20" t="s">
        <v>30</v>
      </c>
      <c r="H5" s="80">
        <f t="shared" si="3"/>
        <v>18</v>
      </c>
      <c r="I5" s="80">
        <f t="shared" si="4"/>
        <v>5</v>
      </c>
      <c r="J5" s="62">
        <f t="shared" si="5"/>
        <v>13</v>
      </c>
      <c r="L5" s="20" t="s">
        <v>30</v>
      </c>
      <c r="M5" s="80">
        <f t="shared" si="6"/>
        <v>27</v>
      </c>
      <c r="N5" s="80">
        <f t="shared" si="7"/>
        <v>10</v>
      </c>
      <c r="O5" s="62">
        <f t="shared" si="8"/>
        <v>15</v>
      </c>
    </row>
    <row r="6" spans="2:15" x14ac:dyDescent="0.25">
      <c r="B6" s="20" t="s">
        <v>28</v>
      </c>
      <c r="C6" s="80">
        <f t="shared" si="0"/>
        <v>18</v>
      </c>
      <c r="D6" s="80">
        <f t="shared" si="1"/>
        <v>18</v>
      </c>
      <c r="E6" s="62">
        <f t="shared" si="2"/>
        <v>16</v>
      </c>
      <c r="G6" s="20" t="s">
        <v>28</v>
      </c>
      <c r="H6" s="80">
        <f t="shared" si="3"/>
        <v>23</v>
      </c>
      <c r="I6" s="80">
        <f t="shared" si="4"/>
        <v>16</v>
      </c>
      <c r="J6" s="62">
        <f t="shared" si="5"/>
        <v>13</v>
      </c>
      <c r="L6" s="20" t="s">
        <v>28</v>
      </c>
      <c r="M6" s="80">
        <f t="shared" si="6"/>
        <v>22</v>
      </c>
      <c r="N6" s="80">
        <f t="shared" si="7"/>
        <v>22</v>
      </c>
      <c r="O6" s="62">
        <f t="shared" si="8"/>
        <v>20</v>
      </c>
    </row>
    <row r="7" spans="2:15" x14ac:dyDescent="0.25">
      <c r="B7" s="20" t="s">
        <v>29</v>
      </c>
      <c r="C7" s="80">
        <f t="shared" si="0"/>
        <v>24</v>
      </c>
      <c r="D7" s="80">
        <f t="shared" si="1"/>
        <v>24</v>
      </c>
      <c r="E7" s="62">
        <f t="shared" si="2"/>
        <v>17</v>
      </c>
      <c r="G7" s="20" t="s">
        <v>29</v>
      </c>
      <c r="H7" s="80">
        <f t="shared" si="3"/>
        <v>30</v>
      </c>
      <c r="I7" s="80">
        <f t="shared" si="4"/>
        <v>30</v>
      </c>
      <c r="J7" s="62">
        <f t="shared" si="5"/>
        <v>30</v>
      </c>
      <c r="L7" s="20" t="s">
        <v>29</v>
      </c>
      <c r="M7" s="80">
        <f t="shared" si="6"/>
        <v>25</v>
      </c>
      <c r="N7" s="80">
        <f t="shared" si="7"/>
        <v>20</v>
      </c>
      <c r="O7" s="62">
        <f t="shared" si="8"/>
        <v>18</v>
      </c>
    </row>
    <row r="8" spans="2:15" x14ac:dyDescent="0.25">
      <c r="B8" s="20" t="s">
        <v>31</v>
      </c>
      <c r="C8" s="80">
        <f t="shared" si="0"/>
        <v>25</v>
      </c>
      <c r="D8" s="80">
        <f t="shared" si="1"/>
        <v>28</v>
      </c>
      <c r="E8" s="62">
        <f t="shared" si="2"/>
        <v>18</v>
      </c>
      <c r="G8" s="20" t="s">
        <v>31</v>
      </c>
      <c r="H8" s="80">
        <f t="shared" si="3"/>
        <v>30</v>
      </c>
      <c r="I8" s="80">
        <f t="shared" si="4"/>
        <v>35</v>
      </c>
      <c r="J8" s="62">
        <f t="shared" si="5"/>
        <v>30</v>
      </c>
      <c r="L8" s="20" t="s">
        <v>31</v>
      </c>
      <c r="M8" s="80">
        <f t="shared" si="6"/>
        <v>16</v>
      </c>
      <c r="N8" s="80">
        <f t="shared" si="7"/>
        <v>28</v>
      </c>
      <c r="O8" s="62">
        <f t="shared" si="8"/>
        <v>9</v>
      </c>
    </row>
    <row r="9" spans="2:15" x14ac:dyDescent="0.25">
      <c r="B9" s="20" t="s">
        <v>32</v>
      </c>
      <c r="C9" s="80">
        <f t="shared" si="0"/>
        <v>8</v>
      </c>
      <c r="D9" s="80">
        <f t="shared" si="1"/>
        <v>8</v>
      </c>
      <c r="E9" s="62">
        <f t="shared" si="2"/>
        <v>8</v>
      </c>
      <c r="G9" s="20" t="s">
        <v>32</v>
      </c>
      <c r="H9" s="80">
        <f t="shared" si="3"/>
        <v>8</v>
      </c>
      <c r="I9" s="80">
        <f t="shared" si="4"/>
        <v>8</v>
      </c>
      <c r="J9" s="62">
        <f t="shared" si="5"/>
        <v>8</v>
      </c>
      <c r="L9" s="20" t="s">
        <v>32</v>
      </c>
      <c r="M9" s="80">
        <f t="shared" si="6"/>
        <v>8</v>
      </c>
      <c r="N9" s="80">
        <f t="shared" si="7"/>
        <v>8</v>
      </c>
      <c r="O9" s="62">
        <f t="shared" si="8"/>
        <v>8</v>
      </c>
    </row>
    <row r="10" spans="2:15" x14ac:dyDescent="0.25">
      <c r="B10" s="20" t="s">
        <v>27</v>
      </c>
      <c r="C10" s="80">
        <f t="shared" si="0"/>
        <v>115</v>
      </c>
      <c r="D10" s="80">
        <f t="shared" si="1"/>
        <v>97</v>
      </c>
      <c r="E10" s="62">
        <f t="shared" si="2"/>
        <v>96</v>
      </c>
      <c r="G10" s="20" t="s">
        <v>27</v>
      </c>
      <c r="H10" s="80">
        <f t="shared" si="3"/>
        <v>106</v>
      </c>
      <c r="I10" s="80">
        <f t="shared" si="4"/>
        <v>96</v>
      </c>
      <c r="J10" s="62">
        <f t="shared" si="5"/>
        <v>71</v>
      </c>
      <c r="L10" s="20" t="s">
        <v>27</v>
      </c>
      <c r="M10" s="80">
        <f t="shared" si="6"/>
        <v>115</v>
      </c>
      <c r="N10" s="80">
        <f t="shared" si="7"/>
        <v>97</v>
      </c>
      <c r="O10" s="62">
        <f t="shared" si="8"/>
        <v>96</v>
      </c>
    </row>
    <row r="11" spans="2:15" x14ac:dyDescent="0.25">
      <c r="B11" s="86" t="s">
        <v>6</v>
      </c>
      <c r="C11" s="63">
        <f>SUM(C4:C10)</f>
        <v>221</v>
      </c>
      <c r="D11" s="63">
        <f t="shared" ref="D11:E11" si="9">SUM(D4:D10)</f>
        <v>193</v>
      </c>
      <c r="E11" s="64">
        <f t="shared" si="9"/>
        <v>167</v>
      </c>
      <c r="G11" s="86" t="s">
        <v>6</v>
      </c>
      <c r="H11" s="63">
        <f>SUM(H4:H10)</f>
        <v>221</v>
      </c>
      <c r="I11" s="63">
        <f t="shared" ref="I11:J11" si="10">SUM(I4:I10)</f>
        <v>193</v>
      </c>
      <c r="J11" s="64">
        <f t="shared" si="10"/>
        <v>167</v>
      </c>
      <c r="L11" s="86" t="s">
        <v>6</v>
      </c>
      <c r="M11" s="63">
        <f>SUM(M4:M10)</f>
        <v>221</v>
      </c>
      <c r="N11" s="63">
        <f t="shared" ref="N11:O11" si="11">SUM(N4:N10)</f>
        <v>193</v>
      </c>
      <c r="O11" s="64">
        <f t="shared" si="11"/>
        <v>167</v>
      </c>
    </row>
    <row r="13" spans="2:15" x14ac:dyDescent="0.25">
      <c r="B13" s="24" t="s">
        <v>14</v>
      </c>
      <c r="C13" s="2"/>
      <c r="D13" s="2"/>
      <c r="E13" s="2"/>
      <c r="F13" s="2"/>
      <c r="G13" s="2"/>
      <c r="H13" s="2"/>
    </row>
    <row r="14" spans="2:15" x14ac:dyDescent="0.25">
      <c r="B14" s="36" t="s">
        <v>0</v>
      </c>
      <c r="C14" s="36" t="s">
        <v>1</v>
      </c>
      <c r="D14" s="23" t="s">
        <v>21</v>
      </c>
      <c r="E14" s="36" t="s">
        <v>2</v>
      </c>
      <c r="F14" s="23" t="s">
        <v>22</v>
      </c>
      <c r="G14" s="22" t="s">
        <v>3</v>
      </c>
      <c r="H14" s="23" t="s">
        <v>23</v>
      </c>
    </row>
    <row r="15" spans="2:15" x14ac:dyDescent="0.25">
      <c r="B15" s="58" t="s">
        <v>17</v>
      </c>
      <c r="C15" s="60" t="str">
        <f>C35</f>
        <v>BLANK</v>
      </c>
      <c r="D15" s="53">
        <f t="shared" ref="D15:H15" si="12">D35</f>
        <v>8</v>
      </c>
      <c r="E15" s="60" t="str">
        <f t="shared" si="12"/>
        <v>BLANK</v>
      </c>
      <c r="F15" s="53">
        <f t="shared" si="12"/>
        <v>8</v>
      </c>
      <c r="G15" s="51" t="str">
        <f t="shared" si="12"/>
        <v>BLANK</v>
      </c>
      <c r="H15" s="53">
        <f t="shared" si="12"/>
        <v>1</v>
      </c>
    </row>
    <row r="16" spans="2:15" x14ac:dyDescent="0.25">
      <c r="B16" s="35">
        <v>1</v>
      </c>
      <c r="C16" s="44" t="str">
        <f>'Game Info'!J7</f>
        <v>WILD</v>
      </c>
      <c r="D16" s="45">
        <f>'Game Info'!K7</f>
        <v>6</v>
      </c>
      <c r="E16" s="44" t="str">
        <f>'Game Info'!L7</f>
        <v>WILD</v>
      </c>
      <c r="F16" s="45">
        <f>'Game Info'!M7</f>
        <v>3</v>
      </c>
      <c r="G16" s="49" t="str">
        <f>'Game Info'!N7</f>
        <v>WILD</v>
      </c>
      <c r="H16" s="45">
        <f>'Game Info'!O7</f>
        <v>2</v>
      </c>
    </row>
    <row r="17" spans="2:8" x14ac:dyDescent="0.25">
      <c r="B17" s="35">
        <v>2</v>
      </c>
      <c r="C17" s="44" t="str">
        <f>'Game Info'!J8</f>
        <v>BLANK</v>
      </c>
      <c r="D17" s="45">
        <f>'Game Info'!K8</f>
        <v>8</v>
      </c>
      <c r="E17" s="44" t="str">
        <f>'Game Info'!L8</f>
        <v>BLANK</v>
      </c>
      <c r="F17" s="45">
        <f>'Game Info'!M8</f>
        <v>8</v>
      </c>
      <c r="G17" s="49" t="str">
        <f>'Game Info'!N8</f>
        <v>BLANK</v>
      </c>
      <c r="H17" s="45">
        <f>'Game Info'!O8</f>
        <v>1</v>
      </c>
    </row>
    <row r="18" spans="2:8" x14ac:dyDescent="0.25">
      <c r="B18" s="35">
        <v>3</v>
      </c>
      <c r="C18" s="44" t="str">
        <f>'Game Info'!J9</f>
        <v>BAR1</v>
      </c>
      <c r="D18" s="45">
        <f>'Game Info'!K9</f>
        <v>15</v>
      </c>
      <c r="E18" s="44" t="str">
        <f>'Game Info'!L9</f>
        <v>BAR1</v>
      </c>
      <c r="F18" s="45">
        <f>'Game Info'!M9</f>
        <v>15</v>
      </c>
      <c r="G18" s="49" t="str">
        <f>'Game Info'!N9</f>
        <v>BAR1</v>
      </c>
      <c r="H18" s="45">
        <f>'Game Info'!O9</f>
        <v>15</v>
      </c>
    </row>
    <row r="19" spans="2:8" x14ac:dyDescent="0.25">
      <c r="B19" s="35">
        <v>4</v>
      </c>
      <c r="C19" s="44" t="str">
        <f>'Game Info'!J10</f>
        <v>BLANK</v>
      </c>
      <c r="D19" s="45">
        <f>'Game Info'!K10</f>
        <v>15</v>
      </c>
      <c r="E19" s="44" t="str">
        <f>'Game Info'!L10</f>
        <v>BLANK</v>
      </c>
      <c r="F19" s="45">
        <f>'Game Info'!M10</f>
        <v>10</v>
      </c>
      <c r="G19" s="49" t="str">
        <f>'Game Info'!N10</f>
        <v>BLANK</v>
      </c>
      <c r="H19" s="45">
        <f>'Game Info'!O10</f>
        <v>10</v>
      </c>
    </row>
    <row r="20" spans="2:8" x14ac:dyDescent="0.25">
      <c r="B20" s="35">
        <v>5</v>
      </c>
      <c r="C20" s="44" t="str">
        <f>'Game Info'!J11</f>
        <v>SEVEN</v>
      </c>
      <c r="D20" s="45">
        <f>'Game Info'!K11</f>
        <v>10</v>
      </c>
      <c r="E20" s="44" t="str">
        <f>'Game Info'!L11</f>
        <v>SEVEN</v>
      </c>
      <c r="F20" s="45">
        <f>'Game Info'!M11</f>
        <v>5</v>
      </c>
      <c r="G20" s="49" t="str">
        <f>'Game Info'!N11</f>
        <v>SEVEN</v>
      </c>
      <c r="H20" s="45">
        <f>'Game Info'!O11</f>
        <v>5</v>
      </c>
    </row>
    <row r="21" spans="2:8" x14ac:dyDescent="0.25">
      <c r="B21" s="35">
        <v>6</v>
      </c>
      <c r="C21" s="44" t="str">
        <f>'Game Info'!J12</f>
        <v>BLANK</v>
      </c>
      <c r="D21" s="45">
        <f>'Game Info'!K12</f>
        <v>15</v>
      </c>
      <c r="E21" s="44" t="str">
        <f>'Game Info'!L12</f>
        <v>BLANK</v>
      </c>
      <c r="F21" s="45">
        <f>'Game Info'!M12</f>
        <v>10</v>
      </c>
      <c r="G21" s="49" t="str">
        <f>'Game Info'!N12</f>
        <v>BLANK</v>
      </c>
      <c r="H21" s="45">
        <f>'Game Info'!O12</f>
        <v>10</v>
      </c>
    </row>
    <row r="22" spans="2:8" x14ac:dyDescent="0.25">
      <c r="B22" s="35">
        <v>7</v>
      </c>
      <c r="C22" s="44" t="str">
        <f>'Game Info'!J13</f>
        <v>BAR2</v>
      </c>
      <c r="D22" s="45">
        <f>'Game Info'!K13</f>
        <v>15</v>
      </c>
      <c r="E22" s="44" t="str">
        <f>'Game Info'!L13</f>
        <v>BAR2</v>
      </c>
      <c r="F22" s="45">
        <f>'Game Info'!M13</f>
        <v>15</v>
      </c>
      <c r="G22" s="49" t="str">
        <f>'Game Info'!N13</f>
        <v>BAR2</v>
      </c>
      <c r="H22" s="45">
        <f>'Game Info'!O13</f>
        <v>15</v>
      </c>
    </row>
    <row r="23" spans="2:8" x14ac:dyDescent="0.25">
      <c r="B23" s="35">
        <v>8</v>
      </c>
      <c r="C23" s="44" t="str">
        <f>'Game Info'!J14</f>
        <v>BLANK</v>
      </c>
      <c r="D23" s="45">
        <f>'Game Info'!K14</f>
        <v>12</v>
      </c>
      <c r="E23" s="44" t="str">
        <f>'Game Info'!L14</f>
        <v>BLANK</v>
      </c>
      <c r="F23" s="45">
        <f>'Game Info'!M14</f>
        <v>12</v>
      </c>
      <c r="G23" s="49" t="str">
        <f>'Game Info'!N14</f>
        <v>BLANK</v>
      </c>
      <c r="H23" s="45">
        <f>'Game Info'!O14</f>
        <v>12</v>
      </c>
    </row>
    <row r="24" spans="2:8" x14ac:dyDescent="0.25">
      <c r="B24" s="35">
        <v>9</v>
      </c>
      <c r="C24" s="44" t="str">
        <f>'Game Info'!J15</f>
        <v>BAR3</v>
      </c>
      <c r="D24" s="45">
        <f>'Game Info'!K15</f>
        <v>8</v>
      </c>
      <c r="E24" s="44" t="str">
        <f>'Game Info'!L15</f>
        <v>BAR3</v>
      </c>
      <c r="F24" s="45">
        <f>'Game Info'!M15</f>
        <v>8</v>
      </c>
      <c r="G24" s="49" t="str">
        <f>'Game Info'!N15</f>
        <v>BAR3</v>
      </c>
      <c r="H24" s="45">
        <f>'Game Info'!O15</f>
        <v>8</v>
      </c>
    </row>
    <row r="25" spans="2:8" x14ac:dyDescent="0.25">
      <c r="B25" s="35">
        <v>10</v>
      </c>
      <c r="C25" s="44" t="str">
        <f>'Game Info'!J16</f>
        <v>BLANK</v>
      </c>
      <c r="D25" s="45">
        <f>'Game Info'!K16</f>
        <v>8</v>
      </c>
      <c r="E25" s="44" t="str">
        <f>'Game Info'!L16</f>
        <v>BLANK</v>
      </c>
      <c r="F25" s="45">
        <f>'Game Info'!M16</f>
        <v>8</v>
      </c>
      <c r="G25" s="49" t="str">
        <f>'Game Info'!N16</f>
        <v>BLANK</v>
      </c>
      <c r="H25" s="45">
        <f>'Game Info'!O16</f>
        <v>8</v>
      </c>
    </row>
    <row r="26" spans="2:8" x14ac:dyDescent="0.25">
      <c r="B26" s="35">
        <v>11</v>
      </c>
      <c r="C26" s="44" t="str">
        <f>'Game Info'!J17</f>
        <v>CHERRY</v>
      </c>
      <c r="D26" s="45">
        <f>'Game Info'!K17</f>
        <v>8</v>
      </c>
      <c r="E26" s="44" t="str">
        <f>'Game Info'!L17</f>
        <v>CHERRY</v>
      </c>
      <c r="F26" s="45">
        <f>'Game Info'!M17</f>
        <v>8</v>
      </c>
      <c r="G26" s="49" t="str">
        <f>'Game Info'!N17</f>
        <v>CHERRY</v>
      </c>
      <c r="H26" s="45">
        <f>'Game Info'!O17</f>
        <v>8</v>
      </c>
    </row>
    <row r="27" spans="2:8" x14ac:dyDescent="0.25">
      <c r="B27" s="35">
        <v>12</v>
      </c>
      <c r="C27" s="44" t="str">
        <f>'Game Info'!J18</f>
        <v>BLANK</v>
      </c>
      <c r="D27" s="45">
        <f>'Game Info'!K18</f>
        <v>8</v>
      </c>
      <c r="E27" s="44" t="str">
        <f>'Game Info'!L18</f>
        <v>BLANK</v>
      </c>
      <c r="F27" s="45">
        <f>'Game Info'!M18</f>
        <v>8</v>
      </c>
      <c r="G27" s="49" t="str">
        <f>'Game Info'!N18</f>
        <v>BLANK</v>
      </c>
      <c r="H27" s="45">
        <f>'Game Info'!O18</f>
        <v>8</v>
      </c>
    </row>
    <row r="28" spans="2:8" x14ac:dyDescent="0.25">
      <c r="B28" s="35">
        <v>13</v>
      </c>
      <c r="C28" s="44" t="str">
        <f>'Game Info'!J19</f>
        <v>BAR1</v>
      </c>
      <c r="D28" s="45">
        <f>'Game Info'!K19</f>
        <v>15</v>
      </c>
      <c r="E28" s="44" t="str">
        <f>'Game Info'!L19</f>
        <v>BAR1</v>
      </c>
      <c r="F28" s="45">
        <f>'Game Info'!M19</f>
        <v>15</v>
      </c>
      <c r="G28" s="49" t="str">
        <f>'Game Info'!N19</f>
        <v>BAR1</v>
      </c>
      <c r="H28" s="45">
        <f>'Game Info'!O19</f>
        <v>15</v>
      </c>
    </row>
    <row r="29" spans="2:8" x14ac:dyDescent="0.25">
      <c r="B29" s="35">
        <v>14</v>
      </c>
      <c r="C29" s="44" t="str">
        <f>'Game Info'!J20</f>
        <v>BLANK</v>
      </c>
      <c r="D29" s="45">
        <f>'Game Info'!K20</f>
        <v>10</v>
      </c>
      <c r="E29" s="44" t="str">
        <f>'Game Info'!L20</f>
        <v>BLANK</v>
      </c>
      <c r="F29" s="45">
        <f>'Game Info'!M20</f>
        <v>10</v>
      </c>
      <c r="G29" s="49" t="str">
        <f>'Game Info'!N20</f>
        <v>BLANK</v>
      </c>
      <c r="H29" s="45">
        <f>'Game Info'!O20</f>
        <v>8</v>
      </c>
    </row>
    <row r="30" spans="2:8" x14ac:dyDescent="0.25">
      <c r="B30" s="35">
        <v>15</v>
      </c>
      <c r="C30" s="44" t="str">
        <f>'Game Info'!J21</f>
        <v>BAR3</v>
      </c>
      <c r="D30" s="46">
        <f>'Game Info'!K21</f>
        <v>15</v>
      </c>
      <c r="E30" s="44" t="str">
        <f>'Game Info'!L21</f>
        <v>BAR3</v>
      </c>
      <c r="F30" s="46">
        <f>'Game Info'!M21</f>
        <v>8</v>
      </c>
      <c r="G30" s="49" t="str">
        <f>'Game Info'!N21</f>
        <v>BAR3</v>
      </c>
      <c r="H30" s="46">
        <f>'Game Info'!O21</f>
        <v>5</v>
      </c>
    </row>
    <row r="31" spans="2:8" x14ac:dyDescent="0.25">
      <c r="B31" s="35">
        <v>16</v>
      </c>
      <c r="C31" s="44" t="str">
        <f>'Game Info'!J22</f>
        <v>BLANK</v>
      </c>
      <c r="D31" s="45">
        <f>'Game Info'!K22</f>
        <v>10</v>
      </c>
      <c r="E31" s="44" t="str">
        <f>'Game Info'!L22</f>
        <v>BLANK</v>
      </c>
      <c r="F31" s="45">
        <f>'Game Info'!M22</f>
        <v>10</v>
      </c>
      <c r="G31" s="49" t="str">
        <f>'Game Info'!N22</f>
        <v>BLANK</v>
      </c>
      <c r="H31" s="45">
        <f>'Game Info'!O22</f>
        <v>8</v>
      </c>
    </row>
    <row r="32" spans="2:8" x14ac:dyDescent="0.25">
      <c r="B32" s="35">
        <v>17</v>
      </c>
      <c r="C32" s="44" t="str">
        <f>'Game Info'!J23</f>
        <v>BAR2</v>
      </c>
      <c r="D32" s="45">
        <f>'Game Info'!K23</f>
        <v>15</v>
      </c>
      <c r="E32" s="44" t="str">
        <f>'Game Info'!L23</f>
        <v>BAR2</v>
      </c>
      <c r="F32" s="45">
        <f>'Game Info'!M23</f>
        <v>15</v>
      </c>
      <c r="G32" s="49" t="str">
        <f>'Game Info'!N23</f>
        <v>BAR2</v>
      </c>
      <c r="H32" s="45">
        <f>'Game Info'!O23</f>
        <v>15</v>
      </c>
    </row>
    <row r="33" spans="2:8" x14ac:dyDescent="0.25">
      <c r="B33" s="35">
        <v>18</v>
      </c>
      <c r="C33" s="44" t="str">
        <f>'Game Info'!J24</f>
        <v>BLANK</v>
      </c>
      <c r="D33" s="45">
        <f>'Game Info'!K24</f>
        <v>12</v>
      </c>
      <c r="E33" s="44" t="str">
        <f>'Game Info'!L24</f>
        <v>BLANK</v>
      </c>
      <c r="F33" s="45">
        <f>'Game Info'!M24</f>
        <v>12</v>
      </c>
      <c r="G33" s="49" t="str">
        <f>'Game Info'!N24</f>
        <v>BLANK</v>
      </c>
      <c r="H33" s="45">
        <f>'Game Info'!O24</f>
        <v>5</v>
      </c>
    </row>
    <row r="34" spans="2:8" x14ac:dyDescent="0.25">
      <c r="B34" s="35">
        <v>19</v>
      </c>
      <c r="C34" s="44" t="str">
        <f>'Game Info'!J25</f>
        <v>SEVEN</v>
      </c>
      <c r="D34" s="45">
        <f>'Game Info'!K25</f>
        <v>8</v>
      </c>
      <c r="E34" s="44" t="str">
        <f>'Game Info'!L25</f>
        <v>BAR1</v>
      </c>
      <c r="F34" s="45">
        <f>'Game Info'!M25</f>
        <v>5</v>
      </c>
      <c r="G34" s="49" t="str">
        <f>'Game Info'!N25</f>
        <v>SEVEN</v>
      </c>
      <c r="H34" s="45">
        <f>'Game Info'!O25</f>
        <v>8</v>
      </c>
    </row>
    <row r="35" spans="2:8" x14ac:dyDescent="0.25">
      <c r="B35" s="38">
        <v>20</v>
      </c>
      <c r="C35" s="47" t="str">
        <f>'Game Info'!J26</f>
        <v>BLANK</v>
      </c>
      <c r="D35" s="48">
        <f>'Game Info'!K26</f>
        <v>8</v>
      </c>
      <c r="E35" s="47" t="str">
        <f>'Game Info'!L26</f>
        <v>BLANK</v>
      </c>
      <c r="F35" s="48">
        <f>'Game Info'!M26</f>
        <v>8</v>
      </c>
      <c r="G35" s="59" t="str">
        <f>'Game Info'!N26</f>
        <v>BLANK</v>
      </c>
      <c r="H35" s="48">
        <f>'Game Info'!O26</f>
        <v>1</v>
      </c>
    </row>
    <row r="36" spans="2:8" s="50" customFormat="1" x14ac:dyDescent="0.25">
      <c r="B36" s="58" t="s">
        <v>17</v>
      </c>
      <c r="C36" s="60" t="str">
        <f>C16</f>
        <v>WILD</v>
      </c>
      <c r="D36" s="53">
        <f t="shared" ref="D36:H36" si="13">D16</f>
        <v>6</v>
      </c>
      <c r="E36" s="61" t="str">
        <f t="shared" si="13"/>
        <v>WILD</v>
      </c>
      <c r="F36" s="53">
        <f t="shared" si="13"/>
        <v>3</v>
      </c>
      <c r="G36" s="52" t="str">
        <f t="shared" si="13"/>
        <v>WILD</v>
      </c>
      <c r="H36" s="53">
        <f t="shared" si="13"/>
        <v>2</v>
      </c>
    </row>
    <row r="37" spans="2:8" x14ac:dyDescent="0.25">
      <c r="B37" s="27" t="s">
        <v>35</v>
      </c>
      <c r="C37" s="2"/>
      <c r="D37" s="2"/>
      <c r="E37" s="2"/>
      <c r="F37" s="2"/>
      <c r="G37" s="2"/>
      <c r="H37" s="2"/>
    </row>
  </sheetData>
  <phoneticPr fontId="6" type="noConversion"/>
  <conditionalFormatting sqref="C16:H35">
    <cfRule type="containsText" dxfId="5" priority="6" operator="containsText" text="WILD">
      <formula>NOT(ISERROR(SEARCH("WILD",C16)))</formula>
    </cfRule>
  </conditionalFormatting>
  <conditionalFormatting sqref="C15:C36 E15:E36 G15:G36">
    <cfRule type="containsText" dxfId="4" priority="3" operator="containsText" text="SEVEN">
      <formula>NOT(ISERROR(SEARCH("SEVEN",C15)))</formula>
    </cfRule>
    <cfRule type="containsText" dxfId="3" priority="4" operator="containsText" text="CHERRY">
      <formula>NOT(ISERROR(SEARCH("CHERRY",C15)))</formula>
    </cfRule>
    <cfRule type="containsText" dxfId="2" priority="5" operator="containsText" text="BAR">
      <formula>NOT(ISERROR(SEARCH("BAR",C15)))</formula>
    </cfRule>
  </conditionalFormatting>
  <conditionalFormatting sqref="C15:H15">
    <cfRule type="containsText" dxfId="1" priority="2" operator="containsText" text="WILD">
      <formula>NOT(ISERROR(SEARCH("WILD",C15)))</formula>
    </cfRule>
  </conditionalFormatting>
  <conditionalFormatting sqref="C36:H36">
    <cfRule type="containsText" dxfId="0" priority="1" operator="containsText" text="WILD">
      <formula>NOT(ISERROR(SEARCH("WILD",C36)))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Info</vt:lpstr>
      <vt:lpstr>BG</vt:lpstr>
      <vt:lpstr>Symbol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2022-06-03T02:23:33Z</dcterms:modified>
</cp:coreProperties>
</file>