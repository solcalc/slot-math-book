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filterPrivacy="1"/>
  <xr:revisionPtr revIDLastSave="0" documentId="13_ncr:1_{0CF4640D-BF97-4952-86F6-BB9FB1385480}" xr6:coauthVersionLast="47" xr6:coauthVersionMax="47" xr10:uidLastSave="{00000000-0000-0000-0000-000000000000}"/>
  <bookViews>
    <workbookView xWindow="-23148" yWindow="-2244" windowWidth="23256" windowHeight="12576" activeTab="2" xr2:uid="{00000000-000D-0000-FFFF-FFFF00000000}"/>
  </bookViews>
  <sheets>
    <sheet name="Game Info" sheetId="1" r:id="rId1"/>
    <sheet name="BG" sheetId="2" r:id="rId2"/>
    <sheet name="FG" sheetId="9" r:id="rId3"/>
    <sheet name="BG Reels" sheetId="8" r:id="rId4"/>
    <sheet name="FG Reels" sheetId="10" r:id="rId5"/>
  </sheet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E72" i="9" l="1"/>
  <c r="B72" i="9"/>
  <c r="E71" i="9"/>
  <c r="B71" i="9"/>
  <c r="E70" i="9"/>
  <c r="B70" i="9"/>
  <c r="E69" i="9"/>
  <c r="B69" i="9"/>
  <c r="E68" i="9"/>
  <c r="B68" i="9"/>
  <c r="E67" i="9"/>
  <c r="B67" i="9"/>
  <c r="E66" i="9"/>
  <c r="B66" i="9"/>
  <c r="E65" i="9"/>
  <c r="B65" i="9"/>
  <c r="E64" i="9"/>
  <c r="B64" i="9"/>
  <c r="E63" i="9"/>
  <c r="B63" i="9"/>
  <c r="E62" i="9"/>
  <c r="B62" i="9"/>
  <c r="E61" i="9"/>
  <c r="B61" i="9"/>
  <c r="E60" i="9"/>
  <c r="B60" i="9"/>
  <c r="P59" i="9"/>
  <c r="R59" i="9" s="1"/>
  <c r="E59" i="9"/>
  <c r="B59" i="9"/>
  <c r="E58" i="9"/>
  <c r="B58" i="9"/>
  <c r="E57" i="9"/>
  <c r="B57" i="9"/>
  <c r="E56" i="9"/>
  <c r="B56" i="9"/>
  <c r="Q55" i="9"/>
  <c r="Q56" i="9" s="1"/>
  <c r="Q57" i="9" s="1"/>
  <c r="Q58" i="9" s="1"/>
  <c r="Q59" i="9" s="1"/>
  <c r="Q60" i="9" s="1"/>
  <c r="Q61" i="9" s="1"/>
  <c r="Q62" i="9" s="1"/>
  <c r="Q63" i="9" s="1"/>
  <c r="E55" i="9"/>
  <c r="B55" i="9"/>
  <c r="E54" i="9"/>
  <c r="B54" i="9"/>
  <c r="E53" i="9"/>
  <c r="B53" i="9"/>
  <c r="E52" i="9"/>
  <c r="B52" i="9"/>
  <c r="E51" i="9"/>
  <c r="B51" i="9"/>
  <c r="E50" i="9"/>
  <c r="B50" i="9"/>
  <c r="E49" i="9"/>
  <c r="B49" i="9"/>
  <c r="E48" i="9"/>
  <c r="B48" i="9"/>
  <c r="E47" i="9"/>
  <c r="B47" i="9"/>
  <c r="E46" i="9"/>
  <c r="B46" i="9"/>
  <c r="Q45" i="9"/>
  <c r="Q46" i="9" s="1"/>
  <c r="Q47" i="9" s="1"/>
  <c r="Q48" i="9" s="1"/>
  <c r="Q49" i="9" s="1"/>
  <c r="Q50" i="9" s="1"/>
  <c r="Q51" i="9" s="1"/>
  <c r="Q52" i="9" s="1"/>
  <c r="Q53" i="9" s="1"/>
  <c r="E45" i="9"/>
  <c r="B45" i="9"/>
  <c r="Q44" i="9"/>
  <c r="E44" i="9"/>
  <c r="B44" i="9"/>
  <c r="E43" i="9"/>
  <c r="B43" i="9"/>
  <c r="E42" i="9"/>
  <c r="B42" i="9"/>
  <c r="Q41" i="9"/>
  <c r="Q42" i="9" s="1"/>
  <c r="Q43" i="9" s="1"/>
  <c r="E41" i="9"/>
  <c r="B41" i="9"/>
  <c r="E40" i="9"/>
  <c r="B40" i="9"/>
  <c r="Q39" i="9"/>
  <c r="Q40" i="9" s="1"/>
  <c r="E39" i="9"/>
  <c r="B39" i="9"/>
  <c r="Q38" i="9"/>
  <c r="E38" i="9"/>
  <c r="B38" i="9"/>
  <c r="P52" i="9"/>
  <c r="P60" i="9"/>
  <c r="P61" i="9"/>
  <c r="R61" i="9" s="1"/>
  <c r="D45" i="9"/>
  <c r="F45" i="9" s="1"/>
  <c r="B24" i="10"/>
  <c r="C24" i="10"/>
  <c r="D24" i="10"/>
  <c r="E24" i="10"/>
  <c r="F24" i="10"/>
  <c r="B25" i="10"/>
  <c r="C25" i="10"/>
  <c r="D25" i="10"/>
  <c r="E25" i="10"/>
  <c r="F25" i="10"/>
  <c r="B26" i="10"/>
  <c r="C26" i="10"/>
  <c r="D26" i="10"/>
  <c r="E26" i="10"/>
  <c r="F26" i="10"/>
  <c r="B27" i="10"/>
  <c r="C27" i="10"/>
  <c r="D27" i="10"/>
  <c r="E27" i="10"/>
  <c r="F27" i="10"/>
  <c r="B28" i="10"/>
  <c r="C28" i="10"/>
  <c r="D28" i="10"/>
  <c r="E28" i="10"/>
  <c r="F28" i="10"/>
  <c r="B29" i="10"/>
  <c r="C29" i="10"/>
  <c r="D29" i="10"/>
  <c r="E29" i="10"/>
  <c r="F29" i="10"/>
  <c r="B30" i="10"/>
  <c r="C30" i="10"/>
  <c r="D30" i="10"/>
  <c r="E30" i="10"/>
  <c r="F30" i="10"/>
  <c r="B31" i="10"/>
  <c r="C31" i="10"/>
  <c r="D31" i="10"/>
  <c r="E31" i="10"/>
  <c r="F31" i="10"/>
  <c r="B32" i="10"/>
  <c r="C32" i="10"/>
  <c r="D32" i="10"/>
  <c r="E32" i="10"/>
  <c r="F32" i="10"/>
  <c r="B33" i="10"/>
  <c r="C33" i="10"/>
  <c r="D33" i="10"/>
  <c r="E33" i="10"/>
  <c r="F33" i="10"/>
  <c r="B34" i="10"/>
  <c r="C34" i="10"/>
  <c r="D34" i="10"/>
  <c r="E34" i="10"/>
  <c r="F34" i="10"/>
  <c r="B35" i="10"/>
  <c r="C35" i="10"/>
  <c r="D35" i="10"/>
  <c r="E35" i="10"/>
  <c r="F35" i="10"/>
  <c r="B36" i="10"/>
  <c r="C36" i="10"/>
  <c r="D36" i="10"/>
  <c r="E36" i="10"/>
  <c r="F36" i="10"/>
  <c r="B37" i="10"/>
  <c r="C37" i="10"/>
  <c r="D37" i="10"/>
  <c r="E37" i="10"/>
  <c r="F37" i="10"/>
  <c r="B38" i="10"/>
  <c r="C38" i="10"/>
  <c r="D38" i="10"/>
  <c r="E38" i="10"/>
  <c r="F38" i="10"/>
  <c r="B39" i="10"/>
  <c r="C39" i="10"/>
  <c r="D39" i="10"/>
  <c r="E39" i="10"/>
  <c r="F39" i="10"/>
  <c r="B40" i="10"/>
  <c r="C40" i="10"/>
  <c r="D40" i="10"/>
  <c r="E40" i="10"/>
  <c r="F40" i="10"/>
  <c r="B41" i="10"/>
  <c r="C41" i="10"/>
  <c r="D41" i="10"/>
  <c r="E41" i="10"/>
  <c r="F41" i="10"/>
  <c r="B42" i="10"/>
  <c r="C42" i="10"/>
  <c r="D42" i="10"/>
  <c r="E42" i="10"/>
  <c r="F42" i="10"/>
  <c r="B43" i="10"/>
  <c r="C43" i="10"/>
  <c r="D43" i="10"/>
  <c r="E43" i="10"/>
  <c r="F43" i="10"/>
  <c r="B44" i="10"/>
  <c r="C44" i="10"/>
  <c r="D44" i="10"/>
  <c r="E44" i="10"/>
  <c r="F44" i="10"/>
  <c r="B45" i="10"/>
  <c r="C45" i="10"/>
  <c r="D45" i="10"/>
  <c r="E45" i="10"/>
  <c r="F45" i="10"/>
  <c r="B46" i="10"/>
  <c r="C46" i="10"/>
  <c r="D46" i="10"/>
  <c r="E46" i="10"/>
  <c r="F46" i="10"/>
  <c r="B47" i="10"/>
  <c r="C47" i="10"/>
  <c r="D47" i="10"/>
  <c r="E47" i="10"/>
  <c r="F47" i="10"/>
  <c r="B48" i="10"/>
  <c r="C48" i="10"/>
  <c r="D48" i="10"/>
  <c r="E48" i="10"/>
  <c r="F48" i="10"/>
  <c r="B49" i="10"/>
  <c r="C49" i="10"/>
  <c r="D49" i="10"/>
  <c r="E49" i="10"/>
  <c r="F49" i="10"/>
  <c r="B50" i="10"/>
  <c r="C50" i="10"/>
  <c r="D50" i="10"/>
  <c r="E50" i="10"/>
  <c r="F50" i="10"/>
  <c r="B51" i="10"/>
  <c r="C51" i="10"/>
  <c r="D51" i="10"/>
  <c r="E51" i="10"/>
  <c r="F51" i="10"/>
  <c r="B52" i="10"/>
  <c r="C52" i="10"/>
  <c r="D52" i="10"/>
  <c r="E52" i="10"/>
  <c r="F52" i="10"/>
  <c r="B53" i="10"/>
  <c r="C53" i="10"/>
  <c r="D53" i="10"/>
  <c r="E53" i="10"/>
  <c r="F53" i="10"/>
  <c r="B54" i="10"/>
  <c r="C54" i="10"/>
  <c r="D54" i="10"/>
  <c r="E54" i="10"/>
  <c r="F54" i="10"/>
  <c r="B55" i="10"/>
  <c r="C55" i="10"/>
  <c r="D55" i="10"/>
  <c r="E55" i="10"/>
  <c r="F55" i="10"/>
  <c r="B56" i="10"/>
  <c r="C56" i="10"/>
  <c r="D56" i="10"/>
  <c r="E56" i="10"/>
  <c r="F56" i="10"/>
  <c r="B57" i="10"/>
  <c r="C57" i="10"/>
  <c r="D57" i="10"/>
  <c r="E57" i="10"/>
  <c r="F57" i="10"/>
  <c r="B58" i="10"/>
  <c r="C58" i="10"/>
  <c r="D58" i="10"/>
  <c r="E58" i="10"/>
  <c r="F58" i="10"/>
  <c r="B59" i="10"/>
  <c r="C59" i="10"/>
  <c r="D59" i="10"/>
  <c r="E59" i="10"/>
  <c r="F59" i="10"/>
  <c r="B60" i="10"/>
  <c r="C60" i="10"/>
  <c r="D60" i="10"/>
  <c r="E60" i="10"/>
  <c r="F60" i="10"/>
  <c r="B61" i="10"/>
  <c r="C61" i="10"/>
  <c r="D61" i="10"/>
  <c r="E61" i="10"/>
  <c r="F61" i="10"/>
  <c r="B62" i="10"/>
  <c r="C62" i="10"/>
  <c r="D62" i="10"/>
  <c r="E62" i="10"/>
  <c r="F62" i="10"/>
  <c r="B63" i="10"/>
  <c r="C63" i="10"/>
  <c r="D63" i="10"/>
  <c r="E63" i="10"/>
  <c r="F63" i="10"/>
  <c r="B64" i="10"/>
  <c r="C64" i="10"/>
  <c r="D64" i="10"/>
  <c r="E64" i="10"/>
  <c r="F64" i="10"/>
  <c r="B65" i="10"/>
  <c r="C65" i="10"/>
  <c r="D65" i="10"/>
  <c r="E65" i="10"/>
  <c r="F65" i="10"/>
  <c r="B66" i="10"/>
  <c r="C66" i="10"/>
  <c r="D66" i="10"/>
  <c r="E66" i="10"/>
  <c r="F66" i="10"/>
  <c r="B67" i="10"/>
  <c r="C67" i="10"/>
  <c r="D67" i="10"/>
  <c r="E67" i="10"/>
  <c r="F67" i="10"/>
  <c r="B68" i="10"/>
  <c r="C68" i="10"/>
  <c r="D68" i="10"/>
  <c r="E68" i="10"/>
  <c r="F68" i="10"/>
  <c r="B69" i="10"/>
  <c r="C69" i="10"/>
  <c r="D69" i="10"/>
  <c r="E69" i="10"/>
  <c r="F69" i="10"/>
  <c r="B70" i="10"/>
  <c r="C70" i="10"/>
  <c r="D70" i="10"/>
  <c r="E70" i="10"/>
  <c r="F70" i="10"/>
  <c r="B71" i="10"/>
  <c r="C71" i="10"/>
  <c r="D71" i="10"/>
  <c r="E71" i="10"/>
  <c r="F71" i="10"/>
  <c r="B72" i="10"/>
  <c r="C72" i="10"/>
  <c r="D72" i="10"/>
  <c r="E72" i="10"/>
  <c r="F72" i="10"/>
  <c r="B73" i="10"/>
  <c r="C73" i="10"/>
  <c r="D73" i="10"/>
  <c r="E73" i="10"/>
  <c r="F73" i="10"/>
  <c r="B74" i="10"/>
  <c r="C74" i="10"/>
  <c r="D74" i="10"/>
  <c r="E74" i="10"/>
  <c r="F74" i="10"/>
  <c r="B75" i="10"/>
  <c r="C75" i="10"/>
  <c r="D75" i="10"/>
  <c r="E75" i="10"/>
  <c r="F75" i="10"/>
  <c r="B76" i="10"/>
  <c r="C76" i="10"/>
  <c r="D76" i="10"/>
  <c r="E76" i="10"/>
  <c r="F76" i="10"/>
  <c r="B77" i="10"/>
  <c r="C77" i="10"/>
  <c r="D77" i="10"/>
  <c r="E77" i="10"/>
  <c r="F77" i="10"/>
  <c r="B78" i="10"/>
  <c r="C78" i="10"/>
  <c r="D78" i="10"/>
  <c r="E78" i="10"/>
  <c r="F78" i="10"/>
  <c r="B79" i="10"/>
  <c r="C79" i="10"/>
  <c r="D79" i="10"/>
  <c r="E79" i="10"/>
  <c r="F79" i="10"/>
  <c r="B80" i="10"/>
  <c r="C80" i="10"/>
  <c r="D80" i="10"/>
  <c r="E80" i="10"/>
  <c r="F80" i="10"/>
  <c r="B81" i="10"/>
  <c r="C81" i="10"/>
  <c r="D81" i="10"/>
  <c r="E81" i="10"/>
  <c r="F81" i="10"/>
  <c r="B82" i="10"/>
  <c r="C82" i="10"/>
  <c r="D82" i="10"/>
  <c r="E82" i="10"/>
  <c r="F82" i="10"/>
  <c r="B83" i="10"/>
  <c r="C83" i="10"/>
  <c r="D83" i="10"/>
  <c r="E83" i="10"/>
  <c r="F83" i="10"/>
  <c r="B84" i="10"/>
  <c r="C84" i="10"/>
  <c r="D84" i="10"/>
  <c r="E84" i="10"/>
  <c r="F84" i="10"/>
  <c r="B85" i="10"/>
  <c r="C85" i="10"/>
  <c r="D85" i="10"/>
  <c r="E85" i="10"/>
  <c r="F85" i="10"/>
  <c r="B86" i="10"/>
  <c r="C86" i="10"/>
  <c r="D86" i="10"/>
  <c r="E86" i="10"/>
  <c r="F86" i="10"/>
  <c r="B87" i="10"/>
  <c r="C87" i="10"/>
  <c r="D87" i="10"/>
  <c r="E87" i="10"/>
  <c r="F87" i="10"/>
  <c r="B88" i="10"/>
  <c r="C88" i="10"/>
  <c r="D88" i="10"/>
  <c r="E88" i="10"/>
  <c r="F88" i="10"/>
  <c r="B89" i="10"/>
  <c r="C89" i="10"/>
  <c r="D89" i="10"/>
  <c r="E89" i="10"/>
  <c r="F89" i="10"/>
  <c r="B90" i="10"/>
  <c r="C90" i="10"/>
  <c r="D90" i="10"/>
  <c r="E90" i="10"/>
  <c r="F90" i="10"/>
  <c r="B91" i="10"/>
  <c r="C91" i="10"/>
  <c r="D91" i="10"/>
  <c r="E91" i="10"/>
  <c r="F91" i="10"/>
  <c r="B92" i="10"/>
  <c r="C92" i="10"/>
  <c r="D92" i="10"/>
  <c r="E92" i="10"/>
  <c r="F92" i="10"/>
  <c r="B93" i="10"/>
  <c r="C93" i="10"/>
  <c r="D93" i="10"/>
  <c r="E93" i="10"/>
  <c r="F93" i="10"/>
  <c r="B94" i="10"/>
  <c r="C94" i="10"/>
  <c r="D94" i="10"/>
  <c r="E94" i="10"/>
  <c r="F94" i="10"/>
  <c r="B95" i="10"/>
  <c r="C95" i="10"/>
  <c r="D95" i="10"/>
  <c r="E95" i="10"/>
  <c r="F95" i="10"/>
  <c r="B96" i="10"/>
  <c r="C96" i="10"/>
  <c r="D96" i="10"/>
  <c r="E96" i="10"/>
  <c r="F96" i="10"/>
  <c r="B97" i="10"/>
  <c r="C97" i="10"/>
  <c r="D97" i="10"/>
  <c r="E97" i="10"/>
  <c r="F97" i="10"/>
  <c r="B98" i="10"/>
  <c r="C98" i="10"/>
  <c r="D98" i="10"/>
  <c r="E98" i="10"/>
  <c r="F98" i="10"/>
  <c r="B99" i="10"/>
  <c r="C99" i="10"/>
  <c r="D99" i="10"/>
  <c r="E99" i="10"/>
  <c r="F99" i="10"/>
  <c r="B100" i="10"/>
  <c r="C100" i="10"/>
  <c r="D100" i="10"/>
  <c r="E100" i="10"/>
  <c r="F100" i="10"/>
  <c r="B101" i="10"/>
  <c r="C101" i="10"/>
  <c r="D101" i="10"/>
  <c r="E101" i="10"/>
  <c r="F101" i="10"/>
  <c r="B102" i="10"/>
  <c r="C102" i="10"/>
  <c r="D102" i="10"/>
  <c r="E102" i="10"/>
  <c r="F102" i="10"/>
  <c r="B103" i="10"/>
  <c r="C103" i="10"/>
  <c r="D103" i="10"/>
  <c r="E103" i="10"/>
  <c r="F103" i="10"/>
  <c r="B104" i="10"/>
  <c r="C104" i="10"/>
  <c r="D104" i="10"/>
  <c r="E104" i="10"/>
  <c r="F104" i="10"/>
  <c r="B105" i="10"/>
  <c r="C105" i="10"/>
  <c r="D105" i="10"/>
  <c r="E105" i="10"/>
  <c r="F105" i="10"/>
  <c r="B106" i="10"/>
  <c r="C106" i="10"/>
  <c r="D106" i="10"/>
  <c r="E106" i="10"/>
  <c r="F106" i="10"/>
  <c r="B107" i="10"/>
  <c r="C107" i="10"/>
  <c r="D107" i="10"/>
  <c r="E107" i="10"/>
  <c r="F107" i="10"/>
  <c r="B108" i="10"/>
  <c r="C108" i="10"/>
  <c r="D108" i="10"/>
  <c r="E108" i="10"/>
  <c r="F108" i="10"/>
  <c r="B109" i="10"/>
  <c r="C109" i="10"/>
  <c r="D109" i="10"/>
  <c r="E109" i="10"/>
  <c r="F109" i="10"/>
  <c r="B110" i="10"/>
  <c r="C110" i="10"/>
  <c r="D110" i="10"/>
  <c r="E110" i="10"/>
  <c r="F110" i="10"/>
  <c r="B111" i="10"/>
  <c r="C111" i="10"/>
  <c r="D111" i="10"/>
  <c r="E111" i="10"/>
  <c r="F111" i="10"/>
  <c r="B112" i="10"/>
  <c r="C112" i="10"/>
  <c r="D112" i="10"/>
  <c r="E112" i="10"/>
  <c r="F112" i="10"/>
  <c r="B113" i="10"/>
  <c r="C113" i="10"/>
  <c r="D113" i="10"/>
  <c r="E113" i="10"/>
  <c r="F113" i="10"/>
  <c r="B114" i="10"/>
  <c r="C114" i="10"/>
  <c r="D114" i="10"/>
  <c r="E114" i="10"/>
  <c r="F114" i="10"/>
  <c r="B115" i="10"/>
  <c r="C115" i="10"/>
  <c r="D115" i="10"/>
  <c r="E115" i="10"/>
  <c r="F115" i="10"/>
  <c r="B116" i="10"/>
  <c r="C116" i="10"/>
  <c r="D116" i="10"/>
  <c r="E116" i="10"/>
  <c r="F116" i="10"/>
  <c r="B117" i="10"/>
  <c r="C117" i="10"/>
  <c r="D117" i="10"/>
  <c r="E117" i="10"/>
  <c r="F117" i="10"/>
  <c r="B118" i="10"/>
  <c r="C118" i="10"/>
  <c r="D118" i="10"/>
  <c r="E118" i="10"/>
  <c r="F118" i="10"/>
  <c r="B119" i="10"/>
  <c r="C119" i="10"/>
  <c r="D119" i="10"/>
  <c r="E119" i="10"/>
  <c r="F119" i="10"/>
  <c r="B120" i="10"/>
  <c r="C120" i="10"/>
  <c r="D120" i="10"/>
  <c r="E120" i="10"/>
  <c r="F120" i="10"/>
  <c r="B121" i="10"/>
  <c r="C121" i="10"/>
  <c r="D121" i="10"/>
  <c r="E121" i="10"/>
  <c r="F121" i="10"/>
  <c r="B122" i="10"/>
  <c r="C122" i="10"/>
  <c r="D122" i="10"/>
  <c r="E122" i="10"/>
  <c r="F122" i="10"/>
  <c r="B123" i="10"/>
  <c r="C123" i="10"/>
  <c r="D123" i="10"/>
  <c r="E123" i="10"/>
  <c r="F123" i="10"/>
  <c r="B124" i="10"/>
  <c r="C124" i="10"/>
  <c r="D124" i="10"/>
  <c r="E124" i="10"/>
  <c r="F124" i="10"/>
  <c r="B125" i="10"/>
  <c r="C125" i="10"/>
  <c r="D125" i="10"/>
  <c r="E125" i="10"/>
  <c r="F125" i="10"/>
  <c r="B126" i="10"/>
  <c r="C126" i="10"/>
  <c r="D126" i="10"/>
  <c r="E126" i="10"/>
  <c r="F126" i="10"/>
  <c r="B127" i="10"/>
  <c r="C127" i="10"/>
  <c r="D127" i="10"/>
  <c r="E127" i="10"/>
  <c r="F127" i="10"/>
  <c r="B128" i="10"/>
  <c r="C128" i="10"/>
  <c r="D128" i="10"/>
  <c r="E128" i="10"/>
  <c r="F128" i="10"/>
  <c r="B129" i="10"/>
  <c r="C129" i="10"/>
  <c r="D129" i="10"/>
  <c r="E129" i="10"/>
  <c r="F129" i="10"/>
  <c r="B130" i="10"/>
  <c r="C130" i="10"/>
  <c r="D130" i="10"/>
  <c r="E130" i="10"/>
  <c r="F130" i="10"/>
  <c r="B131" i="10"/>
  <c r="C131" i="10"/>
  <c r="D131" i="10"/>
  <c r="E131" i="10"/>
  <c r="F131" i="10"/>
  <c r="B132" i="10"/>
  <c r="C132" i="10"/>
  <c r="D132" i="10"/>
  <c r="E132" i="10"/>
  <c r="F132" i="10"/>
  <c r="B133" i="10"/>
  <c r="C133" i="10"/>
  <c r="D133" i="10"/>
  <c r="E133" i="10"/>
  <c r="F133" i="10"/>
  <c r="B134" i="10"/>
  <c r="C134" i="10"/>
  <c r="D134" i="10"/>
  <c r="E134" i="10"/>
  <c r="F134" i="10"/>
  <c r="B135" i="10"/>
  <c r="C135" i="10"/>
  <c r="D135" i="10"/>
  <c r="E135" i="10"/>
  <c r="F135" i="10"/>
  <c r="B136" i="10"/>
  <c r="C136" i="10"/>
  <c r="D136" i="10"/>
  <c r="E136" i="10"/>
  <c r="F136" i="10"/>
  <c r="B137" i="10"/>
  <c r="C137" i="10"/>
  <c r="D137" i="10"/>
  <c r="E137" i="10"/>
  <c r="F137" i="10"/>
  <c r="B138" i="10"/>
  <c r="C138" i="10"/>
  <c r="D138" i="10"/>
  <c r="E138" i="10"/>
  <c r="F138" i="10"/>
  <c r="B139" i="10"/>
  <c r="C139" i="10"/>
  <c r="D139" i="10"/>
  <c r="E139" i="10"/>
  <c r="F139" i="10"/>
  <c r="B140" i="10"/>
  <c r="C140" i="10"/>
  <c r="D140" i="10"/>
  <c r="E140" i="10"/>
  <c r="F140" i="10"/>
  <c r="B141" i="10"/>
  <c r="C141" i="10"/>
  <c r="D141" i="10"/>
  <c r="E141" i="10"/>
  <c r="F141" i="10"/>
  <c r="B142" i="10"/>
  <c r="C142" i="10"/>
  <c r="D142" i="10"/>
  <c r="E142" i="10"/>
  <c r="F142" i="10"/>
  <c r="B143" i="10"/>
  <c r="C143" i="10"/>
  <c r="D143" i="10"/>
  <c r="E143" i="10"/>
  <c r="F143" i="10"/>
  <c r="B144" i="10"/>
  <c r="C144" i="10"/>
  <c r="D144" i="10"/>
  <c r="E144" i="10"/>
  <c r="F144" i="10"/>
  <c r="B145" i="10"/>
  <c r="C145" i="10"/>
  <c r="D145" i="10"/>
  <c r="E145" i="10"/>
  <c r="F145" i="10"/>
  <c r="B146" i="10"/>
  <c r="C146" i="10"/>
  <c r="D146" i="10"/>
  <c r="E146" i="10"/>
  <c r="F146" i="10"/>
  <c r="B147" i="10"/>
  <c r="C147" i="10"/>
  <c r="D147" i="10"/>
  <c r="E147" i="10"/>
  <c r="F147" i="10"/>
  <c r="B148" i="10"/>
  <c r="C148" i="10"/>
  <c r="D148" i="10"/>
  <c r="E148" i="10"/>
  <c r="F148" i="10"/>
  <c r="B149" i="10"/>
  <c r="C149" i="10"/>
  <c r="D149" i="10"/>
  <c r="E149" i="10"/>
  <c r="F149" i="10"/>
  <c r="B150" i="10"/>
  <c r="C150" i="10"/>
  <c r="D150" i="10"/>
  <c r="E150" i="10"/>
  <c r="F150" i="10"/>
  <c r="B151" i="10"/>
  <c r="C151" i="10"/>
  <c r="D151" i="10"/>
  <c r="E151" i="10"/>
  <c r="F151" i="10"/>
  <c r="B152" i="10"/>
  <c r="C152" i="10"/>
  <c r="D152" i="10"/>
  <c r="E152" i="10"/>
  <c r="F152" i="10"/>
  <c r="B153" i="10"/>
  <c r="C153" i="10"/>
  <c r="D153" i="10"/>
  <c r="E153" i="10"/>
  <c r="F153" i="10"/>
  <c r="B154" i="10"/>
  <c r="C154" i="10"/>
  <c r="D154" i="10"/>
  <c r="E154" i="10"/>
  <c r="F154" i="10"/>
  <c r="B155" i="10"/>
  <c r="C155" i="10"/>
  <c r="D155" i="10"/>
  <c r="E155" i="10"/>
  <c r="F155" i="10"/>
  <c r="B156" i="10"/>
  <c r="C156" i="10"/>
  <c r="D156" i="10"/>
  <c r="E156" i="10"/>
  <c r="F156" i="10"/>
  <c r="B157" i="10"/>
  <c r="C157" i="10"/>
  <c r="D157" i="10"/>
  <c r="E157" i="10"/>
  <c r="F157" i="10"/>
  <c r="B158" i="10"/>
  <c r="C158" i="10"/>
  <c r="D158" i="10"/>
  <c r="E158" i="10"/>
  <c r="F158" i="10"/>
  <c r="B159" i="10"/>
  <c r="C159" i="10"/>
  <c r="D159" i="10"/>
  <c r="E159" i="10"/>
  <c r="F159" i="10"/>
  <c r="B160" i="10"/>
  <c r="C160" i="10"/>
  <c r="D160" i="10"/>
  <c r="E160" i="10"/>
  <c r="F160" i="10"/>
  <c r="B161" i="10"/>
  <c r="C161" i="10"/>
  <c r="D161" i="10"/>
  <c r="E161" i="10"/>
  <c r="F161" i="10"/>
  <c r="B162" i="10"/>
  <c r="C162" i="10"/>
  <c r="D162" i="10"/>
  <c r="E162" i="10"/>
  <c r="F162" i="10"/>
  <c r="B163" i="10"/>
  <c r="C163" i="10"/>
  <c r="D163" i="10"/>
  <c r="E163" i="10"/>
  <c r="F163" i="10"/>
  <c r="B164" i="10"/>
  <c r="C164" i="10"/>
  <c r="D164" i="10"/>
  <c r="E164" i="10"/>
  <c r="F164" i="10"/>
  <c r="B165" i="10"/>
  <c r="C165" i="10"/>
  <c r="D165" i="10"/>
  <c r="E165" i="10"/>
  <c r="F165" i="10"/>
  <c r="B166" i="10"/>
  <c r="C166" i="10"/>
  <c r="D166" i="10"/>
  <c r="E166" i="10"/>
  <c r="F166" i="10"/>
  <c r="B167" i="10"/>
  <c r="C167" i="10"/>
  <c r="D167" i="10"/>
  <c r="E167" i="10"/>
  <c r="F167" i="10"/>
  <c r="B168" i="10"/>
  <c r="C168" i="10"/>
  <c r="D168" i="10"/>
  <c r="E168" i="10"/>
  <c r="F168" i="10"/>
  <c r="B169" i="10"/>
  <c r="C169" i="10"/>
  <c r="D169" i="10"/>
  <c r="E169" i="10"/>
  <c r="F169" i="10"/>
  <c r="B170" i="10"/>
  <c r="C170" i="10"/>
  <c r="D170" i="10"/>
  <c r="E170" i="10"/>
  <c r="F170" i="10"/>
  <c r="B171" i="10"/>
  <c r="C171" i="10"/>
  <c r="D171" i="10"/>
  <c r="E171" i="10"/>
  <c r="F171" i="10"/>
  <c r="B172" i="10"/>
  <c r="C172" i="10"/>
  <c r="D172" i="10"/>
  <c r="E172" i="10"/>
  <c r="F172" i="10"/>
  <c r="C23" i="10"/>
  <c r="D23" i="10"/>
  <c r="E23" i="10"/>
  <c r="F23" i="10"/>
  <c r="B23" i="10"/>
  <c r="BP21" i="10"/>
  <c r="BJ21" i="10"/>
  <c r="BD21" i="10"/>
  <c r="AX21" i="10"/>
  <c r="AR21" i="10"/>
  <c r="AL21" i="10"/>
  <c r="AF21" i="10"/>
  <c r="Z21" i="10"/>
  <c r="T21" i="10"/>
  <c r="N21" i="10"/>
  <c r="H21" i="10"/>
  <c r="P45" i="9" l="1"/>
  <c r="R45" i="9" s="1"/>
  <c r="D42" i="9"/>
  <c r="F42" i="9" s="1"/>
  <c r="D46" i="9"/>
  <c r="F46" i="9" s="1"/>
  <c r="D38" i="9"/>
  <c r="F38" i="9" s="1"/>
  <c r="P41" i="9"/>
  <c r="R41" i="9" s="1"/>
  <c r="D41" i="9"/>
  <c r="F41" i="9" s="1"/>
  <c r="D39" i="9"/>
  <c r="F39" i="9" s="1"/>
  <c r="D43" i="9"/>
  <c r="F43" i="9" s="1"/>
  <c r="D47" i="9"/>
  <c r="F47" i="9" s="1"/>
  <c r="P38" i="9"/>
  <c r="D40" i="9"/>
  <c r="F40" i="9" s="1"/>
  <c r="D44" i="9"/>
  <c r="F44" i="9" s="1"/>
  <c r="D48" i="9"/>
  <c r="F48" i="9" s="1"/>
  <c r="R38" i="9"/>
  <c r="P50" i="9"/>
  <c r="R50" i="9" s="1"/>
  <c r="P51" i="9"/>
  <c r="R51" i="9" s="1"/>
  <c r="P58" i="9"/>
  <c r="R58" i="9" s="1"/>
  <c r="P63" i="9"/>
  <c r="R63" i="9" s="1"/>
  <c r="P39" i="9"/>
  <c r="P42" i="9"/>
  <c r="R42" i="9" s="1"/>
  <c r="P46" i="9"/>
  <c r="R46" i="9" s="1"/>
  <c r="P49" i="9"/>
  <c r="R49" i="9" s="1"/>
  <c r="P54" i="9"/>
  <c r="P55" i="9"/>
  <c r="R55" i="9" s="1"/>
  <c r="P57" i="9"/>
  <c r="R57" i="9" s="1"/>
  <c r="P62" i="9"/>
  <c r="R62" i="9" s="1"/>
  <c r="P40" i="9"/>
  <c r="R40" i="9" s="1"/>
  <c r="P43" i="9"/>
  <c r="R43" i="9" s="1"/>
  <c r="P44" i="9"/>
  <c r="P47" i="9"/>
  <c r="R47" i="9" s="1"/>
  <c r="P48" i="9"/>
  <c r="R48" i="9" s="1"/>
  <c r="P53" i="9"/>
  <c r="R53" i="9" s="1"/>
  <c r="P56" i="9"/>
  <c r="R56" i="9" s="1"/>
  <c r="R52" i="9"/>
  <c r="R60" i="9"/>
  <c r="B3" i="10"/>
  <c r="R54" i="9" l="1"/>
  <c r="R39" i="9"/>
  <c r="R44" i="9"/>
  <c r="K35" i="8"/>
  <c r="H31" i="8"/>
  <c r="K34" i="8"/>
  <c r="H29" i="8"/>
  <c r="K4" i="9" l="1"/>
  <c r="L4" i="9"/>
  <c r="K5" i="9"/>
  <c r="L5" i="9"/>
  <c r="K6" i="9"/>
  <c r="L6" i="9"/>
  <c r="L3" i="9"/>
  <c r="K3" i="9"/>
  <c r="B35" i="9"/>
  <c r="B34" i="9"/>
  <c r="B33" i="9"/>
  <c r="B32" i="9"/>
  <c r="B31" i="9"/>
  <c r="B30" i="9"/>
  <c r="B29" i="9"/>
  <c r="B28" i="9"/>
  <c r="B27" i="9"/>
  <c r="B26" i="9"/>
  <c r="B25" i="9"/>
  <c r="B24" i="9"/>
  <c r="Q44" i="2"/>
  <c r="Q45" i="2" s="1"/>
  <c r="Q46" i="2" s="1"/>
  <c r="Q47" i="2" s="1"/>
  <c r="Q48" i="2" s="1"/>
  <c r="Q49" i="2" s="1"/>
  <c r="Q50" i="2" s="1"/>
  <c r="Q51" i="2" s="1"/>
  <c r="Q52" i="2" s="1"/>
  <c r="Q53" i="2" s="1"/>
  <c r="Q55" i="2" s="1"/>
  <c r="Q56" i="2" s="1"/>
  <c r="Q57" i="2" s="1"/>
  <c r="Q58" i="2" s="1"/>
  <c r="Q59" i="2" s="1"/>
  <c r="Q60" i="2" s="1"/>
  <c r="Q61" i="2" s="1"/>
  <c r="Q62" i="2" s="1"/>
  <c r="Q63" i="2" s="1"/>
  <c r="Q39" i="2"/>
  <c r="Q40" i="2" s="1"/>
  <c r="Q41" i="2" s="1"/>
  <c r="Q42" i="2" s="1"/>
  <c r="Q43" i="2" s="1"/>
  <c r="Q38" i="2"/>
  <c r="G2" i="2"/>
  <c r="E72" i="2"/>
  <c r="E71" i="2"/>
  <c r="B72" i="2"/>
  <c r="B71" i="2"/>
  <c r="B7" i="10" l="1"/>
  <c r="C12" i="9" s="1"/>
  <c r="F11" i="10"/>
  <c r="G16" i="9" s="1"/>
  <c r="C4" i="10"/>
  <c r="D9" i="9" s="1"/>
  <c r="E13" i="10"/>
  <c r="F18" i="9" s="1"/>
  <c r="F10" i="10"/>
  <c r="G15" i="9" s="1"/>
  <c r="D15" i="10"/>
  <c r="E20" i="9" s="1"/>
  <c r="B8" i="10"/>
  <c r="C13" i="9" s="1"/>
  <c r="F9" i="10"/>
  <c r="G14" i="9" s="1"/>
  <c r="D14" i="10"/>
  <c r="E19" i="9" s="1"/>
  <c r="D3" i="10"/>
  <c r="E8" i="9" s="1"/>
  <c r="B6" i="10"/>
  <c r="C11" i="9" s="1"/>
  <c r="C5" i="10"/>
  <c r="D10" i="9" s="1"/>
  <c r="F12" i="10"/>
  <c r="G17" i="9" s="1"/>
  <c r="B9" i="10"/>
  <c r="C14" i="9" s="1"/>
  <c r="E9" i="10"/>
  <c r="F14" i="9" s="1"/>
  <c r="E3" i="10"/>
  <c r="F8" i="9" s="1"/>
  <c r="D4" i="10"/>
  <c r="E9" i="9" s="1"/>
  <c r="D5" i="10"/>
  <c r="E10" i="9" s="1"/>
  <c r="C6" i="10"/>
  <c r="D11" i="9" s="1"/>
  <c r="C7" i="10"/>
  <c r="D12" i="9" s="1"/>
  <c r="C8" i="10"/>
  <c r="D13" i="9" s="1"/>
  <c r="C9" i="10"/>
  <c r="D14" i="9" s="1"/>
  <c r="B10" i="10"/>
  <c r="C15" i="9" s="1"/>
  <c r="B11" i="10"/>
  <c r="C16" i="9" s="1"/>
  <c r="B12" i="10"/>
  <c r="C17" i="9" s="1"/>
  <c r="B13" i="10"/>
  <c r="C18" i="9" s="1"/>
  <c r="F13" i="10"/>
  <c r="G18" i="9" s="1"/>
  <c r="F14" i="10"/>
  <c r="G19" i="9" s="1"/>
  <c r="F15" i="10"/>
  <c r="G20" i="9" s="1"/>
  <c r="C8" i="9"/>
  <c r="F3" i="10"/>
  <c r="G8" i="9" s="1"/>
  <c r="F4" i="10"/>
  <c r="G9" i="9" s="1"/>
  <c r="E5" i="10"/>
  <c r="F10" i="9" s="1"/>
  <c r="D6" i="10"/>
  <c r="E11" i="9" s="1"/>
  <c r="D7" i="10"/>
  <c r="E12" i="9" s="1"/>
  <c r="D8" i="10"/>
  <c r="E13" i="9" s="1"/>
  <c r="D9" i="10"/>
  <c r="E14" i="9" s="1"/>
  <c r="C10" i="10"/>
  <c r="D15" i="9" s="1"/>
  <c r="C11" i="10"/>
  <c r="D16" i="9" s="1"/>
  <c r="C12" i="10"/>
  <c r="D17" i="9" s="1"/>
  <c r="C13" i="10"/>
  <c r="D18" i="9" s="1"/>
  <c r="B14" i="10"/>
  <c r="C19" i="9" s="1"/>
  <c r="B15" i="10"/>
  <c r="C20" i="9" s="1"/>
  <c r="C3" i="10"/>
  <c r="D8" i="9" s="1"/>
  <c r="B4" i="10"/>
  <c r="C9" i="9" s="1"/>
  <c r="B5" i="10"/>
  <c r="C10" i="9" s="1"/>
  <c r="F5" i="10"/>
  <c r="G10" i="9" s="1"/>
  <c r="F6" i="10"/>
  <c r="G11" i="9" s="1"/>
  <c r="F7" i="10"/>
  <c r="G12" i="9" s="1"/>
  <c r="F8" i="10"/>
  <c r="G13" i="9" s="1"/>
  <c r="D10" i="10"/>
  <c r="E15" i="9" s="1"/>
  <c r="D11" i="10"/>
  <c r="E16" i="9" s="1"/>
  <c r="D12" i="10"/>
  <c r="E17" i="9" s="1"/>
  <c r="D13" i="10"/>
  <c r="E18" i="9" s="1"/>
  <c r="C14" i="10"/>
  <c r="D19" i="9" s="1"/>
  <c r="C15" i="10"/>
  <c r="D20" i="9" s="1"/>
  <c r="E15" i="10"/>
  <c r="F20" i="9" s="1"/>
  <c r="E4" i="10"/>
  <c r="F9" i="9" s="1"/>
  <c r="E8" i="10"/>
  <c r="F13" i="9" s="1"/>
  <c r="E12" i="10"/>
  <c r="F17" i="9" s="1"/>
  <c r="E6" i="10"/>
  <c r="F11" i="9" s="1"/>
  <c r="E10" i="10"/>
  <c r="F15" i="9" s="1"/>
  <c r="E14" i="10"/>
  <c r="F19" i="9" s="1"/>
  <c r="E7" i="10"/>
  <c r="F12" i="9" s="1"/>
  <c r="E11" i="10"/>
  <c r="F16" i="9" s="1"/>
  <c r="E61" i="2"/>
  <c r="E62" i="2"/>
  <c r="E63" i="2"/>
  <c r="E64" i="2"/>
  <c r="E65" i="2"/>
  <c r="E66" i="2"/>
  <c r="E67" i="2"/>
  <c r="E68" i="2"/>
  <c r="E69" i="2"/>
  <c r="E70" i="2"/>
  <c r="E60" i="2"/>
  <c r="E50" i="2"/>
  <c r="E51" i="2"/>
  <c r="E52" i="2"/>
  <c r="E53" i="2"/>
  <c r="E54" i="2"/>
  <c r="E55" i="2"/>
  <c r="E56" i="2"/>
  <c r="E57" i="2"/>
  <c r="E58" i="2"/>
  <c r="E59" i="2"/>
  <c r="E49" i="2"/>
  <c r="E39" i="2"/>
  <c r="E40" i="2"/>
  <c r="E41" i="2"/>
  <c r="E42" i="2"/>
  <c r="E43" i="2"/>
  <c r="E44" i="2"/>
  <c r="E45" i="2"/>
  <c r="E46" i="2"/>
  <c r="E47" i="2"/>
  <c r="E48" i="2"/>
  <c r="E38" i="2"/>
  <c r="B55" i="8"/>
  <c r="C55" i="8"/>
  <c r="D55" i="8"/>
  <c r="E55" i="8"/>
  <c r="F55" i="8"/>
  <c r="B56" i="8"/>
  <c r="C56" i="8"/>
  <c r="D56" i="8"/>
  <c r="E56" i="8"/>
  <c r="F56" i="8"/>
  <c r="B57" i="8"/>
  <c r="C57" i="8"/>
  <c r="D57" i="8"/>
  <c r="E57" i="8"/>
  <c r="F57" i="8"/>
  <c r="B58" i="8"/>
  <c r="C58" i="8"/>
  <c r="D58" i="8"/>
  <c r="E58" i="8"/>
  <c r="F58" i="8"/>
  <c r="B59" i="8"/>
  <c r="C59" i="8"/>
  <c r="D59" i="8"/>
  <c r="E59" i="8"/>
  <c r="F59" i="8"/>
  <c r="B60" i="8"/>
  <c r="C60" i="8"/>
  <c r="D60" i="8"/>
  <c r="E60" i="8"/>
  <c r="F60" i="8"/>
  <c r="B61" i="8"/>
  <c r="C61" i="8"/>
  <c r="D61" i="8"/>
  <c r="E61" i="8"/>
  <c r="F61" i="8"/>
  <c r="B62" i="8"/>
  <c r="C62" i="8"/>
  <c r="D62" i="8"/>
  <c r="E62" i="8"/>
  <c r="F62" i="8"/>
  <c r="B63" i="8"/>
  <c r="C63" i="8"/>
  <c r="D63" i="8"/>
  <c r="E63" i="8"/>
  <c r="F63" i="8"/>
  <c r="B64" i="8"/>
  <c r="C64" i="8"/>
  <c r="D64" i="8"/>
  <c r="E64" i="8"/>
  <c r="F64" i="8"/>
  <c r="B65" i="8"/>
  <c r="C65" i="8"/>
  <c r="D65" i="8"/>
  <c r="E65" i="8"/>
  <c r="F65" i="8"/>
  <c r="B66" i="8"/>
  <c r="C66" i="8"/>
  <c r="D66" i="8"/>
  <c r="E66" i="8"/>
  <c r="F66" i="8"/>
  <c r="B67" i="8"/>
  <c r="C67" i="8"/>
  <c r="D67" i="8"/>
  <c r="E67" i="8"/>
  <c r="F67" i="8"/>
  <c r="B68" i="8"/>
  <c r="C68" i="8"/>
  <c r="D68" i="8"/>
  <c r="E68" i="8"/>
  <c r="F68" i="8"/>
  <c r="B69" i="8"/>
  <c r="C69" i="8"/>
  <c r="D69" i="8"/>
  <c r="E69" i="8"/>
  <c r="F69" i="8"/>
  <c r="B70" i="8"/>
  <c r="C70" i="8"/>
  <c r="D70" i="8"/>
  <c r="E70" i="8"/>
  <c r="F70" i="8"/>
  <c r="B71" i="8"/>
  <c r="C71" i="8"/>
  <c r="D71" i="8"/>
  <c r="E71" i="8"/>
  <c r="F71" i="8"/>
  <c r="B72" i="8"/>
  <c r="C72" i="8"/>
  <c r="D72" i="8"/>
  <c r="E72" i="8"/>
  <c r="F72" i="8"/>
  <c r="B73" i="8"/>
  <c r="C73" i="8"/>
  <c r="D73" i="8"/>
  <c r="E73" i="8"/>
  <c r="F73" i="8"/>
  <c r="B74" i="8"/>
  <c r="C74" i="8"/>
  <c r="D74" i="8"/>
  <c r="E74" i="8"/>
  <c r="F74" i="8"/>
  <c r="B75" i="8"/>
  <c r="C75" i="8"/>
  <c r="D75" i="8"/>
  <c r="E75" i="8"/>
  <c r="F75" i="8"/>
  <c r="B76" i="8"/>
  <c r="C76" i="8"/>
  <c r="D76" i="8"/>
  <c r="E76" i="8"/>
  <c r="F76" i="8"/>
  <c r="B77" i="8"/>
  <c r="C77" i="8"/>
  <c r="D77" i="8"/>
  <c r="E77" i="8"/>
  <c r="F77" i="8"/>
  <c r="B78" i="8"/>
  <c r="C78" i="8"/>
  <c r="D78" i="8"/>
  <c r="E78" i="8"/>
  <c r="F78" i="8"/>
  <c r="B79" i="8"/>
  <c r="C79" i="8"/>
  <c r="D79" i="8"/>
  <c r="E79" i="8"/>
  <c r="F79" i="8"/>
  <c r="B80" i="8"/>
  <c r="C80" i="8"/>
  <c r="D80" i="8"/>
  <c r="E80" i="8"/>
  <c r="F80" i="8"/>
  <c r="B81" i="8"/>
  <c r="C81" i="8"/>
  <c r="D81" i="8"/>
  <c r="E81" i="8"/>
  <c r="F81" i="8"/>
  <c r="B82" i="8"/>
  <c r="C82" i="8"/>
  <c r="D82" i="8"/>
  <c r="E82" i="8"/>
  <c r="F82" i="8"/>
  <c r="B83" i="8"/>
  <c r="C83" i="8"/>
  <c r="D83" i="8"/>
  <c r="E83" i="8"/>
  <c r="F83" i="8"/>
  <c r="B84" i="8"/>
  <c r="C84" i="8"/>
  <c r="D84" i="8"/>
  <c r="E84" i="8"/>
  <c r="F84" i="8"/>
  <c r="B85" i="8"/>
  <c r="C85" i="8"/>
  <c r="D85" i="8"/>
  <c r="E85" i="8"/>
  <c r="F85" i="8"/>
  <c r="B86" i="8"/>
  <c r="C86" i="8"/>
  <c r="D86" i="8"/>
  <c r="E86" i="8"/>
  <c r="F86" i="8"/>
  <c r="B87" i="8"/>
  <c r="C87" i="8"/>
  <c r="D87" i="8"/>
  <c r="E87" i="8"/>
  <c r="F87" i="8"/>
  <c r="B88" i="8"/>
  <c r="C88" i="8"/>
  <c r="D88" i="8"/>
  <c r="E88" i="8"/>
  <c r="F88" i="8"/>
  <c r="B89" i="8"/>
  <c r="C89" i="8"/>
  <c r="D89" i="8"/>
  <c r="E89" i="8"/>
  <c r="F89" i="8"/>
  <c r="B90" i="8"/>
  <c r="C90" i="8"/>
  <c r="D90" i="8"/>
  <c r="E90" i="8"/>
  <c r="F90" i="8"/>
  <c r="B91" i="8"/>
  <c r="C91" i="8"/>
  <c r="D91" i="8"/>
  <c r="E91" i="8"/>
  <c r="F91" i="8"/>
  <c r="B92" i="8"/>
  <c r="C92" i="8"/>
  <c r="D92" i="8"/>
  <c r="E92" i="8"/>
  <c r="F92" i="8"/>
  <c r="B93" i="8"/>
  <c r="C93" i="8"/>
  <c r="D93" i="8"/>
  <c r="E93" i="8"/>
  <c r="F93" i="8"/>
  <c r="B94" i="8"/>
  <c r="C94" i="8"/>
  <c r="D94" i="8"/>
  <c r="E94" i="8"/>
  <c r="F94" i="8"/>
  <c r="B95" i="8"/>
  <c r="C95" i="8"/>
  <c r="D95" i="8"/>
  <c r="E95" i="8"/>
  <c r="F95" i="8"/>
  <c r="B96" i="8"/>
  <c r="C96" i="8"/>
  <c r="D96" i="8"/>
  <c r="E96" i="8"/>
  <c r="F96" i="8"/>
  <c r="B97" i="8"/>
  <c r="C97" i="8"/>
  <c r="D97" i="8"/>
  <c r="E97" i="8"/>
  <c r="F97" i="8"/>
  <c r="B98" i="8"/>
  <c r="C98" i="8"/>
  <c r="D98" i="8"/>
  <c r="E98" i="8"/>
  <c r="F98" i="8"/>
  <c r="B99" i="8"/>
  <c r="C99" i="8"/>
  <c r="D99" i="8"/>
  <c r="E99" i="8"/>
  <c r="F99" i="8"/>
  <c r="B100" i="8"/>
  <c r="C100" i="8"/>
  <c r="D100" i="8"/>
  <c r="E100" i="8"/>
  <c r="F100" i="8"/>
  <c r="B101" i="8"/>
  <c r="C101" i="8"/>
  <c r="D101" i="8"/>
  <c r="E101" i="8"/>
  <c r="F101" i="8"/>
  <c r="B102" i="8"/>
  <c r="C102" i="8"/>
  <c r="D102" i="8"/>
  <c r="E102" i="8"/>
  <c r="F102" i="8"/>
  <c r="B103" i="8"/>
  <c r="C103" i="8"/>
  <c r="D103" i="8"/>
  <c r="E103" i="8"/>
  <c r="F103" i="8"/>
  <c r="B104" i="8"/>
  <c r="C104" i="8"/>
  <c r="D104" i="8"/>
  <c r="E104" i="8"/>
  <c r="F104" i="8"/>
  <c r="B105" i="8"/>
  <c r="C105" i="8"/>
  <c r="D105" i="8"/>
  <c r="E105" i="8"/>
  <c r="F105" i="8"/>
  <c r="B106" i="8"/>
  <c r="C106" i="8"/>
  <c r="D106" i="8"/>
  <c r="E106" i="8"/>
  <c r="F106" i="8"/>
  <c r="B107" i="8"/>
  <c r="C107" i="8"/>
  <c r="D107" i="8"/>
  <c r="E107" i="8"/>
  <c r="F107" i="8"/>
  <c r="B108" i="8"/>
  <c r="C108" i="8"/>
  <c r="D108" i="8"/>
  <c r="E108" i="8"/>
  <c r="F108" i="8"/>
  <c r="B109" i="8"/>
  <c r="C109" i="8"/>
  <c r="D109" i="8"/>
  <c r="E109" i="8"/>
  <c r="F109" i="8"/>
  <c r="B110" i="8"/>
  <c r="C110" i="8"/>
  <c r="D110" i="8"/>
  <c r="E110" i="8"/>
  <c r="F110" i="8"/>
  <c r="B111" i="8"/>
  <c r="C111" i="8"/>
  <c r="D111" i="8"/>
  <c r="E111" i="8"/>
  <c r="F111" i="8"/>
  <c r="B112" i="8"/>
  <c r="C112" i="8"/>
  <c r="D112" i="8"/>
  <c r="E112" i="8"/>
  <c r="F112" i="8"/>
  <c r="B113" i="8"/>
  <c r="C113" i="8"/>
  <c r="D113" i="8"/>
  <c r="E113" i="8"/>
  <c r="F113" i="8"/>
  <c r="B114" i="8"/>
  <c r="C114" i="8"/>
  <c r="D114" i="8"/>
  <c r="E114" i="8"/>
  <c r="F114" i="8"/>
  <c r="B115" i="8"/>
  <c r="C115" i="8"/>
  <c r="D115" i="8"/>
  <c r="E115" i="8"/>
  <c r="F115" i="8"/>
  <c r="B116" i="8"/>
  <c r="C116" i="8"/>
  <c r="D116" i="8"/>
  <c r="E116" i="8"/>
  <c r="F116" i="8"/>
  <c r="B117" i="8"/>
  <c r="C117" i="8"/>
  <c r="D117" i="8"/>
  <c r="E117" i="8"/>
  <c r="F117" i="8"/>
  <c r="B118" i="8"/>
  <c r="C118" i="8"/>
  <c r="D118" i="8"/>
  <c r="E118" i="8"/>
  <c r="F118" i="8"/>
  <c r="B119" i="8"/>
  <c r="C119" i="8"/>
  <c r="D119" i="8"/>
  <c r="E119" i="8"/>
  <c r="F119" i="8"/>
  <c r="B120" i="8"/>
  <c r="C120" i="8"/>
  <c r="D120" i="8"/>
  <c r="E120" i="8"/>
  <c r="F120" i="8"/>
  <c r="B121" i="8"/>
  <c r="C121" i="8"/>
  <c r="D121" i="8"/>
  <c r="E121" i="8"/>
  <c r="F121" i="8"/>
  <c r="B122" i="8"/>
  <c r="C122" i="8"/>
  <c r="D122" i="8"/>
  <c r="E122" i="8"/>
  <c r="F122" i="8"/>
  <c r="B123" i="8"/>
  <c r="C123" i="8"/>
  <c r="D123" i="8"/>
  <c r="E123" i="8"/>
  <c r="F123" i="8"/>
  <c r="B124" i="8"/>
  <c r="C124" i="8"/>
  <c r="D124" i="8"/>
  <c r="E124" i="8"/>
  <c r="F124" i="8"/>
  <c r="B125" i="8"/>
  <c r="C125" i="8"/>
  <c r="D125" i="8"/>
  <c r="E125" i="8"/>
  <c r="F125" i="8"/>
  <c r="B126" i="8"/>
  <c r="C126" i="8"/>
  <c r="D126" i="8"/>
  <c r="E126" i="8"/>
  <c r="F126" i="8"/>
  <c r="B127" i="8"/>
  <c r="C127" i="8"/>
  <c r="D127" i="8"/>
  <c r="E127" i="8"/>
  <c r="F127" i="8"/>
  <c r="B128" i="8"/>
  <c r="C128" i="8"/>
  <c r="D128" i="8"/>
  <c r="E128" i="8"/>
  <c r="F128" i="8"/>
  <c r="B129" i="8"/>
  <c r="C129" i="8"/>
  <c r="D129" i="8"/>
  <c r="E129" i="8"/>
  <c r="F129" i="8"/>
  <c r="B130" i="8"/>
  <c r="C130" i="8"/>
  <c r="D130" i="8"/>
  <c r="E130" i="8"/>
  <c r="F130" i="8"/>
  <c r="B131" i="8"/>
  <c r="C131" i="8"/>
  <c r="D131" i="8"/>
  <c r="E131" i="8"/>
  <c r="F131" i="8"/>
  <c r="B132" i="8"/>
  <c r="C132" i="8"/>
  <c r="D132" i="8"/>
  <c r="E132" i="8"/>
  <c r="F132" i="8"/>
  <c r="B133" i="8"/>
  <c r="C133" i="8"/>
  <c r="D133" i="8"/>
  <c r="E133" i="8"/>
  <c r="F133" i="8"/>
  <c r="B134" i="8"/>
  <c r="C134" i="8"/>
  <c r="D134" i="8"/>
  <c r="E134" i="8"/>
  <c r="F134" i="8"/>
  <c r="B135" i="8"/>
  <c r="C135" i="8"/>
  <c r="D135" i="8"/>
  <c r="E135" i="8"/>
  <c r="F135" i="8"/>
  <c r="B136" i="8"/>
  <c r="C136" i="8"/>
  <c r="D136" i="8"/>
  <c r="E136" i="8"/>
  <c r="F136" i="8"/>
  <c r="B137" i="8"/>
  <c r="C137" i="8"/>
  <c r="D137" i="8"/>
  <c r="E137" i="8"/>
  <c r="F137" i="8"/>
  <c r="B138" i="8"/>
  <c r="C138" i="8"/>
  <c r="D138" i="8"/>
  <c r="E138" i="8"/>
  <c r="F138" i="8"/>
  <c r="B139" i="8"/>
  <c r="C139" i="8"/>
  <c r="D139" i="8"/>
  <c r="E139" i="8"/>
  <c r="F139" i="8"/>
  <c r="B140" i="8"/>
  <c r="C140" i="8"/>
  <c r="D140" i="8"/>
  <c r="E140" i="8"/>
  <c r="F140" i="8"/>
  <c r="B141" i="8"/>
  <c r="C141" i="8"/>
  <c r="D141" i="8"/>
  <c r="E141" i="8"/>
  <c r="F141" i="8"/>
  <c r="B142" i="8"/>
  <c r="C142" i="8"/>
  <c r="D142" i="8"/>
  <c r="E142" i="8"/>
  <c r="F142" i="8"/>
  <c r="B143" i="8"/>
  <c r="C143" i="8"/>
  <c r="D143" i="8"/>
  <c r="E143" i="8"/>
  <c r="F143" i="8"/>
  <c r="B144" i="8"/>
  <c r="C144" i="8"/>
  <c r="D144" i="8"/>
  <c r="E144" i="8"/>
  <c r="F144" i="8"/>
  <c r="B145" i="8"/>
  <c r="C145" i="8"/>
  <c r="D145" i="8"/>
  <c r="E145" i="8"/>
  <c r="F145" i="8"/>
  <c r="B146" i="8"/>
  <c r="C146" i="8"/>
  <c r="D146" i="8"/>
  <c r="E146" i="8"/>
  <c r="F146" i="8"/>
  <c r="B147" i="8"/>
  <c r="C147" i="8"/>
  <c r="D147" i="8"/>
  <c r="E147" i="8"/>
  <c r="F147" i="8"/>
  <c r="B148" i="8"/>
  <c r="C148" i="8"/>
  <c r="D148" i="8"/>
  <c r="E148" i="8"/>
  <c r="F148" i="8"/>
  <c r="B149" i="8"/>
  <c r="C149" i="8"/>
  <c r="D149" i="8"/>
  <c r="E149" i="8"/>
  <c r="F149" i="8"/>
  <c r="B150" i="8"/>
  <c r="C150" i="8"/>
  <c r="D150" i="8"/>
  <c r="E150" i="8"/>
  <c r="F150" i="8"/>
  <c r="B151" i="8"/>
  <c r="C151" i="8"/>
  <c r="D151" i="8"/>
  <c r="E151" i="8"/>
  <c r="F151" i="8"/>
  <c r="B152" i="8"/>
  <c r="C152" i="8"/>
  <c r="D152" i="8"/>
  <c r="E152" i="8"/>
  <c r="F152" i="8"/>
  <c r="B153" i="8"/>
  <c r="C153" i="8"/>
  <c r="D153" i="8"/>
  <c r="E153" i="8"/>
  <c r="F153" i="8"/>
  <c r="B154" i="8"/>
  <c r="C154" i="8"/>
  <c r="D154" i="8"/>
  <c r="E154" i="8"/>
  <c r="F154" i="8"/>
  <c r="B155" i="8"/>
  <c r="C155" i="8"/>
  <c r="D155" i="8"/>
  <c r="E155" i="8"/>
  <c r="F155" i="8"/>
  <c r="B156" i="8"/>
  <c r="C156" i="8"/>
  <c r="D156" i="8"/>
  <c r="E156" i="8"/>
  <c r="F156" i="8"/>
  <c r="B157" i="8"/>
  <c r="C157" i="8"/>
  <c r="D157" i="8"/>
  <c r="E157" i="8"/>
  <c r="F157" i="8"/>
  <c r="B158" i="8"/>
  <c r="C158" i="8"/>
  <c r="D158" i="8"/>
  <c r="E158" i="8"/>
  <c r="F158" i="8"/>
  <c r="B159" i="8"/>
  <c r="C159" i="8"/>
  <c r="D159" i="8"/>
  <c r="E159" i="8"/>
  <c r="F159" i="8"/>
  <c r="B160" i="8"/>
  <c r="C160" i="8"/>
  <c r="D160" i="8"/>
  <c r="E160" i="8"/>
  <c r="F160" i="8"/>
  <c r="B161" i="8"/>
  <c r="C161" i="8"/>
  <c r="D161" i="8"/>
  <c r="E161" i="8"/>
  <c r="F161" i="8"/>
  <c r="B162" i="8"/>
  <c r="C162" i="8"/>
  <c r="D162" i="8"/>
  <c r="E162" i="8"/>
  <c r="F162" i="8"/>
  <c r="B163" i="8"/>
  <c r="C163" i="8"/>
  <c r="D163" i="8"/>
  <c r="E163" i="8"/>
  <c r="F163" i="8"/>
  <c r="B164" i="8"/>
  <c r="C164" i="8"/>
  <c r="D164" i="8"/>
  <c r="E164" i="8"/>
  <c r="F164" i="8"/>
  <c r="B165" i="8"/>
  <c r="C165" i="8"/>
  <c r="D165" i="8"/>
  <c r="E165" i="8"/>
  <c r="F165" i="8"/>
  <c r="B166" i="8"/>
  <c r="C166" i="8"/>
  <c r="D166" i="8"/>
  <c r="E166" i="8"/>
  <c r="F166" i="8"/>
  <c r="B167" i="8"/>
  <c r="C167" i="8"/>
  <c r="D167" i="8"/>
  <c r="E167" i="8"/>
  <c r="F167" i="8"/>
  <c r="B168" i="8"/>
  <c r="C168" i="8"/>
  <c r="D168" i="8"/>
  <c r="E168" i="8"/>
  <c r="F168" i="8"/>
  <c r="B169" i="8"/>
  <c r="C169" i="8"/>
  <c r="D169" i="8"/>
  <c r="E169" i="8"/>
  <c r="F169" i="8"/>
  <c r="B170" i="8"/>
  <c r="C170" i="8"/>
  <c r="D170" i="8"/>
  <c r="E170" i="8"/>
  <c r="F170" i="8"/>
  <c r="B24" i="8"/>
  <c r="C24" i="8"/>
  <c r="D24" i="8"/>
  <c r="E24" i="8"/>
  <c r="F24" i="8"/>
  <c r="B25" i="8"/>
  <c r="C25" i="8"/>
  <c r="D25" i="8"/>
  <c r="E25" i="8"/>
  <c r="F25" i="8"/>
  <c r="B26" i="8"/>
  <c r="C26" i="8"/>
  <c r="D26" i="8"/>
  <c r="E26" i="8"/>
  <c r="F26" i="8"/>
  <c r="B27" i="8"/>
  <c r="C27" i="8"/>
  <c r="D27" i="8"/>
  <c r="E27" i="8"/>
  <c r="F27" i="8"/>
  <c r="B28" i="8"/>
  <c r="C28" i="8"/>
  <c r="D28" i="8"/>
  <c r="E28" i="8"/>
  <c r="F28" i="8"/>
  <c r="B29" i="8"/>
  <c r="C29" i="8"/>
  <c r="D29" i="8"/>
  <c r="E29" i="8"/>
  <c r="F29" i="8"/>
  <c r="B30" i="8"/>
  <c r="C30" i="8"/>
  <c r="D30" i="8"/>
  <c r="E30" i="8"/>
  <c r="F30" i="8"/>
  <c r="B31" i="8"/>
  <c r="C31" i="8"/>
  <c r="D31" i="8"/>
  <c r="E31" i="8"/>
  <c r="F31" i="8"/>
  <c r="B32" i="8"/>
  <c r="C32" i="8"/>
  <c r="D32" i="8"/>
  <c r="E32" i="8"/>
  <c r="F32" i="8"/>
  <c r="B33" i="8"/>
  <c r="C33" i="8"/>
  <c r="D33" i="8"/>
  <c r="E33" i="8"/>
  <c r="F33" i="8"/>
  <c r="B34" i="8"/>
  <c r="C34" i="8"/>
  <c r="D34" i="8"/>
  <c r="E34" i="8"/>
  <c r="F34" i="8"/>
  <c r="B35" i="8"/>
  <c r="C35" i="8"/>
  <c r="D35" i="8"/>
  <c r="E35" i="8"/>
  <c r="F35" i="8"/>
  <c r="B36" i="8"/>
  <c r="C36" i="8"/>
  <c r="D36" i="8"/>
  <c r="E36" i="8"/>
  <c r="F36" i="8"/>
  <c r="B37" i="8"/>
  <c r="C37" i="8"/>
  <c r="D37" i="8"/>
  <c r="E37" i="8"/>
  <c r="F37" i="8"/>
  <c r="B38" i="8"/>
  <c r="C38" i="8"/>
  <c r="D38" i="8"/>
  <c r="E38" i="8"/>
  <c r="F38" i="8"/>
  <c r="B39" i="8"/>
  <c r="C39" i="8"/>
  <c r="D39" i="8"/>
  <c r="E39" i="8"/>
  <c r="F39" i="8"/>
  <c r="B40" i="8"/>
  <c r="C40" i="8"/>
  <c r="D40" i="8"/>
  <c r="E40" i="8"/>
  <c r="F40" i="8"/>
  <c r="B41" i="8"/>
  <c r="C41" i="8"/>
  <c r="D41" i="8"/>
  <c r="E41" i="8"/>
  <c r="F41" i="8"/>
  <c r="B42" i="8"/>
  <c r="C42" i="8"/>
  <c r="D42" i="8"/>
  <c r="E42" i="8"/>
  <c r="F42" i="8"/>
  <c r="B43" i="8"/>
  <c r="C43" i="8"/>
  <c r="D43" i="8"/>
  <c r="E43" i="8"/>
  <c r="F43" i="8"/>
  <c r="B44" i="8"/>
  <c r="C44" i="8"/>
  <c r="D44" i="8"/>
  <c r="E44" i="8"/>
  <c r="F44" i="8"/>
  <c r="B45" i="8"/>
  <c r="C45" i="8"/>
  <c r="D45" i="8"/>
  <c r="E45" i="8"/>
  <c r="F45" i="8"/>
  <c r="B46" i="8"/>
  <c r="C46" i="8"/>
  <c r="D46" i="8"/>
  <c r="E46" i="8"/>
  <c r="F46" i="8"/>
  <c r="B47" i="8"/>
  <c r="C47" i="8"/>
  <c r="D47" i="8"/>
  <c r="E47" i="8"/>
  <c r="F47" i="8"/>
  <c r="B48" i="8"/>
  <c r="C48" i="8"/>
  <c r="D48" i="8"/>
  <c r="E48" i="8"/>
  <c r="F48" i="8"/>
  <c r="B49" i="8"/>
  <c r="C49" i="8"/>
  <c r="D49" i="8"/>
  <c r="E49" i="8"/>
  <c r="F49" i="8"/>
  <c r="B50" i="8"/>
  <c r="C50" i="8"/>
  <c r="D50" i="8"/>
  <c r="E50" i="8"/>
  <c r="F50" i="8"/>
  <c r="B51" i="8"/>
  <c r="C51" i="8"/>
  <c r="D51" i="8"/>
  <c r="E51" i="8"/>
  <c r="F51" i="8"/>
  <c r="B52" i="8"/>
  <c r="C52" i="8"/>
  <c r="D52" i="8"/>
  <c r="E52" i="8"/>
  <c r="F52" i="8"/>
  <c r="B53" i="8"/>
  <c r="C53" i="8"/>
  <c r="D53" i="8"/>
  <c r="E53" i="8"/>
  <c r="F53" i="8"/>
  <c r="B54" i="8"/>
  <c r="C54" i="8"/>
  <c r="D54" i="8"/>
  <c r="E54" i="8"/>
  <c r="F54" i="8"/>
  <c r="B171" i="8"/>
  <c r="C171" i="8"/>
  <c r="D171" i="8"/>
  <c r="E171" i="8"/>
  <c r="F171" i="8"/>
  <c r="B172" i="8"/>
  <c r="C172" i="8"/>
  <c r="D172" i="8"/>
  <c r="E172" i="8"/>
  <c r="F172" i="8"/>
  <c r="F16" i="10" l="1"/>
  <c r="BR171" i="8"/>
  <c r="BL171" i="8"/>
  <c r="BF171" i="8"/>
  <c r="AZ171" i="8"/>
  <c r="AT171" i="8"/>
  <c r="AN171" i="8"/>
  <c r="AH171" i="8"/>
  <c r="AB171" i="8"/>
  <c r="V171" i="8"/>
  <c r="P171" i="8"/>
  <c r="J171" i="8"/>
  <c r="BP53" i="8"/>
  <c r="BJ53" i="8"/>
  <c r="BD53" i="8"/>
  <c r="AR53" i="8"/>
  <c r="AX53" i="8"/>
  <c r="AL53" i="8"/>
  <c r="AF53" i="8"/>
  <c r="Z53" i="8"/>
  <c r="T53" i="8"/>
  <c r="N53" i="8"/>
  <c r="H53" i="8"/>
  <c r="BP41" i="8"/>
  <c r="BJ41" i="8"/>
  <c r="BD41" i="8"/>
  <c r="AX41" i="8"/>
  <c r="AR41" i="8"/>
  <c r="AL41" i="8"/>
  <c r="AF41" i="8"/>
  <c r="Z41" i="8"/>
  <c r="T41" i="8"/>
  <c r="N41" i="8"/>
  <c r="H41" i="8"/>
  <c r="BQ36" i="8"/>
  <c r="BK36" i="8"/>
  <c r="AY36" i="8"/>
  <c r="BE36" i="8"/>
  <c r="AS36" i="8"/>
  <c r="AM36" i="8"/>
  <c r="AG36" i="8"/>
  <c r="AA36" i="8"/>
  <c r="I36" i="8"/>
  <c r="U36" i="8"/>
  <c r="O36" i="8"/>
  <c r="BT168" i="8"/>
  <c r="BN168" i="8"/>
  <c r="BH168" i="8"/>
  <c r="AV168" i="8"/>
  <c r="BB168" i="8"/>
  <c r="AP168" i="8"/>
  <c r="AJ168" i="8"/>
  <c r="AD168" i="8"/>
  <c r="X168" i="8"/>
  <c r="R168" i="8"/>
  <c r="L168" i="8"/>
  <c r="BS165" i="8"/>
  <c r="BM165" i="8"/>
  <c r="BG165" i="8"/>
  <c r="AU165" i="8"/>
  <c r="BA165" i="8"/>
  <c r="AO165" i="8"/>
  <c r="AI165" i="8"/>
  <c r="AC165" i="8"/>
  <c r="W165" i="8"/>
  <c r="Q165" i="8"/>
  <c r="K165" i="8"/>
  <c r="BR162" i="8"/>
  <c r="BL162" i="8"/>
  <c r="BF162" i="8"/>
  <c r="AT162" i="8"/>
  <c r="AZ162" i="8"/>
  <c r="AN162" i="8"/>
  <c r="AH162" i="8"/>
  <c r="AB162" i="8"/>
  <c r="V162" i="8"/>
  <c r="P162" i="8"/>
  <c r="J162" i="8"/>
  <c r="BQ159" i="8"/>
  <c r="BK159" i="8"/>
  <c r="BE159" i="8"/>
  <c r="AS159" i="8"/>
  <c r="AY159" i="8"/>
  <c r="AM159" i="8"/>
  <c r="AG159" i="8"/>
  <c r="AA159" i="8"/>
  <c r="U159" i="8"/>
  <c r="O159" i="8"/>
  <c r="I159" i="8"/>
  <c r="BT156" i="8"/>
  <c r="BN156" i="8"/>
  <c r="BH156" i="8"/>
  <c r="BB156" i="8"/>
  <c r="AP156" i="8"/>
  <c r="AV156" i="8"/>
  <c r="AD156" i="8"/>
  <c r="X156" i="8"/>
  <c r="AJ156" i="8"/>
  <c r="R156" i="8"/>
  <c r="L156" i="8"/>
  <c r="BT152" i="8"/>
  <c r="BN152" i="8"/>
  <c r="BH152" i="8"/>
  <c r="BB152" i="8"/>
  <c r="AP152" i="8"/>
  <c r="AV152" i="8"/>
  <c r="AJ152" i="8"/>
  <c r="AD152" i="8"/>
  <c r="X152" i="8"/>
  <c r="R152" i="8"/>
  <c r="L152" i="8"/>
  <c r="BR150" i="8"/>
  <c r="BL150" i="8"/>
  <c r="BF150" i="8"/>
  <c r="AZ150" i="8"/>
  <c r="AN150" i="8"/>
  <c r="AT150" i="8"/>
  <c r="AB150" i="8"/>
  <c r="V150" i="8"/>
  <c r="AH150" i="8"/>
  <c r="P150" i="8"/>
  <c r="J150" i="8"/>
  <c r="BQ147" i="8"/>
  <c r="BK147" i="8"/>
  <c r="BE147" i="8"/>
  <c r="AY147" i="8"/>
  <c r="AM147" i="8"/>
  <c r="AS147" i="8"/>
  <c r="AA147" i="8"/>
  <c r="U147" i="8"/>
  <c r="AG147" i="8"/>
  <c r="O147" i="8"/>
  <c r="I147" i="8"/>
  <c r="BP144" i="8"/>
  <c r="BJ144" i="8"/>
  <c r="BD144" i="8"/>
  <c r="AX144" i="8"/>
  <c r="AL144" i="8"/>
  <c r="AR144" i="8"/>
  <c r="Z144" i="8"/>
  <c r="T144" i="8"/>
  <c r="AF144" i="8"/>
  <c r="N144" i="8"/>
  <c r="H144" i="8"/>
  <c r="BT140" i="8"/>
  <c r="BN140" i="8"/>
  <c r="BH140" i="8"/>
  <c r="BB140" i="8"/>
  <c r="AP140" i="8"/>
  <c r="AV140" i="8"/>
  <c r="AD140" i="8"/>
  <c r="X140" i="8"/>
  <c r="AJ140" i="8"/>
  <c r="R140" i="8"/>
  <c r="L140" i="8"/>
  <c r="BT136" i="8"/>
  <c r="BN136" i="8"/>
  <c r="BH136" i="8"/>
  <c r="BB136" i="8"/>
  <c r="AP136" i="8"/>
  <c r="AV136" i="8"/>
  <c r="AJ136" i="8"/>
  <c r="AD136" i="8"/>
  <c r="X136" i="8"/>
  <c r="L136" i="8"/>
  <c r="R136" i="8"/>
  <c r="BT132" i="8"/>
  <c r="BN132" i="8"/>
  <c r="BH132" i="8"/>
  <c r="BB132" i="8"/>
  <c r="AP132" i="8"/>
  <c r="AV132" i="8"/>
  <c r="AD132" i="8"/>
  <c r="X132" i="8"/>
  <c r="AJ132" i="8"/>
  <c r="L132" i="8"/>
  <c r="R132" i="8"/>
  <c r="BP128" i="8"/>
  <c r="BJ128" i="8"/>
  <c r="BD128" i="8"/>
  <c r="AX128" i="8"/>
  <c r="AR128" i="8"/>
  <c r="AL128" i="8"/>
  <c r="AF128" i="8"/>
  <c r="Z128" i="8"/>
  <c r="T128" i="8"/>
  <c r="N128" i="8"/>
  <c r="H128" i="8"/>
  <c r="BP124" i="8"/>
  <c r="BJ124" i="8"/>
  <c r="BD124" i="8"/>
  <c r="AX124" i="8"/>
  <c r="AR124" i="8"/>
  <c r="AL124" i="8"/>
  <c r="AF124" i="8"/>
  <c r="Z124" i="8"/>
  <c r="H124" i="8"/>
  <c r="N124" i="8"/>
  <c r="T124" i="8"/>
  <c r="BT120" i="8"/>
  <c r="BN120" i="8"/>
  <c r="BH120" i="8"/>
  <c r="BB120" i="8"/>
  <c r="AP120" i="8"/>
  <c r="AV120" i="8"/>
  <c r="AJ120" i="8"/>
  <c r="AD120" i="8"/>
  <c r="X120" i="8"/>
  <c r="L120" i="8"/>
  <c r="R120" i="8"/>
  <c r="BT116" i="8"/>
  <c r="BH116" i="8"/>
  <c r="BN116" i="8"/>
  <c r="BB116" i="8"/>
  <c r="AV116" i="8"/>
  <c r="AP116" i="8"/>
  <c r="AJ116" i="8"/>
  <c r="AD116" i="8"/>
  <c r="L116" i="8"/>
  <c r="R116" i="8"/>
  <c r="X116" i="8"/>
  <c r="BS113" i="8"/>
  <c r="BM113" i="8"/>
  <c r="BG113" i="8"/>
  <c r="BA113" i="8"/>
  <c r="AO113" i="8"/>
  <c r="AU113" i="8"/>
  <c r="AI113" i="8"/>
  <c r="AC113" i="8"/>
  <c r="W113" i="8"/>
  <c r="K113" i="8"/>
  <c r="Q113" i="8"/>
  <c r="BR106" i="8"/>
  <c r="BL106" i="8"/>
  <c r="BF106" i="8"/>
  <c r="AZ106" i="8"/>
  <c r="AT106" i="8"/>
  <c r="AN106" i="8"/>
  <c r="AH106" i="8"/>
  <c r="AB106" i="8"/>
  <c r="V106" i="8"/>
  <c r="P106" i="8"/>
  <c r="J106" i="8"/>
  <c r="BQ103" i="8"/>
  <c r="BK103" i="8"/>
  <c r="BE103" i="8"/>
  <c r="AY103" i="8"/>
  <c r="AS103" i="8"/>
  <c r="AM103" i="8"/>
  <c r="AG103" i="8"/>
  <c r="AA103" i="8"/>
  <c r="U103" i="8"/>
  <c r="O103" i="8"/>
  <c r="I103" i="8"/>
  <c r="BQ99" i="8"/>
  <c r="BE99" i="8"/>
  <c r="BK99" i="8"/>
  <c r="AY99" i="8"/>
  <c r="AS99" i="8"/>
  <c r="AM99" i="8"/>
  <c r="AG99" i="8"/>
  <c r="AA99" i="8"/>
  <c r="U99" i="8"/>
  <c r="O99" i="8"/>
  <c r="I99" i="8"/>
  <c r="BP96" i="8"/>
  <c r="BJ96" i="8"/>
  <c r="BD96" i="8"/>
  <c r="AX96" i="8"/>
  <c r="AR96" i="8"/>
  <c r="AL96" i="8"/>
  <c r="AF96" i="8"/>
  <c r="Z96" i="8"/>
  <c r="T96" i="8"/>
  <c r="N96" i="8"/>
  <c r="H96" i="8"/>
  <c r="BT92" i="8"/>
  <c r="BN92" i="8"/>
  <c r="BH92" i="8"/>
  <c r="BB92" i="8"/>
  <c r="AV92" i="8"/>
  <c r="AP92" i="8"/>
  <c r="AJ92" i="8"/>
  <c r="AD92" i="8"/>
  <c r="X92" i="8"/>
  <c r="R92" i="8"/>
  <c r="L92" i="8"/>
  <c r="BS89" i="8"/>
  <c r="BM89" i="8"/>
  <c r="BG89" i="8"/>
  <c r="BA89" i="8"/>
  <c r="AU89" i="8"/>
  <c r="AO89" i="8"/>
  <c r="AI89" i="8"/>
  <c r="AC89" i="8"/>
  <c r="W89" i="8"/>
  <c r="Q89" i="8"/>
  <c r="K89" i="8"/>
  <c r="BR86" i="8"/>
  <c r="BL86" i="8"/>
  <c r="BF86" i="8"/>
  <c r="AZ86" i="8"/>
  <c r="AT86" i="8"/>
  <c r="AN86" i="8"/>
  <c r="AH86" i="8"/>
  <c r="AB86" i="8"/>
  <c r="J86" i="8"/>
  <c r="V86" i="8"/>
  <c r="P86" i="8"/>
  <c r="BQ79" i="8"/>
  <c r="BK79" i="8"/>
  <c r="BE79" i="8"/>
  <c r="AY79" i="8"/>
  <c r="AS79" i="8"/>
  <c r="AM79" i="8"/>
  <c r="AG79" i="8"/>
  <c r="AA79" i="8"/>
  <c r="I79" i="8"/>
  <c r="U79" i="8"/>
  <c r="O79" i="8"/>
  <c r="BP76" i="8"/>
  <c r="BJ76" i="8"/>
  <c r="BD76" i="8"/>
  <c r="AX76" i="8"/>
  <c r="AR76" i="8"/>
  <c r="AL76" i="8"/>
  <c r="AF76" i="8"/>
  <c r="Z76" i="8"/>
  <c r="T76" i="8"/>
  <c r="N76" i="8"/>
  <c r="H76" i="8"/>
  <c r="BT72" i="8"/>
  <c r="BN72" i="8"/>
  <c r="BH72" i="8"/>
  <c r="BB72" i="8"/>
  <c r="AV72" i="8"/>
  <c r="AP72" i="8"/>
  <c r="AJ72" i="8"/>
  <c r="AD72" i="8"/>
  <c r="L72" i="8"/>
  <c r="X72" i="8"/>
  <c r="R72" i="8"/>
  <c r="BS69" i="8"/>
  <c r="BM69" i="8"/>
  <c r="BG69" i="8"/>
  <c r="BA69" i="8"/>
  <c r="AU69" i="8"/>
  <c r="AO69" i="8"/>
  <c r="AI69" i="8"/>
  <c r="AC69" i="8"/>
  <c r="K69" i="8"/>
  <c r="W69" i="8"/>
  <c r="Q69" i="8"/>
  <c r="BR58" i="8"/>
  <c r="BL58" i="8"/>
  <c r="BF58" i="8"/>
  <c r="AZ58" i="8"/>
  <c r="AT58" i="8"/>
  <c r="AN58" i="8"/>
  <c r="AH58" i="8"/>
  <c r="AB58" i="8"/>
  <c r="V58" i="8"/>
  <c r="P58" i="8"/>
  <c r="J58" i="8"/>
  <c r="C21" i="9"/>
  <c r="BT53" i="8"/>
  <c r="BN53" i="8"/>
  <c r="BH53" i="8"/>
  <c r="BB53" i="8"/>
  <c r="AV53" i="8"/>
  <c r="AP53" i="8"/>
  <c r="AJ53" i="8"/>
  <c r="AD53" i="8"/>
  <c r="L53" i="8"/>
  <c r="X53" i="8"/>
  <c r="R53" i="8"/>
  <c r="BS50" i="8"/>
  <c r="BM50" i="8"/>
  <c r="BA50" i="8"/>
  <c r="BG50" i="8"/>
  <c r="AU50" i="8"/>
  <c r="AO50" i="8"/>
  <c r="AI50" i="8"/>
  <c r="AC50" i="8"/>
  <c r="K50" i="8"/>
  <c r="W50" i="8"/>
  <c r="Q50" i="8"/>
  <c r="BQ44" i="8"/>
  <c r="BK44" i="8"/>
  <c r="AY44" i="8"/>
  <c r="BE44" i="8"/>
  <c r="AS44" i="8"/>
  <c r="AG44" i="8"/>
  <c r="AA44" i="8"/>
  <c r="AM44" i="8"/>
  <c r="I44" i="8"/>
  <c r="U44" i="8"/>
  <c r="O44" i="8"/>
  <c r="BT41" i="8"/>
  <c r="BN41" i="8"/>
  <c r="BB41" i="8"/>
  <c r="BH41" i="8"/>
  <c r="AV41" i="8"/>
  <c r="AJ41" i="8"/>
  <c r="AD41" i="8"/>
  <c r="AP41" i="8"/>
  <c r="L41" i="8"/>
  <c r="X41" i="8"/>
  <c r="R41" i="8"/>
  <c r="BS38" i="8"/>
  <c r="BM38" i="8"/>
  <c r="BA38" i="8"/>
  <c r="BG38" i="8"/>
  <c r="AU38" i="8"/>
  <c r="AO38" i="8"/>
  <c r="AI38" i="8"/>
  <c r="AC38" i="8"/>
  <c r="K38" i="8"/>
  <c r="W38" i="8"/>
  <c r="Q38" i="8"/>
  <c r="BT33" i="8"/>
  <c r="BN33" i="8"/>
  <c r="BH33" i="8"/>
  <c r="BB33" i="8"/>
  <c r="AV33" i="8"/>
  <c r="AP33" i="8"/>
  <c r="AJ33" i="8"/>
  <c r="AD33" i="8"/>
  <c r="X33" i="8"/>
  <c r="R33" i="8"/>
  <c r="L33" i="8"/>
  <c r="BS30" i="8"/>
  <c r="BM30" i="8"/>
  <c r="BG30" i="8"/>
  <c r="BA30" i="8"/>
  <c r="AU30" i="8"/>
  <c r="AO30" i="8"/>
  <c r="AI30" i="8"/>
  <c r="AC30" i="8"/>
  <c r="W30" i="8"/>
  <c r="Q30" i="8"/>
  <c r="K30" i="8"/>
  <c r="BQ167" i="8"/>
  <c r="BK167" i="8"/>
  <c r="BE167" i="8"/>
  <c r="AS167" i="8"/>
  <c r="AY167" i="8"/>
  <c r="AM167" i="8"/>
  <c r="AG167" i="8"/>
  <c r="AA167" i="8"/>
  <c r="U167" i="8"/>
  <c r="O167" i="8"/>
  <c r="I167" i="8"/>
  <c r="BP164" i="8"/>
  <c r="BJ164" i="8"/>
  <c r="BD164" i="8"/>
  <c r="AR164" i="8"/>
  <c r="AX164" i="8"/>
  <c r="AL164" i="8"/>
  <c r="AF164" i="8"/>
  <c r="Z164" i="8"/>
  <c r="T164" i="8"/>
  <c r="N164" i="8"/>
  <c r="H164" i="8"/>
  <c r="BT160" i="8"/>
  <c r="BN160" i="8"/>
  <c r="BH160" i="8"/>
  <c r="AV160" i="8"/>
  <c r="BB160" i="8"/>
  <c r="AP160" i="8"/>
  <c r="AJ160" i="8"/>
  <c r="AD160" i="8"/>
  <c r="X160" i="8"/>
  <c r="R160" i="8"/>
  <c r="L160" i="8"/>
  <c r="BS157" i="8"/>
  <c r="BM157" i="8"/>
  <c r="BG157" i="8"/>
  <c r="BA157" i="8"/>
  <c r="AO157" i="8"/>
  <c r="AU157" i="8"/>
  <c r="AI157" i="8"/>
  <c r="AC157" i="8"/>
  <c r="W157" i="8"/>
  <c r="Q157" i="8"/>
  <c r="K157" i="8"/>
  <c r="BR154" i="8"/>
  <c r="BL154" i="8"/>
  <c r="BF154" i="8"/>
  <c r="AZ154" i="8"/>
  <c r="AN154" i="8"/>
  <c r="AT154" i="8"/>
  <c r="AH154" i="8"/>
  <c r="AB154" i="8"/>
  <c r="V154" i="8"/>
  <c r="P154" i="8"/>
  <c r="J154" i="8"/>
  <c r="BS149" i="8"/>
  <c r="BM149" i="8"/>
  <c r="BG149" i="8"/>
  <c r="BA149" i="8"/>
  <c r="AO149" i="8"/>
  <c r="AU149" i="8"/>
  <c r="AI149" i="8"/>
  <c r="AC149" i="8"/>
  <c r="W149" i="8"/>
  <c r="Q149" i="8"/>
  <c r="K149" i="8"/>
  <c r="BR146" i="8"/>
  <c r="BL146" i="8"/>
  <c r="BF146" i="8"/>
  <c r="AZ146" i="8"/>
  <c r="AN146" i="8"/>
  <c r="AT146" i="8"/>
  <c r="AH146" i="8"/>
  <c r="AB146" i="8"/>
  <c r="V146" i="8"/>
  <c r="P146" i="8"/>
  <c r="J146" i="8"/>
  <c r="BS141" i="8"/>
  <c r="BM141" i="8"/>
  <c r="BG141" i="8"/>
  <c r="BA141" i="8"/>
  <c r="AO141" i="8"/>
  <c r="AU141" i="8"/>
  <c r="AI141" i="8"/>
  <c r="AC141" i="8"/>
  <c r="W141" i="8"/>
  <c r="Q141" i="8"/>
  <c r="K141" i="8"/>
  <c r="BP136" i="8"/>
  <c r="BJ136" i="8"/>
  <c r="BD136" i="8"/>
  <c r="AX136" i="8"/>
  <c r="AL136" i="8"/>
  <c r="AR136" i="8"/>
  <c r="Z136" i="8"/>
  <c r="T136" i="8"/>
  <c r="AF136" i="8"/>
  <c r="H136" i="8"/>
  <c r="N136" i="8"/>
  <c r="BS133" i="8"/>
  <c r="BM133" i="8"/>
  <c r="BG133" i="8"/>
  <c r="BA133" i="8"/>
  <c r="AO133" i="8"/>
  <c r="AU133" i="8"/>
  <c r="AI133" i="8"/>
  <c r="AC133" i="8"/>
  <c r="W133" i="8"/>
  <c r="K133" i="8"/>
  <c r="Q133" i="8"/>
  <c r="BS129" i="8"/>
  <c r="BM129" i="8"/>
  <c r="BG129" i="8"/>
  <c r="BA129" i="8"/>
  <c r="AO129" i="8"/>
  <c r="AU129" i="8"/>
  <c r="AI129" i="8"/>
  <c r="AC129" i="8"/>
  <c r="W129" i="8"/>
  <c r="Q129" i="8"/>
  <c r="K129" i="8"/>
  <c r="BT124" i="8"/>
  <c r="BN124" i="8"/>
  <c r="BH124" i="8"/>
  <c r="BB124" i="8"/>
  <c r="AP124" i="8"/>
  <c r="AV124" i="8"/>
  <c r="AD124" i="8"/>
  <c r="X124" i="8"/>
  <c r="AJ124" i="8"/>
  <c r="L124" i="8"/>
  <c r="R124" i="8"/>
  <c r="BS121" i="8"/>
  <c r="BM121" i="8"/>
  <c r="BG121" i="8"/>
  <c r="BA121" i="8"/>
  <c r="AU121" i="8"/>
  <c r="AO121" i="8"/>
  <c r="AI121" i="8"/>
  <c r="AC121" i="8"/>
  <c r="K121" i="8"/>
  <c r="Q121" i="8"/>
  <c r="W121" i="8"/>
  <c r="BR118" i="8"/>
  <c r="BL118" i="8"/>
  <c r="BF118" i="8"/>
  <c r="AZ118" i="8"/>
  <c r="AN118" i="8"/>
  <c r="AT118" i="8"/>
  <c r="AH118" i="8"/>
  <c r="AB118" i="8"/>
  <c r="V118" i="8"/>
  <c r="P118" i="8"/>
  <c r="J118" i="8"/>
  <c r="BJ108" i="8"/>
  <c r="BP108" i="8"/>
  <c r="BD108" i="8"/>
  <c r="AX108" i="8"/>
  <c r="AL108" i="8"/>
  <c r="AR108" i="8"/>
  <c r="Z108" i="8"/>
  <c r="AF108" i="8"/>
  <c r="H108" i="8"/>
  <c r="T108" i="8"/>
  <c r="N108" i="8"/>
  <c r="BS105" i="8"/>
  <c r="BM105" i="8"/>
  <c r="BG105" i="8"/>
  <c r="BA105" i="8"/>
  <c r="AU105" i="8"/>
  <c r="AO105" i="8"/>
  <c r="AI105" i="8"/>
  <c r="AC105" i="8"/>
  <c r="W105" i="8"/>
  <c r="Q105" i="8"/>
  <c r="K105" i="8"/>
  <c r="BR102" i="8"/>
  <c r="BF102" i="8"/>
  <c r="BL102" i="8"/>
  <c r="AZ102" i="8"/>
  <c r="AT102" i="8"/>
  <c r="AN102" i="8"/>
  <c r="AH102" i="8"/>
  <c r="AB102" i="8"/>
  <c r="V102" i="8"/>
  <c r="P102" i="8"/>
  <c r="J102" i="8"/>
  <c r="BP100" i="8"/>
  <c r="BJ100" i="8"/>
  <c r="BD100" i="8"/>
  <c r="AX100" i="8"/>
  <c r="AR100" i="8"/>
  <c r="AL100" i="8"/>
  <c r="AF100" i="8"/>
  <c r="Z100" i="8"/>
  <c r="T100" i="8"/>
  <c r="N100" i="8"/>
  <c r="H100" i="8"/>
  <c r="BT96" i="8"/>
  <c r="BH96" i="8"/>
  <c r="BN96" i="8"/>
  <c r="BB96" i="8"/>
  <c r="AV96" i="8"/>
  <c r="AP96" i="8"/>
  <c r="AJ96" i="8"/>
  <c r="AD96" i="8"/>
  <c r="X96" i="8"/>
  <c r="R96" i="8"/>
  <c r="L96" i="8"/>
  <c r="BP88" i="8"/>
  <c r="BJ88" i="8"/>
  <c r="BD88" i="8"/>
  <c r="AX88" i="8"/>
  <c r="AR88" i="8"/>
  <c r="AL88" i="8"/>
  <c r="AF88" i="8"/>
  <c r="Z88" i="8"/>
  <c r="T88" i="8"/>
  <c r="N88" i="8"/>
  <c r="H88" i="8"/>
  <c r="BS77" i="8"/>
  <c r="BM77" i="8"/>
  <c r="BG77" i="8"/>
  <c r="BA77" i="8"/>
  <c r="AU77" i="8"/>
  <c r="AO77" i="8"/>
  <c r="AI77" i="8"/>
  <c r="AC77" i="8"/>
  <c r="K77" i="8"/>
  <c r="W77" i="8"/>
  <c r="Q77" i="8"/>
  <c r="BR70" i="8"/>
  <c r="BL70" i="8"/>
  <c r="BF70" i="8"/>
  <c r="AZ70" i="8"/>
  <c r="AT70" i="8"/>
  <c r="AN70" i="8"/>
  <c r="AH70" i="8"/>
  <c r="AB70" i="8"/>
  <c r="V70" i="8"/>
  <c r="P70" i="8"/>
  <c r="J70" i="8"/>
  <c r="BQ67" i="8"/>
  <c r="BK67" i="8"/>
  <c r="BE67" i="8"/>
  <c r="AY67" i="8"/>
  <c r="AS67" i="8"/>
  <c r="AM67" i="8"/>
  <c r="AG67" i="8"/>
  <c r="AA67" i="8"/>
  <c r="I67" i="8"/>
  <c r="U67" i="8"/>
  <c r="O67" i="8"/>
  <c r="BR62" i="8"/>
  <c r="BL62" i="8"/>
  <c r="BF62" i="8"/>
  <c r="AZ62" i="8"/>
  <c r="AT62" i="8"/>
  <c r="AN62" i="8"/>
  <c r="AH62" i="8"/>
  <c r="AB62" i="8"/>
  <c r="V62" i="8"/>
  <c r="P62" i="8"/>
  <c r="J62" i="8"/>
  <c r="BT60" i="8"/>
  <c r="BN60" i="8"/>
  <c r="BH60" i="8"/>
  <c r="BB60" i="8"/>
  <c r="AV60" i="8"/>
  <c r="AP60" i="8"/>
  <c r="AJ60" i="8"/>
  <c r="AD60" i="8"/>
  <c r="X60" i="8"/>
  <c r="R60" i="8"/>
  <c r="L60" i="8"/>
  <c r="BT56" i="8"/>
  <c r="BN56" i="8"/>
  <c r="BH56" i="8"/>
  <c r="BB56" i="8"/>
  <c r="AV56" i="8"/>
  <c r="AP56" i="8"/>
  <c r="AJ56" i="8"/>
  <c r="AD56" i="8"/>
  <c r="X56" i="8"/>
  <c r="R56" i="8"/>
  <c r="L56" i="8"/>
  <c r="BS53" i="8"/>
  <c r="BM53" i="8"/>
  <c r="BG53" i="8"/>
  <c r="BA53" i="8"/>
  <c r="AU53" i="8"/>
  <c r="AO53" i="8"/>
  <c r="AI53" i="8"/>
  <c r="AC53" i="8"/>
  <c r="W53" i="8"/>
  <c r="Q53" i="8"/>
  <c r="K53" i="8"/>
  <c r="BQ47" i="8"/>
  <c r="BK47" i="8"/>
  <c r="BE47" i="8"/>
  <c r="AY47" i="8"/>
  <c r="AS47" i="8"/>
  <c r="AM47" i="8"/>
  <c r="AG47" i="8"/>
  <c r="AA47" i="8"/>
  <c r="U47" i="8"/>
  <c r="O47" i="8"/>
  <c r="I47" i="8"/>
  <c r="BS41" i="8"/>
  <c r="BM41" i="8"/>
  <c r="BG41" i="8"/>
  <c r="BA41" i="8"/>
  <c r="AU41" i="8"/>
  <c r="AO41" i="8"/>
  <c r="AI41" i="8"/>
  <c r="AC41" i="8"/>
  <c r="W41" i="8"/>
  <c r="Q41" i="8"/>
  <c r="K41" i="8"/>
  <c r="BS37" i="8"/>
  <c r="BM37" i="8"/>
  <c r="BA37" i="8"/>
  <c r="BG37" i="8"/>
  <c r="AU37" i="8"/>
  <c r="AI37" i="8"/>
  <c r="AC37" i="8"/>
  <c r="AO37" i="8"/>
  <c r="K37" i="8"/>
  <c r="W37" i="8"/>
  <c r="Q37" i="8"/>
  <c r="BR30" i="8"/>
  <c r="BL30" i="8"/>
  <c r="AZ30" i="8"/>
  <c r="BF30" i="8"/>
  <c r="AT30" i="8"/>
  <c r="AH30" i="8"/>
  <c r="AB30" i="8"/>
  <c r="AN30" i="8"/>
  <c r="J30" i="8"/>
  <c r="V30" i="8"/>
  <c r="P30" i="8"/>
  <c r="BR169" i="8"/>
  <c r="BL169" i="8"/>
  <c r="BF169" i="8"/>
  <c r="AZ169" i="8"/>
  <c r="AT169" i="8"/>
  <c r="AN169" i="8"/>
  <c r="AH169" i="8"/>
  <c r="AB169" i="8"/>
  <c r="V169" i="8"/>
  <c r="P169" i="8"/>
  <c r="J169" i="8"/>
  <c r="BQ166" i="8"/>
  <c r="BK166" i="8"/>
  <c r="BE166" i="8"/>
  <c r="AY166" i="8"/>
  <c r="AS166" i="8"/>
  <c r="AM166" i="8"/>
  <c r="AG166" i="8"/>
  <c r="AA166" i="8"/>
  <c r="U166" i="8"/>
  <c r="O166" i="8"/>
  <c r="I166" i="8"/>
  <c r="BT163" i="8"/>
  <c r="BN163" i="8"/>
  <c r="BH163" i="8"/>
  <c r="BB163" i="8"/>
  <c r="AV163" i="8"/>
  <c r="AP163" i="8"/>
  <c r="AJ163" i="8"/>
  <c r="AD163" i="8"/>
  <c r="X163" i="8"/>
  <c r="R163" i="8"/>
  <c r="L163" i="8"/>
  <c r="BR161" i="8"/>
  <c r="BL161" i="8"/>
  <c r="AZ161" i="8"/>
  <c r="BF161" i="8"/>
  <c r="AN161" i="8"/>
  <c r="AT161" i="8"/>
  <c r="AH161" i="8"/>
  <c r="AB161" i="8"/>
  <c r="V161" i="8"/>
  <c r="P161" i="8"/>
  <c r="J161" i="8"/>
  <c r="BP159" i="8"/>
  <c r="BJ159" i="8"/>
  <c r="BD159" i="8"/>
  <c r="AX159" i="8"/>
  <c r="AL159" i="8"/>
  <c r="AR159" i="8"/>
  <c r="AF159" i="8"/>
  <c r="Z159" i="8"/>
  <c r="T159" i="8"/>
  <c r="N159" i="8"/>
  <c r="H159" i="8"/>
  <c r="BS156" i="8"/>
  <c r="BM156" i="8"/>
  <c r="BG156" i="8"/>
  <c r="BA156" i="8"/>
  <c r="AU156" i="8"/>
  <c r="AO156" i="8"/>
  <c r="AI156" i="8"/>
  <c r="AC156" i="8"/>
  <c r="W156" i="8"/>
  <c r="Q156" i="8"/>
  <c r="K156" i="8"/>
  <c r="BQ154" i="8"/>
  <c r="BK154" i="8"/>
  <c r="AY154" i="8"/>
  <c r="BE154" i="8"/>
  <c r="AM154" i="8"/>
  <c r="AS154" i="8"/>
  <c r="AG154" i="8"/>
  <c r="AA154" i="8"/>
  <c r="U154" i="8"/>
  <c r="O154" i="8"/>
  <c r="I154" i="8"/>
  <c r="BS152" i="8"/>
  <c r="BM152" i="8"/>
  <c r="BG152" i="8"/>
  <c r="BA152" i="8"/>
  <c r="AO152" i="8"/>
  <c r="AU152" i="8"/>
  <c r="AI152" i="8"/>
  <c r="AC152" i="8"/>
  <c r="W152" i="8"/>
  <c r="Q152" i="8"/>
  <c r="K152" i="8"/>
  <c r="BP151" i="8"/>
  <c r="BJ151" i="8"/>
  <c r="BD151" i="8"/>
  <c r="AX151" i="8"/>
  <c r="AL151" i="8"/>
  <c r="AR151" i="8"/>
  <c r="AF151" i="8"/>
  <c r="Z151" i="8"/>
  <c r="T151" i="8"/>
  <c r="N151" i="8"/>
  <c r="H151" i="8"/>
  <c r="BR149" i="8"/>
  <c r="BL149" i="8"/>
  <c r="AZ149" i="8"/>
  <c r="BF149" i="8"/>
  <c r="AN149" i="8"/>
  <c r="AT149" i="8"/>
  <c r="AH149" i="8"/>
  <c r="AB149" i="8"/>
  <c r="V149" i="8"/>
  <c r="P149" i="8"/>
  <c r="J149" i="8"/>
  <c r="BT147" i="8"/>
  <c r="BN147" i="8"/>
  <c r="BH147" i="8"/>
  <c r="BB147" i="8"/>
  <c r="AP147" i="8"/>
  <c r="AV147" i="8"/>
  <c r="AJ147" i="8"/>
  <c r="AD147" i="8"/>
  <c r="X147" i="8"/>
  <c r="R147" i="8"/>
  <c r="L147" i="8"/>
  <c r="BP147" i="8"/>
  <c r="BJ147" i="8"/>
  <c r="BD147" i="8"/>
  <c r="AX147" i="8"/>
  <c r="AR147" i="8"/>
  <c r="AL147" i="8"/>
  <c r="AF147" i="8"/>
  <c r="Z147" i="8"/>
  <c r="T147" i="8"/>
  <c r="N147" i="8"/>
  <c r="H147" i="8"/>
  <c r="BQ146" i="8"/>
  <c r="BK146" i="8"/>
  <c r="BE146" i="8"/>
  <c r="AY146" i="8"/>
  <c r="AM146" i="8"/>
  <c r="AS146" i="8"/>
  <c r="AG146" i="8"/>
  <c r="AA146" i="8"/>
  <c r="U146" i="8"/>
  <c r="O146" i="8"/>
  <c r="I146" i="8"/>
  <c r="BR145" i="8"/>
  <c r="BL145" i="8"/>
  <c r="BF145" i="8"/>
  <c r="AZ145" i="8"/>
  <c r="AT145" i="8"/>
  <c r="AN145" i="8"/>
  <c r="AH145" i="8"/>
  <c r="AB145" i="8"/>
  <c r="V145" i="8"/>
  <c r="P145" i="8"/>
  <c r="J145" i="8"/>
  <c r="BS144" i="8"/>
  <c r="BM144" i="8"/>
  <c r="BG144" i="8"/>
  <c r="BA144" i="8"/>
  <c r="AO144" i="8"/>
  <c r="AU144" i="8"/>
  <c r="AI144" i="8"/>
  <c r="AC144" i="8"/>
  <c r="W144" i="8"/>
  <c r="Q144" i="8"/>
  <c r="K144" i="8"/>
  <c r="BT143" i="8"/>
  <c r="BN143" i="8"/>
  <c r="BH143" i="8"/>
  <c r="BB143" i="8"/>
  <c r="AV143" i="8"/>
  <c r="AP143" i="8"/>
  <c r="AJ143" i="8"/>
  <c r="AD143" i="8"/>
  <c r="X143" i="8"/>
  <c r="R143" i="8"/>
  <c r="L143" i="8"/>
  <c r="BQ142" i="8"/>
  <c r="BK142" i="8"/>
  <c r="BE142" i="8"/>
  <c r="AY142" i="8"/>
  <c r="AS142" i="8"/>
  <c r="AM142" i="8"/>
  <c r="AG142" i="8"/>
  <c r="AA142" i="8"/>
  <c r="U142" i="8"/>
  <c r="O142" i="8"/>
  <c r="I142" i="8"/>
  <c r="BS140" i="8"/>
  <c r="BM140" i="8"/>
  <c r="BG140" i="8"/>
  <c r="BA140" i="8"/>
  <c r="AU140" i="8"/>
  <c r="AO140" i="8"/>
  <c r="AI140" i="8"/>
  <c r="AC140" i="8"/>
  <c r="W140" i="8"/>
  <c r="Q140" i="8"/>
  <c r="K140" i="8"/>
  <c r="BT139" i="8"/>
  <c r="BN139" i="8"/>
  <c r="BH139" i="8"/>
  <c r="BB139" i="8"/>
  <c r="AP139" i="8"/>
  <c r="AV139" i="8"/>
  <c r="AJ139" i="8"/>
  <c r="AD139" i="8"/>
  <c r="X139" i="8"/>
  <c r="R139" i="8"/>
  <c r="L139" i="8"/>
  <c r="BP139" i="8"/>
  <c r="BJ139" i="8"/>
  <c r="BD139" i="8"/>
  <c r="AX139" i="8"/>
  <c r="AR139" i="8"/>
  <c r="AL139" i="8"/>
  <c r="AF139" i="8"/>
  <c r="Z139" i="8"/>
  <c r="T139" i="8"/>
  <c r="N139" i="8"/>
  <c r="H139" i="8"/>
  <c r="BQ138" i="8"/>
  <c r="BK138" i="8"/>
  <c r="BE138" i="8"/>
  <c r="AY138" i="8"/>
  <c r="AM138" i="8"/>
  <c r="AS138" i="8"/>
  <c r="AG138" i="8"/>
  <c r="AA138" i="8"/>
  <c r="U138" i="8"/>
  <c r="O138" i="8"/>
  <c r="I138" i="8"/>
  <c r="BR137" i="8"/>
  <c r="BL137" i="8"/>
  <c r="BF137" i="8"/>
  <c r="AZ137" i="8"/>
  <c r="AT137" i="8"/>
  <c r="AN137" i="8"/>
  <c r="AH137" i="8"/>
  <c r="AB137" i="8"/>
  <c r="V137" i="8"/>
  <c r="P137" i="8"/>
  <c r="J137" i="8"/>
  <c r="BS136" i="8"/>
  <c r="BM136" i="8"/>
  <c r="BG136" i="8"/>
  <c r="BA136" i="8"/>
  <c r="AO136" i="8"/>
  <c r="AU136" i="8"/>
  <c r="AI136" i="8"/>
  <c r="AC136" i="8"/>
  <c r="W136" i="8"/>
  <c r="Q136" i="8"/>
  <c r="K136" i="8"/>
  <c r="BT135" i="8"/>
  <c r="BN135" i="8"/>
  <c r="BH135" i="8"/>
  <c r="BB135" i="8"/>
  <c r="AV135" i="8"/>
  <c r="AP135" i="8"/>
  <c r="AJ135" i="8"/>
  <c r="AD135" i="8"/>
  <c r="X135" i="8"/>
  <c r="R135" i="8"/>
  <c r="L135" i="8"/>
  <c r="BP135" i="8"/>
  <c r="BD135" i="8"/>
  <c r="BJ135" i="8"/>
  <c r="AX135" i="8"/>
  <c r="AL135" i="8"/>
  <c r="AR135" i="8"/>
  <c r="AF135" i="8"/>
  <c r="Z135" i="8"/>
  <c r="T135" i="8"/>
  <c r="N135" i="8"/>
  <c r="H135" i="8"/>
  <c r="BQ134" i="8"/>
  <c r="BK134" i="8"/>
  <c r="BE134" i="8"/>
  <c r="AY134" i="8"/>
  <c r="AS134" i="8"/>
  <c r="AM134" i="8"/>
  <c r="AG134" i="8"/>
  <c r="AA134" i="8"/>
  <c r="U134" i="8"/>
  <c r="O134" i="8"/>
  <c r="I134" i="8"/>
  <c r="BR133" i="8"/>
  <c r="BL133" i="8"/>
  <c r="BF133" i="8"/>
  <c r="AZ133" i="8"/>
  <c r="AN133" i="8"/>
  <c r="AT133" i="8"/>
  <c r="AH133" i="8"/>
  <c r="AB133" i="8"/>
  <c r="V133" i="8"/>
  <c r="P133" i="8"/>
  <c r="J133" i="8"/>
  <c r="BS132" i="8"/>
  <c r="BM132" i="8"/>
  <c r="BG132" i="8"/>
  <c r="BA132" i="8"/>
  <c r="AU132" i="8"/>
  <c r="AO132" i="8"/>
  <c r="AI132" i="8"/>
  <c r="AC132" i="8"/>
  <c r="W132" i="8"/>
  <c r="Q132" i="8"/>
  <c r="K132" i="8"/>
  <c r="BT131" i="8"/>
  <c r="BN131" i="8"/>
  <c r="BH131" i="8"/>
  <c r="BB131" i="8"/>
  <c r="AP131" i="8"/>
  <c r="AV131" i="8"/>
  <c r="AJ131" i="8"/>
  <c r="AD131" i="8"/>
  <c r="X131" i="8"/>
  <c r="L131" i="8"/>
  <c r="R131" i="8"/>
  <c r="BP131" i="8"/>
  <c r="BJ131" i="8"/>
  <c r="BD131" i="8"/>
  <c r="AX131" i="8"/>
  <c r="AR131" i="8"/>
  <c r="AL131" i="8"/>
  <c r="AF131" i="8"/>
  <c r="Z131" i="8"/>
  <c r="T131" i="8"/>
  <c r="N131" i="8"/>
  <c r="H131" i="8"/>
  <c r="BQ130" i="8"/>
  <c r="BK130" i="8"/>
  <c r="BE130" i="8"/>
  <c r="AY130" i="8"/>
  <c r="AS130" i="8"/>
  <c r="AM130" i="8"/>
  <c r="AG130" i="8"/>
  <c r="AA130" i="8"/>
  <c r="I130" i="8"/>
  <c r="O130" i="8"/>
  <c r="U130" i="8"/>
  <c r="BS128" i="8"/>
  <c r="BM128" i="8"/>
  <c r="BG128" i="8"/>
  <c r="BA128" i="8"/>
  <c r="AU128" i="8"/>
  <c r="AO128" i="8"/>
  <c r="AI128" i="8"/>
  <c r="AC128" i="8"/>
  <c r="W128" i="8"/>
  <c r="Q128" i="8"/>
  <c r="K128" i="8"/>
  <c r="BT127" i="8"/>
  <c r="BN127" i="8"/>
  <c r="BH127" i="8"/>
  <c r="BB127" i="8"/>
  <c r="AP127" i="8"/>
  <c r="AV127" i="8"/>
  <c r="AJ127" i="8"/>
  <c r="AD127" i="8"/>
  <c r="X127" i="8"/>
  <c r="L127" i="8"/>
  <c r="R127" i="8"/>
  <c r="BP127" i="8"/>
  <c r="BJ127" i="8"/>
  <c r="BD127" i="8"/>
  <c r="AX127" i="8"/>
  <c r="AR127" i="8"/>
  <c r="AL127" i="8"/>
  <c r="AF127" i="8"/>
  <c r="Z127" i="8"/>
  <c r="T127" i="8"/>
  <c r="N127" i="8"/>
  <c r="H127" i="8"/>
  <c r="BQ126" i="8"/>
  <c r="BK126" i="8"/>
  <c r="BE126" i="8"/>
  <c r="AY126" i="8"/>
  <c r="AS126" i="8"/>
  <c r="AM126" i="8"/>
  <c r="AG126" i="8"/>
  <c r="AA126" i="8"/>
  <c r="I126" i="8"/>
  <c r="O126" i="8"/>
  <c r="U126" i="8"/>
  <c r="BS124" i="8"/>
  <c r="BM124" i="8"/>
  <c r="BG124" i="8"/>
  <c r="BA124" i="8"/>
  <c r="AU124" i="8"/>
  <c r="AO124" i="8"/>
  <c r="AI124" i="8"/>
  <c r="AC124" i="8"/>
  <c r="W124" i="8"/>
  <c r="Q124" i="8"/>
  <c r="K124" i="8"/>
  <c r="BT123" i="8"/>
  <c r="BN123" i="8"/>
  <c r="BH123" i="8"/>
  <c r="BB123" i="8"/>
  <c r="AV123" i="8"/>
  <c r="AP123" i="8"/>
  <c r="AJ123" i="8"/>
  <c r="AD123" i="8"/>
  <c r="X123" i="8"/>
  <c r="R123" i="8"/>
  <c r="L123" i="8"/>
  <c r="BP123" i="8"/>
  <c r="BJ123" i="8"/>
  <c r="BD123" i="8"/>
  <c r="AX123" i="8"/>
  <c r="AL123" i="8"/>
  <c r="AR123" i="8"/>
  <c r="AF123" i="8"/>
  <c r="Z123" i="8"/>
  <c r="T123" i="8"/>
  <c r="N123" i="8"/>
  <c r="H123" i="8"/>
  <c r="BS120" i="8"/>
  <c r="BM120" i="8"/>
  <c r="BG120" i="8"/>
  <c r="BA120" i="8"/>
  <c r="AO120" i="8"/>
  <c r="AU120" i="8"/>
  <c r="AI120" i="8"/>
  <c r="AC120" i="8"/>
  <c r="W120" i="8"/>
  <c r="Q120" i="8"/>
  <c r="K120" i="8"/>
  <c r="BT119" i="8"/>
  <c r="BN119" i="8"/>
  <c r="BH119" i="8"/>
  <c r="BB119" i="8"/>
  <c r="AV119" i="8"/>
  <c r="AP119" i="8"/>
  <c r="AJ119" i="8"/>
  <c r="AD119" i="8"/>
  <c r="X119" i="8"/>
  <c r="R119" i="8"/>
  <c r="L119" i="8"/>
  <c r="BP119" i="8"/>
  <c r="BJ119" i="8"/>
  <c r="BD119" i="8"/>
  <c r="AX119" i="8"/>
  <c r="AR119" i="8"/>
  <c r="AL119" i="8"/>
  <c r="AF119" i="8"/>
  <c r="Z119" i="8"/>
  <c r="H119" i="8"/>
  <c r="N119" i="8"/>
  <c r="T119" i="8"/>
  <c r="BS116" i="8"/>
  <c r="BM116" i="8"/>
  <c r="BG116" i="8"/>
  <c r="BA116" i="8"/>
  <c r="AU116" i="8"/>
  <c r="AO116" i="8"/>
  <c r="AI116" i="8"/>
  <c r="AC116" i="8"/>
  <c r="W116" i="8"/>
  <c r="Q116" i="8"/>
  <c r="K116" i="8"/>
  <c r="BT115" i="8"/>
  <c r="BN115" i="8"/>
  <c r="BH115" i="8"/>
  <c r="BB115" i="8"/>
  <c r="AP115" i="8"/>
  <c r="AV115" i="8"/>
  <c r="AJ115" i="8"/>
  <c r="AD115" i="8"/>
  <c r="X115" i="8"/>
  <c r="R115" i="8"/>
  <c r="L115" i="8"/>
  <c r="BP115" i="8"/>
  <c r="BJ115" i="8"/>
  <c r="BD115" i="8"/>
  <c r="AX115" i="8"/>
  <c r="AR115" i="8"/>
  <c r="AL115" i="8"/>
  <c r="AF115" i="8"/>
  <c r="Z115" i="8"/>
  <c r="T115" i="8"/>
  <c r="N115" i="8"/>
  <c r="H115" i="8"/>
  <c r="BR113" i="8"/>
  <c r="BL113" i="8"/>
  <c r="BF113" i="8"/>
  <c r="AZ113" i="8"/>
  <c r="AN113" i="8"/>
  <c r="AT113" i="8"/>
  <c r="AH113" i="8"/>
  <c r="AB113" i="8"/>
  <c r="V113" i="8"/>
  <c r="P113" i="8"/>
  <c r="J113" i="8"/>
  <c r="BM112" i="8"/>
  <c r="BS112" i="8"/>
  <c r="BG112" i="8"/>
  <c r="BA112" i="8"/>
  <c r="AO112" i="8"/>
  <c r="AU112" i="8"/>
  <c r="AC112" i="8"/>
  <c r="AI112" i="8"/>
  <c r="K112" i="8"/>
  <c r="W112" i="8"/>
  <c r="Q112" i="8"/>
  <c r="BT111" i="8"/>
  <c r="BN111" i="8"/>
  <c r="BH111" i="8"/>
  <c r="BB111" i="8"/>
  <c r="AV111" i="8"/>
  <c r="AP111" i="8"/>
  <c r="AJ111" i="8"/>
  <c r="AD111" i="8"/>
  <c r="X111" i="8"/>
  <c r="R111" i="8"/>
  <c r="L111" i="8"/>
  <c r="BP111" i="8"/>
  <c r="BJ111" i="8"/>
  <c r="BD111" i="8"/>
  <c r="AX111" i="8"/>
  <c r="AL111" i="8"/>
  <c r="AR111" i="8"/>
  <c r="AF111" i="8"/>
  <c r="Z111" i="8"/>
  <c r="T111" i="8"/>
  <c r="N111" i="8"/>
  <c r="H111" i="8"/>
  <c r="BS108" i="8"/>
  <c r="BM108" i="8"/>
  <c r="BG108" i="8"/>
  <c r="BA108" i="8"/>
  <c r="AU108" i="8"/>
  <c r="AO108" i="8"/>
  <c r="AI108" i="8"/>
  <c r="AC108" i="8"/>
  <c r="K108" i="8"/>
  <c r="W108" i="8"/>
  <c r="Q108" i="8"/>
  <c r="BT107" i="8"/>
  <c r="BH107" i="8"/>
  <c r="BN107" i="8"/>
  <c r="BB107" i="8"/>
  <c r="AV107" i="8"/>
  <c r="AP107" i="8"/>
  <c r="AJ107" i="8"/>
  <c r="AD107" i="8"/>
  <c r="X107" i="8"/>
  <c r="R107" i="8"/>
  <c r="L107" i="8"/>
  <c r="BP107" i="8"/>
  <c r="BJ107" i="8"/>
  <c r="BD107" i="8"/>
  <c r="AX107" i="8"/>
  <c r="AL107" i="8"/>
  <c r="AR107" i="8"/>
  <c r="AF107" i="8"/>
  <c r="Z107" i="8"/>
  <c r="H107" i="8"/>
  <c r="T107" i="8"/>
  <c r="N107" i="8"/>
  <c r="BQ106" i="8"/>
  <c r="BK106" i="8"/>
  <c r="BE106" i="8"/>
  <c r="AY106" i="8"/>
  <c r="AM106" i="8"/>
  <c r="AS106" i="8"/>
  <c r="AA106" i="8"/>
  <c r="AG106" i="8"/>
  <c r="I106" i="8"/>
  <c r="U106" i="8"/>
  <c r="O106" i="8"/>
  <c r="BR105" i="8"/>
  <c r="BL105" i="8"/>
  <c r="BF105" i="8"/>
  <c r="AZ105" i="8"/>
  <c r="AN105" i="8"/>
  <c r="AT105" i="8"/>
  <c r="AH105" i="8"/>
  <c r="AB105" i="8"/>
  <c r="J105" i="8"/>
  <c r="V105" i="8"/>
  <c r="P105" i="8"/>
  <c r="BS104" i="8"/>
  <c r="BM104" i="8"/>
  <c r="BG104" i="8"/>
  <c r="BA104" i="8"/>
  <c r="AO104" i="8"/>
  <c r="AU104" i="8"/>
  <c r="AC104" i="8"/>
  <c r="AI104" i="8"/>
  <c r="K104" i="8"/>
  <c r="W104" i="8"/>
  <c r="Q104" i="8"/>
  <c r="BT103" i="8"/>
  <c r="BN103" i="8"/>
  <c r="BH103" i="8"/>
  <c r="BB103" i="8"/>
  <c r="AP103" i="8"/>
  <c r="AV103" i="8"/>
  <c r="AJ103" i="8"/>
  <c r="AD103" i="8"/>
  <c r="L103" i="8"/>
  <c r="X103" i="8"/>
  <c r="R103" i="8"/>
  <c r="BP103" i="8"/>
  <c r="BJ103" i="8"/>
  <c r="BD103" i="8"/>
  <c r="AX103" i="8"/>
  <c r="AL103" i="8"/>
  <c r="AR103" i="8"/>
  <c r="AF103" i="8"/>
  <c r="Z103" i="8"/>
  <c r="H103" i="8"/>
  <c r="T103" i="8"/>
  <c r="N103" i="8"/>
  <c r="BQ102" i="8"/>
  <c r="BK102" i="8"/>
  <c r="BE102" i="8"/>
  <c r="AY102" i="8"/>
  <c r="AM102" i="8"/>
  <c r="AS102" i="8"/>
  <c r="AG102" i="8"/>
  <c r="AA102" i="8"/>
  <c r="I102" i="8"/>
  <c r="U102" i="8"/>
  <c r="O102" i="8"/>
  <c r="BR101" i="8"/>
  <c r="BL101" i="8"/>
  <c r="BF101" i="8"/>
  <c r="AZ101" i="8"/>
  <c r="AN101" i="8"/>
  <c r="AT101" i="8"/>
  <c r="AH101" i="8"/>
  <c r="AB101" i="8"/>
  <c r="J101" i="8"/>
  <c r="V101" i="8"/>
  <c r="P101" i="8"/>
  <c r="BS100" i="8"/>
  <c r="BM100" i="8"/>
  <c r="BG100" i="8"/>
  <c r="BA100" i="8"/>
  <c r="AO100" i="8"/>
  <c r="AU100" i="8"/>
  <c r="AI100" i="8"/>
  <c r="AC100" i="8"/>
  <c r="K100" i="8"/>
  <c r="W100" i="8"/>
  <c r="Q100" i="8"/>
  <c r="BT99" i="8"/>
  <c r="BN99" i="8"/>
  <c r="BH99" i="8"/>
  <c r="BB99" i="8"/>
  <c r="AP99" i="8"/>
  <c r="AV99" i="8"/>
  <c r="AJ99" i="8"/>
  <c r="AD99" i="8"/>
  <c r="L99" i="8"/>
  <c r="X99" i="8"/>
  <c r="R99" i="8"/>
  <c r="BP99" i="8"/>
  <c r="BJ99" i="8"/>
  <c r="BD99" i="8"/>
  <c r="AX99" i="8"/>
  <c r="AL99" i="8"/>
  <c r="AR99" i="8"/>
  <c r="AF99" i="8"/>
  <c r="Z99" i="8"/>
  <c r="H99" i="8"/>
  <c r="T99" i="8"/>
  <c r="N99" i="8"/>
  <c r="BQ98" i="8"/>
  <c r="BK98" i="8"/>
  <c r="BE98" i="8"/>
  <c r="AY98" i="8"/>
  <c r="AM98" i="8"/>
  <c r="AS98" i="8"/>
  <c r="AG98" i="8"/>
  <c r="AA98" i="8"/>
  <c r="I98" i="8"/>
  <c r="U98" i="8"/>
  <c r="O98" i="8"/>
  <c r="BR97" i="8"/>
  <c r="BL97" i="8"/>
  <c r="BF97" i="8"/>
  <c r="AZ97" i="8"/>
  <c r="AN97" i="8"/>
  <c r="AT97" i="8"/>
  <c r="AH97" i="8"/>
  <c r="AB97" i="8"/>
  <c r="J97" i="8"/>
  <c r="V97" i="8"/>
  <c r="P97" i="8"/>
  <c r="BS96" i="8"/>
  <c r="BM96" i="8"/>
  <c r="BG96" i="8"/>
  <c r="BA96" i="8"/>
  <c r="AO96" i="8"/>
  <c r="AU96" i="8"/>
  <c r="AI96" i="8"/>
  <c r="AC96" i="8"/>
  <c r="K96" i="8"/>
  <c r="W96" i="8"/>
  <c r="Q96" i="8"/>
  <c r="BT95" i="8"/>
  <c r="BN95" i="8"/>
  <c r="BH95" i="8"/>
  <c r="BB95" i="8"/>
  <c r="AP95" i="8"/>
  <c r="AV95" i="8"/>
  <c r="AJ95" i="8"/>
  <c r="AD95" i="8"/>
  <c r="L95" i="8"/>
  <c r="X95" i="8"/>
  <c r="R95" i="8"/>
  <c r="BP95" i="8"/>
  <c r="BJ95" i="8"/>
  <c r="BD95" i="8"/>
  <c r="AX95" i="8"/>
  <c r="AR95" i="8"/>
  <c r="AL95" i="8"/>
  <c r="AF95" i="8"/>
  <c r="Z95" i="8"/>
  <c r="T95" i="8"/>
  <c r="N95" i="8"/>
  <c r="H95" i="8"/>
  <c r="BR93" i="8"/>
  <c r="BL93" i="8"/>
  <c r="BF93" i="8"/>
  <c r="AZ93" i="8"/>
  <c r="AN93" i="8"/>
  <c r="AT93" i="8"/>
  <c r="AH93" i="8"/>
  <c r="AB93" i="8"/>
  <c r="J93" i="8"/>
  <c r="V93" i="8"/>
  <c r="P93" i="8"/>
  <c r="BT91" i="8"/>
  <c r="BH91" i="8"/>
  <c r="BN91" i="8"/>
  <c r="BB91" i="8"/>
  <c r="AV91" i="8"/>
  <c r="AP91" i="8"/>
  <c r="AJ91" i="8"/>
  <c r="AD91" i="8"/>
  <c r="X91" i="8"/>
  <c r="R91" i="8"/>
  <c r="L91" i="8"/>
  <c r="BQ90" i="8"/>
  <c r="BK90" i="8"/>
  <c r="BE90" i="8"/>
  <c r="AY90" i="8"/>
  <c r="AS90" i="8"/>
  <c r="AM90" i="8"/>
  <c r="AG90" i="8"/>
  <c r="AA90" i="8"/>
  <c r="U90" i="8"/>
  <c r="O90" i="8"/>
  <c r="I90" i="8"/>
  <c r="BR89" i="8"/>
  <c r="BL89" i="8"/>
  <c r="BF89" i="8"/>
  <c r="AZ89" i="8"/>
  <c r="AN89" i="8"/>
  <c r="AT89" i="8"/>
  <c r="AH89" i="8"/>
  <c r="AB89" i="8"/>
  <c r="J89" i="8"/>
  <c r="V89" i="8"/>
  <c r="P89" i="8"/>
  <c r="BS88" i="8"/>
  <c r="BM88" i="8"/>
  <c r="BG88" i="8"/>
  <c r="BA88" i="8"/>
  <c r="AO88" i="8"/>
  <c r="AU88" i="8"/>
  <c r="AI88" i="8"/>
  <c r="AC88" i="8"/>
  <c r="K88" i="8"/>
  <c r="W88" i="8"/>
  <c r="Q88" i="8"/>
  <c r="BT87" i="8"/>
  <c r="BN87" i="8"/>
  <c r="BH87" i="8"/>
  <c r="BB87" i="8"/>
  <c r="AV87" i="8"/>
  <c r="AP87" i="8"/>
  <c r="AJ87" i="8"/>
  <c r="AD87" i="8"/>
  <c r="L87" i="8"/>
  <c r="X87" i="8"/>
  <c r="R87" i="8"/>
  <c r="BP87" i="8"/>
  <c r="BJ87" i="8"/>
  <c r="BD87" i="8"/>
  <c r="AX87" i="8"/>
  <c r="AR87" i="8"/>
  <c r="AL87" i="8"/>
  <c r="AF87" i="8"/>
  <c r="Z87" i="8"/>
  <c r="T87" i="8"/>
  <c r="N87" i="8"/>
  <c r="H87" i="8"/>
  <c r="BR85" i="8"/>
  <c r="BL85" i="8"/>
  <c r="AZ85" i="8"/>
  <c r="BF85" i="8"/>
  <c r="AT85" i="8"/>
  <c r="AN85" i="8"/>
  <c r="AH85" i="8"/>
  <c r="AB85" i="8"/>
  <c r="J85" i="8"/>
  <c r="V85" i="8"/>
  <c r="P85" i="8"/>
  <c r="BS84" i="8"/>
  <c r="BM84" i="8"/>
  <c r="BG84" i="8"/>
  <c r="BA84" i="8"/>
  <c r="AU84" i="8"/>
  <c r="AO84" i="8"/>
  <c r="AI84" i="8"/>
  <c r="AC84" i="8"/>
  <c r="K84" i="8"/>
  <c r="W84" i="8"/>
  <c r="Q84" i="8"/>
  <c r="BT83" i="8"/>
  <c r="BN83" i="8"/>
  <c r="BH83" i="8"/>
  <c r="BB83" i="8"/>
  <c r="AV83" i="8"/>
  <c r="AP83" i="8"/>
  <c r="AJ83" i="8"/>
  <c r="AD83" i="8"/>
  <c r="L83" i="8"/>
  <c r="X83" i="8"/>
  <c r="R83" i="8"/>
  <c r="BQ82" i="8"/>
  <c r="BK82" i="8"/>
  <c r="BE82" i="8"/>
  <c r="AY82" i="8"/>
  <c r="AS82" i="8"/>
  <c r="AM82" i="8"/>
  <c r="AG82" i="8"/>
  <c r="AA82" i="8"/>
  <c r="U82" i="8"/>
  <c r="O82" i="8"/>
  <c r="I82" i="8"/>
  <c r="BQ78" i="8"/>
  <c r="BK78" i="8"/>
  <c r="BE78" i="8"/>
  <c r="AY78" i="8"/>
  <c r="AS78" i="8"/>
  <c r="AM78" i="8"/>
  <c r="AG78" i="8"/>
  <c r="AA78" i="8"/>
  <c r="U78" i="8"/>
  <c r="O78" i="8"/>
  <c r="I78" i="8"/>
  <c r="BR77" i="8"/>
  <c r="BL77" i="8"/>
  <c r="BF77" i="8"/>
  <c r="AZ77" i="8"/>
  <c r="AT77" i="8"/>
  <c r="AN77" i="8"/>
  <c r="AH77" i="8"/>
  <c r="AB77" i="8"/>
  <c r="V77" i="8"/>
  <c r="P77" i="8"/>
  <c r="J77" i="8"/>
  <c r="BS76" i="8"/>
  <c r="BM76" i="8"/>
  <c r="BG76" i="8"/>
  <c r="BA76" i="8"/>
  <c r="AU76" i="8"/>
  <c r="AO76" i="8"/>
  <c r="AI76" i="8"/>
  <c r="AC76" i="8"/>
  <c r="W76" i="8"/>
  <c r="Q76" i="8"/>
  <c r="K76" i="8"/>
  <c r="BT75" i="8"/>
  <c r="BN75" i="8"/>
  <c r="BH75" i="8"/>
  <c r="BB75" i="8"/>
  <c r="AV75" i="8"/>
  <c r="AP75" i="8"/>
  <c r="AJ75" i="8"/>
  <c r="AD75" i="8"/>
  <c r="L75" i="8"/>
  <c r="X75" i="8"/>
  <c r="R75" i="8"/>
  <c r="BP75" i="8"/>
  <c r="BJ75" i="8"/>
  <c r="BD75" i="8"/>
  <c r="AX75" i="8"/>
  <c r="AR75" i="8"/>
  <c r="AL75" i="8"/>
  <c r="AF75" i="8"/>
  <c r="Z75" i="8"/>
  <c r="T75" i="8"/>
  <c r="N75" i="8"/>
  <c r="H75" i="8"/>
  <c r="BQ74" i="8"/>
  <c r="BK74" i="8"/>
  <c r="BE74" i="8"/>
  <c r="AY74" i="8"/>
  <c r="AS74" i="8"/>
  <c r="AG74" i="8"/>
  <c r="AA74" i="8"/>
  <c r="AM74" i="8"/>
  <c r="I74" i="8"/>
  <c r="U74" i="8"/>
  <c r="O74" i="8"/>
  <c r="BS72" i="8"/>
  <c r="BM72" i="8"/>
  <c r="BG72" i="8"/>
  <c r="BA72" i="8"/>
  <c r="AU72" i="8"/>
  <c r="AO72" i="8"/>
  <c r="AI72" i="8"/>
  <c r="AC72" i="8"/>
  <c r="W72" i="8"/>
  <c r="Q72" i="8"/>
  <c r="K72" i="8"/>
  <c r="BT71" i="8"/>
  <c r="BN71" i="8"/>
  <c r="BH71" i="8"/>
  <c r="BB71" i="8"/>
  <c r="AV71" i="8"/>
  <c r="AP71" i="8"/>
  <c r="AJ71" i="8"/>
  <c r="AD71" i="8"/>
  <c r="X71" i="8"/>
  <c r="R71" i="8"/>
  <c r="L71" i="8"/>
  <c r="BQ70" i="8"/>
  <c r="BK70" i="8"/>
  <c r="BE70" i="8"/>
  <c r="AY70" i="8"/>
  <c r="AS70" i="8"/>
  <c r="AM70" i="8"/>
  <c r="AG70" i="8"/>
  <c r="AA70" i="8"/>
  <c r="I70" i="8"/>
  <c r="U70" i="8"/>
  <c r="O70" i="8"/>
  <c r="BR69" i="8"/>
  <c r="BL69" i="8"/>
  <c r="BF69" i="8"/>
  <c r="AZ69" i="8"/>
  <c r="AT69" i="8"/>
  <c r="AN69" i="8"/>
  <c r="AH69" i="8"/>
  <c r="AB69" i="8"/>
  <c r="V69" i="8"/>
  <c r="P69" i="8"/>
  <c r="J69" i="8"/>
  <c r="BS68" i="8"/>
  <c r="BM68" i="8"/>
  <c r="BG68" i="8"/>
  <c r="BA68" i="8"/>
  <c r="AU68" i="8"/>
  <c r="AI68" i="8"/>
  <c r="AC68" i="8"/>
  <c r="AO68" i="8"/>
  <c r="K68" i="8"/>
  <c r="W68" i="8"/>
  <c r="Q68" i="8"/>
  <c r="BT67" i="8"/>
  <c r="BN67" i="8"/>
  <c r="BH67" i="8"/>
  <c r="BB67" i="8"/>
  <c r="AV67" i="8"/>
  <c r="AP67" i="8"/>
  <c r="AJ67" i="8"/>
  <c r="AD67" i="8"/>
  <c r="X67" i="8"/>
  <c r="R67" i="8"/>
  <c r="L67" i="8"/>
  <c r="BQ66" i="8"/>
  <c r="BK66" i="8"/>
  <c r="AY66" i="8"/>
  <c r="BE66" i="8"/>
  <c r="AS66" i="8"/>
  <c r="AM66" i="8"/>
  <c r="AG66" i="8"/>
  <c r="AA66" i="8"/>
  <c r="I66" i="8"/>
  <c r="U66" i="8"/>
  <c r="O66" i="8"/>
  <c r="BR65" i="8"/>
  <c r="BL65" i="8"/>
  <c r="BF65" i="8"/>
  <c r="AZ65" i="8"/>
  <c r="AT65" i="8"/>
  <c r="AN65" i="8"/>
  <c r="AH65" i="8"/>
  <c r="AB65" i="8"/>
  <c r="V65" i="8"/>
  <c r="P65" i="8"/>
  <c r="J65" i="8"/>
  <c r="BS64" i="8"/>
  <c r="BM64" i="8"/>
  <c r="BG64" i="8"/>
  <c r="BA64" i="8"/>
  <c r="AU64" i="8"/>
  <c r="AI64" i="8"/>
  <c r="AC64" i="8"/>
  <c r="AO64" i="8"/>
  <c r="K64" i="8"/>
  <c r="W64" i="8"/>
  <c r="Q64" i="8"/>
  <c r="BT63" i="8"/>
  <c r="BN63" i="8"/>
  <c r="BH63" i="8"/>
  <c r="BB63" i="8"/>
  <c r="AV63" i="8"/>
  <c r="AP63" i="8"/>
  <c r="AJ63" i="8"/>
  <c r="AD63" i="8"/>
  <c r="L63" i="8"/>
  <c r="X63" i="8"/>
  <c r="R63" i="8"/>
  <c r="BR61" i="8"/>
  <c r="BL61" i="8"/>
  <c r="BF61" i="8"/>
  <c r="AZ61" i="8"/>
  <c r="AT61" i="8"/>
  <c r="AN61" i="8"/>
  <c r="AH61" i="8"/>
  <c r="AB61" i="8"/>
  <c r="J61" i="8"/>
  <c r="V61" i="8"/>
  <c r="P61" i="8"/>
  <c r="BS60" i="8"/>
  <c r="BM60" i="8"/>
  <c r="BG60" i="8"/>
  <c r="BA60" i="8"/>
  <c r="AU60" i="8"/>
  <c r="AO60" i="8"/>
  <c r="AI60" i="8"/>
  <c r="AC60" i="8"/>
  <c r="K60" i="8"/>
  <c r="W60" i="8"/>
  <c r="Q60" i="8"/>
  <c r="BT59" i="8"/>
  <c r="BN59" i="8"/>
  <c r="BH59" i="8"/>
  <c r="BB59" i="8"/>
  <c r="AV59" i="8"/>
  <c r="AJ59" i="8"/>
  <c r="AD59" i="8"/>
  <c r="AP59" i="8"/>
  <c r="L59" i="8"/>
  <c r="X59" i="8"/>
  <c r="R59" i="8"/>
  <c r="BP59" i="8"/>
  <c r="BJ59" i="8"/>
  <c r="AX59" i="8"/>
  <c r="BD59" i="8"/>
  <c r="AR59" i="8"/>
  <c r="AL59" i="8"/>
  <c r="AF59" i="8"/>
  <c r="Z59" i="8"/>
  <c r="H59" i="8"/>
  <c r="T59" i="8"/>
  <c r="N59" i="8"/>
  <c r="BQ58" i="8"/>
  <c r="BK58" i="8"/>
  <c r="AY58" i="8"/>
  <c r="BE58" i="8"/>
  <c r="AS58" i="8"/>
  <c r="AG58" i="8"/>
  <c r="AA58" i="8"/>
  <c r="AM58" i="8"/>
  <c r="I58" i="8"/>
  <c r="U58" i="8"/>
  <c r="O58" i="8"/>
  <c r="BR57" i="8"/>
  <c r="BL57" i="8"/>
  <c r="BF57" i="8"/>
  <c r="AZ57" i="8"/>
  <c r="AT57" i="8"/>
  <c r="AN57" i="8"/>
  <c r="AH57" i="8"/>
  <c r="AB57" i="8"/>
  <c r="V57" i="8"/>
  <c r="P57" i="8"/>
  <c r="J57" i="8"/>
  <c r="BS56" i="8"/>
  <c r="BM56" i="8"/>
  <c r="BG56" i="8"/>
  <c r="BA56" i="8"/>
  <c r="AU56" i="8"/>
  <c r="AO56" i="8"/>
  <c r="AI56" i="8"/>
  <c r="AC56" i="8"/>
  <c r="K56" i="8"/>
  <c r="W56" i="8"/>
  <c r="Q56" i="8"/>
  <c r="BT55" i="8"/>
  <c r="BN55" i="8"/>
  <c r="BB55" i="8"/>
  <c r="BH55" i="8"/>
  <c r="AV55" i="8"/>
  <c r="AJ55" i="8"/>
  <c r="AD55" i="8"/>
  <c r="AP55" i="8"/>
  <c r="L55" i="8"/>
  <c r="X55" i="8"/>
  <c r="R55" i="8"/>
  <c r="BS54" i="8"/>
  <c r="BM54" i="8"/>
  <c r="BA54" i="8"/>
  <c r="BG54" i="8"/>
  <c r="AU54" i="8"/>
  <c r="AO54" i="8"/>
  <c r="AI54" i="8"/>
  <c r="AC54" i="8"/>
  <c r="K54" i="8"/>
  <c r="W54" i="8"/>
  <c r="Q54" i="8"/>
  <c r="BT45" i="8"/>
  <c r="BN45" i="8"/>
  <c r="BH45" i="8"/>
  <c r="BB45" i="8"/>
  <c r="AV45" i="8"/>
  <c r="AP45" i="8"/>
  <c r="AJ45" i="8"/>
  <c r="AD45" i="8"/>
  <c r="L45" i="8"/>
  <c r="X45" i="8"/>
  <c r="R45" i="8"/>
  <c r="BR43" i="8"/>
  <c r="BL43" i="8"/>
  <c r="BF43" i="8"/>
  <c r="AZ43" i="8"/>
  <c r="AT43" i="8"/>
  <c r="AN43" i="8"/>
  <c r="AH43" i="8"/>
  <c r="AB43" i="8"/>
  <c r="V43" i="8"/>
  <c r="P43" i="8"/>
  <c r="J43" i="8"/>
  <c r="BR39" i="8"/>
  <c r="BL39" i="8"/>
  <c r="BF39" i="8"/>
  <c r="AZ39" i="8"/>
  <c r="AT39" i="8"/>
  <c r="AN39" i="8"/>
  <c r="AH39" i="8"/>
  <c r="AB39" i="8"/>
  <c r="J39" i="8"/>
  <c r="V39" i="8"/>
  <c r="P39" i="8"/>
  <c r="BS34" i="8"/>
  <c r="BG34" i="8"/>
  <c r="BM34" i="8"/>
  <c r="AU34" i="8"/>
  <c r="BA34" i="8"/>
  <c r="AO34" i="8"/>
  <c r="AI34" i="8"/>
  <c r="AC34" i="8"/>
  <c r="W34" i="8"/>
  <c r="Q34" i="8"/>
  <c r="BR31" i="8"/>
  <c r="BL31" i="8"/>
  <c r="BF31" i="8"/>
  <c r="AT31" i="8"/>
  <c r="AZ31" i="8"/>
  <c r="AN31" i="8"/>
  <c r="AH31" i="8"/>
  <c r="AB31" i="8"/>
  <c r="V31" i="8"/>
  <c r="P31" i="8"/>
  <c r="J31" i="8"/>
  <c r="BS169" i="8"/>
  <c r="BM169" i="8"/>
  <c r="BG169" i="8"/>
  <c r="AU169" i="8"/>
  <c r="BA169" i="8"/>
  <c r="AO169" i="8"/>
  <c r="AC169" i="8"/>
  <c r="W169" i="8"/>
  <c r="AI169" i="8"/>
  <c r="Q169" i="8"/>
  <c r="K169" i="8"/>
  <c r="BR166" i="8"/>
  <c r="BL166" i="8"/>
  <c r="BF166" i="8"/>
  <c r="AT166" i="8"/>
  <c r="AZ166" i="8"/>
  <c r="AN166" i="8"/>
  <c r="AB166" i="8"/>
  <c r="V166" i="8"/>
  <c r="AH166" i="8"/>
  <c r="P166" i="8"/>
  <c r="J166" i="8"/>
  <c r="BQ163" i="8"/>
  <c r="BK163" i="8"/>
  <c r="BE163" i="8"/>
  <c r="AS163" i="8"/>
  <c r="AY163" i="8"/>
  <c r="AM163" i="8"/>
  <c r="AA163" i="8"/>
  <c r="U163" i="8"/>
  <c r="AG163" i="8"/>
  <c r="O163" i="8"/>
  <c r="I163" i="8"/>
  <c r="BP160" i="8"/>
  <c r="BJ160" i="8"/>
  <c r="BD160" i="8"/>
  <c r="AX160" i="8"/>
  <c r="AR160" i="8"/>
  <c r="AL160" i="8"/>
  <c r="Z160" i="8"/>
  <c r="T160" i="8"/>
  <c r="AF160" i="8"/>
  <c r="N160" i="8"/>
  <c r="H160" i="8"/>
  <c r="BP156" i="8"/>
  <c r="BJ156" i="8"/>
  <c r="BD156" i="8"/>
  <c r="AX156" i="8"/>
  <c r="AL156" i="8"/>
  <c r="AR156" i="8"/>
  <c r="AF156" i="8"/>
  <c r="Z156" i="8"/>
  <c r="T156" i="8"/>
  <c r="N156" i="8"/>
  <c r="H156" i="8"/>
  <c r="BS153" i="8"/>
  <c r="BM153" i="8"/>
  <c r="BG153" i="8"/>
  <c r="BA153" i="8"/>
  <c r="AO153" i="8"/>
  <c r="AU153" i="8"/>
  <c r="AC153" i="8"/>
  <c r="W153" i="8"/>
  <c r="AI153" i="8"/>
  <c r="Q153" i="8"/>
  <c r="K153" i="8"/>
  <c r="BQ151" i="8"/>
  <c r="BK151" i="8"/>
  <c r="BE151" i="8"/>
  <c r="AY151" i="8"/>
  <c r="AM151" i="8"/>
  <c r="AS151" i="8"/>
  <c r="AG151" i="8"/>
  <c r="AA151" i="8"/>
  <c r="U151" i="8"/>
  <c r="O151" i="8"/>
  <c r="I151" i="8"/>
  <c r="BT148" i="8"/>
  <c r="BN148" i="8"/>
  <c r="BH148" i="8"/>
  <c r="BB148" i="8"/>
  <c r="AP148" i="8"/>
  <c r="AV148" i="8"/>
  <c r="AD148" i="8"/>
  <c r="X148" i="8"/>
  <c r="AJ148" i="8"/>
  <c r="R148" i="8"/>
  <c r="L148" i="8"/>
  <c r="BS145" i="8"/>
  <c r="BM145" i="8"/>
  <c r="BG145" i="8"/>
  <c r="BA145" i="8"/>
  <c r="AO145" i="8"/>
  <c r="AU145" i="8"/>
  <c r="AC145" i="8"/>
  <c r="W145" i="8"/>
  <c r="AI145" i="8"/>
  <c r="Q145" i="8"/>
  <c r="K145" i="8"/>
  <c r="BQ143" i="8"/>
  <c r="BK143" i="8"/>
  <c r="BE143" i="8"/>
  <c r="AY143" i="8"/>
  <c r="AM143" i="8"/>
  <c r="AS143" i="8"/>
  <c r="AG143" i="8"/>
  <c r="AA143" i="8"/>
  <c r="U143" i="8"/>
  <c r="O143" i="8"/>
  <c r="I143" i="8"/>
  <c r="BP140" i="8"/>
  <c r="BJ140" i="8"/>
  <c r="BD140" i="8"/>
  <c r="AX140" i="8"/>
  <c r="AL140" i="8"/>
  <c r="AR140" i="8"/>
  <c r="AF140" i="8"/>
  <c r="Z140" i="8"/>
  <c r="T140" i="8"/>
  <c r="N140" i="8"/>
  <c r="H140" i="8"/>
  <c r="BR138" i="8"/>
  <c r="BL138" i="8"/>
  <c r="BF138" i="8"/>
  <c r="AZ138" i="8"/>
  <c r="AN138" i="8"/>
  <c r="AT138" i="8"/>
  <c r="AH138" i="8"/>
  <c r="AB138" i="8"/>
  <c r="V138" i="8"/>
  <c r="J138" i="8"/>
  <c r="P138" i="8"/>
  <c r="BQ135" i="8"/>
  <c r="BK135" i="8"/>
  <c r="BE135" i="8"/>
  <c r="AY135" i="8"/>
  <c r="AM135" i="8"/>
  <c r="AS135" i="8"/>
  <c r="AG135" i="8"/>
  <c r="AA135" i="8"/>
  <c r="U135" i="8"/>
  <c r="I135" i="8"/>
  <c r="O135" i="8"/>
  <c r="BQ131" i="8"/>
  <c r="BK131" i="8"/>
  <c r="BE131" i="8"/>
  <c r="AY131" i="8"/>
  <c r="AS131" i="8"/>
  <c r="AM131" i="8"/>
  <c r="AG131" i="8"/>
  <c r="AA131" i="8"/>
  <c r="I131" i="8"/>
  <c r="U131" i="8"/>
  <c r="O131" i="8"/>
  <c r="BQ127" i="8"/>
  <c r="BK127" i="8"/>
  <c r="BE127" i="8"/>
  <c r="AY127" i="8"/>
  <c r="AS127" i="8"/>
  <c r="AM127" i="8"/>
  <c r="AG127" i="8"/>
  <c r="AA127" i="8"/>
  <c r="I127" i="8"/>
  <c r="U127" i="8"/>
  <c r="O127" i="8"/>
  <c r="BP120" i="8"/>
  <c r="BD120" i="8"/>
  <c r="BJ120" i="8"/>
  <c r="AX120" i="8"/>
  <c r="AR120" i="8"/>
  <c r="AL120" i="8"/>
  <c r="AF120" i="8"/>
  <c r="Z120" i="8"/>
  <c r="H120" i="8"/>
  <c r="T120" i="8"/>
  <c r="N120" i="8"/>
  <c r="BM117" i="8"/>
  <c r="BS117" i="8"/>
  <c r="BG117" i="8"/>
  <c r="BA117" i="8"/>
  <c r="AO117" i="8"/>
  <c r="AU117" i="8"/>
  <c r="AC117" i="8"/>
  <c r="W117" i="8"/>
  <c r="AI117" i="8"/>
  <c r="K117" i="8"/>
  <c r="Q117" i="8"/>
  <c r="BP116" i="8"/>
  <c r="BJ116" i="8"/>
  <c r="BD116" i="8"/>
  <c r="AX116" i="8"/>
  <c r="AL116" i="8"/>
  <c r="AR116" i="8"/>
  <c r="AF116" i="8"/>
  <c r="Z116" i="8"/>
  <c r="T116" i="8"/>
  <c r="H116" i="8"/>
  <c r="N116" i="8"/>
  <c r="BT112" i="8"/>
  <c r="BN112" i="8"/>
  <c r="BH112" i="8"/>
  <c r="BB112" i="8"/>
  <c r="AV112" i="8"/>
  <c r="AP112" i="8"/>
  <c r="AJ112" i="8"/>
  <c r="AD112" i="8"/>
  <c r="X112" i="8"/>
  <c r="R112" i="8"/>
  <c r="L112" i="8"/>
  <c r="BT108" i="8"/>
  <c r="BN108" i="8"/>
  <c r="BH108" i="8"/>
  <c r="BB108" i="8"/>
  <c r="AP108" i="8"/>
  <c r="AV108" i="8"/>
  <c r="AJ108" i="8"/>
  <c r="AD108" i="8"/>
  <c r="X108" i="8"/>
  <c r="R108" i="8"/>
  <c r="L108" i="8"/>
  <c r="BT104" i="8"/>
  <c r="BN104" i="8"/>
  <c r="BH104" i="8"/>
  <c r="BB104" i="8"/>
  <c r="AV104" i="8"/>
  <c r="AP104" i="8"/>
  <c r="AJ104" i="8"/>
  <c r="AD104" i="8"/>
  <c r="X104" i="8"/>
  <c r="R104" i="8"/>
  <c r="L104" i="8"/>
  <c r="BS101" i="8"/>
  <c r="BM101" i="8"/>
  <c r="BG101" i="8"/>
  <c r="BA101" i="8"/>
  <c r="AU101" i="8"/>
  <c r="AO101" i="8"/>
  <c r="AI101" i="8"/>
  <c r="AC101" i="8"/>
  <c r="W101" i="8"/>
  <c r="Q101" i="8"/>
  <c r="K101" i="8"/>
  <c r="BR98" i="8"/>
  <c r="BL98" i="8"/>
  <c r="BF98" i="8"/>
  <c r="AZ98" i="8"/>
  <c r="AT98" i="8"/>
  <c r="AN98" i="8"/>
  <c r="AH98" i="8"/>
  <c r="AB98" i="8"/>
  <c r="V98" i="8"/>
  <c r="P98" i="8"/>
  <c r="J98" i="8"/>
  <c r="BQ95" i="8"/>
  <c r="BK95" i="8"/>
  <c r="BE95" i="8"/>
  <c r="AY95" i="8"/>
  <c r="AS95" i="8"/>
  <c r="AM95" i="8"/>
  <c r="AG95" i="8"/>
  <c r="AA95" i="8"/>
  <c r="I95" i="8"/>
  <c r="U95" i="8"/>
  <c r="O95" i="8"/>
  <c r="BT88" i="8"/>
  <c r="BN88" i="8"/>
  <c r="BH88" i="8"/>
  <c r="BB88" i="8"/>
  <c r="AV88" i="8"/>
  <c r="AP88" i="8"/>
  <c r="AJ88" i="8"/>
  <c r="AD88" i="8"/>
  <c r="X88" i="8"/>
  <c r="R88" i="8"/>
  <c r="L88" i="8"/>
  <c r="BS85" i="8"/>
  <c r="BM85" i="8"/>
  <c r="BA85" i="8"/>
  <c r="BG85" i="8"/>
  <c r="AU85" i="8"/>
  <c r="AO85" i="8"/>
  <c r="AI85" i="8"/>
  <c r="AC85" i="8"/>
  <c r="W85" i="8"/>
  <c r="Q85" i="8"/>
  <c r="K85" i="8"/>
  <c r="BT76" i="8"/>
  <c r="BN76" i="8"/>
  <c r="BH76" i="8"/>
  <c r="BB76" i="8"/>
  <c r="AV76" i="8"/>
  <c r="AP76" i="8"/>
  <c r="AJ76" i="8"/>
  <c r="AD76" i="8"/>
  <c r="L76" i="8"/>
  <c r="X76" i="8"/>
  <c r="R76" i="8"/>
  <c r="BQ71" i="8"/>
  <c r="BK71" i="8"/>
  <c r="BE71" i="8"/>
  <c r="AY71" i="8"/>
  <c r="AS71" i="8"/>
  <c r="AM71" i="8"/>
  <c r="AG71" i="8"/>
  <c r="AA71" i="8"/>
  <c r="I71" i="8"/>
  <c r="U71" i="8"/>
  <c r="O71" i="8"/>
  <c r="BS65" i="8"/>
  <c r="BM65" i="8"/>
  <c r="BG65" i="8"/>
  <c r="BA65" i="8"/>
  <c r="AU65" i="8"/>
  <c r="AO65" i="8"/>
  <c r="AI65" i="8"/>
  <c r="AC65" i="8"/>
  <c r="K65" i="8"/>
  <c r="W65" i="8"/>
  <c r="Q65" i="8"/>
  <c r="BT64" i="8"/>
  <c r="BN64" i="8"/>
  <c r="BH64" i="8"/>
  <c r="BB64" i="8"/>
  <c r="AV64" i="8"/>
  <c r="AP64" i="8"/>
  <c r="AJ64" i="8"/>
  <c r="AD64" i="8"/>
  <c r="X64" i="8"/>
  <c r="R64" i="8"/>
  <c r="L64" i="8"/>
  <c r="BQ59" i="8"/>
  <c r="BK59" i="8"/>
  <c r="BE59" i="8"/>
  <c r="AY59" i="8"/>
  <c r="AS59" i="8"/>
  <c r="AM59" i="8"/>
  <c r="AG59" i="8"/>
  <c r="AA59" i="8"/>
  <c r="U59" i="8"/>
  <c r="O59" i="8"/>
  <c r="I59" i="8"/>
  <c r="BQ55" i="8"/>
  <c r="BK55" i="8"/>
  <c r="BE55" i="8"/>
  <c r="AY55" i="8"/>
  <c r="AS55" i="8"/>
  <c r="AM55" i="8"/>
  <c r="AG55" i="8"/>
  <c r="AA55" i="8"/>
  <c r="I55" i="8"/>
  <c r="U55" i="8"/>
  <c r="O55" i="8"/>
  <c r="BP172" i="8"/>
  <c r="BJ172" i="8"/>
  <c r="BD172" i="8"/>
  <c r="AR172" i="8"/>
  <c r="AX172" i="8"/>
  <c r="AL172" i="8"/>
  <c r="AF172" i="8"/>
  <c r="Z172" i="8"/>
  <c r="T172" i="8"/>
  <c r="N172" i="8"/>
  <c r="H172" i="8"/>
  <c r="BQ171" i="8"/>
  <c r="BK171" i="8"/>
  <c r="BE171" i="8"/>
  <c r="AS171" i="8"/>
  <c r="AY171" i="8"/>
  <c r="AM171" i="8"/>
  <c r="AA171" i="8"/>
  <c r="U171" i="8"/>
  <c r="AG171" i="8"/>
  <c r="O171" i="8"/>
  <c r="I171" i="8"/>
  <c r="BS49" i="8"/>
  <c r="BM49" i="8"/>
  <c r="BG49" i="8"/>
  <c r="BA49" i="8"/>
  <c r="AU49" i="8"/>
  <c r="AO49" i="8"/>
  <c r="AI49" i="8"/>
  <c r="AC49" i="8"/>
  <c r="W49" i="8"/>
  <c r="Q49" i="8"/>
  <c r="K49" i="8"/>
  <c r="BT44" i="8"/>
  <c r="BN44" i="8"/>
  <c r="BH44" i="8"/>
  <c r="AV44" i="8"/>
  <c r="BB44" i="8"/>
  <c r="AP44" i="8"/>
  <c r="AJ44" i="8"/>
  <c r="AD44" i="8"/>
  <c r="X44" i="8"/>
  <c r="R44" i="8"/>
  <c r="L44" i="8"/>
  <c r="BT40" i="8"/>
  <c r="BN40" i="8"/>
  <c r="BB40" i="8"/>
  <c r="BH40" i="8"/>
  <c r="AV40" i="8"/>
  <c r="AP40" i="8"/>
  <c r="AJ40" i="8"/>
  <c r="AD40" i="8"/>
  <c r="L40" i="8"/>
  <c r="X40" i="8"/>
  <c r="R40" i="8"/>
  <c r="BQ35" i="8"/>
  <c r="BK35" i="8"/>
  <c r="BE35" i="8"/>
  <c r="AY35" i="8"/>
  <c r="AS35" i="8"/>
  <c r="AM35" i="8"/>
  <c r="AG35" i="8"/>
  <c r="AA35" i="8"/>
  <c r="U35" i="8"/>
  <c r="O35" i="8"/>
  <c r="I35" i="8"/>
  <c r="BS29" i="8"/>
  <c r="BM29" i="8"/>
  <c r="BG29" i="8"/>
  <c r="AU29" i="8"/>
  <c r="BA29" i="8"/>
  <c r="AO29" i="8"/>
  <c r="AI29" i="8"/>
  <c r="AC29" i="8"/>
  <c r="W29" i="8"/>
  <c r="Q29" i="8"/>
  <c r="K29" i="8"/>
  <c r="BS168" i="8"/>
  <c r="BM168" i="8"/>
  <c r="BG168" i="8"/>
  <c r="BA168" i="8"/>
  <c r="AO168" i="8"/>
  <c r="AU168" i="8"/>
  <c r="AI168" i="8"/>
  <c r="AC168" i="8"/>
  <c r="W168" i="8"/>
  <c r="Q168" i="8"/>
  <c r="K168" i="8"/>
  <c r="BP167" i="8"/>
  <c r="BJ167" i="8"/>
  <c r="BD167" i="8"/>
  <c r="AX167" i="8"/>
  <c r="AR167" i="8"/>
  <c r="AL167" i="8"/>
  <c r="AF167" i="8"/>
  <c r="Z167" i="8"/>
  <c r="T167" i="8"/>
  <c r="N167" i="8"/>
  <c r="H167" i="8"/>
  <c r="BS164" i="8"/>
  <c r="BM164" i="8"/>
  <c r="BA164" i="8"/>
  <c r="BG164" i="8"/>
  <c r="AO164" i="8"/>
  <c r="AU164" i="8"/>
  <c r="AI164" i="8"/>
  <c r="AC164" i="8"/>
  <c r="W164" i="8"/>
  <c r="Q164" i="8"/>
  <c r="K164" i="8"/>
  <c r="BQ162" i="8"/>
  <c r="BK162" i="8"/>
  <c r="BE162" i="8"/>
  <c r="AY162" i="8"/>
  <c r="AM162" i="8"/>
  <c r="AS162" i="8"/>
  <c r="AG162" i="8"/>
  <c r="AA162" i="8"/>
  <c r="U162" i="8"/>
  <c r="O162" i="8"/>
  <c r="I162" i="8"/>
  <c r="BT159" i="8"/>
  <c r="BN159" i="8"/>
  <c r="BB159" i="8"/>
  <c r="BH159" i="8"/>
  <c r="AV159" i="8"/>
  <c r="AP159" i="8"/>
  <c r="AJ159" i="8"/>
  <c r="AD159" i="8"/>
  <c r="X159" i="8"/>
  <c r="R159" i="8"/>
  <c r="L159" i="8"/>
  <c r="BQ158" i="8"/>
  <c r="BK158" i="8"/>
  <c r="BE158" i="8"/>
  <c r="AY158" i="8"/>
  <c r="AS158" i="8"/>
  <c r="AM158" i="8"/>
  <c r="AG158" i="8"/>
  <c r="AA158" i="8"/>
  <c r="U158" i="8"/>
  <c r="O158" i="8"/>
  <c r="I158" i="8"/>
  <c r="BT155" i="8"/>
  <c r="BN155" i="8"/>
  <c r="BH155" i="8"/>
  <c r="BB155" i="8"/>
  <c r="AP155" i="8"/>
  <c r="AV155" i="8"/>
  <c r="AJ155" i="8"/>
  <c r="AD155" i="8"/>
  <c r="X155" i="8"/>
  <c r="R155" i="8"/>
  <c r="L155" i="8"/>
  <c r="BR153" i="8"/>
  <c r="BL153" i="8"/>
  <c r="BF153" i="8"/>
  <c r="AZ153" i="8"/>
  <c r="AT153" i="8"/>
  <c r="AN153" i="8"/>
  <c r="AH153" i="8"/>
  <c r="AB153" i="8"/>
  <c r="V153" i="8"/>
  <c r="P153" i="8"/>
  <c r="J153" i="8"/>
  <c r="BQ150" i="8"/>
  <c r="BK150" i="8"/>
  <c r="BE150" i="8"/>
  <c r="AY150" i="8"/>
  <c r="AS150" i="8"/>
  <c r="AM150" i="8"/>
  <c r="AG150" i="8"/>
  <c r="AA150" i="8"/>
  <c r="U150" i="8"/>
  <c r="O150" i="8"/>
  <c r="I150" i="8"/>
  <c r="BP143" i="8"/>
  <c r="BJ143" i="8"/>
  <c r="BD143" i="8"/>
  <c r="AX143" i="8"/>
  <c r="AL143" i="8"/>
  <c r="AR143" i="8"/>
  <c r="AF143" i="8"/>
  <c r="Z143" i="8"/>
  <c r="T143" i="8"/>
  <c r="N143" i="8"/>
  <c r="H143" i="8"/>
  <c r="BS172" i="8"/>
  <c r="BM172" i="8"/>
  <c r="BG172" i="8"/>
  <c r="BA172" i="8"/>
  <c r="AU172" i="8"/>
  <c r="AO172" i="8"/>
  <c r="AI172" i="8"/>
  <c r="AC172" i="8"/>
  <c r="W172" i="8"/>
  <c r="Q172" i="8"/>
  <c r="K172" i="8"/>
  <c r="BT171" i="8"/>
  <c r="BN171" i="8"/>
  <c r="BH171" i="8"/>
  <c r="BB171" i="8"/>
  <c r="AP171" i="8"/>
  <c r="AV171" i="8"/>
  <c r="AJ171" i="8"/>
  <c r="AD171" i="8"/>
  <c r="X171" i="8"/>
  <c r="R171" i="8"/>
  <c r="L171" i="8"/>
  <c r="BP171" i="8"/>
  <c r="BJ171" i="8"/>
  <c r="AX171" i="8"/>
  <c r="BD171" i="8"/>
  <c r="AL171" i="8"/>
  <c r="AR171" i="8"/>
  <c r="AF171" i="8"/>
  <c r="Z171" i="8"/>
  <c r="T171" i="8"/>
  <c r="N171" i="8"/>
  <c r="H171" i="8"/>
  <c r="BQ54" i="8"/>
  <c r="BK54" i="8"/>
  <c r="BE54" i="8"/>
  <c r="AS54" i="8"/>
  <c r="AY54" i="8"/>
  <c r="AM54" i="8"/>
  <c r="AG54" i="8"/>
  <c r="AA54" i="8"/>
  <c r="U54" i="8"/>
  <c r="O54" i="8"/>
  <c r="I54" i="8"/>
  <c r="BS52" i="8"/>
  <c r="BM52" i="8"/>
  <c r="BG52" i="8"/>
  <c r="BA52" i="8"/>
  <c r="AU52" i="8"/>
  <c r="AO52" i="8"/>
  <c r="AI52" i="8"/>
  <c r="AC52" i="8"/>
  <c r="K52" i="8"/>
  <c r="W52" i="8"/>
  <c r="Q52" i="8"/>
  <c r="BQ46" i="8"/>
  <c r="BK46" i="8"/>
  <c r="BE46" i="8"/>
  <c r="AY46" i="8"/>
  <c r="AS46" i="8"/>
  <c r="AM46" i="8"/>
  <c r="AG46" i="8"/>
  <c r="AA46" i="8"/>
  <c r="U46" i="8"/>
  <c r="O46" i="8"/>
  <c r="I46" i="8"/>
  <c r="BR45" i="8"/>
  <c r="BL45" i="8"/>
  <c r="BF45" i="8"/>
  <c r="AZ45" i="8"/>
  <c r="AT45" i="8"/>
  <c r="AN45" i="8"/>
  <c r="AH45" i="8"/>
  <c r="AB45" i="8"/>
  <c r="V45" i="8"/>
  <c r="P45" i="8"/>
  <c r="J45" i="8"/>
  <c r="BS44" i="8"/>
  <c r="BM44" i="8"/>
  <c r="BG44" i="8"/>
  <c r="BA44" i="8"/>
  <c r="AU44" i="8"/>
  <c r="AO44" i="8"/>
  <c r="AI44" i="8"/>
  <c r="AC44" i="8"/>
  <c r="K44" i="8"/>
  <c r="W44" i="8"/>
  <c r="Q44" i="8"/>
  <c r="BT43" i="8"/>
  <c r="BH43" i="8"/>
  <c r="BN43" i="8"/>
  <c r="AV43" i="8"/>
  <c r="BB43" i="8"/>
  <c r="AP43" i="8"/>
  <c r="AJ43" i="8"/>
  <c r="AD43" i="8"/>
  <c r="X43" i="8"/>
  <c r="R43" i="8"/>
  <c r="L43" i="8"/>
  <c r="BR41" i="8"/>
  <c r="BL41" i="8"/>
  <c r="BF41" i="8"/>
  <c r="AZ41" i="8"/>
  <c r="AT41" i="8"/>
  <c r="AN41" i="8"/>
  <c r="AH41" i="8"/>
  <c r="AB41" i="8"/>
  <c r="J41" i="8"/>
  <c r="V41" i="8"/>
  <c r="P41" i="8"/>
  <c r="BS40" i="8"/>
  <c r="BM40" i="8"/>
  <c r="BG40" i="8"/>
  <c r="AU40" i="8"/>
  <c r="BA40" i="8"/>
  <c r="AO40" i="8"/>
  <c r="AI40" i="8"/>
  <c r="AC40" i="8"/>
  <c r="W40" i="8"/>
  <c r="Q40" i="8"/>
  <c r="K40" i="8"/>
  <c r="BT39" i="8"/>
  <c r="BN39" i="8"/>
  <c r="BB39" i="8"/>
  <c r="BH39" i="8"/>
  <c r="AV39" i="8"/>
  <c r="AJ39" i="8"/>
  <c r="AD39" i="8"/>
  <c r="AP39" i="8"/>
  <c r="L39" i="8"/>
  <c r="X39" i="8"/>
  <c r="R39" i="8"/>
  <c r="BQ38" i="8"/>
  <c r="BK38" i="8"/>
  <c r="BE38" i="8"/>
  <c r="AY38" i="8"/>
  <c r="AS38" i="8"/>
  <c r="AM38" i="8"/>
  <c r="AG38" i="8"/>
  <c r="AA38" i="8"/>
  <c r="I38" i="8"/>
  <c r="U38" i="8"/>
  <c r="O38" i="8"/>
  <c r="BS36" i="8"/>
  <c r="BM36" i="8"/>
  <c r="BG36" i="8"/>
  <c r="BA36" i="8"/>
  <c r="AU36" i="8"/>
  <c r="AO36" i="8"/>
  <c r="AI36" i="8"/>
  <c r="AC36" i="8"/>
  <c r="W36" i="8"/>
  <c r="Q36" i="8"/>
  <c r="K36" i="8"/>
  <c r="BT35" i="8"/>
  <c r="BN35" i="8"/>
  <c r="BH35" i="8"/>
  <c r="AV35" i="8"/>
  <c r="BB35" i="8"/>
  <c r="AP35" i="8"/>
  <c r="AJ35" i="8"/>
  <c r="AD35" i="8"/>
  <c r="X35" i="8"/>
  <c r="R35" i="8"/>
  <c r="L35" i="8"/>
  <c r="BQ34" i="8"/>
  <c r="BK34" i="8"/>
  <c r="BE34" i="8"/>
  <c r="AY34" i="8"/>
  <c r="AS34" i="8"/>
  <c r="AM34" i="8"/>
  <c r="AG34" i="8"/>
  <c r="AA34" i="8"/>
  <c r="I34" i="8"/>
  <c r="U34" i="8"/>
  <c r="O34" i="8"/>
  <c r="BR33" i="8"/>
  <c r="BL33" i="8"/>
  <c r="BF33" i="8"/>
  <c r="AZ33" i="8"/>
  <c r="AT33" i="8"/>
  <c r="AN33" i="8"/>
  <c r="AH33" i="8"/>
  <c r="AB33" i="8"/>
  <c r="V33" i="8"/>
  <c r="P33" i="8"/>
  <c r="J33" i="8"/>
  <c r="BS32" i="8"/>
  <c r="BM32" i="8"/>
  <c r="BA32" i="8"/>
  <c r="BG32" i="8"/>
  <c r="AU32" i="8"/>
  <c r="AI32" i="8"/>
  <c r="AC32" i="8"/>
  <c r="AO32" i="8"/>
  <c r="K32" i="8"/>
  <c r="W32" i="8"/>
  <c r="Q32" i="8"/>
  <c r="BT31" i="8"/>
  <c r="BN31" i="8"/>
  <c r="BH31" i="8"/>
  <c r="BB31" i="8"/>
  <c r="AV31" i="8"/>
  <c r="AP31" i="8"/>
  <c r="AJ31" i="8"/>
  <c r="AD31" i="8"/>
  <c r="X31" i="8"/>
  <c r="R31" i="8"/>
  <c r="L31" i="8"/>
  <c r="BS28" i="8"/>
  <c r="BM28" i="8"/>
  <c r="BG28" i="8"/>
  <c r="BA28" i="8"/>
  <c r="AU28" i="8"/>
  <c r="AO28" i="8"/>
  <c r="AI28" i="8"/>
  <c r="AC28" i="8"/>
  <c r="K28" i="8"/>
  <c r="W28" i="8"/>
  <c r="Q28" i="8"/>
  <c r="BT170" i="8"/>
  <c r="BN170" i="8"/>
  <c r="BH170" i="8"/>
  <c r="BB170" i="8"/>
  <c r="AV170" i="8"/>
  <c r="AP170" i="8"/>
  <c r="AJ170" i="8"/>
  <c r="AD170" i="8"/>
  <c r="X170" i="8"/>
  <c r="R170" i="8"/>
  <c r="L170" i="8"/>
  <c r="BP170" i="8"/>
  <c r="BJ170" i="8"/>
  <c r="BD170" i="8"/>
  <c r="AX170" i="8"/>
  <c r="AR170" i="8"/>
  <c r="AL170" i="8"/>
  <c r="AF170" i="8"/>
  <c r="Z170" i="8"/>
  <c r="T170" i="8"/>
  <c r="N170" i="8"/>
  <c r="H170" i="8"/>
  <c r="BQ169" i="8"/>
  <c r="BK169" i="8"/>
  <c r="BE169" i="8"/>
  <c r="AY169" i="8"/>
  <c r="AS169" i="8"/>
  <c r="AM169" i="8"/>
  <c r="AG169" i="8"/>
  <c r="AA169" i="8"/>
  <c r="U169" i="8"/>
  <c r="O169" i="8"/>
  <c r="I169" i="8"/>
  <c r="BR168" i="8"/>
  <c r="BL168" i="8"/>
  <c r="BF168" i="8"/>
  <c r="AZ168" i="8"/>
  <c r="AT168" i="8"/>
  <c r="AN168" i="8"/>
  <c r="AH168" i="8"/>
  <c r="AB168" i="8"/>
  <c r="V168" i="8"/>
  <c r="P168" i="8"/>
  <c r="J168" i="8"/>
  <c r="BS167" i="8"/>
  <c r="BM167" i="8"/>
  <c r="BG167" i="8"/>
  <c r="BA167" i="8"/>
  <c r="AU167" i="8"/>
  <c r="AO167" i="8"/>
  <c r="AI167" i="8"/>
  <c r="AC167" i="8"/>
  <c r="W167" i="8"/>
  <c r="Q167" i="8"/>
  <c r="K167" i="8"/>
  <c r="BT166" i="8"/>
  <c r="BN166" i="8"/>
  <c r="BH166" i="8"/>
  <c r="BB166" i="8"/>
  <c r="AV166" i="8"/>
  <c r="AP166" i="8"/>
  <c r="AJ166" i="8"/>
  <c r="AD166" i="8"/>
  <c r="X166" i="8"/>
  <c r="R166" i="8"/>
  <c r="L166" i="8"/>
  <c r="BP166" i="8"/>
  <c r="BJ166" i="8"/>
  <c r="BD166" i="8"/>
  <c r="AX166" i="8"/>
  <c r="AR166" i="8"/>
  <c r="AL166" i="8"/>
  <c r="AF166" i="8"/>
  <c r="Z166" i="8"/>
  <c r="T166" i="8"/>
  <c r="N166" i="8"/>
  <c r="H166" i="8"/>
  <c r="BQ165" i="8"/>
  <c r="BK165" i="8"/>
  <c r="BE165" i="8"/>
  <c r="AY165" i="8"/>
  <c r="AS165" i="8"/>
  <c r="AM165" i="8"/>
  <c r="AG165" i="8"/>
  <c r="AA165" i="8"/>
  <c r="U165" i="8"/>
  <c r="O165" i="8"/>
  <c r="I165" i="8"/>
  <c r="BR164" i="8"/>
  <c r="BL164" i="8"/>
  <c r="BF164" i="8"/>
  <c r="AZ164" i="8"/>
  <c r="AT164" i="8"/>
  <c r="AN164" i="8"/>
  <c r="AH164" i="8"/>
  <c r="AB164" i="8"/>
  <c r="V164" i="8"/>
  <c r="P164" i="8"/>
  <c r="J164" i="8"/>
  <c r="BS163" i="8"/>
  <c r="BM163" i="8"/>
  <c r="BG163" i="8"/>
  <c r="BA163" i="8"/>
  <c r="AU163" i="8"/>
  <c r="AO163" i="8"/>
  <c r="AI163" i="8"/>
  <c r="AC163" i="8"/>
  <c r="W163" i="8"/>
  <c r="Q163" i="8"/>
  <c r="K163" i="8"/>
  <c r="BT162" i="8"/>
  <c r="BN162" i="8"/>
  <c r="BH162" i="8"/>
  <c r="BB162" i="8"/>
  <c r="AV162" i="8"/>
  <c r="AP162" i="8"/>
  <c r="AJ162" i="8"/>
  <c r="AD162" i="8"/>
  <c r="X162" i="8"/>
  <c r="R162" i="8"/>
  <c r="L162" i="8"/>
  <c r="BP162" i="8"/>
  <c r="BJ162" i="8"/>
  <c r="BD162" i="8"/>
  <c r="AX162" i="8"/>
  <c r="AR162" i="8"/>
  <c r="AL162" i="8"/>
  <c r="AF162" i="8"/>
  <c r="Z162" i="8"/>
  <c r="T162" i="8"/>
  <c r="N162" i="8"/>
  <c r="H162" i="8"/>
  <c r="BQ161" i="8"/>
  <c r="BK161" i="8"/>
  <c r="BE161" i="8"/>
  <c r="AY161" i="8"/>
  <c r="AS161" i="8"/>
  <c r="AM161" i="8"/>
  <c r="AG161" i="8"/>
  <c r="AA161" i="8"/>
  <c r="U161" i="8"/>
  <c r="O161" i="8"/>
  <c r="I161" i="8"/>
  <c r="BR160" i="8"/>
  <c r="BL160" i="8"/>
  <c r="BF160" i="8"/>
  <c r="AZ160" i="8"/>
  <c r="AT160" i="8"/>
  <c r="AN160" i="8"/>
  <c r="AH160" i="8"/>
  <c r="AB160" i="8"/>
  <c r="V160" i="8"/>
  <c r="P160" i="8"/>
  <c r="J160" i="8"/>
  <c r="BS159" i="8"/>
  <c r="BM159" i="8"/>
  <c r="BG159" i="8"/>
  <c r="BA159" i="8"/>
  <c r="AU159" i="8"/>
  <c r="AO159" i="8"/>
  <c r="AI159" i="8"/>
  <c r="AC159" i="8"/>
  <c r="W159" i="8"/>
  <c r="Q159" i="8"/>
  <c r="K159" i="8"/>
  <c r="BT158" i="8"/>
  <c r="BN158" i="8"/>
  <c r="BH158" i="8"/>
  <c r="BB158" i="8"/>
  <c r="AV158" i="8"/>
  <c r="AP158" i="8"/>
  <c r="AJ158" i="8"/>
  <c r="AD158" i="8"/>
  <c r="X158" i="8"/>
  <c r="R158" i="8"/>
  <c r="L158" i="8"/>
  <c r="BP158" i="8"/>
  <c r="BJ158" i="8"/>
  <c r="BD158" i="8"/>
  <c r="AR158" i="8"/>
  <c r="AX158" i="8"/>
  <c r="AL158" i="8"/>
  <c r="AF158" i="8"/>
  <c r="Z158" i="8"/>
  <c r="T158" i="8"/>
  <c r="N158" i="8"/>
  <c r="H158" i="8"/>
  <c r="BQ157" i="8"/>
  <c r="BK157" i="8"/>
  <c r="BE157" i="8"/>
  <c r="AY157" i="8"/>
  <c r="AS157" i="8"/>
  <c r="AM157" i="8"/>
  <c r="AG157" i="8"/>
  <c r="AA157" i="8"/>
  <c r="U157" i="8"/>
  <c r="O157" i="8"/>
  <c r="I157" i="8"/>
  <c r="BR156" i="8"/>
  <c r="BL156" i="8"/>
  <c r="BF156" i="8"/>
  <c r="AZ156" i="8"/>
  <c r="AT156" i="8"/>
  <c r="AN156" i="8"/>
  <c r="AH156" i="8"/>
  <c r="AB156" i="8"/>
  <c r="V156" i="8"/>
  <c r="P156" i="8"/>
  <c r="J156" i="8"/>
  <c r="BS155" i="8"/>
  <c r="BM155" i="8"/>
  <c r="BG155" i="8"/>
  <c r="BA155" i="8"/>
  <c r="AU155" i="8"/>
  <c r="AO155" i="8"/>
  <c r="AI155" i="8"/>
  <c r="AC155" i="8"/>
  <c r="W155" i="8"/>
  <c r="Q155" i="8"/>
  <c r="K155" i="8"/>
  <c r="BT154" i="8"/>
  <c r="BN154" i="8"/>
  <c r="BH154" i="8"/>
  <c r="AV154" i="8"/>
  <c r="BB154" i="8"/>
  <c r="AP154" i="8"/>
  <c r="AJ154" i="8"/>
  <c r="AD154" i="8"/>
  <c r="X154" i="8"/>
  <c r="R154" i="8"/>
  <c r="L154" i="8"/>
  <c r="BP154" i="8"/>
  <c r="BJ154" i="8"/>
  <c r="BD154" i="8"/>
  <c r="AX154" i="8"/>
  <c r="AR154" i="8"/>
  <c r="AL154" i="8"/>
  <c r="AF154" i="8"/>
  <c r="Z154" i="8"/>
  <c r="T154" i="8"/>
  <c r="N154" i="8"/>
  <c r="H154" i="8"/>
  <c r="BQ153" i="8"/>
  <c r="BK153" i="8"/>
  <c r="BE153" i="8"/>
  <c r="AY153" i="8"/>
  <c r="AS153" i="8"/>
  <c r="AM153" i="8"/>
  <c r="AG153" i="8"/>
  <c r="AA153" i="8"/>
  <c r="U153" i="8"/>
  <c r="O153" i="8"/>
  <c r="I153" i="8"/>
  <c r="BR152" i="8"/>
  <c r="BL152" i="8"/>
  <c r="BF152" i="8"/>
  <c r="AZ152" i="8"/>
  <c r="AT152" i="8"/>
  <c r="AN152" i="8"/>
  <c r="AH152" i="8"/>
  <c r="AB152" i="8"/>
  <c r="V152" i="8"/>
  <c r="P152" i="8"/>
  <c r="J152" i="8"/>
  <c r="BS151" i="8"/>
  <c r="BM151" i="8"/>
  <c r="BG151" i="8"/>
  <c r="AU151" i="8"/>
  <c r="BA151" i="8"/>
  <c r="AO151" i="8"/>
  <c r="AI151" i="8"/>
  <c r="AC151" i="8"/>
  <c r="W151" i="8"/>
  <c r="Q151" i="8"/>
  <c r="K151" i="8"/>
  <c r="BT150" i="8"/>
  <c r="BN150" i="8"/>
  <c r="BH150" i="8"/>
  <c r="BB150" i="8"/>
  <c r="AV150" i="8"/>
  <c r="AP150" i="8"/>
  <c r="AJ150" i="8"/>
  <c r="AD150" i="8"/>
  <c r="X150" i="8"/>
  <c r="R150" i="8"/>
  <c r="L150" i="8"/>
  <c r="BP150" i="8"/>
  <c r="BJ150" i="8"/>
  <c r="BD150" i="8"/>
  <c r="AX150" i="8"/>
  <c r="AR150" i="8"/>
  <c r="AL150" i="8"/>
  <c r="AF150" i="8"/>
  <c r="Z150" i="8"/>
  <c r="T150" i="8"/>
  <c r="N150" i="8"/>
  <c r="H150" i="8"/>
  <c r="BQ149" i="8"/>
  <c r="BK149" i="8"/>
  <c r="BE149" i="8"/>
  <c r="AY149" i="8"/>
  <c r="AS149" i="8"/>
  <c r="AM149" i="8"/>
  <c r="AG149" i="8"/>
  <c r="AA149" i="8"/>
  <c r="U149" i="8"/>
  <c r="O149" i="8"/>
  <c r="I149" i="8"/>
  <c r="BR148" i="8"/>
  <c r="BL148" i="8"/>
  <c r="BF148" i="8"/>
  <c r="AT148" i="8"/>
  <c r="AZ148" i="8"/>
  <c r="AN148" i="8"/>
  <c r="AH148" i="8"/>
  <c r="AB148" i="8"/>
  <c r="V148" i="8"/>
  <c r="P148" i="8"/>
  <c r="J148" i="8"/>
  <c r="BS147" i="8"/>
  <c r="BM147" i="8"/>
  <c r="BG147" i="8"/>
  <c r="BA147" i="8"/>
  <c r="AU147" i="8"/>
  <c r="AO147" i="8"/>
  <c r="AI147" i="8"/>
  <c r="AC147" i="8"/>
  <c r="W147" i="8"/>
  <c r="Q147" i="8"/>
  <c r="K147" i="8"/>
  <c r="BT146" i="8"/>
  <c r="BN146" i="8"/>
  <c r="BH146" i="8"/>
  <c r="BB146" i="8"/>
  <c r="AV146" i="8"/>
  <c r="AP146" i="8"/>
  <c r="AJ146" i="8"/>
  <c r="AD146" i="8"/>
  <c r="X146" i="8"/>
  <c r="R146" i="8"/>
  <c r="L146" i="8"/>
  <c r="BP146" i="8"/>
  <c r="BJ146" i="8"/>
  <c r="BD146" i="8"/>
  <c r="AX146" i="8"/>
  <c r="AR146" i="8"/>
  <c r="AL146" i="8"/>
  <c r="AF146" i="8"/>
  <c r="Z146" i="8"/>
  <c r="T146" i="8"/>
  <c r="N146" i="8"/>
  <c r="H146" i="8"/>
  <c r="BQ145" i="8"/>
  <c r="BK145" i="8"/>
  <c r="BE145" i="8"/>
  <c r="AY145" i="8"/>
  <c r="AS145" i="8"/>
  <c r="AM145" i="8"/>
  <c r="AG145" i="8"/>
  <c r="AA145" i="8"/>
  <c r="U145" i="8"/>
  <c r="O145" i="8"/>
  <c r="I145" i="8"/>
  <c r="BR144" i="8"/>
  <c r="BL144" i="8"/>
  <c r="BF144" i="8"/>
  <c r="AZ144" i="8"/>
  <c r="AT144" i="8"/>
  <c r="AN144" i="8"/>
  <c r="AH144" i="8"/>
  <c r="AB144" i="8"/>
  <c r="V144" i="8"/>
  <c r="P144" i="8"/>
  <c r="J144" i="8"/>
  <c r="BS143" i="8"/>
  <c r="BM143" i="8"/>
  <c r="BG143" i="8"/>
  <c r="BA143" i="8"/>
  <c r="AU143" i="8"/>
  <c r="AO143" i="8"/>
  <c r="AI143" i="8"/>
  <c r="AC143" i="8"/>
  <c r="W143" i="8"/>
  <c r="Q143" i="8"/>
  <c r="K143" i="8"/>
  <c r="BT142" i="8"/>
  <c r="BN142" i="8"/>
  <c r="BH142" i="8"/>
  <c r="BB142" i="8"/>
  <c r="AV142" i="8"/>
  <c r="AP142" i="8"/>
  <c r="AJ142" i="8"/>
  <c r="AD142" i="8"/>
  <c r="X142" i="8"/>
  <c r="R142" i="8"/>
  <c r="L142" i="8"/>
  <c r="BP142" i="8"/>
  <c r="BJ142" i="8"/>
  <c r="BD142" i="8"/>
  <c r="AX142" i="8"/>
  <c r="AR142" i="8"/>
  <c r="AL142" i="8"/>
  <c r="AF142" i="8"/>
  <c r="Z142" i="8"/>
  <c r="N142" i="8"/>
  <c r="T142" i="8"/>
  <c r="H142" i="8"/>
  <c r="BQ141" i="8"/>
  <c r="BK141" i="8"/>
  <c r="BE141" i="8"/>
  <c r="AY141" i="8"/>
  <c r="AS141" i="8"/>
  <c r="AM141" i="8"/>
  <c r="AG141" i="8"/>
  <c r="AA141" i="8"/>
  <c r="U141" i="8"/>
  <c r="O141" i="8"/>
  <c r="I141" i="8"/>
  <c r="BR140" i="8"/>
  <c r="BL140" i="8"/>
  <c r="BF140" i="8"/>
  <c r="AZ140" i="8"/>
  <c r="AT140" i="8"/>
  <c r="AN140" i="8"/>
  <c r="AH140" i="8"/>
  <c r="AB140" i="8"/>
  <c r="P140" i="8"/>
  <c r="V140" i="8"/>
  <c r="J140" i="8"/>
  <c r="BS139" i="8"/>
  <c r="BM139" i="8"/>
  <c r="BG139" i="8"/>
  <c r="BA139" i="8"/>
  <c r="AU139" i="8"/>
  <c r="AO139" i="8"/>
  <c r="AI139" i="8"/>
  <c r="AC139" i="8"/>
  <c r="W139" i="8"/>
  <c r="Q139" i="8"/>
  <c r="K139" i="8"/>
  <c r="BT138" i="8"/>
  <c r="BN138" i="8"/>
  <c r="BH138" i="8"/>
  <c r="BB138" i="8"/>
  <c r="AV138" i="8"/>
  <c r="AP138" i="8"/>
  <c r="AJ138" i="8"/>
  <c r="AD138" i="8"/>
  <c r="R138" i="8"/>
  <c r="X138" i="8"/>
  <c r="L138" i="8"/>
  <c r="BP138" i="8"/>
  <c r="BJ138" i="8"/>
  <c r="BD138" i="8"/>
  <c r="AX138" i="8"/>
  <c r="AR138" i="8"/>
  <c r="AL138" i="8"/>
  <c r="AF138" i="8"/>
  <c r="Z138" i="8"/>
  <c r="H138" i="8"/>
  <c r="T138" i="8"/>
  <c r="N138" i="8"/>
  <c r="BQ137" i="8"/>
  <c r="BK137" i="8"/>
  <c r="BE137" i="8"/>
  <c r="AY137" i="8"/>
  <c r="AS137" i="8"/>
  <c r="AM137" i="8"/>
  <c r="AG137" i="8"/>
  <c r="AA137" i="8"/>
  <c r="I137" i="8"/>
  <c r="O137" i="8"/>
  <c r="U137" i="8"/>
  <c r="BR136" i="8"/>
  <c r="BF136" i="8"/>
  <c r="BL136" i="8"/>
  <c r="AZ136" i="8"/>
  <c r="AT136" i="8"/>
  <c r="AN136" i="8"/>
  <c r="AH136" i="8"/>
  <c r="AB136" i="8"/>
  <c r="J136" i="8"/>
  <c r="V136" i="8"/>
  <c r="P136" i="8"/>
  <c r="BS135" i="8"/>
  <c r="BM135" i="8"/>
  <c r="BG135" i="8"/>
  <c r="BA135" i="8"/>
  <c r="AU135" i="8"/>
  <c r="AO135" i="8"/>
  <c r="AI135" i="8"/>
  <c r="AC135" i="8"/>
  <c r="K135" i="8"/>
  <c r="Q135" i="8"/>
  <c r="W135" i="8"/>
  <c r="BT134" i="8"/>
  <c r="BN134" i="8"/>
  <c r="BH134" i="8"/>
  <c r="BB134" i="8"/>
  <c r="AV134" i="8"/>
  <c r="AP134" i="8"/>
  <c r="AJ134" i="8"/>
  <c r="AD134" i="8"/>
  <c r="L134" i="8"/>
  <c r="X134" i="8"/>
  <c r="R134" i="8"/>
  <c r="BP134" i="8"/>
  <c r="BJ134" i="8"/>
  <c r="BD134" i="8"/>
  <c r="AX134" i="8"/>
  <c r="AR134" i="8"/>
  <c r="AL134" i="8"/>
  <c r="AF134" i="8"/>
  <c r="Z134" i="8"/>
  <c r="H134" i="8"/>
  <c r="N134" i="8"/>
  <c r="T134" i="8"/>
  <c r="BQ133" i="8"/>
  <c r="BK133" i="8"/>
  <c r="BE133" i="8"/>
  <c r="AY133" i="8"/>
  <c r="AS133" i="8"/>
  <c r="AM133" i="8"/>
  <c r="AG133" i="8"/>
  <c r="AA133" i="8"/>
  <c r="I133" i="8"/>
  <c r="U133" i="8"/>
  <c r="O133" i="8"/>
  <c r="BS131" i="8"/>
  <c r="BM131" i="8"/>
  <c r="BG131" i="8"/>
  <c r="BA131" i="8"/>
  <c r="AO131" i="8"/>
  <c r="AU131" i="8"/>
  <c r="AI131" i="8"/>
  <c r="AC131" i="8"/>
  <c r="W131" i="8"/>
  <c r="Q131" i="8"/>
  <c r="K131" i="8"/>
  <c r="BT130" i="8"/>
  <c r="BN130" i="8"/>
  <c r="BH130" i="8"/>
  <c r="BB130" i="8"/>
  <c r="AP130" i="8"/>
  <c r="AV130" i="8"/>
  <c r="AD130" i="8"/>
  <c r="X130" i="8"/>
  <c r="AJ130" i="8"/>
  <c r="L130" i="8"/>
  <c r="R130" i="8"/>
  <c r="BP130" i="8"/>
  <c r="BJ130" i="8"/>
  <c r="BD130" i="8"/>
  <c r="AX130" i="8"/>
  <c r="AR130" i="8"/>
  <c r="AL130" i="8"/>
  <c r="AF130" i="8"/>
  <c r="Z130" i="8"/>
  <c r="T130" i="8"/>
  <c r="N130" i="8"/>
  <c r="H130" i="8"/>
  <c r="BQ129" i="8"/>
  <c r="BK129" i="8"/>
  <c r="BE129" i="8"/>
  <c r="AY129" i="8"/>
  <c r="AS129" i="8"/>
  <c r="AM129" i="8"/>
  <c r="AG129" i="8"/>
  <c r="AA129" i="8"/>
  <c r="I129" i="8"/>
  <c r="U129" i="8"/>
  <c r="O129" i="8"/>
  <c r="BS127" i="8"/>
  <c r="BM127" i="8"/>
  <c r="BG127" i="8"/>
  <c r="BA127" i="8"/>
  <c r="AO127" i="8"/>
  <c r="AU127" i="8"/>
  <c r="AI127" i="8"/>
  <c r="AC127" i="8"/>
  <c r="W127" i="8"/>
  <c r="Q127" i="8"/>
  <c r="K127" i="8"/>
  <c r="BT126" i="8"/>
  <c r="BN126" i="8"/>
  <c r="BH126" i="8"/>
  <c r="BB126" i="8"/>
  <c r="AP126" i="8"/>
  <c r="AV126" i="8"/>
  <c r="AD126" i="8"/>
  <c r="X126" i="8"/>
  <c r="AJ126" i="8"/>
  <c r="L126" i="8"/>
  <c r="R126" i="8"/>
  <c r="BP126" i="8"/>
  <c r="BJ126" i="8"/>
  <c r="BD126" i="8"/>
  <c r="AX126" i="8"/>
  <c r="AR126" i="8"/>
  <c r="AL126" i="8"/>
  <c r="AF126" i="8"/>
  <c r="Z126" i="8"/>
  <c r="T126" i="8"/>
  <c r="N126" i="8"/>
  <c r="H126" i="8"/>
  <c r="BQ125" i="8"/>
  <c r="BE125" i="8"/>
  <c r="BK125" i="8"/>
  <c r="AY125" i="8"/>
  <c r="AS125" i="8"/>
  <c r="AM125" i="8"/>
  <c r="AG125" i="8"/>
  <c r="AA125" i="8"/>
  <c r="I125" i="8"/>
  <c r="U125" i="8"/>
  <c r="O125" i="8"/>
  <c r="BS123" i="8"/>
  <c r="BM123" i="8"/>
  <c r="BG123" i="8"/>
  <c r="BA123" i="8"/>
  <c r="AO123" i="8"/>
  <c r="AU123" i="8"/>
  <c r="AI123" i="8"/>
  <c r="AC123" i="8"/>
  <c r="W123" i="8"/>
  <c r="K123" i="8"/>
  <c r="Q123" i="8"/>
  <c r="BT122" i="8"/>
  <c r="BN122" i="8"/>
  <c r="BH122" i="8"/>
  <c r="BB122" i="8"/>
  <c r="AV122" i="8"/>
  <c r="AP122" i="8"/>
  <c r="AJ122" i="8"/>
  <c r="AD122" i="8"/>
  <c r="L122" i="8"/>
  <c r="X122" i="8"/>
  <c r="R122" i="8"/>
  <c r="BP122" i="8"/>
  <c r="BJ122" i="8"/>
  <c r="BD122" i="8"/>
  <c r="AX122" i="8"/>
  <c r="AL122" i="8"/>
  <c r="AR122" i="8"/>
  <c r="Z122" i="8"/>
  <c r="T122" i="8"/>
  <c r="AF122" i="8"/>
  <c r="H122" i="8"/>
  <c r="N122" i="8"/>
  <c r="BM119" i="8"/>
  <c r="BS119" i="8"/>
  <c r="BG119" i="8"/>
  <c r="BA119" i="8"/>
  <c r="AO119" i="8"/>
  <c r="AU119" i="8"/>
  <c r="AC119" i="8"/>
  <c r="W119" i="8"/>
  <c r="AI119" i="8"/>
  <c r="K119" i="8"/>
  <c r="Q119" i="8"/>
  <c r="BT118" i="8"/>
  <c r="BN118" i="8"/>
  <c r="BH118" i="8"/>
  <c r="BB118" i="8"/>
  <c r="AV118" i="8"/>
  <c r="AP118" i="8"/>
  <c r="AJ118" i="8"/>
  <c r="AD118" i="8"/>
  <c r="X118" i="8"/>
  <c r="R118" i="8"/>
  <c r="L118" i="8"/>
  <c r="BP118" i="8"/>
  <c r="BJ118" i="8"/>
  <c r="BD118" i="8"/>
  <c r="AX118" i="8"/>
  <c r="AR118" i="8"/>
  <c r="AL118" i="8"/>
  <c r="AF118" i="8"/>
  <c r="Z118" i="8"/>
  <c r="H118" i="8"/>
  <c r="T118" i="8"/>
  <c r="N118" i="8"/>
  <c r="BS115" i="8"/>
  <c r="BM115" i="8"/>
  <c r="BG115" i="8"/>
  <c r="BA115" i="8"/>
  <c r="AU115" i="8"/>
  <c r="AO115" i="8"/>
  <c r="AI115" i="8"/>
  <c r="AC115" i="8"/>
  <c r="K115" i="8"/>
  <c r="W115" i="8"/>
  <c r="Q115" i="8"/>
  <c r="BN114" i="8"/>
  <c r="BT114" i="8"/>
  <c r="BH114" i="8"/>
  <c r="BB114" i="8"/>
  <c r="AP114" i="8"/>
  <c r="AV114" i="8"/>
  <c r="AD114" i="8"/>
  <c r="X114" i="8"/>
  <c r="AJ114" i="8"/>
  <c r="L114" i="8"/>
  <c r="R114" i="8"/>
  <c r="BP114" i="8"/>
  <c r="BJ114" i="8"/>
  <c r="BD114" i="8"/>
  <c r="AX114" i="8"/>
  <c r="AR114" i="8"/>
  <c r="AL114" i="8"/>
  <c r="AF114" i="8"/>
  <c r="Z114" i="8"/>
  <c r="H114" i="8"/>
  <c r="N114" i="8"/>
  <c r="T114" i="8"/>
  <c r="BR112" i="8"/>
  <c r="BF112" i="8"/>
  <c r="BL112" i="8"/>
  <c r="AZ112" i="8"/>
  <c r="AT112" i="8"/>
  <c r="AN112" i="8"/>
  <c r="AH112" i="8"/>
  <c r="AB112" i="8"/>
  <c r="V112" i="8"/>
  <c r="P112" i="8"/>
  <c r="J112" i="8"/>
  <c r="BS111" i="8"/>
  <c r="BM111" i="8"/>
  <c r="BG111" i="8"/>
  <c r="BA111" i="8"/>
  <c r="AO111" i="8"/>
  <c r="AU111" i="8"/>
  <c r="AI111" i="8"/>
  <c r="AC111" i="8"/>
  <c r="K111" i="8"/>
  <c r="W111" i="8"/>
  <c r="Q111" i="8"/>
  <c r="BT110" i="8"/>
  <c r="BN110" i="8"/>
  <c r="BH110" i="8"/>
  <c r="BB110" i="8"/>
  <c r="AV110" i="8"/>
  <c r="AP110" i="8"/>
  <c r="AJ110" i="8"/>
  <c r="AD110" i="8"/>
  <c r="L110" i="8"/>
  <c r="X110" i="8"/>
  <c r="R110" i="8"/>
  <c r="BJ110" i="8"/>
  <c r="BP110" i="8"/>
  <c r="BD110" i="8"/>
  <c r="AX110" i="8"/>
  <c r="AL110" i="8"/>
  <c r="AR110" i="8"/>
  <c r="Z110" i="8"/>
  <c r="AF110" i="8"/>
  <c r="H110" i="8"/>
  <c r="T110" i="8"/>
  <c r="N110" i="8"/>
  <c r="BQ109" i="8"/>
  <c r="BK109" i="8"/>
  <c r="BE109" i="8"/>
  <c r="AY109" i="8"/>
  <c r="AS109" i="8"/>
  <c r="AM109" i="8"/>
  <c r="AG109" i="8"/>
  <c r="AA109" i="8"/>
  <c r="U109" i="8"/>
  <c r="O109" i="8"/>
  <c r="I109" i="8"/>
  <c r="BS107" i="8"/>
  <c r="BM107" i="8"/>
  <c r="BG107" i="8"/>
  <c r="BA107" i="8"/>
  <c r="AU107" i="8"/>
  <c r="AO107" i="8"/>
  <c r="AI107" i="8"/>
  <c r="AC107" i="8"/>
  <c r="K107" i="8"/>
  <c r="W107" i="8"/>
  <c r="Q107" i="8"/>
  <c r="BT106" i="8"/>
  <c r="BN106" i="8"/>
  <c r="BH106" i="8"/>
  <c r="BB106" i="8"/>
  <c r="AV106" i="8"/>
  <c r="AP106" i="8"/>
  <c r="AJ106" i="8"/>
  <c r="AD106" i="8"/>
  <c r="X106" i="8"/>
  <c r="R106" i="8"/>
  <c r="L106" i="8"/>
  <c r="BP106" i="8"/>
  <c r="BJ106" i="8"/>
  <c r="BD106" i="8"/>
  <c r="AX106" i="8"/>
  <c r="AR106" i="8"/>
  <c r="AF106" i="8"/>
  <c r="AL106" i="8"/>
  <c r="Z106" i="8"/>
  <c r="T106" i="8"/>
  <c r="N106" i="8"/>
  <c r="H106" i="8"/>
  <c r="BQ105" i="8"/>
  <c r="BE105" i="8"/>
  <c r="BK105" i="8"/>
  <c r="AY105" i="8"/>
  <c r="AS105" i="8"/>
  <c r="AM105" i="8"/>
  <c r="AG105" i="8"/>
  <c r="AA105" i="8"/>
  <c r="U105" i="8"/>
  <c r="O105" i="8"/>
  <c r="I105" i="8"/>
  <c r="BR104" i="8"/>
  <c r="BL104" i="8"/>
  <c r="BF104" i="8"/>
  <c r="AZ104" i="8"/>
  <c r="AT104" i="8"/>
  <c r="AH104" i="8"/>
  <c r="AN104" i="8"/>
  <c r="AB104" i="8"/>
  <c r="V104" i="8"/>
  <c r="P104" i="8"/>
  <c r="J104" i="8"/>
  <c r="BS103" i="8"/>
  <c r="BM103" i="8"/>
  <c r="BG103" i="8"/>
  <c r="BA103" i="8"/>
  <c r="AU103" i="8"/>
  <c r="AO103" i="8"/>
  <c r="AI103" i="8"/>
  <c r="AC103" i="8"/>
  <c r="W103" i="8"/>
  <c r="Q103" i="8"/>
  <c r="K103" i="8"/>
  <c r="BT102" i="8"/>
  <c r="BN102" i="8"/>
  <c r="BH102" i="8"/>
  <c r="BB102" i="8"/>
  <c r="AV102" i="8"/>
  <c r="AP102" i="8"/>
  <c r="AJ102" i="8"/>
  <c r="AD102" i="8"/>
  <c r="X102" i="8"/>
  <c r="R102" i="8"/>
  <c r="L102" i="8"/>
  <c r="BP102" i="8"/>
  <c r="BD102" i="8"/>
  <c r="BJ102" i="8"/>
  <c r="AX102" i="8"/>
  <c r="AR102" i="8"/>
  <c r="AL102" i="8"/>
  <c r="AF102" i="8"/>
  <c r="Z102" i="8"/>
  <c r="T102" i="8"/>
  <c r="N102" i="8"/>
  <c r="H102" i="8"/>
  <c r="BQ101" i="8"/>
  <c r="BK101" i="8"/>
  <c r="BE101" i="8"/>
  <c r="AY101" i="8"/>
  <c r="AS101" i="8"/>
  <c r="AM101" i="8"/>
  <c r="AG101" i="8"/>
  <c r="AA101" i="8"/>
  <c r="U101" i="8"/>
  <c r="O101" i="8"/>
  <c r="I101" i="8"/>
  <c r="BR100" i="8"/>
  <c r="BL100" i="8"/>
  <c r="BF100" i="8"/>
  <c r="AZ100" i="8"/>
  <c r="AT100" i="8"/>
  <c r="AN100" i="8"/>
  <c r="AH100" i="8"/>
  <c r="AB100" i="8"/>
  <c r="V100" i="8"/>
  <c r="P100" i="8"/>
  <c r="J100" i="8"/>
  <c r="BS99" i="8"/>
  <c r="BM99" i="8"/>
  <c r="BG99" i="8"/>
  <c r="BA99" i="8"/>
  <c r="AU99" i="8"/>
  <c r="AO99" i="8"/>
  <c r="AI99" i="8"/>
  <c r="AC99" i="8"/>
  <c r="W99" i="8"/>
  <c r="Q99" i="8"/>
  <c r="K99" i="8"/>
  <c r="BT98" i="8"/>
  <c r="BN98" i="8"/>
  <c r="BH98" i="8"/>
  <c r="BB98" i="8"/>
  <c r="AV98" i="8"/>
  <c r="AP98" i="8"/>
  <c r="AJ98" i="8"/>
  <c r="AD98" i="8"/>
  <c r="X98" i="8"/>
  <c r="R98" i="8"/>
  <c r="L98" i="8"/>
  <c r="BP98" i="8"/>
  <c r="BJ98" i="8"/>
  <c r="BD98" i="8"/>
  <c r="AX98" i="8"/>
  <c r="AR98" i="8"/>
  <c r="AL98" i="8"/>
  <c r="AF98" i="8"/>
  <c r="Z98" i="8"/>
  <c r="T98" i="8"/>
  <c r="N98" i="8"/>
  <c r="H98" i="8"/>
  <c r="BQ97" i="8"/>
  <c r="BK97" i="8"/>
  <c r="BE97" i="8"/>
  <c r="AY97" i="8"/>
  <c r="AS97" i="8"/>
  <c r="AM97" i="8"/>
  <c r="AG97" i="8"/>
  <c r="AA97" i="8"/>
  <c r="U97" i="8"/>
  <c r="O97" i="8"/>
  <c r="I97" i="8"/>
  <c r="BR96" i="8"/>
  <c r="BL96" i="8"/>
  <c r="BF96" i="8"/>
  <c r="AZ96" i="8"/>
  <c r="AT96" i="8"/>
  <c r="AN96" i="8"/>
  <c r="AH96" i="8"/>
  <c r="AB96" i="8"/>
  <c r="V96" i="8"/>
  <c r="P96" i="8"/>
  <c r="J96" i="8"/>
  <c r="BT94" i="8"/>
  <c r="BN94" i="8"/>
  <c r="BH94" i="8"/>
  <c r="BB94" i="8"/>
  <c r="AP94" i="8"/>
  <c r="AV94" i="8"/>
  <c r="AJ94" i="8"/>
  <c r="AD94" i="8"/>
  <c r="L94" i="8"/>
  <c r="X94" i="8"/>
  <c r="R94" i="8"/>
  <c r="BP94" i="8"/>
  <c r="BJ94" i="8"/>
  <c r="BD94" i="8"/>
  <c r="AX94" i="8"/>
  <c r="AR94" i="8"/>
  <c r="AL94" i="8"/>
  <c r="AF94" i="8"/>
  <c r="Z94" i="8"/>
  <c r="H94" i="8"/>
  <c r="T94" i="8"/>
  <c r="N94" i="8"/>
  <c r="BR92" i="8"/>
  <c r="BF92" i="8"/>
  <c r="BL92" i="8"/>
  <c r="AZ92" i="8"/>
  <c r="AT92" i="8"/>
  <c r="AN92" i="8"/>
  <c r="AH92" i="8"/>
  <c r="AB92" i="8"/>
  <c r="J92" i="8"/>
  <c r="V92" i="8"/>
  <c r="P92" i="8"/>
  <c r="BS91" i="8"/>
  <c r="BM91" i="8"/>
  <c r="BG91" i="8"/>
  <c r="BA91" i="8"/>
  <c r="AO91" i="8"/>
  <c r="AU91" i="8"/>
  <c r="AI91" i="8"/>
  <c r="AC91" i="8"/>
  <c r="K91" i="8"/>
  <c r="W91" i="8"/>
  <c r="Q91" i="8"/>
  <c r="BT90" i="8"/>
  <c r="BN90" i="8"/>
  <c r="BH90" i="8"/>
  <c r="BB90" i="8"/>
  <c r="AV90" i="8"/>
  <c r="AP90" i="8"/>
  <c r="AJ90" i="8"/>
  <c r="AD90" i="8"/>
  <c r="L90" i="8"/>
  <c r="X90" i="8"/>
  <c r="R90" i="8"/>
  <c r="BQ89" i="8"/>
  <c r="BK89" i="8"/>
  <c r="BE89" i="8"/>
  <c r="AY89" i="8"/>
  <c r="AS89" i="8"/>
  <c r="AM89" i="8"/>
  <c r="AG89" i="8"/>
  <c r="AA89" i="8"/>
  <c r="U89" i="8"/>
  <c r="O89" i="8"/>
  <c r="I89" i="8"/>
  <c r="BR88" i="8"/>
  <c r="BL88" i="8"/>
  <c r="BF88" i="8"/>
  <c r="AZ88" i="8"/>
  <c r="AT88" i="8"/>
  <c r="AN88" i="8"/>
  <c r="AH88" i="8"/>
  <c r="AB88" i="8"/>
  <c r="V88" i="8"/>
  <c r="P88" i="8"/>
  <c r="J88" i="8"/>
  <c r="BS87" i="8"/>
  <c r="BM87" i="8"/>
  <c r="BG87" i="8"/>
  <c r="BA87" i="8"/>
  <c r="AU87" i="8"/>
  <c r="AO87" i="8"/>
  <c r="AI87" i="8"/>
  <c r="AC87" i="8"/>
  <c r="W87" i="8"/>
  <c r="Q87" i="8"/>
  <c r="K87" i="8"/>
  <c r="BT86" i="8"/>
  <c r="BN86" i="8"/>
  <c r="BH86" i="8"/>
  <c r="BB86" i="8"/>
  <c r="AV86" i="8"/>
  <c r="AP86" i="8"/>
  <c r="AJ86" i="8"/>
  <c r="AD86" i="8"/>
  <c r="L86" i="8"/>
  <c r="X86" i="8"/>
  <c r="R86" i="8"/>
  <c r="BP86" i="8"/>
  <c r="BJ86" i="8"/>
  <c r="BD86" i="8"/>
  <c r="AX86" i="8"/>
  <c r="AR86" i="8"/>
  <c r="AL86" i="8"/>
  <c r="AF86" i="8"/>
  <c r="Z86" i="8"/>
  <c r="T86" i="8"/>
  <c r="N86" i="8"/>
  <c r="H86" i="8"/>
  <c r="BR84" i="8"/>
  <c r="BL84" i="8"/>
  <c r="BF84" i="8"/>
  <c r="AZ84" i="8"/>
  <c r="AT84" i="8"/>
  <c r="AN84" i="8"/>
  <c r="AH84" i="8"/>
  <c r="AB84" i="8"/>
  <c r="V84" i="8"/>
  <c r="P84" i="8"/>
  <c r="J84" i="8"/>
  <c r="BS83" i="8"/>
  <c r="BM83" i="8"/>
  <c r="BG83" i="8"/>
  <c r="BA83" i="8"/>
  <c r="AU83" i="8"/>
  <c r="AO83" i="8"/>
  <c r="AI83" i="8"/>
  <c r="AC83" i="8"/>
  <c r="W83" i="8"/>
  <c r="Q83" i="8"/>
  <c r="K83" i="8"/>
  <c r="BT82" i="8"/>
  <c r="BN82" i="8"/>
  <c r="BH82" i="8"/>
  <c r="BB82" i="8"/>
  <c r="AV82" i="8"/>
  <c r="AP82" i="8"/>
  <c r="AJ82" i="8"/>
  <c r="AD82" i="8"/>
  <c r="L82" i="8"/>
  <c r="X82" i="8"/>
  <c r="R82" i="8"/>
  <c r="BQ81" i="8"/>
  <c r="BK81" i="8"/>
  <c r="BE81" i="8"/>
  <c r="AY81" i="8"/>
  <c r="AS81" i="8"/>
  <c r="AM81" i="8"/>
  <c r="AG81" i="8"/>
  <c r="AA81" i="8"/>
  <c r="U81" i="8"/>
  <c r="O81" i="8"/>
  <c r="I81" i="8"/>
  <c r="BQ77" i="8"/>
  <c r="BK77" i="8"/>
  <c r="BE77" i="8"/>
  <c r="AY77" i="8"/>
  <c r="AS77" i="8"/>
  <c r="AM77" i="8"/>
  <c r="AG77" i="8"/>
  <c r="AA77" i="8"/>
  <c r="I77" i="8"/>
  <c r="U77" i="8"/>
  <c r="O77" i="8"/>
  <c r="BS75" i="8"/>
  <c r="BM75" i="8"/>
  <c r="BG75" i="8"/>
  <c r="BA75" i="8"/>
  <c r="AU75" i="8"/>
  <c r="AO75" i="8"/>
  <c r="AI75" i="8"/>
  <c r="AC75" i="8"/>
  <c r="W75" i="8"/>
  <c r="Q75" i="8"/>
  <c r="K75" i="8"/>
  <c r="BT74" i="8"/>
  <c r="BN74" i="8"/>
  <c r="BH74" i="8"/>
  <c r="BB74" i="8"/>
  <c r="AV74" i="8"/>
  <c r="AP74" i="8"/>
  <c r="AJ74" i="8"/>
  <c r="AD74" i="8"/>
  <c r="L74" i="8"/>
  <c r="X74" i="8"/>
  <c r="R74" i="8"/>
  <c r="BP74" i="8"/>
  <c r="BJ74" i="8"/>
  <c r="AX74" i="8"/>
  <c r="BD74" i="8"/>
  <c r="AR74" i="8"/>
  <c r="AL74" i="8"/>
  <c r="AF74" i="8"/>
  <c r="Z74" i="8"/>
  <c r="T74" i="8"/>
  <c r="N74" i="8"/>
  <c r="H74" i="8"/>
  <c r="BQ73" i="8"/>
  <c r="BK73" i="8"/>
  <c r="BE73" i="8"/>
  <c r="AY73" i="8"/>
  <c r="AS73" i="8"/>
  <c r="AM73" i="8"/>
  <c r="AG73" i="8"/>
  <c r="AA73" i="8"/>
  <c r="I73" i="8"/>
  <c r="U73" i="8"/>
  <c r="O73" i="8"/>
  <c r="BR72" i="8"/>
  <c r="BL72" i="8"/>
  <c r="BF72" i="8"/>
  <c r="AZ72" i="8"/>
  <c r="AT72" i="8"/>
  <c r="AH72" i="8"/>
  <c r="AB72" i="8"/>
  <c r="AN72" i="8"/>
  <c r="J72" i="8"/>
  <c r="V72" i="8"/>
  <c r="P72" i="8"/>
  <c r="BS71" i="8"/>
  <c r="BM71" i="8"/>
  <c r="BG71" i="8"/>
  <c r="BA71" i="8"/>
  <c r="AU71" i="8"/>
  <c r="AO71" i="8"/>
  <c r="AI71" i="8"/>
  <c r="AC71" i="8"/>
  <c r="K71" i="8"/>
  <c r="W71" i="8"/>
  <c r="Q71" i="8"/>
  <c r="BT70" i="8"/>
  <c r="BN70" i="8"/>
  <c r="BH70" i="8"/>
  <c r="BB70" i="8"/>
  <c r="AV70" i="8"/>
  <c r="AP70" i="8"/>
  <c r="AJ70" i="8"/>
  <c r="AD70" i="8"/>
  <c r="X70" i="8"/>
  <c r="R70" i="8"/>
  <c r="L70" i="8"/>
  <c r="BQ69" i="8"/>
  <c r="BK69" i="8"/>
  <c r="BE69" i="8"/>
  <c r="AY69" i="8"/>
  <c r="AS69" i="8"/>
  <c r="AM69" i="8"/>
  <c r="AG69" i="8"/>
  <c r="AA69" i="8"/>
  <c r="I69" i="8"/>
  <c r="U69" i="8"/>
  <c r="O69" i="8"/>
  <c r="BR68" i="8"/>
  <c r="BL68" i="8"/>
  <c r="BF68" i="8"/>
  <c r="AZ68" i="8"/>
  <c r="AT68" i="8"/>
  <c r="AN68" i="8"/>
  <c r="AH68" i="8"/>
  <c r="AB68" i="8"/>
  <c r="V68" i="8"/>
  <c r="P68" i="8"/>
  <c r="J68" i="8"/>
  <c r="BS67" i="8"/>
  <c r="BM67" i="8"/>
  <c r="BG67" i="8"/>
  <c r="BA67" i="8"/>
  <c r="AU67" i="8"/>
  <c r="AO67" i="8"/>
  <c r="AI67" i="8"/>
  <c r="AC67" i="8"/>
  <c r="K67" i="8"/>
  <c r="W67" i="8"/>
  <c r="Q67" i="8"/>
  <c r="BT66" i="8"/>
  <c r="BN66" i="8"/>
  <c r="BH66" i="8"/>
  <c r="BB66" i="8"/>
  <c r="AV66" i="8"/>
  <c r="AP66" i="8"/>
  <c r="AJ66" i="8"/>
  <c r="AD66" i="8"/>
  <c r="X66" i="8"/>
  <c r="R66" i="8"/>
  <c r="L66" i="8"/>
  <c r="BQ65" i="8"/>
  <c r="BK65" i="8"/>
  <c r="BE65" i="8"/>
  <c r="AY65" i="8"/>
  <c r="AS65" i="8"/>
  <c r="AM65" i="8"/>
  <c r="AG65" i="8"/>
  <c r="AA65" i="8"/>
  <c r="I65" i="8"/>
  <c r="U65" i="8"/>
  <c r="O65" i="8"/>
  <c r="BR64" i="8"/>
  <c r="BL64" i="8"/>
  <c r="BF64" i="8"/>
  <c r="AZ64" i="8"/>
  <c r="AT64" i="8"/>
  <c r="AN64" i="8"/>
  <c r="AH64" i="8"/>
  <c r="AB64" i="8"/>
  <c r="V64" i="8"/>
  <c r="P64" i="8"/>
  <c r="J64" i="8"/>
  <c r="BS63" i="8"/>
  <c r="BM63" i="8"/>
  <c r="BG63" i="8"/>
  <c r="BA63" i="8"/>
  <c r="AU63" i="8"/>
  <c r="AO63" i="8"/>
  <c r="AI63" i="8"/>
  <c r="AC63" i="8"/>
  <c r="W63" i="8"/>
  <c r="Q63" i="8"/>
  <c r="K63" i="8"/>
  <c r="BT62" i="8"/>
  <c r="BN62" i="8"/>
  <c r="BB62" i="8"/>
  <c r="BH62" i="8"/>
  <c r="AV62" i="8"/>
  <c r="AP62" i="8"/>
  <c r="AJ62" i="8"/>
  <c r="AD62" i="8"/>
  <c r="X62" i="8"/>
  <c r="R62" i="8"/>
  <c r="L62" i="8"/>
  <c r="BR60" i="8"/>
  <c r="BL60" i="8"/>
  <c r="BF60" i="8"/>
  <c r="AZ60" i="8"/>
  <c r="AT60" i="8"/>
  <c r="AN60" i="8"/>
  <c r="AH60" i="8"/>
  <c r="AB60" i="8"/>
  <c r="V60" i="8"/>
  <c r="P60" i="8"/>
  <c r="J60" i="8"/>
  <c r="BS59" i="8"/>
  <c r="BM59" i="8"/>
  <c r="BG59" i="8"/>
  <c r="BA59" i="8"/>
  <c r="AU59" i="8"/>
  <c r="AO59" i="8"/>
  <c r="AI59" i="8"/>
  <c r="AC59" i="8"/>
  <c r="W59" i="8"/>
  <c r="Q59" i="8"/>
  <c r="K59" i="8"/>
  <c r="BT58" i="8"/>
  <c r="BN58" i="8"/>
  <c r="BH58" i="8"/>
  <c r="AV58" i="8"/>
  <c r="BB58" i="8"/>
  <c r="AP58" i="8"/>
  <c r="AJ58" i="8"/>
  <c r="AD58" i="8"/>
  <c r="X58" i="8"/>
  <c r="R58" i="8"/>
  <c r="L58" i="8"/>
  <c r="BQ57" i="8"/>
  <c r="BK57" i="8"/>
  <c r="AY57" i="8"/>
  <c r="BE57" i="8"/>
  <c r="AS57" i="8"/>
  <c r="AM57" i="8"/>
  <c r="AG57" i="8"/>
  <c r="AA57" i="8"/>
  <c r="I57" i="8"/>
  <c r="U57" i="8"/>
  <c r="O57" i="8"/>
  <c r="BS55" i="8"/>
  <c r="BM55" i="8"/>
  <c r="BG55" i="8"/>
  <c r="BA55" i="8"/>
  <c r="AU55" i="8"/>
  <c r="AO55" i="8"/>
  <c r="AI55" i="8"/>
  <c r="AC55" i="8"/>
  <c r="W55" i="8"/>
  <c r="Q55" i="8"/>
  <c r="K55" i="8"/>
  <c r="B16" i="10"/>
  <c r="D16" i="10"/>
  <c r="E21" i="9"/>
  <c r="F21" i="9"/>
  <c r="BQ172" i="8"/>
  <c r="BK172" i="8"/>
  <c r="BE172" i="8"/>
  <c r="AY172" i="8"/>
  <c r="AS172" i="8"/>
  <c r="AM172" i="8"/>
  <c r="AG172" i="8"/>
  <c r="AA172" i="8"/>
  <c r="U172" i="8"/>
  <c r="O172" i="8"/>
  <c r="I172" i="8"/>
  <c r="BQ48" i="8"/>
  <c r="BK48" i="8"/>
  <c r="BE48" i="8"/>
  <c r="AY48" i="8"/>
  <c r="AS48" i="8"/>
  <c r="AM48" i="8"/>
  <c r="AG48" i="8"/>
  <c r="AA48" i="8"/>
  <c r="I48" i="8"/>
  <c r="U48" i="8"/>
  <c r="O48" i="8"/>
  <c r="BS42" i="8"/>
  <c r="BM42" i="8"/>
  <c r="BG42" i="8"/>
  <c r="BA42" i="8"/>
  <c r="AU42" i="8"/>
  <c r="AO42" i="8"/>
  <c r="AI42" i="8"/>
  <c r="AC42" i="8"/>
  <c r="W42" i="8"/>
  <c r="Q42" i="8"/>
  <c r="K42" i="8"/>
  <c r="BT37" i="8"/>
  <c r="BN37" i="8"/>
  <c r="BH37" i="8"/>
  <c r="BB37" i="8"/>
  <c r="AV37" i="8"/>
  <c r="AP37" i="8"/>
  <c r="AJ37" i="8"/>
  <c r="AD37" i="8"/>
  <c r="X37" i="8"/>
  <c r="R37" i="8"/>
  <c r="L37" i="8"/>
  <c r="BQ32" i="8"/>
  <c r="BK32" i="8"/>
  <c r="BE32" i="8"/>
  <c r="AY32" i="8"/>
  <c r="AS32" i="8"/>
  <c r="AM32" i="8"/>
  <c r="AG32" i="8"/>
  <c r="AA32" i="8"/>
  <c r="I32" i="8"/>
  <c r="U32" i="8"/>
  <c r="O32" i="8"/>
  <c r="BR170" i="8"/>
  <c r="BL170" i="8"/>
  <c r="BF170" i="8"/>
  <c r="AT170" i="8"/>
  <c r="AZ170" i="8"/>
  <c r="AN170" i="8"/>
  <c r="AH170" i="8"/>
  <c r="AB170" i="8"/>
  <c r="V170" i="8"/>
  <c r="P170" i="8"/>
  <c r="J170" i="8"/>
  <c r="BP168" i="8"/>
  <c r="BJ168" i="8"/>
  <c r="BD168" i="8"/>
  <c r="AR168" i="8"/>
  <c r="AX168" i="8"/>
  <c r="AL168" i="8"/>
  <c r="Z168" i="8"/>
  <c r="T168" i="8"/>
  <c r="AF168" i="8"/>
  <c r="N168" i="8"/>
  <c r="H168" i="8"/>
  <c r="BT164" i="8"/>
  <c r="BN164" i="8"/>
  <c r="BH164" i="8"/>
  <c r="AV164" i="8"/>
  <c r="BB164" i="8"/>
  <c r="AP164" i="8"/>
  <c r="AD164" i="8"/>
  <c r="X164" i="8"/>
  <c r="AJ164" i="8"/>
  <c r="R164" i="8"/>
  <c r="L164" i="8"/>
  <c r="BS161" i="8"/>
  <c r="BM161" i="8"/>
  <c r="BG161" i="8"/>
  <c r="AU161" i="8"/>
  <c r="BA161" i="8"/>
  <c r="AO161" i="8"/>
  <c r="AC161" i="8"/>
  <c r="W161" i="8"/>
  <c r="AI161" i="8"/>
  <c r="Q161" i="8"/>
  <c r="K161" i="8"/>
  <c r="BR158" i="8"/>
  <c r="BL158" i="8"/>
  <c r="BF158" i="8"/>
  <c r="AZ158" i="8"/>
  <c r="AN158" i="8"/>
  <c r="AT158" i="8"/>
  <c r="AB158" i="8"/>
  <c r="V158" i="8"/>
  <c r="AH158" i="8"/>
  <c r="P158" i="8"/>
  <c r="J158" i="8"/>
  <c r="BQ155" i="8"/>
  <c r="BK155" i="8"/>
  <c r="BE155" i="8"/>
  <c r="AY155" i="8"/>
  <c r="AM155" i="8"/>
  <c r="AS155" i="8"/>
  <c r="AA155" i="8"/>
  <c r="U155" i="8"/>
  <c r="AG155" i="8"/>
  <c r="O155" i="8"/>
  <c r="I155" i="8"/>
  <c r="BP152" i="8"/>
  <c r="BJ152" i="8"/>
  <c r="BD152" i="8"/>
  <c r="AX152" i="8"/>
  <c r="AL152" i="8"/>
  <c r="AR152" i="8"/>
  <c r="Z152" i="8"/>
  <c r="T152" i="8"/>
  <c r="AF152" i="8"/>
  <c r="N152" i="8"/>
  <c r="H152" i="8"/>
  <c r="BP148" i="8"/>
  <c r="BJ148" i="8"/>
  <c r="BD148" i="8"/>
  <c r="AX148" i="8"/>
  <c r="AL148" i="8"/>
  <c r="AR148" i="8"/>
  <c r="AF148" i="8"/>
  <c r="Z148" i="8"/>
  <c r="T148" i="8"/>
  <c r="N148" i="8"/>
  <c r="H148" i="8"/>
  <c r="BT144" i="8"/>
  <c r="BN144" i="8"/>
  <c r="BH144" i="8"/>
  <c r="BB144" i="8"/>
  <c r="AP144" i="8"/>
  <c r="AV144" i="8"/>
  <c r="AJ144" i="8"/>
  <c r="AD144" i="8"/>
  <c r="X144" i="8"/>
  <c r="R144" i="8"/>
  <c r="L144" i="8"/>
  <c r="BR142" i="8"/>
  <c r="BL142" i="8"/>
  <c r="BF142" i="8"/>
  <c r="AZ142" i="8"/>
  <c r="AN142" i="8"/>
  <c r="AT142" i="8"/>
  <c r="AB142" i="8"/>
  <c r="V142" i="8"/>
  <c r="AH142" i="8"/>
  <c r="P142" i="8"/>
  <c r="J142" i="8"/>
  <c r="BQ139" i="8"/>
  <c r="BK139" i="8"/>
  <c r="BE139" i="8"/>
  <c r="AY139" i="8"/>
  <c r="AM139" i="8"/>
  <c r="AS139" i="8"/>
  <c r="AA139" i="8"/>
  <c r="U139" i="8"/>
  <c r="AG139" i="8"/>
  <c r="O139" i="8"/>
  <c r="I139" i="8"/>
  <c r="BS137" i="8"/>
  <c r="BM137" i="8"/>
  <c r="BG137" i="8"/>
  <c r="BA137" i="8"/>
  <c r="AO137" i="8"/>
  <c r="AU137" i="8"/>
  <c r="AC137" i="8"/>
  <c r="W137" i="8"/>
  <c r="AI137" i="8"/>
  <c r="K137" i="8"/>
  <c r="Q137" i="8"/>
  <c r="BR134" i="8"/>
  <c r="BL134" i="8"/>
  <c r="BF134" i="8"/>
  <c r="AZ134" i="8"/>
  <c r="AN134" i="8"/>
  <c r="AT134" i="8"/>
  <c r="AB134" i="8"/>
  <c r="V134" i="8"/>
  <c r="AH134" i="8"/>
  <c r="J134" i="8"/>
  <c r="P134" i="8"/>
  <c r="BP132" i="8"/>
  <c r="BD132" i="8"/>
  <c r="BJ132" i="8"/>
  <c r="AX132" i="8"/>
  <c r="AR132" i="8"/>
  <c r="AL132" i="8"/>
  <c r="AF132" i="8"/>
  <c r="Z132" i="8"/>
  <c r="T132" i="8"/>
  <c r="N132" i="8"/>
  <c r="H132" i="8"/>
  <c r="BT128" i="8"/>
  <c r="BN128" i="8"/>
  <c r="BH128" i="8"/>
  <c r="BB128" i="8"/>
  <c r="AP128" i="8"/>
  <c r="AV128" i="8"/>
  <c r="AD128" i="8"/>
  <c r="X128" i="8"/>
  <c r="AJ128" i="8"/>
  <c r="L128" i="8"/>
  <c r="R128" i="8"/>
  <c r="BS125" i="8"/>
  <c r="BM125" i="8"/>
  <c r="BG125" i="8"/>
  <c r="BA125" i="8"/>
  <c r="AO125" i="8"/>
  <c r="AU125" i="8"/>
  <c r="AI125" i="8"/>
  <c r="AC125" i="8"/>
  <c r="W125" i="8"/>
  <c r="Q125" i="8"/>
  <c r="K125" i="8"/>
  <c r="BP112" i="8"/>
  <c r="BD112" i="8"/>
  <c r="BJ112" i="8"/>
  <c r="AX112" i="8"/>
  <c r="AR112" i="8"/>
  <c r="AL112" i="8"/>
  <c r="AF112" i="8"/>
  <c r="Z112" i="8"/>
  <c r="H112" i="8"/>
  <c r="T112" i="8"/>
  <c r="N112" i="8"/>
  <c r="BS109" i="8"/>
  <c r="BM109" i="8"/>
  <c r="BG109" i="8"/>
  <c r="BA109" i="8"/>
  <c r="AU109" i="8"/>
  <c r="AO109" i="8"/>
  <c r="AI109" i="8"/>
  <c r="AC109" i="8"/>
  <c r="K109" i="8"/>
  <c r="W109" i="8"/>
  <c r="Q109" i="8"/>
  <c r="BQ107" i="8"/>
  <c r="BK107" i="8"/>
  <c r="BE107" i="8"/>
  <c r="AY107" i="8"/>
  <c r="AS107" i="8"/>
  <c r="AM107" i="8"/>
  <c r="AG107" i="8"/>
  <c r="AA107" i="8"/>
  <c r="U107" i="8"/>
  <c r="O107" i="8"/>
  <c r="I107" i="8"/>
  <c r="BP104" i="8"/>
  <c r="BJ104" i="8"/>
  <c r="BD104" i="8"/>
  <c r="AX104" i="8"/>
  <c r="AR104" i="8"/>
  <c r="AL104" i="8"/>
  <c r="AF104" i="8"/>
  <c r="Z104" i="8"/>
  <c r="T104" i="8"/>
  <c r="N104" i="8"/>
  <c r="H104" i="8"/>
  <c r="BT100" i="8"/>
  <c r="BN100" i="8"/>
  <c r="BH100" i="8"/>
  <c r="BB100" i="8"/>
  <c r="AV100" i="8"/>
  <c r="AP100" i="8"/>
  <c r="AJ100" i="8"/>
  <c r="AD100" i="8"/>
  <c r="X100" i="8"/>
  <c r="R100" i="8"/>
  <c r="L100" i="8"/>
  <c r="BS97" i="8"/>
  <c r="BM97" i="8"/>
  <c r="BG97" i="8"/>
  <c r="BA97" i="8"/>
  <c r="AU97" i="8"/>
  <c r="AO97" i="8"/>
  <c r="AI97" i="8"/>
  <c r="AC97" i="8"/>
  <c r="W97" i="8"/>
  <c r="Q97" i="8"/>
  <c r="K97" i="8"/>
  <c r="BR94" i="8"/>
  <c r="BF94" i="8"/>
  <c r="BL94" i="8"/>
  <c r="AZ94" i="8"/>
  <c r="AT94" i="8"/>
  <c r="AN94" i="8"/>
  <c r="AH94" i="8"/>
  <c r="AB94" i="8"/>
  <c r="V94" i="8"/>
  <c r="P94" i="8"/>
  <c r="J94" i="8"/>
  <c r="BR90" i="8"/>
  <c r="BL90" i="8"/>
  <c r="BF90" i="8"/>
  <c r="AZ90" i="8"/>
  <c r="AN90" i="8"/>
  <c r="AT90" i="8"/>
  <c r="AH90" i="8"/>
  <c r="AB90" i="8"/>
  <c r="J90" i="8"/>
  <c r="V90" i="8"/>
  <c r="P90" i="8"/>
  <c r="BT84" i="8"/>
  <c r="BN84" i="8"/>
  <c r="BH84" i="8"/>
  <c r="BB84" i="8"/>
  <c r="AV84" i="8"/>
  <c r="AP84" i="8"/>
  <c r="AJ84" i="8"/>
  <c r="AD84" i="8"/>
  <c r="X84" i="8"/>
  <c r="R84" i="8"/>
  <c r="L84" i="8"/>
  <c r="BR78" i="8"/>
  <c r="BL78" i="8"/>
  <c r="BF78" i="8"/>
  <c r="AZ78" i="8"/>
  <c r="AT78" i="8"/>
  <c r="AH78" i="8"/>
  <c r="AB78" i="8"/>
  <c r="AN78" i="8"/>
  <c r="J78" i="8"/>
  <c r="V78" i="8"/>
  <c r="P78" i="8"/>
  <c r="BQ75" i="8"/>
  <c r="BK75" i="8"/>
  <c r="BE75" i="8"/>
  <c r="AY75" i="8"/>
  <c r="AS75" i="8"/>
  <c r="AM75" i="8"/>
  <c r="AG75" i="8"/>
  <c r="AA75" i="8"/>
  <c r="I75" i="8"/>
  <c r="U75" i="8"/>
  <c r="O75" i="8"/>
  <c r="BS73" i="8"/>
  <c r="BM73" i="8"/>
  <c r="BG73" i="8"/>
  <c r="BA73" i="8"/>
  <c r="AU73" i="8"/>
  <c r="AO73" i="8"/>
  <c r="AI73" i="8"/>
  <c r="AC73" i="8"/>
  <c r="W73" i="8"/>
  <c r="Q73" i="8"/>
  <c r="K73" i="8"/>
  <c r="BP72" i="8"/>
  <c r="BJ72" i="8"/>
  <c r="BD72" i="8"/>
  <c r="AX72" i="8"/>
  <c r="AR72" i="8"/>
  <c r="AL72" i="8"/>
  <c r="AF72" i="8"/>
  <c r="Z72" i="8"/>
  <c r="H72" i="8"/>
  <c r="T72" i="8"/>
  <c r="N72" i="8"/>
  <c r="BT68" i="8"/>
  <c r="BN68" i="8"/>
  <c r="BH68" i="8"/>
  <c r="BB68" i="8"/>
  <c r="AV68" i="8"/>
  <c r="AP68" i="8"/>
  <c r="AJ68" i="8"/>
  <c r="AD68" i="8"/>
  <c r="X68" i="8"/>
  <c r="R68" i="8"/>
  <c r="L68" i="8"/>
  <c r="BR66" i="8"/>
  <c r="BL66" i="8"/>
  <c r="AZ66" i="8"/>
  <c r="BF66" i="8"/>
  <c r="AT66" i="8"/>
  <c r="AN66" i="8"/>
  <c r="AH66" i="8"/>
  <c r="AB66" i="8"/>
  <c r="V66" i="8"/>
  <c r="P66" i="8"/>
  <c r="J66" i="8"/>
  <c r="BS61" i="8"/>
  <c r="BM61" i="8"/>
  <c r="BG61" i="8"/>
  <c r="BA61" i="8"/>
  <c r="AU61" i="8"/>
  <c r="AO61" i="8"/>
  <c r="AI61" i="8"/>
  <c r="AC61" i="8"/>
  <c r="W61" i="8"/>
  <c r="Q61" i="8"/>
  <c r="K61" i="8"/>
  <c r="BP60" i="8"/>
  <c r="BJ60" i="8"/>
  <c r="BD60" i="8"/>
  <c r="AX60" i="8"/>
  <c r="AR60" i="8"/>
  <c r="AL60" i="8"/>
  <c r="AF60" i="8"/>
  <c r="Z60" i="8"/>
  <c r="T60" i="8"/>
  <c r="N60" i="8"/>
  <c r="H60" i="8"/>
  <c r="BS57" i="8"/>
  <c r="BM57" i="8"/>
  <c r="BG57" i="8"/>
  <c r="BA57" i="8"/>
  <c r="AU57" i="8"/>
  <c r="AO57" i="8"/>
  <c r="AI57" i="8"/>
  <c r="AC57" i="8"/>
  <c r="K57" i="8"/>
  <c r="W57" i="8"/>
  <c r="Q57" i="8"/>
  <c r="BT172" i="8"/>
  <c r="BN172" i="8"/>
  <c r="BH172" i="8"/>
  <c r="AV172" i="8"/>
  <c r="BB172" i="8"/>
  <c r="AP172" i="8"/>
  <c r="AD172" i="8"/>
  <c r="X172" i="8"/>
  <c r="AJ172" i="8"/>
  <c r="R172" i="8"/>
  <c r="L172" i="8"/>
  <c r="BR42" i="8"/>
  <c r="BL42" i="8"/>
  <c r="BF42" i="8"/>
  <c r="AZ42" i="8"/>
  <c r="AT42" i="8"/>
  <c r="AN42" i="8"/>
  <c r="AH42" i="8"/>
  <c r="AB42" i="8"/>
  <c r="J42" i="8"/>
  <c r="V42" i="8"/>
  <c r="P42" i="8"/>
  <c r="BP40" i="8"/>
  <c r="BJ40" i="8"/>
  <c r="BD40" i="8"/>
  <c r="AX40" i="8"/>
  <c r="AR40" i="8"/>
  <c r="AL40" i="8"/>
  <c r="AF40" i="8"/>
  <c r="Z40" i="8"/>
  <c r="T40" i="8"/>
  <c r="N40" i="8"/>
  <c r="H40" i="8"/>
  <c r="BR38" i="8"/>
  <c r="BL38" i="8"/>
  <c r="BF38" i="8"/>
  <c r="AZ38" i="8"/>
  <c r="AT38" i="8"/>
  <c r="AN38" i="8"/>
  <c r="AH38" i="8"/>
  <c r="AB38" i="8"/>
  <c r="V38" i="8"/>
  <c r="P38" i="8"/>
  <c r="J38" i="8"/>
  <c r="BT36" i="8"/>
  <c r="BN36" i="8"/>
  <c r="BH36" i="8"/>
  <c r="BB36" i="8"/>
  <c r="AV36" i="8"/>
  <c r="AP36" i="8"/>
  <c r="AJ36" i="8"/>
  <c r="AD36" i="8"/>
  <c r="L36" i="8"/>
  <c r="X36" i="8"/>
  <c r="R36" i="8"/>
  <c r="BS33" i="8"/>
  <c r="BM33" i="8"/>
  <c r="BA33" i="8"/>
  <c r="BG33" i="8"/>
  <c r="AU33" i="8"/>
  <c r="AO33" i="8"/>
  <c r="AI33" i="8"/>
  <c r="AC33" i="8"/>
  <c r="K33" i="8"/>
  <c r="W33" i="8"/>
  <c r="Q33" i="8"/>
  <c r="BT32" i="8"/>
  <c r="BN32" i="8"/>
  <c r="BH32" i="8"/>
  <c r="BB32" i="8"/>
  <c r="AV32" i="8"/>
  <c r="AP32" i="8"/>
  <c r="AJ32" i="8"/>
  <c r="AD32" i="8"/>
  <c r="X32" i="8"/>
  <c r="R32" i="8"/>
  <c r="L32" i="8"/>
  <c r="BQ27" i="8"/>
  <c r="BK27" i="8"/>
  <c r="AY27" i="8"/>
  <c r="BE27" i="8"/>
  <c r="AS27" i="8"/>
  <c r="AM27" i="8"/>
  <c r="AG27" i="8"/>
  <c r="AA27" i="8"/>
  <c r="I27" i="8"/>
  <c r="U27" i="8"/>
  <c r="O27" i="8"/>
  <c r="BQ170" i="8"/>
  <c r="BK170" i="8"/>
  <c r="BE170" i="8"/>
  <c r="AY170" i="8"/>
  <c r="AS170" i="8"/>
  <c r="AM170" i="8"/>
  <c r="AG170" i="8"/>
  <c r="AA170" i="8"/>
  <c r="U170" i="8"/>
  <c r="O170" i="8"/>
  <c r="I170" i="8"/>
  <c r="BT167" i="8"/>
  <c r="BN167" i="8"/>
  <c r="BH167" i="8"/>
  <c r="BB167" i="8"/>
  <c r="AP167" i="8"/>
  <c r="AV167" i="8"/>
  <c r="AJ167" i="8"/>
  <c r="AD167" i="8"/>
  <c r="X167" i="8"/>
  <c r="R167" i="8"/>
  <c r="L167" i="8"/>
  <c r="BR165" i="8"/>
  <c r="BL165" i="8"/>
  <c r="BF165" i="8"/>
  <c r="AZ165" i="8"/>
  <c r="AN165" i="8"/>
  <c r="AT165" i="8"/>
  <c r="AH165" i="8"/>
  <c r="AB165" i="8"/>
  <c r="V165" i="8"/>
  <c r="P165" i="8"/>
  <c r="J165" i="8"/>
  <c r="BP163" i="8"/>
  <c r="BJ163" i="8"/>
  <c r="BD163" i="8"/>
  <c r="AX163" i="8"/>
  <c r="AR163" i="8"/>
  <c r="AL163" i="8"/>
  <c r="AF163" i="8"/>
  <c r="Z163" i="8"/>
  <c r="T163" i="8"/>
  <c r="N163" i="8"/>
  <c r="H163" i="8"/>
  <c r="BS160" i="8"/>
  <c r="BM160" i="8"/>
  <c r="BG160" i="8"/>
  <c r="BA160" i="8"/>
  <c r="AU160" i="8"/>
  <c r="AO160" i="8"/>
  <c r="AI160" i="8"/>
  <c r="AC160" i="8"/>
  <c r="W160" i="8"/>
  <c r="Q160" i="8"/>
  <c r="K160" i="8"/>
  <c r="BR157" i="8"/>
  <c r="BL157" i="8"/>
  <c r="BF157" i="8"/>
  <c r="AZ157" i="8"/>
  <c r="AN157" i="8"/>
  <c r="AT157" i="8"/>
  <c r="AH157" i="8"/>
  <c r="AB157" i="8"/>
  <c r="V157" i="8"/>
  <c r="P157" i="8"/>
  <c r="J157" i="8"/>
  <c r="BP155" i="8"/>
  <c r="BJ155" i="8"/>
  <c r="BD155" i="8"/>
  <c r="AX155" i="8"/>
  <c r="AR155" i="8"/>
  <c r="AL155" i="8"/>
  <c r="AF155" i="8"/>
  <c r="Z155" i="8"/>
  <c r="T155" i="8"/>
  <c r="N155" i="8"/>
  <c r="H155" i="8"/>
  <c r="BT151" i="8"/>
  <c r="BN151" i="8"/>
  <c r="BH151" i="8"/>
  <c r="BB151" i="8"/>
  <c r="AV151" i="8"/>
  <c r="AP151" i="8"/>
  <c r="AJ151" i="8"/>
  <c r="AD151" i="8"/>
  <c r="X151" i="8"/>
  <c r="R151" i="8"/>
  <c r="L151" i="8"/>
  <c r="BS148" i="8"/>
  <c r="BM148" i="8"/>
  <c r="BG148" i="8"/>
  <c r="BA148" i="8"/>
  <c r="AU148" i="8"/>
  <c r="AO148" i="8"/>
  <c r="AI148" i="8"/>
  <c r="AC148" i="8"/>
  <c r="W148" i="8"/>
  <c r="Q148" i="8"/>
  <c r="K148" i="8"/>
  <c r="BR141" i="8"/>
  <c r="BL141" i="8"/>
  <c r="BF141" i="8"/>
  <c r="AZ141" i="8"/>
  <c r="AN141" i="8"/>
  <c r="AT141" i="8"/>
  <c r="AH141" i="8"/>
  <c r="AB141" i="8"/>
  <c r="V141" i="8"/>
  <c r="P141" i="8"/>
  <c r="J141" i="8"/>
  <c r="BR172" i="8"/>
  <c r="BL172" i="8"/>
  <c r="BF172" i="8"/>
  <c r="AZ172" i="8"/>
  <c r="AT172" i="8"/>
  <c r="AN172" i="8"/>
  <c r="AH172" i="8"/>
  <c r="AB172" i="8"/>
  <c r="V172" i="8"/>
  <c r="P172" i="8"/>
  <c r="J172" i="8"/>
  <c r="BS171" i="8"/>
  <c r="BM171" i="8"/>
  <c r="BG171" i="8"/>
  <c r="BA171" i="8"/>
  <c r="AU171" i="8"/>
  <c r="AO171" i="8"/>
  <c r="AI171" i="8"/>
  <c r="AC171" i="8"/>
  <c r="W171" i="8"/>
  <c r="Q171" i="8"/>
  <c r="K171" i="8"/>
  <c r="BT54" i="8"/>
  <c r="BN54" i="8"/>
  <c r="BH54" i="8"/>
  <c r="BB54" i="8"/>
  <c r="AV54" i="8"/>
  <c r="AP54" i="8"/>
  <c r="AJ54" i="8"/>
  <c r="AD54" i="8"/>
  <c r="X54" i="8"/>
  <c r="R54" i="8"/>
  <c r="L54" i="8"/>
  <c r="BQ53" i="8"/>
  <c r="BK53" i="8"/>
  <c r="AY53" i="8"/>
  <c r="BE53" i="8"/>
  <c r="AS53" i="8"/>
  <c r="AG53" i="8"/>
  <c r="AA53" i="8"/>
  <c r="AM53" i="8"/>
  <c r="I53" i="8"/>
  <c r="U53" i="8"/>
  <c r="O53" i="8"/>
  <c r="BS51" i="8"/>
  <c r="BM51" i="8"/>
  <c r="BG51" i="8"/>
  <c r="BA51" i="8"/>
  <c r="AU51" i="8"/>
  <c r="AO51" i="8"/>
  <c r="AI51" i="8"/>
  <c r="AC51" i="8"/>
  <c r="W51" i="8"/>
  <c r="Q51" i="8"/>
  <c r="K51" i="8"/>
  <c r="BT46" i="8"/>
  <c r="BN46" i="8"/>
  <c r="BB46" i="8"/>
  <c r="BH46" i="8"/>
  <c r="AV46" i="8"/>
  <c r="AJ46" i="8"/>
  <c r="AD46" i="8"/>
  <c r="AP46" i="8"/>
  <c r="L46" i="8"/>
  <c r="X46" i="8"/>
  <c r="R46" i="8"/>
  <c r="BQ45" i="8"/>
  <c r="BK45" i="8"/>
  <c r="AY45" i="8"/>
  <c r="BE45" i="8"/>
  <c r="AS45" i="8"/>
  <c r="AM45" i="8"/>
  <c r="AG45" i="8"/>
  <c r="AA45" i="8"/>
  <c r="I45" i="8"/>
  <c r="U45" i="8"/>
  <c r="O45" i="8"/>
  <c r="BR44" i="8"/>
  <c r="BL44" i="8"/>
  <c r="BF44" i="8"/>
  <c r="AZ44" i="8"/>
  <c r="AT44" i="8"/>
  <c r="AN44" i="8"/>
  <c r="AH44" i="8"/>
  <c r="AB44" i="8"/>
  <c r="V44" i="8"/>
  <c r="P44" i="8"/>
  <c r="J44" i="8"/>
  <c r="BS43" i="8"/>
  <c r="BM43" i="8"/>
  <c r="BG43" i="8"/>
  <c r="BA43" i="8"/>
  <c r="AU43" i="8"/>
  <c r="AO43" i="8"/>
  <c r="AI43" i="8"/>
  <c r="AC43" i="8"/>
  <c r="K43" i="8"/>
  <c r="W43" i="8"/>
  <c r="Q43" i="8"/>
  <c r="BT42" i="8"/>
  <c r="BN42" i="8"/>
  <c r="BB42" i="8"/>
  <c r="BH42" i="8"/>
  <c r="AV42" i="8"/>
  <c r="AP42" i="8"/>
  <c r="AJ42" i="8"/>
  <c r="AD42" i="8"/>
  <c r="L42" i="8"/>
  <c r="X42" i="8"/>
  <c r="R42" i="8"/>
  <c r="BP42" i="8"/>
  <c r="BJ42" i="8"/>
  <c r="BD42" i="8"/>
  <c r="AX42" i="8"/>
  <c r="AR42" i="8"/>
  <c r="AL42" i="8"/>
  <c r="AF42" i="8"/>
  <c r="Z42" i="8"/>
  <c r="T42" i="8"/>
  <c r="N42" i="8"/>
  <c r="H42" i="8"/>
  <c r="BR40" i="8"/>
  <c r="BL40" i="8"/>
  <c r="BF40" i="8"/>
  <c r="AZ40" i="8"/>
  <c r="AT40" i="8"/>
  <c r="AN40" i="8"/>
  <c r="AH40" i="8"/>
  <c r="AB40" i="8"/>
  <c r="J40" i="8"/>
  <c r="V40" i="8"/>
  <c r="P40" i="8"/>
  <c r="BS39" i="8"/>
  <c r="BM39" i="8"/>
  <c r="BG39" i="8"/>
  <c r="AU39" i="8"/>
  <c r="BA39" i="8"/>
  <c r="AO39" i="8"/>
  <c r="AI39" i="8"/>
  <c r="AC39" i="8"/>
  <c r="W39" i="8"/>
  <c r="Q39" i="8"/>
  <c r="K39" i="8"/>
  <c r="BT38" i="8"/>
  <c r="BN38" i="8"/>
  <c r="BH38" i="8"/>
  <c r="BB38" i="8"/>
  <c r="AV38" i="8"/>
  <c r="AP38" i="8"/>
  <c r="AJ38" i="8"/>
  <c r="AD38" i="8"/>
  <c r="X38" i="8"/>
  <c r="R38" i="8"/>
  <c r="L38" i="8"/>
  <c r="BQ37" i="8"/>
  <c r="BK37" i="8"/>
  <c r="BE37" i="8"/>
  <c r="AY37" i="8"/>
  <c r="AS37" i="8"/>
  <c r="AM37" i="8"/>
  <c r="AG37" i="8"/>
  <c r="AA37" i="8"/>
  <c r="U37" i="8"/>
  <c r="O37" i="8"/>
  <c r="I37" i="8"/>
  <c r="BS35" i="8"/>
  <c r="BM35" i="8"/>
  <c r="BG35" i="8"/>
  <c r="BA35" i="8"/>
  <c r="AU35" i="8"/>
  <c r="AO35" i="8"/>
  <c r="AI35" i="8"/>
  <c r="AC35" i="8"/>
  <c r="W35" i="8"/>
  <c r="Q35" i="8"/>
  <c r="BT34" i="8"/>
  <c r="BN34" i="8"/>
  <c r="BB34" i="8"/>
  <c r="BH34" i="8"/>
  <c r="AV34" i="8"/>
  <c r="AJ34" i="8"/>
  <c r="AD34" i="8"/>
  <c r="AP34" i="8"/>
  <c r="L34" i="8"/>
  <c r="X34" i="8"/>
  <c r="R34" i="8"/>
  <c r="BQ33" i="8"/>
  <c r="BK33" i="8"/>
  <c r="BE33" i="8"/>
  <c r="AY33" i="8"/>
  <c r="AS33" i="8"/>
  <c r="AM33" i="8"/>
  <c r="AG33" i="8"/>
  <c r="AA33" i="8"/>
  <c r="I33" i="8"/>
  <c r="U33" i="8"/>
  <c r="O33" i="8"/>
  <c r="BR32" i="8"/>
  <c r="BL32" i="8"/>
  <c r="BF32" i="8"/>
  <c r="AZ32" i="8"/>
  <c r="AT32" i="8"/>
  <c r="AN32" i="8"/>
  <c r="AH32" i="8"/>
  <c r="AB32" i="8"/>
  <c r="V32" i="8"/>
  <c r="P32" i="8"/>
  <c r="J32" i="8"/>
  <c r="BS31" i="8"/>
  <c r="BM31" i="8"/>
  <c r="BA31" i="8"/>
  <c r="BG31" i="8"/>
  <c r="AU31" i="8"/>
  <c r="AO31" i="8"/>
  <c r="AI31" i="8"/>
  <c r="AC31" i="8"/>
  <c r="K31" i="8"/>
  <c r="W31" i="8"/>
  <c r="Q31" i="8"/>
  <c r="BT30" i="8"/>
  <c r="BN30" i="8"/>
  <c r="BH30" i="8"/>
  <c r="BB30" i="8"/>
  <c r="AV30" i="8"/>
  <c r="AP30" i="8"/>
  <c r="AJ30" i="8"/>
  <c r="AD30" i="8"/>
  <c r="L30" i="8"/>
  <c r="X30" i="8"/>
  <c r="R30" i="8"/>
  <c r="BS27" i="8"/>
  <c r="BM27" i="8"/>
  <c r="BG27" i="8"/>
  <c r="BA27" i="8"/>
  <c r="AU27" i="8"/>
  <c r="AO27" i="8"/>
  <c r="AI27" i="8"/>
  <c r="AC27" i="8"/>
  <c r="W27" i="8"/>
  <c r="Q27" i="8"/>
  <c r="K27" i="8"/>
  <c r="BS170" i="8"/>
  <c r="BM170" i="8"/>
  <c r="BG170" i="8"/>
  <c r="BA170" i="8"/>
  <c r="AU170" i="8"/>
  <c r="AO170" i="8"/>
  <c r="AI170" i="8"/>
  <c r="AC170" i="8"/>
  <c r="W170" i="8"/>
  <c r="Q170" i="8"/>
  <c r="K170" i="8"/>
  <c r="BT169" i="8"/>
  <c r="BN169" i="8"/>
  <c r="BH169" i="8"/>
  <c r="BB169" i="8"/>
  <c r="AV169" i="8"/>
  <c r="AP169" i="8"/>
  <c r="AJ169" i="8"/>
  <c r="AD169" i="8"/>
  <c r="R169" i="8"/>
  <c r="X169" i="8"/>
  <c r="L169" i="8"/>
  <c r="BP169" i="8"/>
  <c r="BJ169" i="8"/>
  <c r="BD169" i="8"/>
  <c r="AX169" i="8"/>
  <c r="AR169" i="8"/>
  <c r="AL169" i="8"/>
  <c r="AF169" i="8"/>
  <c r="Z169" i="8"/>
  <c r="T169" i="8"/>
  <c r="N169" i="8"/>
  <c r="H169" i="8"/>
  <c r="BQ168" i="8"/>
  <c r="BK168" i="8"/>
  <c r="BE168" i="8"/>
  <c r="AY168" i="8"/>
  <c r="AS168" i="8"/>
  <c r="AM168" i="8"/>
  <c r="AG168" i="8"/>
  <c r="AA168" i="8"/>
  <c r="U168" i="8"/>
  <c r="O168" i="8"/>
  <c r="I168" i="8"/>
  <c r="BR167" i="8"/>
  <c r="BL167" i="8"/>
  <c r="BF167" i="8"/>
  <c r="AZ167" i="8"/>
  <c r="AT167" i="8"/>
  <c r="AN167" i="8"/>
  <c r="AH167" i="8"/>
  <c r="AB167" i="8"/>
  <c r="V167" i="8"/>
  <c r="P167" i="8"/>
  <c r="J167" i="8"/>
  <c r="BS166" i="8"/>
  <c r="BM166" i="8"/>
  <c r="BG166" i="8"/>
  <c r="BA166" i="8"/>
  <c r="AU166" i="8"/>
  <c r="AO166" i="8"/>
  <c r="AI166" i="8"/>
  <c r="AC166" i="8"/>
  <c r="Q166" i="8"/>
  <c r="W166" i="8"/>
  <c r="K166" i="8"/>
  <c r="BT165" i="8"/>
  <c r="BN165" i="8"/>
  <c r="BH165" i="8"/>
  <c r="BB165" i="8"/>
  <c r="AV165" i="8"/>
  <c r="AP165" i="8"/>
  <c r="AJ165" i="8"/>
  <c r="AD165" i="8"/>
  <c r="X165" i="8"/>
  <c r="R165" i="8"/>
  <c r="L165" i="8"/>
  <c r="BP165" i="8"/>
  <c r="BJ165" i="8"/>
  <c r="BD165" i="8"/>
  <c r="AX165" i="8"/>
  <c r="AR165" i="8"/>
  <c r="AL165" i="8"/>
  <c r="AF165" i="8"/>
  <c r="Z165" i="8"/>
  <c r="T165" i="8"/>
  <c r="N165" i="8"/>
  <c r="H165" i="8"/>
  <c r="BQ164" i="8"/>
  <c r="BK164" i="8"/>
  <c r="BE164" i="8"/>
  <c r="AY164" i="8"/>
  <c r="AS164" i="8"/>
  <c r="AM164" i="8"/>
  <c r="AG164" i="8"/>
  <c r="AA164" i="8"/>
  <c r="U164" i="8"/>
  <c r="O164" i="8"/>
  <c r="I164" i="8"/>
  <c r="BR163" i="8"/>
  <c r="BL163" i="8"/>
  <c r="BF163" i="8"/>
  <c r="AZ163" i="8"/>
  <c r="AT163" i="8"/>
  <c r="AN163" i="8"/>
  <c r="AH163" i="8"/>
  <c r="AB163" i="8"/>
  <c r="P163" i="8"/>
  <c r="V163" i="8"/>
  <c r="J163" i="8"/>
  <c r="BS162" i="8"/>
  <c r="BM162" i="8"/>
  <c r="BG162" i="8"/>
  <c r="BA162" i="8"/>
  <c r="AU162" i="8"/>
  <c r="AO162" i="8"/>
  <c r="AI162" i="8"/>
  <c r="AC162" i="8"/>
  <c r="W162" i="8"/>
  <c r="Q162" i="8"/>
  <c r="K162" i="8"/>
  <c r="BT161" i="8"/>
  <c r="BN161" i="8"/>
  <c r="BH161" i="8"/>
  <c r="BB161" i="8"/>
  <c r="AV161" i="8"/>
  <c r="AP161" i="8"/>
  <c r="AJ161" i="8"/>
  <c r="AD161" i="8"/>
  <c r="X161" i="8"/>
  <c r="R161" i="8"/>
  <c r="L161" i="8"/>
  <c r="BP161" i="8"/>
  <c r="BJ161" i="8"/>
  <c r="BD161" i="8"/>
  <c r="AX161" i="8"/>
  <c r="AR161" i="8"/>
  <c r="AL161" i="8"/>
  <c r="AF161" i="8"/>
  <c r="Z161" i="8"/>
  <c r="T161" i="8"/>
  <c r="N161" i="8"/>
  <c r="H161" i="8"/>
  <c r="BQ160" i="8"/>
  <c r="BK160" i="8"/>
  <c r="BE160" i="8"/>
  <c r="AY160" i="8"/>
  <c r="AS160" i="8"/>
  <c r="AM160" i="8"/>
  <c r="AG160" i="8"/>
  <c r="AA160" i="8"/>
  <c r="O160" i="8"/>
  <c r="U160" i="8"/>
  <c r="I160" i="8"/>
  <c r="BR159" i="8"/>
  <c r="BL159" i="8"/>
  <c r="BF159" i="8"/>
  <c r="AZ159" i="8"/>
  <c r="AT159" i="8"/>
  <c r="AN159" i="8"/>
  <c r="AH159" i="8"/>
  <c r="AB159" i="8"/>
  <c r="V159" i="8"/>
  <c r="P159" i="8"/>
  <c r="J159" i="8"/>
  <c r="BS158" i="8"/>
  <c r="BM158" i="8"/>
  <c r="BG158" i="8"/>
  <c r="BA158" i="8"/>
  <c r="AU158" i="8"/>
  <c r="AO158" i="8"/>
  <c r="AI158" i="8"/>
  <c r="AC158" i="8"/>
  <c r="W158" i="8"/>
  <c r="Q158" i="8"/>
  <c r="K158" i="8"/>
  <c r="BT157" i="8"/>
  <c r="BN157" i="8"/>
  <c r="BH157" i="8"/>
  <c r="BB157" i="8"/>
  <c r="AV157" i="8"/>
  <c r="AP157" i="8"/>
  <c r="AJ157" i="8"/>
  <c r="AD157" i="8"/>
  <c r="X157" i="8"/>
  <c r="R157" i="8"/>
  <c r="L157" i="8"/>
  <c r="BP157" i="8"/>
  <c r="BJ157" i="8"/>
  <c r="BD157" i="8"/>
  <c r="AX157" i="8"/>
  <c r="AR157" i="8"/>
  <c r="AL157" i="8"/>
  <c r="AF157" i="8"/>
  <c r="Z157" i="8"/>
  <c r="N157" i="8"/>
  <c r="T157" i="8"/>
  <c r="H157" i="8"/>
  <c r="BQ156" i="8"/>
  <c r="BK156" i="8"/>
  <c r="BE156" i="8"/>
  <c r="AY156" i="8"/>
  <c r="AS156" i="8"/>
  <c r="AM156" i="8"/>
  <c r="AG156" i="8"/>
  <c r="AA156" i="8"/>
  <c r="U156" i="8"/>
  <c r="O156" i="8"/>
  <c r="I156" i="8"/>
  <c r="BR155" i="8"/>
  <c r="BL155" i="8"/>
  <c r="BF155" i="8"/>
  <c r="AZ155" i="8"/>
  <c r="AT155" i="8"/>
  <c r="AN155" i="8"/>
  <c r="AH155" i="8"/>
  <c r="AB155" i="8"/>
  <c r="V155" i="8"/>
  <c r="P155" i="8"/>
  <c r="J155" i="8"/>
  <c r="BS154" i="8"/>
  <c r="BM154" i="8"/>
  <c r="BG154" i="8"/>
  <c r="BA154" i="8"/>
  <c r="AU154" i="8"/>
  <c r="AO154" i="8"/>
  <c r="AI154" i="8"/>
  <c r="AC154" i="8"/>
  <c r="W154" i="8"/>
  <c r="Q154" i="8"/>
  <c r="K154" i="8"/>
  <c r="BT153" i="8"/>
  <c r="BN153" i="8"/>
  <c r="BH153" i="8"/>
  <c r="BB153" i="8"/>
  <c r="AV153" i="8"/>
  <c r="AP153" i="8"/>
  <c r="AJ153" i="8"/>
  <c r="AD153" i="8"/>
  <c r="R153" i="8"/>
  <c r="X153" i="8"/>
  <c r="L153" i="8"/>
  <c r="BP153" i="8"/>
  <c r="BJ153" i="8"/>
  <c r="BD153" i="8"/>
  <c r="AX153" i="8"/>
  <c r="AR153" i="8"/>
  <c r="AL153" i="8"/>
  <c r="AF153" i="8"/>
  <c r="Z153" i="8"/>
  <c r="T153" i="8"/>
  <c r="N153" i="8"/>
  <c r="H153" i="8"/>
  <c r="BQ152" i="8"/>
  <c r="BK152" i="8"/>
  <c r="BE152" i="8"/>
  <c r="AY152" i="8"/>
  <c r="AS152" i="8"/>
  <c r="AM152" i="8"/>
  <c r="AG152" i="8"/>
  <c r="AA152" i="8"/>
  <c r="U152" i="8"/>
  <c r="O152" i="8"/>
  <c r="I152" i="8"/>
  <c r="BR151" i="8"/>
  <c r="BL151" i="8"/>
  <c r="BF151" i="8"/>
  <c r="AZ151" i="8"/>
  <c r="AT151" i="8"/>
  <c r="AN151" i="8"/>
  <c r="AH151" i="8"/>
  <c r="AB151" i="8"/>
  <c r="V151" i="8"/>
  <c r="P151" i="8"/>
  <c r="J151" i="8"/>
  <c r="BS150" i="8"/>
  <c r="BM150" i="8"/>
  <c r="BG150" i="8"/>
  <c r="BA150" i="8"/>
  <c r="AU150" i="8"/>
  <c r="AO150" i="8"/>
  <c r="AI150" i="8"/>
  <c r="AC150" i="8"/>
  <c r="Q150" i="8"/>
  <c r="W150" i="8"/>
  <c r="K150" i="8"/>
  <c r="BT149" i="8"/>
  <c r="BN149" i="8"/>
  <c r="BH149" i="8"/>
  <c r="BB149" i="8"/>
  <c r="AV149" i="8"/>
  <c r="AP149" i="8"/>
  <c r="AJ149" i="8"/>
  <c r="AD149" i="8"/>
  <c r="X149" i="8"/>
  <c r="R149" i="8"/>
  <c r="L149" i="8"/>
  <c r="BP149" i="8"/>
  <c r="BJ149" i="8"/>
  <c r="BD149" i="8"/>
  <c r="AX149" i="8"/>
  <c r="AR149" i="8"/>
  <c r="AL149" i="8"/>
  <c r="AF149" i="8"/>
  <c r="Z149" i="8"/>
  <c r="T149" i="8"/>
  <c r="N149" i="8"/>
  <c r="H149" i="8"/>
  <c r="BQ148" i="8"/>
  <c r="BK148" i="8"/>
  <c r="BE148" i="8"/>
  <c r="AY148" i="8"/>
  <c r="AS148" i="8"/>
  <c r="AM148" i="8"/>
  <c r="AG148" i="8"/>
  <c r="AA148" i="8"/>
  <c r="U148" i="8"/>
  <c r="O148" i="8"/>
  <c r="I148" i="8"/>
  <c r="BR147" i="8"/>
  <c r="BL147" i="8"/>
  <c r="BF147" i="8"/>
  <c r="AZ147" i="8"/>
  <c r="AT147" i="8"/>
  <c r="AN147" i="8"/>
  <c r="AH147" i="8"/>
  <c r="AB147" i="8"/>
  <c r="P147" i="8"/>
  <c r="V147" i="8"/>
  <c r="J147" i="8"/>
  <c r="BS146" i="8"/>
  <c r="BM146" i="8"/>
  <c r="BG146" i="8"/>
  <c r="BA146" i="8"/>
  <c r="AU146" i="8"/>
  <c r="AO146" i="8"/>
  <c r="AI146" i="8"/>
  <c r="AC146" i="8"/>
  <c r="W146" i="8"/>
  <c r="Q146" i="8"/>
  <c r="K146" i="8"/>
  <c r="BT145" i="8"/>
  <c r="BN145" i="8"/>
  <c r="BH145" i="8"/>
  <c r="BB145" i="8"/>
  <c r="AV145" i="8"/>
  <c r="AP145" i="8"/>
  <c r="AJ145" i="8"/>
  <c r="AD145" i="8"/>
  <c r="X145" i="8"/>
  <c r="R145" i="8"/>
  <c r="L145" i="8"/>
  <c r="BP145" i="8"/>
  <c r="BJ145" i="8"/>
  <c r="BD145" i="8"/>
  <c r="AX145" i="8"/>
  <c r="AR145" i="8"/>
  <c r="AL145" i="8"/>
  <c r="AF145" i="8"/>
  <c r="Z145" i="8"/>
  <c r="T145" i="8"/>
  <c r="N145" i="8"/>
  <c r="H145" i="8"/>
  <c r="BQ144" i="8"/>
  <c r="BK144" i="8"/>
  <c r="BE144" i="8"/>
  <c r="AY144" i="8"/>
  <c r="AS144" i="8"/>
  <c r="AM144" i="8"/>
  <c r="AG144" i="8"/>
  <c r="AA144" i="8"/>
  <c r="O144" i="8"/>
  <c r="U144" i="8"/>
  <c r="I144" i="8"/>
  <c r="BR143" i="8"/>
  <c r="BL143" i="8"/>
  <c r="BF143" i="8"/>
  <c r="AZ143" i="8"/>
  <c r="AT143" i="8"/>
  <c r="AN143" i="8"/>
  <c r="AH143" i="8"/>
  <c r="AB143" i="8"/>
  <c r="V143" i="8"/>
  <c r="P143" i="8"/>
  <c r="J143" i="8"/>
  <c r="BS142" i="8"/>
  <c r="BM142" i="8"/>
  <c r="BG142" i="8"/>
  <c r="BA142" i="8"/>
  <c r="AU142" i="8"/>
  <c r="AO142" i="8"/>
  <c r="AI142" i="8"/>
  <c r="AC142" i="8"/>
  <c r="W142" i="8"/>
  <c r="Q142" i="8"/>
  <c r="K142" i="8"/>
  <c r="BT141" i="8"/>
  <c r="BN141" i="8"/>
  <c r="BH141" i="8"/>
  <c r="BB141" i="8"/>
  <c r="AV141" i="8"/>
  <c r="AP141" i="8"/>
  <c r="AJ141" i="8"/>
  <c r="AD141" i="8"/>
  <c r="X141" i="8"/>
  <c r="R141" i="8"/>
  <c r="L141" i="8"/>
  <c r="BP141" i="8"/>
  <c r="BJ141" i="8"/>
  <c r="BD141" i="8"/>
  <c r="AX141" i="8"/>
  <c r="AR141" i="8"/>
  <c r="AL141" i="8"/>
  <c r="AF141" i="8"/>
  <c r="Z141" i="8"/>
  <c r="T141" i="8"/>
  <c r="N141" i="8"/>
  <c r="H141" i="8"/>
  <c r="BQ140" i="8"/>
  <c r="BK140" i="8"/>
  <c r="BE140" i="8"/>
  <c r="AY140" i="8"/>
  <c r="AS140" i="8"/>
  <c r="AM140" i="8"/>
  <c r="AG140" i="8"/>
  <c r="AA140" i="8"/>
  <c r="U140" i="8"/>
  <c r="O140" i="8"/>
  <c r="I140" i="8"/>
  <c r="BR139" i="8"/>
  <c r="BL139" i="8"/>
  <c r="BF139" i="8"/>
  <c r="AZ139" i="8"/>
  <c r="AT139" i="8"/>
  <c r="AN139" i="8"/>
  <c r="AH139" i="8"/>
  <c r="AB139" i="8"/>
  <c r="V139" i="8"/>
  <c r="P139" i="8"/>
  <c r="J139" i="8"/>
  <c r="BS138" i="8"/>
  <c r="BM138" i="8"/>
  <c r="BG138" i="8"/>
  <c r="BA138" i="8"/>
  <c r="AU138" i="8"/>
  <c r="AO138" i="8"/>
  <c r="AI138" i="8"/>
  <c r="AC138" i="8"/>
  <c r="W138" i="8"/>
  <c r="Q138" i="8"/>
  <c r="K138" i="8"/>
  <c r="BT137" i="8"/>
  <c r="BN137" i="8"/>
  <c r="BH137" i="8"/>
  <c r="BB137" i="8"/>
  <c r="AV137" i="8"/>
  <c r="AP137" i="8"/>
  <c r="AJ137" i="8"/>
  <c r="AD137" i="8"/>
  <c r="X137" i="8"/>
  <c r="R137" i="8"/>
  <c r="L137" i="8"/>
  <c r="BP137" i="8"/>
  <c r="BJ137" i="8"/>
  <c r="BD137" i="8"/>
  <c r="AX137" i="8"/>
  <c r="AR137" i="8"/>
  <c r="AL137" i="8"/>
  <c r="AF137" i="8"/>
  <c r="Z137" i="8"/>
  <c r="T137" i="8"/>
  <c r="N137" i="8"/>
  <c r="H137" i="8"/>
  <c r="BQ136" i="8"/>
  <c r="BK136" i="8"/>
  <c r="BE136" i="8"/>
  <c r="AY136" i="8"/>
  <c r="AS136" i="8"/>
  <c r="AM136" i="8"/>
  <c r="AG136" i="8"/>
  <c r="AA136" i="8"/>
  <c r="U136" i="8"/>
  <c r="O136" i="8"/>
  <c r="I136" i="8"/>
  <c r="BR135" i="8"/>
  <c r="BF135" i="8"/>
  <c r="BL135" i="8"/>
  <c r="AZ135" i="8"/>
  <c r="AT135" i="8"/>
  <c r="AN135" i="8"/>
  <c r="AH135" i="8"/>
  <c r="AB135" i="8"/>
  <c r="V135" i="8"/>
  <c r="P135" i="8"/>
  <c r="J135" i="8"/>
  <c r="BS134" i="8"/>
  <c r="BM134" i="8"/>
  <c r="BG134" i="8"/>
  <c r="BA134" i="8"/>
  <c r="AU134" i="8"/>
  <c r="AO134" i="8"/>
  <c r="AI134" i="8"/>
  <c r="AC134" i="8"/>
  <c r="W134" i="8"/>
  <c r="Q134" i="8"/>
  <c r="K134" i="8"/>
  <c r="BT133" i="8"/>
  <c r="BN133" i="8"/>
  <c r="BH133" i="8"/>
  <c r="BB133" i="8"/>
  <c r="AV133" i="8"/>
  <c r="AP133" i="8"/>
  <c r="AJ133" i="8"/>
  <c r="AD133" i="8"/>
  <c r="X133" i="8"/>
  <c r="R133" i="8"/>
  <c r="L133" i="8"/>
  <c r="BP133" i="8"/>
  <c r="BJ133" i="8"/>
  <c r="BD133" i="8"/>
  <c r="AX133" i="8"/>
  <c r="AR133" i="8"/>
  <c r="AL133" i="8"/>
  <c r="AF133" i="8"/>
  <c r="Z133" i="8"/>
  <c r="T133" i="8"/>
  <c r="N133" i="8"/>
  <c r="H133" i="8"/>
  <c r="BQ132" i="8"/>
  <c r="BK132" i="8"/>
  <c r="BE132" i="8"/>
  <c r="AY132" i="8"/>
  <c r="AS132" i="8"/>
  <c r="AM132" i="8"/>
  <c r="AG132" i="8"/>
  <c r="AA132" i="8"/>
  <c r="I132" i="8"/>
  <c r="O132" i="8"/>
  <c r="U132" i="8"/>
  <c r="BS130" i="8"/>
  <c r="BM130" i="8"/>
  <c r="BG130" i="8"/>
  <c r="BA130" i="8"/>
  <c r="AU130" i="8"/>
  <c r="AO130" i="8"/>
  <c r="AI130" i="8"/>
  <c r="AC130" i="8"/>
  <c r="W130" i="8"/>
  <c r="Q130" i="8"/>
  <c r="K130" i="8"/>
  <c r="BT129" i="8"/>
  <c r="BN129" i="8"/>
  <c r="BH129" i="8"/>
  <c r="BB129" i="8"/>
  <c r="AP129" i="8"/>
  <c r="AV129" i="8"/>
  <c r="AJ129" i="8"/>
  <c r="AD129" i="8"/>
  <c r="X129" i="8"/>
  <c r="L129" i="8"/>
  <c r="R129" i="8"/>
  <c r="BP129" i="8"/>
  <c r="BD129" i="8"/>
  <c r="BJ129" i="8"/>
  <c r="AX129" i="8"/>
  <c r="AR129" i="8"/>
  <c r="AL129" i="8"/>
  <c r="AF129" i="8"/>
  <c r="Z129" i="8"/>
  <c r="T129" i="8"/>
  <c r="N129" i="8"/>
  <c r="H129" i="8"/>
  <c r="BQ128" i="8"/>
  <c r="BK128" i="8"/>
  <c r="BE128" i="8"/>
  <c r="AY128" i="8"/>
  <c r="AS128" i="8"/>
  <c r="AM128" i="8"/>
  <c r="AG128" i="8"/>
  <c r="AA128" i="8"/>
  <c r="I128" i="8"/>
  <c r="O128" i="8"/>
  <c r="U128" i="8"/>
  <c r="BS126" i="8"/>
  <c r="BG126" i="8"/>
  <c r="BM126" i="8"/>
  <c r="BA126" i="8"/>
  <c r="AU126" i="8"/>
  <c r="AO126" i="8"/>
  <c r="AI126" i="8"/>
  <c r="AC126" i="8"/>
  <c r="W126" i="8"/>
  <c r="Q126" i="8"/>
  <c r="K126" i="8"/>
  <c r="BT125" i="8"/>
  <c r="BN125" i="8"/>
  <c r="BH125" i="8"/>
  <c r="BB125" i="8"/>
  <c r="AP125" i="8"/>
  <c r="AV125" i="8"/>
  <c r="AJ125" i="8"/>
  <c r="AD125" i="8"/>
  <c r="X125" i="8"/>
  <c r="L125" i="8"/>
  <c r="R125" i="8"/>
  <c r="BP125" i="8"/>
  <c r="BD125" i="8"/>
  <c r="BJ125" i="8"/>
  <c r="AX125" i="8"/>
  <c r="AR125" i="8"/>
  <c r="AL125" i="8"/>
  <c r="AF125" i="8"/>
  <c r="Z125" i="8"/>
  <c r="T125" i="8"/>
  <c r="N125" i="8"/>
  <c r="H125" i="8"/>
  <c r="BS122" i="8"/>
  <c r="BM122" i="8"/>
  <c r="BG122" i="8"/>
  <c r="BA122" i="8"/>
  <c r="AU122" i="8"/>
  <c r="AO122" i="8"/>
  <c r="AI122" i="8"/>
  <c r="AC122" i="8"/>
  <c r="W122" i="8"/>
  <c r="Q122" i="8"/>
  <c r="K122" i="8"/>
  <c r="BT121" i="8"/>
  <c r="BN121" i="8"/>
  <c r="BH121" i="8"/>
  <c r="BB121" i="8"/>
  <c r="AV121" i="8"/>
  <c r="AP121" i="8"/>
  <c r="AJ121" i="8"/>
  <c r="AD121" i="8"/>
  <c r="X121" i="8"/>
  <c r="R121" i="8"/>
  <c r="L121" i="8"/>
  <c r="BP121" i="8"/>
  <c r="BJ121" i="8"/>
  <c r="BD121" i="8"/>
  <c r="AX121" i="8"/>
  <c r="AR121" i="8"/>
  <c r="AL121" i="8"/>
  <c r="AF121" i="8"/>
  <c r="Z121" i="8"/>
  <c r="T121" i="8"/>
  <c r="N121" i="8"/>
  <c r="H121" i="8"/>
  <c r="BR119" i="8"/>
  <c r="BL119" i="8"/>
  <c r="BF119" i="8"/>
  <c r="AZ119" i="8"/>
  <c r="AT119" i="8"/>
  <c r="AN119" i="8"/>
  <c r="AH119" i="8"/>
  <c r="AB119" i="8"/>
  <c r="V119" i="8"/>
  <c r="P119" i="8"/>
  <c r="J119" i="8"/>
  <c r="BS118" i="8"/>
  <c r="BM118" i="8"/>
  <c r="BG118" i="8"/>
  <c r="BA118" i="8"/>
  <c r="AO118" i="8"/>
  <c r="AU118" i="8"/>
  <c r="AI118" i="8"/>
  <c r="AC118" i="8"/>
  <c r="W118" i="8"/>
  <c r="K118" i="8"/>
  <c r="Q118" i="8"/>
  <c r="BT117" i="8"/>
  <c r="BN117" i="8"/>
  <c r="BH117" i="8"/>
  <c r="BB117" i="8"/>
  <c r="AV117" i="8"/>
  <c r="AP117" i="8"/>
  <c r="AJ117" i="8"/>
  <c r="AD117" i="8"/>
  <c r="X117" i="8"/>
  <c r="R117" i="8"/>
  <c r="L117" i="8"/>
  <c r="BP117" i="8"/>
  <c r="BJ117" i="8"/>
  <c r="BD117" i="8"/>
  <c r="AX117" i="8"/>
  <c r="AR117" i="8"/>
  <c r="AL117" i="8"/>
  <c r="AF117" i="8"/>
  <c r="Z117" i="8"/>
  <c r="T117" i="8"/>
  <c r="N117" i="8"/>
  <c r="H117" i="8"/>
  <c r="BS114" i="8"/>
  <c r="BM114" i="8"/>
  <c r="BG114" i="8"/>
  <c r="BA114" i="8"/>
  <c r="AU114" i="8"/>
  <c r="AO114" i="8"/>
  <c r="AI114" i="8"/>
  <c r="AC114" i="8"/>
  <c r="W114" i="8"/>
  <c r="Q114" i="8"/>
  <c r="K114" i="8"/>
  <c r="BT113" i="8"/>
  <c r="BH113" i="8"/>
  <c r="BN113" i="8"/>
  <c r="BB113" i="8"/>
  <c r="AV113" i="8"/>
  <c r="AP113" i="8"/>
  <c r="AJ113" i="8"/>
  <c r="AD113" i="8"/>
  <c r="X113" i="8"/>
  <c r="R113" i="8"/>
  <c r="L113" i="8"/>
  <c r="BP113" i="8"/>
  <c r="BJ113" i="8"/>
  <c r="BD113" i="8"/>
  <c r="AX113" i="8"/>
  <c r="AR113" i="8"/>
  <c r="AL113" i="8"/>
  <c r="AF113" i="8"/>
  <c r="Z113" i="8"/>
  <c r="H113" i="8"/>
  <c r="T113" i="8"/>
  <c r="N113" i="8"/>
  <c r="BS110" i="8"/>
  <c r="BM110" i="8"/>
  <c r="BG110" i="8"/>
  <c r="BA110" i="8"/>
  <c r="AU110" i="8"/>
  <c r="AO110" i="8"/>
  <c r="AI110" i="8"/>
  <c r="AC110" i="8"/>
  <c r="W110" i="8"/>
  <c r="Q110" i="8"/>
  <c r="K110" i="8"/>
  <c r="BT109" i="8"/>
  <c r="BN109" i="8"/>
  <c r="BH109" i="8"/>
  <c r="BB109" i="8"/>
  <c r="AV109" i="8"/>
  <c r="AP109" i="8"/>
  <c r="AJ109" i="8"/>
  <c r="AD109" i="8"/>
  <c r="X109" i="8"/>
  <c r="R109" i="8"/>
  <c r="L109" i="8"/>
  <c r="BP109" i="8"/>
  <c r="BJ109" i="8"/>
  <c r="BD109" i="8"/>
  <c r="AX109" i="8"/>
  <c r="AL109" i="8"/>
  <c r="AR109" i="8"/>
  <c r="AF109" i="8"/>
  <c r="Z109" i="8"/>
  <c r="H109" i="8"/>
  <c r="T109" i="8"/>
  <c r="N109" i="8"/>
  <c r="BQ108" i="8"/>
  <c r="BK108" i="8"/>
  <c r="BE108" i="8"/>
  <c r="AY108" i="8"/>
  <c r="AS108" i="8"/>
  <c r="AM108" i="8"/>
  <c r="AG108" i="8"/>
  <c r="AA108" i="8"/>
  <c r="U108" i="8"/>
  <c r="O108" i="8"/>
  <c r="I108" i="8"/>
  <c r="BS106" i="8"/>
  <c r="BM106" i="8"/>
  <c r="BG106" i="8"/>
  <c r="BA106" i="8"/>
  <c r="AU106" i="8"/>
  <c r="AO106" i="8"/>
  <c r="AI106" i="8"/>
  <c r="AC106" i="8"/>
  <c r="K106" i="8"/>
  <c r="W106" i="8"/>
  <c r="Q106" i="8"/>
  <c r="BT105" i="8"/>
  <c r="BN105" i="8"/>
  <c r="BH105" i="8"/>
  <c r="BB105" i="8"/>
  <c r="AV105" i="8"/>
  <c r="AP105" i="8"/>
  <c r="AJ105" i="8"/>
  <c r="AD105" i="8"/>
  <c r="L105" i="8"/>
  <c r="X105" i="8"/>
  <c r="R105" i="8"/>
  <c r="BP105" i="8"/>
  <c r="BJ105" i="8"/>
  <c r="BD105" i="8"/>
  <c r="AX105" i="8"/>
  <c r="AR105" i="8"/>
  <c r="AL105" i="8"/>
  <c r="AF105" i="8"/>
  <c r="Z105" i="8"/>
  <c r="H105" i="8"/>
  <c r="T105" i="8"/>
  <c r="N105" i="8"/>
  <c r="BQ104" i="8"/>
  <c r="BK104" i="8"/>
  <c r="BE104" i="8"/>
  <c r="AY104" i="8"/>
  <c r="AS104" i="8"/>
  <c r="AM104" i="8"/>
  <c r="AG104" i="8"/>
  <c r="AA104" i="8"/>
  <c r="I104" i="8"/>
  <c r="U104" i="8"/>
  <c r="O104" i="8"/>
  <c r="BR103" i="8"/>
  <c r="BF103" i="8"/>
  <c r="BL103" i="8"/>
  <c r="AZ103" i="8"/>
  <c r="AT103" i="8"/>
  <c r="AN103" i="8"/>
  <c r="AH103" i="8"/>
  <c r="AB103" i="8"/>
  <c r="J103" i="8"/>
  <c r="V103" i="8"/>
  <c r="P103" i="8"/>
  <c r="BS102" i="8"/>
  <c r="BM102" i="8"/>
  <c r="BG102" i="8"/>
  <c r="BA102" i="8"/>
  <c r="AU102" i="8"/>
  <c r="AO102" i="8"/>
  <c r="AI102" i="8"/>
  <c r="AC102" i="8"/>
  <c r="K102" i="8"/>
  <c r="W102" i="8"/>
  <c r="Q102" i="8"/>
  <c r="BT101" i="8"/>
  <c r="BN101" i="8"/>
  <c r="BH101" i="8"/>
  <c r="BB101" i="8"/>
  <c r="AV101" i="8"/>
  <c r="AP101" i="8"/>
  <c r="AJ101" i="8"/>
  <c r="AD101" i="8"/>
  <c r="L101" i="8"/>
  <c r="X101" i="8"/>
  <c r="R101" i="8"/>
  <c r="BP101" i="8"/>
  <c r="BJ101" i="8"/>
  <c r="BD101" i="8"/>
  <c r="AX101" i="8"/>
  <c r="AR101" i="8"/>
  <c r="AL101" i="8"/>
  <c r="AF101" i="8"/>
  <c r="Z101" i="8"/>
  <c r="H101" i="8"/>
  <c r="T101" i="8"/>
  <c r="N101" i="8"/>
  <c r="BQ100" i="8"/>
  <c r="BK100" i="8"/>
  <c r="BE100" i="8"/>
  <c r="AY100" i="8"/>
  <c r="AS100" i="8"/>
  <c r="AM100" i="8"/>
  <c r="AG100" i="8"/>
  <c r="AA100" i="8"/>
  <c r="I100" i="8"/>
  <c r="U100" i="8"/>
  <c r="O100" i="8"/>
  <c r="BR99" i="8"/>
  <c r="BL99" i="8"/>
  <c r="BF99" i="8"/>
  <c r="AZ99" i="8"/>
  <c r="AT99" i="8"/>
  <c r="AN99" i="8"/>
  <c r="AH99" i="8"/>
  <c r="AB99" i="8"/>
  <c r="J99" i="8"/>
  <c r="V99" i="8"/>
  <c r="P99" i="8"/>
  <c r="BS98" i="8"/>
  <c r="BM98" i="8"/>
  <c r="BG98" i="8"/>
  <c r="BA98" i="8"/>
  <c r="AU98" i="8"/>
  <c r="AO98" i="8"/>
  <c r="AI98" i="8"/>
  <c r="AC98" i="8"/>
  <c r="K98" i="8"/>
  <c r="W98" i="8"/>
  <c r="Q98" i="8"/>
  <c r="BT97" i="8"/>
  <c r="BN97" i="8"/>
  <c r="BH97" i="8"/>
  <c r="BB97" i="8"/>
  <c r="AV97" i="8"/>
  <c r="AP97" i="8"/>
  <c r="AJ97" i="8"/>
  <c r="AD97" i="8"/>
  <c r="L97" i="8"/>
  <c r="X97" i="8"/>
  <c r="R97" i="8"/>
  <c r="BP97" i="8"/>
  <c r="BJ97" i="8"/>
  <c r="BD97" i="8"/>
  <c r="AX97" i="8"/>
  <c r="AR97" i="8"/>
  <c r="AL97" i="8"/>
  <c r="AF97" i="8"/>
  <c r="Z97" i="8"/>
  <c r="H97" i="8"/>
  <c r="T97" i="8"/>
  <c r="N97" i="8"/>
  <c r="BQ96" i="8"/>
  <c r="BK96" i="8"/>
  <c r="BE96" i="8"/>
  <c r="AY96" i="8"/>
  <c r="AS96" i="8"/>
  <c r="AM96" i="8"/>
  <c r="AG96" i="8"/>
  <c r="AA96" i="8"/>
  <c r="I96" i="8"/>
  <c r="U96" i="8"/>
  <c r="O96" i="8"/>
  <c r="BR95" i="8"/>
  <c r="BL95" i="8"/>
  <c r="BF95" i="8"/>
  <c r="AZ95" i="8"/>
  <c r="AT95" i="8"/>
  <c r="AN95" i="8"/>
  <c r="AH95" i="8"/>
  <c r="AB95" i="8"/>
  <c r="V95" i="8"/>
  <c r="P95" i="8"/>
  <c r="J95" i="8"/>
  <c r="BT93" i="8"/>
  <c r="BN93" i="8"/>
  <c r="BH93" i="8"/>
  <c r="BB93" i="8"/>
  <c r="AV93" i="8"/>
  <c r="AP93" i="8"/>
  <c r="AJ93" i="8"/>
  <c r="AD93" i="8"/>
  <c r="X93" i="8"/>
  <c r="R93" i="8"/>
  <c r="L93" i="8"/>
  <c r="BR91" i="8"/>
  <c r="BL91" i="8"/>
  <c r="BF91" i="8"/>
  <c r="AZ91" i="8"/>
  <c r="AT91" i="8"/>
  <c r="AN91" i="8"/>
  <c r="AH91" i="8"/>
  <c r="AB91" i="8"/>
  <c r="V91" i="8"/>
  <c r="P91" i="8"/>
  <c r="J91" i="8"/>
  <c r="BS90" i="8"/>
  <c r="BM90" i="8"/>
  <c r="BG90" i="8"/>
  <c r="BA90" i="8"/>
  <c r="AU90" i="8"/>
  <c r="AO90" i="8"/>
  <c r="AI90" i="8"/>
  <c r="AC90" i="8"/>
  <c r="W90" i="8"/>
  <c r="Q90" i="8"/>
  <c r="K90" i="8"/>
  <c r="BT89" i="8"/>
  <c r="BN89" i="8"/>
  <c r="BH89" i="8"/>
  <c r="BB89" i="8"/>
  <c r="AV89" i="8"/>
  <c r="AP89" i="8"/>
  <c r="AJ89" i="8"/>
  <c r="AD89" i="8"/>
  <c r="L89" i="8"/>
  <c r="X89" i="8"/>
  <c r="R89" i="8"/>
  <c r="BP89" i="8"/>
  <c r="BJ89" i="8"/>
  <c r="BD89" i="8"/>
  <c r="AX89" i="8"/>
  <c r="AR89" i="8"/>
  <c r="AL89" i="8"/>
  <c r="AF89" i="8"/>
  <c r="Z89" i="8"/>
  <c r="H89" i="8"/>
  <c r="T89" i="8"/>
  <c r="N89" i="8"/>
  <c r="BQ88" i="8"/>
  <c r="BK88" i="8"/>
  <c r="BE88" i="8"/>
  <c r="AY88" i="8"/>
  <c r="AM88" i="8"/>
  <c r="AS88" i="8"/>
  <c r="AG88" i="8"/>
  <c r="AA88" i="8"/>
  <c r="I88" i="8"/>
  <c r="U88" i="8"/>
  <c r="O88" i="8"/>
  <c r="BR87" i="8"/>
  <c r="BL87" i="8"/>
  <c r="BF87" i="8"/>
  <c r="AZ87" i="8"/>
  <c r="AT87" i="8"/>
  <c r="AN87" i="8"/>
  <c r="AH87" i="8"/>
  <c r="AB87" i="8"/>
  <c r="J87" i="8"/>
  <c r="V87" i="8"/>
  <c r="P87" i="8"/>
  <c r="BS86" i="8"/>
  <c r="BM86" i="8"/>
  <c r="BG86" i="8"/>
  <c r="BA86" i="8"/>
  <c r="AU86" i="8"/>
  <c r="AO86" i="8"/>
  <c r="AI86" i="8"/>
  <c r="AC86" i="8"/>
  <c r="W86" i="8"/>
  <c r="Q86" i="8"/>
  <c r="K86" i="8"/>
  <c r="BT85" i="8"/>
  <c r="BN85" i="8"/>
  <c r="BH85" i="8"/>
  <c r="BB85" i="8"/>
  <c r="AV85" i="8"/>
  <c r="AP85" i="8"/>
  <c r="AJ85" i="8"/>
  <c r="AD85" i="8"/>
  <c r="L85" i="8"/>
  <c r="X85" i="8"/>
  <c r="R85" i="8"/>
  <c r="BT81" i="8"/>
  <c r="BN81" i="8"/>
  <c r="BH81" i="8"/>
  <c r="BB81" i="8"/>
  <c r="AV81" i="8"/>
  <c r="AP81" i="8"/>
  <c r="AJ81" i="8"/>
  <c r="AD81" i="8"/>
  <c r="L81" i="8"/>
  <c r="X81" i="8"/>
  <c r="R81" i="8"/>
  <c r="BQ80" i="8"/>
  <c r="BK80" i="8"/>
  <c r="BE80" i="8"/>
  <c r="AY80" i="8"/>
  <c r="AS80" i="8"/>
  <c r="AM80" i="8"/>
  <c r="AG80" i="8"/>
  <c r="AA80" i="8"/>
  <c r="I80" i="8"/>
  <c r="U80" i="8"/>
  <c r="O80" i="8"/>
  <c r="BR79" i="8"/>
  <c r="BL79" i="8"/>
  <c r="AZ79" i="8"/>
  <c r="BF79" i="8"/>
  <c r="AT79" i="8"/>
  <c r="AN79" i="8"/>
  <c r="AH79" i="8"/>
  <c r="AB79" i="8"/>
  <c r="V79" i="8"/>
  <c r="P79" i="8"/>
  <c r="J79" i="8"/>
  <c r="BS78" i="8"/>
  <c r="BM78" i="8"/>
  <c r="BG78" i="8"/>
  <c r="BA78" i="8"/>
  <c r="AU78" i="8"/>
  <c r="AO78" i="8"/>
  <c r="AI78" i="8"/>
  <c r="AC78" i="8"/>
  <c r="W78" i="8"/>
  <c r="Q78" i="8"/>
  <c r="K78" i="8"/>
  <c r="BP77" i="8"/>
  <c r="BJ77" i="8"/>
  <c r="BD77" i="8"/>
  <c r="AX77" i="8"/>
  <c r="AR77" i="8"/>
  <c r="AL77" i="8"/>
  <c r="AF77" i="8"/>
  <c r="Z77" i="8"/>
  <c r="T77" i="8"/>
  <c r="N77" i="8"/>
  <c r="H77" i="8"/>
  <c r="BQ76" i="8"/>
  <c r="BK76" i="8"/>
  <c r="BE76" i="8"/>
  <c r="AY76" i="8"/>
  <c r="AS76" i="8"/>
  <c r="AG76" i="8"/>
  <c r="AA76" i="8"/>
  <c r="AM76" i="8"/>
  <c r="I76" i="8"/>
  <c r="U76" i="8"/>
  <c r="O76" i="8"/>
  <c r="BS74" i="8"/>
  <c r="BM74" i="8"/>
  <c r="BG74" i="8"/>
  <c r="BA74" i="8"/>
  <c r="AU74" i="8"/>
  <c r="AO74" i="8"/>
  <c r="AI74" i="8"/>
  <c r="AC74" i="8"/>
  <c r="W74" i="8"/>
  <c r="Q74" i="8"/>
  <c r="K74" i="8"/>
  <c r="BT73" i="8"/>
  <c r="BN73" i="8"/>
  <c r="BB73" i="8"/>
  <c r="BH73" i="8"/>
  <c r="AV73" i="8"/>
  <c r="AP73" i="8"/>
  <c r="AJ73" i="8"/>
  <c r="AD73" i="8"/>
  <c r="L73" i="8"/>
  <c r="X73" i="8"/>
  <c r="R73" i="8"/>
  <c r="BP73" i="8"/>
  <c r="BJ73" i="8"/>
  <c r="BD73" i="8"/>
  <c r="AX73" i="8"/>
  <c r="AR73" i="8"/>
  <c r="AL73" i="8"/>
  <c r="AF73" i="8"/>
  <c r="Z73" i="8"/>
  <c r="T73" i="8"/>
  <c r="N73" i="8"/>
  <c r="H73" i="8"/>
  <c r="BQ72" i="8"/>
  <c r="BK72" i="8"/>
  <c r="BE72" i="8"/>
  <c r="AY72" i="8"/>
  <c r="AS72" i="8"/>
  <c r="AM72" i="8"/>
  <c r="AG72" i="8"/>
  <c r="AA72" i="8"/>
  <c r="U72" i="8"/>
  <c r="O72" i="8"/>
  <c r="I72" i="8"/>
  <c r="BR71" i="8"/>
  <c r="BL71" i="8"/>
  <c r="AZ71" i="8"/>
  <c r="BF71" i="8"/>
  <c r="AT71" i="8"/>
  <c r="AN71" i="8"/>
  <c r="AH71" i="8"/>
  <c r="AB71" i="8"/>
  <c r="V71" i="8"/>
  <c r="P71" i="8"/>
  <c r="J71" i="8"/>
  <c r="BS70" i="8"/>
  <c r="BM70" i="8"/>
  <c r="BG70" i="8"/>
  <c r="BA70" i="8"/>
  <c r="AU70" i="8"/>
  <c r="AI70" i="8"/>
  <c r="AC70" i="8"/>
  <c r="AO70" i="8"/>
  <c r="K70" i="8"/>
  <c r="W70" i="8"/>
  <c r="Q70" i="8"/>
  <c r="BT69" i="8"/>
  <c r="BN69" i="8"/>
  <c r="BH69" i="8"/>
  <c r="BB69" i="8"/>
  <c r="AV69" i="8"/>
  <c r="AP69" i="8"/>
  <c r="AJ69" i="8"/>
  <c r="AD69" i="8"/>
  <c r="X69" i="8"/>
  <c r="R69" i="8"/>
  <c r="L69" i="8"/>
  <c r="BQ68" i="8"/>
  <c r="BK68" i="8"/>
  <c r="BE68" i="8"/>
  <c r="AY68" i="8"/>
  <c r="AS68" i="8"/>
  <c r="AM68" i="8"/>
  <c r="AG68" i="8"/>
  <c r="AA68" i="8"/>
  <c r="I68" i="8"/>
  <c r="U68" i="8"/>
  <c r="O68" i="8"/>
  <c r="BR67" i="8"/>
  <c r="BL67" i="8"/>
  <c r="BF67" i="8"/>
  <c r="AZ67" i="8"/>
  <c r="AT67" i="8"/>
  <c r="AN67" i="8"/>
  <c r="AH67" i="8"/>
  <c r="AB67" i="8"/>
  <c r="V67" i="8"/>
  <c r="P67" i="8"/>
  <c r="J67" i="8"/>
  <c r="BS66" i="8"/>
  <c r="BM66" i="8"/>
  <c r="BG66" i="8"/>
  <c r="BA66" i="8"/>
  <c r="AU66" i="8"/>
  <c r="AI66" i="8"/>
  <c r="AC66" i="8"/>
  <c r="AO66" i="8"/>
  <c r="K66" i="8"/>
  <c r="W66" i="8"/>
  <c r="Q66" i="8"/>
  <c r="BT65" i="8"/>
  <c r="BN65" i="8"/>
  <c r="BH65" i="8"/>
  <c r="BB65" i="8"/>
  <c r="AV65" i="8"/>
  <c r="AP65" i="8"/>
  <c r="AJ65" i="8"/>
  <c r="AD65" i="8"/>
  <c r="X65" i="8"/>
  <c r="R65" i="8"/>
  <c r="L65" i="8"/>
  <c r="BR63" i="8"/>
  <c r="BL63" i="8"/>
  <c r="BF63" i="8"/>
  <c r="AZ63" i="8"/>
  <c r="AT63" i="8"/>
  <c r="AN63" i="8"/>
  <c r="AH63" i="8"/>
  <c r="AB63" i="8"/>
  <c r="J63" i="8"/>
  <c r="V63" i="8"/>
  <c r="P63" i="8"/>
  <c r="BS62" i="8"/>
  <c r="BM62" i="8"/>
  <c r="BG62" i="8"/>
  <c r="BA62" i="8"/>
  <c r="AU62" i="8"/>
  <c r="AO62" i="8"/>
  <c r="AI62" i="8"/>
  <c r="AC62" i="8"/>
  <c r="K62" i="8"/>
  <c r="W62" i="8"/>
  <c r="Q62" i="8"/>
  <c r="BT61" i="8"/>
  <c r="BN61" i="8"/>
  <c r="BH61" i="8"/>
  <c r="BB61" i="8"/>
  <c r="AV61" i="8"/>
  <c r="AJ61" i="8"/>
  <c r="AD61" i="8"/>
  <c r="AP61" i="8"/>
  <c r="L61" i="8"/>
  <c r="X61" i="8"/>
  <c r="R61" i="8"/>
  <c r="BQ60" i="8"/>
  <c r="BK60" i="8"/>
  <c r="BE60" i="8"/>
  <c r="AY60" i="8"/>
  <c r="AS60" i="8"/>
  <c r="AM60" i="8"/>
  <c r="AG60" i="8"/>
  <c r="AA60" i="8"/>
  <c r="I60" i="8"/>
  <c r="U60" i="8"/>
  <c r="O60" i="8"/>
  <c r="BR59" i="8"/>
  <c r="BL59" i="8"/>
  <c r="BF59" i="8"/>
  <c r="AZ59" i="8"/>
  <c r="AT59" i="8"/>
  <c r="AN59" i="8"/>
  <c r="AH59" i="8"/>
  <c r="AB59" i="8"/>
  <c r="J59" i="8"/>
  <c r="V59" i="8"/>
  <c r="P59" i="8"/>
  <c r="BS58" i="8"/>
  <c r="BM58" i="8"/>
  <c r="BG58" i="8"/>
  <c r="BA58" i="8"/>
  <c r="AU58" i="8"/>
  <c r="AO58" i="8"/>
  <c r="AI58" i="8"/>
  <c r="AC58" i="8"/>
  <c r="K58" i="8"/>
  <c r="W58" i="8"/>
  <c r="Q58" i="8"/>
  <c r="BT57" i="8"/>
  <c r="BH57" i="8"/>
  <c r="BN57" i="8"/>
  <c r="AV57" i="8"/>
  <c r="BB57" i="8"/>
  <c r="AP57" i="8"/>
  <c r="AJ57" i="8"/>
  <c r="AD57" i="8"/>
  <c r="X57" i="8"/>
  <c r="R57" i="8"/>
  <c r="L57" i="8"/>
  <c r="BQ56" i="8"/>
  <c r="BK56" i="8"/>
  <c r="BE56" i="8"/>
  <c r="AY56" i="8"/>
  <c r="AS56" i="8"/>
  <c r="AM56" i="8"/>
  <c r="AG56" i="8"/>
  <c r="AA56" i="8"/>
  <c r="U56" i="8"/>
  <c r="O56" i="8"/>
  <c r="I56" i="8"/>
  <c r="C16" i="10"/>
  <c r="D21" i="9"/>
  <c r="G21" i="9"/>
  <c r="BR132" i="8"/>
  <c r="AT132" i="8"/>
  <c r="V132" i="8"/>
  <c r="BL132" i="8"/>
  <c r="AN132" i="8"/>
  <c r="P132" i="8"/>
  <c r="AZ132" i="8"/>
  <c r="AB132" i="8"/>
  <c r="BF132" i="8"/>
  <c r="AH132" i="8"/>
  <c r="J132" i="8"/>
  <c r="BR128" i="8"/>
  <c r="AT128" i="8"/>
  <c r="V128" i="8"/>
  <c r="BL128" i="8"/>
  <c r="AN128" i="8"/>
  <c r="P128" i="8"/>
  <c r="AZ128" i="8"/>
  <c r="AB128" i="8"/>
  <c r="BF128" i="8"/>
  <c r="AH128" i="8"/>
  <c r="J128" i="8"/>
  <c r="BR124" i="8"/>
  <c r="AT124" i="8"/>
  <c r="V124" i="8"/>
  <c r="BL124" i="8"/>
  <c r="AN124" i="8"/>
  <c r="P124" i="8"/>
  <c r="AZ124" i="8"/>
  <c r="AB124" i="8"/>
  <c r="BF124" i="8"/>
  <c r="AH124" i="8"/>
  <c r="J124" i="8"/>
  <c r="BR120" i="8"/>
  <c r="AT120" i="8"/>
  <c r="V120" i="8"/>
  <c r="BL120" i="8"/>
  <c r="AN120" i="8"/>
  <c r="P120" i="8"/>
  <c r="AZ120" i="8"/>
  <c r="AB120" i="8"/>
  <c r="BF120" i="8"/>
  <c r="AH120" i="8"/>
  <c r="J120" i="8"/>
  <c r="AZ131" i="8"/>
  <c r="AB131" i="8"/>
  <c r="BR131" i="8"/>
  <c r="AT131" i="8"/>
  <c r="V131" i="8"/>
  <c r="J131" i="8"/>
  <c r="BF131" i="8"/>
  <c r="AH131" i="8"/>
  <c r="BL131" i="8"/>
  <c r="AN131" i="8"/>
  <c r="P131" i="8"/>
  <c r="AZ127" i="8"/>
  <c r="AB127" i="8"/>
  <c r="BR127" i="8"/>
  <c r="AT127" i="8"/>
  <c r="V127" i="8"/>
  <c r="J127" i="8"/>
  <c r="BF127" i="8"/>
  <c r="AH127" i="8"/>
  <c r="BL127" i="8"/>
  <c r="AN127" i="8"/>
  <c r="P127" i="8"/>
  <c r="BR123" i="8"/>
  <c r="AT123" i="8"/>
  <c r="V123" i="8"/>
  <c r="BL123" i="8"/>
  <c r="AN123" i="8"/>
  <c r="P123" i="8"/>
  <c r="AZ123" i="8"/>
  <c r="AB123" i="8"/>
  <c r="BF123" i="8"/>
  <c r="AH123" i="8"/>
  <c r="J123" i="8"/>
  <c r="BF130" i="8"/>
  <c r="AH130" i="8"/>
  <c r="AZ130" i="8"/>
  <c r="AB130" i="8"/>
  <c r="BL130" i="8"/>
  <c r="AN130" i="8"/>
  <c r="P130" i="8"/>
  <c r="J130" i="8"/>
  <c r="BR130" i="8"/>
  <c r="AT130" i="8"/>
  <c r="V130" i="8"/>
  <c r="BF126" i="8"/>
  <c r="AH126" i="8"/>
  <c r="AZ126" i="8"/>
  <c r="AB126" i="8"/>
  <c r="BL126" i="8"/>
  <c r="AN126" i="8"/>
  <c r="P126" i="8"/>
  <c r="J126" i="8"/>
  <c r="BR126" i="8"/>
  <c r="AT126" i="8"/>
  <c r="V126" i="8"/>
  <c r="BR122" i="8"/>
  <c r="AT122" i="8"/>
  <c r="V122" i="8"/>
  <c r="BL122" i="8"/>
  <c r="AN122" i="8"/>
  <c r="P122" i="8"/>
  <c r="AZ122" i="8"/>
  <c r="AB122" i="8"/>
  <c r="BF122" i="8"/>
  <c r="AH122" i="8"/>
  <c r="J122" i="8"/>
  <c r="BL129" i="8"/>
  <c r="AN129" i="8"/>
  <c r="P129" i="8"/>
  <c r="BF129" i="8"/>
  <c r="AH129" i="8"/>
  <c r="BR129" i="8"/>
  <c r="AT129" i="8"/>
  <c r="V129" i="8"/>
  <c r="J129" i="8"/>
  <c r="AZ129" i="8"/>
  <c r="AB129" i="8"/>
  <c r="BL125" i="8"/>
  <c r="AN125" i="8"/>
  <c r="P125" i="8"/>
  <c r="BF125" i="8"/>
  <c r="AH125" i="8"/>
  <c r="BR125" i="8"/>
  <c r="AT125" i="8"/>
  <c r="V125" i="8"/>
  <c r="J125" i="8"/>
  <c r="AZ125" i="8"/>
  <c r="AB125" i="8"/>
  <c r="BR121" i="8"/>
  <c r="AT121" i="8"/>
  <c r="V121" i="8"/>
  <c r="BL121" i="8"/>
  <c r="AN121" i="8"/>
  <c r="P121" i="8"/>
  <c r="AZ121" i="8"/>
  <c r="AB121" i="8"/>
  <c r="BF121" i="8"/>
  <c r="AH121" i="8"/>
  <c r="J121" i="8"/>
  <c r="BK122" i="8"/>
  <c r="AM122" i="8"/>
  <c r="O122" i="8"/>
  <c r="AY122" i="8"/>
  <c r="BQ122" i="8"/>
  <c r="AS122" i="8"/>
  <c r="U122" i="8"/>
  <c r="BE122" i="8"/>
  <c r="AG122" i="8"/>
  <c r="AA122" i="8"/>
  <c r="I122" i="8"/>
  <c r="BK118" i="8"/>
  <c r="AM118" i="8"/>
  <c r="O118" i="8"/>
  <c r="AY118" i="8"/>
  <c r="BQ118" i="8"/>
  <c r="AS118" i="8"/>
  <c r="U118" i="8"/>
  <c r="BE118" i="8"/>
  <c r="AG118" i="8"/>
  <c r="AA118" i="8"/>
  <c r="I118" i="8"/>
  <c r="BK114" i="8"/>
  <c r="AM114" i="8"/>
  <c r="O114" i="8"/>
  <c r="AY114" i="8"/>
  <c r="BQ114" i="8"/>
  <c r="AS114" i="8"/>
  <c r="U114" i="8"/>
  <c r="I114" i="8"/>
  <c r="BE114" i="8"/>
  <c r="AG114" i="8"/>
  <c r="AA114" i="8"/>
  <c r="BQ121" i="8"/>
  <c r="AS121" i="8"/>
  <c r="U121" i="8"/>
  <c r="BE121" i="8"/>
  <c r="AY121" i="8"/>
  <c r="AA121" i="8"/>
  <c r="BK121" i="8"/>
  <c r="AM121" i="8"/>
  <c r="O121" i="8"/>
  <c r="AG121" i="8"/>
  <c r="I121" i="8"/>
  <c r="BK117" i="8"/>
  <c r="AM117" i="8"/>
  <c r="O117" i="8"/>
  <c r="AA117" i="8"/>
  <c r="BQ117" i="8"/>
  <c r="AS117" i="8"/>
  <c r="U117" i="8"/>
  <c r="I117" i="8"/>
  <c r="BE117" i="8"/>
  <c r="AG117" i="8"/>
  <c r="AY117" i="8"/>
  <c r="BQ113" i="8"/>
  <c r="AS113" i="8"/>
  <c r="U113" i="8"/>
  <c r="BE113" i="8"/>
  <c r="I113" i="8"/>
  <c r="AA113" i="8"/>
  <c r="BK113" i="8"/>
  <c r="AM113" i="8"/>
  <c r="O113" i="8"/>
  <c r="AG113" i="8"/>
  <c r="AY113" i="8"/>
  <c r="AY124" i="8"/>
  <c r="AA124" i="8"/>
  <c r="AM124" i="8"/>
  <c r="BQ124" i="8"/>
  <c r="AS124" i="8"/>
  <c r="U124" i="8"/>
  <c r="I124" i="8"/>
  <c r="BK124" i="8"/>
  <c r="O124" i="8"/>
  <c r="BE124" i="8"/>
  <c r="AG124" i="8"/>
  <c r="AY120" i="8"/>
  <c r="AA120" i="8"/>
  <c r="BK120" i="8"/>
  <c r="O120" i="8"/>
  <c r="AG120" i="8"/>
  <c r="BQ120" i="8"/>
  <c r="AS120" i="8"/>
  <c r="U120" i="8"/>
  <c r="I120" i="8"/>
  <c r="AM120" i="8"/>
  <c r="BE120" i="8"/>
  <c r="BK116" i="8"/>
  <c r="AM116" i="8"/>
  <c r="O116" i="8"/>
  <c r="AY116" i="8"/>
  <c r="BE116" i="8"/>
  <c r="AG116" i="8"/>
  <c r="AA116" i="8"/>
  <c r="BQ116" i="8"/>
  <c r="AS116" i="8"/>
  <c r="U116" i="8"/>
  <c r="I116" i="8"/>
  <c r="BE123" i="8"/>
  <c r="AG123" i="8"/>
  <c r="I123" i="8"/>
  <c r="AS123" i="8"/>
  <c r="AM123" i="8"/>
  <c r="AY123" i="8"/>
  <c r="AA123" i="8"/>
  <c r="BQ123" i="8"/>
  <c r="U123" i="8"/>
  <c r="BK123" i="8"/>
  <c r="O123" i="8"/>
  <c r="BE119" i="8"/>
  <c r="AG119" i="8"/>
  <c r="I119" i="8"/>
  <c r="AS119" i="8"/>
  <c r="AM119" i="8"/>
  <c r="O119" i="8"/>
  <c r="AY119" i="8"/>
  <c r="AA119" i="8"/>
  <c r="BQ119" i="8"/>
  <c r="U119" i="8"/>
  <c r="BK119" i="8"/>
  <c r="BK115" i="8"/>
  <c r="AM115" i="8"/>
  <c r="O115" i="8"/>
  <c r="AY115" i="8"/>
  <c r="AA115" i="8"/>
  <c r="BQ115" i="8"/>
  <c r="AS115" i="8"/>
  <c r="U115" i="8"/>
  <c r="BE115" i="8"/>
  <c r="AG115" i="8"/>
  <c r="I115" i="8"/>
  <c r="BM47" i="8"/>
  <c r="BG46" i="8"/>
  <c r="BA48" i="8"/>
  <c r="BA45" i="8"/>
  <c r="AO47" i="8"/>
  <c r="AI46" i="8"/>
  <c r="AC48" i="8"/>
  <c r="AC45" i="8"/>
  <c r="Q47" i="8"/>
  <c r="K46" i="8"/>
  <c r="BS48" i="8"/>
  <c r="BS45" i="8"/>
  <c r="BG47" i="8"/>
  <c r="BA46" i="8"/>
  <c r="AU48" i="8"/>
  <c r="AU45" i="8"/>
  <c r="AI47" i="8"/>
  <c r="AC46" i="8"/>
  <c r="W48" i="8"/>
  <c r="W45" i="8"/>
  <c r="K45" i="8"/>
  <c r="K48" i="8"/>
  <c r="BS47" i="8"/>
  <c r="BG45" i="8"/>
  <c r="AU47" i="8"/>
  <c r="AI48" i="8"/>
  <c r="Q46" i="8"/>
  <c r="BS46" i="8"/>
  <c r="BM48" i="8"/>
  <c r="BM45" i="8"/>
  <c r="BA47" i="8"/>
  <c r="AU46" i="8"/>
  <c r="AO48" i="8"/>
  <c r="AO45" i="8"/>
  <c r="AC47" i="8"/>
  <c r="W46" i="8"/>
  <c r="Q48" i="8"/>
  <c r="Q45" i="8"/>
  <c r="BM46" i="8"/>
  <c r="BG48" i="8"/>
  <c r="AO46" i="8"/>
  <c r="AI45" i="8"/>
  <c r="W47" i="8"/>
  <c r="K47" i="8"/>
  <c r="BP46" i="8"/>
  <c r="BD44" i="8"/>
  <c r="BD43" i="8"/>
  <c r="AX45" i="8"/>
  <c r="AR46" i="8"/>
  <c r="AF44" i="8"/>
  <c r="AF43" i="8"/>
  <c r="Z45" i="8"/>
  <c r="T46" i="8"/>
  <c r="H43" i="8"/>
  <c r="H44" i="8"/>
  <c r="BP45" i="8"/>
  <c r="BJ46" i="8"/>
  <c r="AX44" i="8"/>
  <c r="AX43" i="8"/>
  <c r="AR45" i="8"/>
  <c r="AL46" i="8"/>
  <c r="Z44" i="8"/>
  <c r="Z43" i="8"/>
  <c r="T45" i="8"/>
  <c r="N46" i="8"/>
  <c r="H45" i="8"/>
  <c r="BP44" i="8"/>
  <c r="BP43" i="8"/>
  <c r="BJ45" i="8"/>
  <c r="BD46" i="8"/>
  <c r="AR44" i="8"/>
  <c r="AR43" i="8"/>
  <c r="AL45" i="8"/>
  <c r="AF46" i="8"/>
  <c r="T44" i="8"/>
  <c r="T43" i="8"/>
  <c r="N45" i="8"/>
  <c r="H46" i="8"/>
  <c r="BJ44" i="8"/>
  <c r="BJ43" i="8"/>
  <c r="BD45" i="8"/>
  <c r="AX46" i="8"/>
  <c r="AL44" i="8"/>
  <c r="AL43" i="8"/>
  <c r="AF45" i="8"/>
  <c r="Z46" i="8"/>
  <c r="N44" i="8"/>
  <c r="N43" i="8"/>
  <c r="BT80" i="8"/>
  <c r="BH79" i="8"/>
  <c r="BB78" i="8"/>
  <c r="BB77" i="8"/>
  <c r="AV80" i="8"/>
  <c r="AJ79" i="8"/>
  <c r="AD78" i="8"/>
  <c r="AD77" i="8"/>
  <c r="X80" i="8"/>
  <c r="L80" i="8"/>
  <c r="BT78" i="8"/>
  <c r="BT77" i="8"/>
  <c r="BN80" i="8"/>
  <c r="BB79" i="8"/>
  <c r="AV78" i="8"/>
  <c r="AV77" i="8"/>
  <c r="AP80" i="8"/>
  <c r="AD79" i="8"/>
  <c r="X78" i="8"/>
  <c r="X77" i="8"/>
  <c r="R80" i="8"/>
  <c r="BH78" i="8"/>
  <c r="BB80" i="8"/>
  <c r="AP79" i="8"/>
  <c r="AJ77" i="8"/>
  <c r="AD80" i="8"/>
  <c r="R79" i="8"/>
  <c r="BT79" i="8"/>
  <c r="BN78" i="8"/>
  <c r="BN77" i="8"/>
  <c r="BH80" i="8"/>
  <c r="AV79" i="8"/>
  <c r="AP78" i="8"/>
  <c r="AP77" i="8"/>
  <c r="AJ80" i="8"/>
  <c r="X79" i="8"/>
  <c r="R78" i="8"/>
  <c r="R77" i="8"/>
  <c r="L79" i="8"/>
  <c r="BN79" i="8"/>
  <c r="BH77" i="8"/>
  <c r="AJ78" i="8"/>
  <c r="L77" i="8"/>
  <c r="L78" i="8"/>
  <c r="BS80" i="8"/>
  <c r="BM79" i="8"/>
  <c r="BG82" i="8"/>
  <c r="BA81" i="8"/>
  <c r="AU80" i="8"/>
  <c r="AO79" i="8"/>
  <c r="AI82" i="8"/>
  <c r="AC81" i="8"/>
  <c r="W80" i="8"/>
  <c r="Q79" i="8"/>
  <c r="K82" i="8"/>
  <c r="AO82" i="8"/>
  <c r="Q82" i="8"/>
  <c r="BS81" i="8"/>
  <c r="BM80" i="8"/>
  <c r="BG79" i="8"/>
  <c r="BA82" i="8"/>
  <c r="AU81" i="8"/>
  <c r="AO80" i="8"/>
  <c r="AI79" i="8"/>
  <c r="AC82" i="8"/>
  <c r="W81" i="8"/>
  <c r="Q80" i="8"/>
  <c r="K81" i="8"/>
  <c r="BM82" i="8"/>
  <c r="BG81" i="8"/>
  <c r="AU79" i="8"/>
  <c r="W79" i="8"/>
  <c r="K79" i="8"/>
  <c r="BS82" i="8"/>
  <c r="BM81" i="8"/>
  <c r="BG80" i="8"/>
  <c r="BA79" i="8"/>
  <c r="AU82" i="8"/>
  <c r="AO81" i="8"/>
  <c r="AI80" i="8"/>
  <c r="AC79" i="8"/>
  <c r="W82" i="8"/>
  <c r="Q81" i="8"/>
  <c r="K80" i="8"/>
  <c r="BS79" i="8"/>
  <c r="BA80" i="8"/>
  <c r="AI81" i="8"/>
  <c r="AC80" i="8"/>
  <c r="BF83" i="8"/>
  <c r="AZ82" i="8"/>
  <c r="AZ81" i="8"/>
  <c r="AZ80" i="8"/>
  <c r="AH83" i="8"/>
  <c r="AB82" i="8"/>
  <c r="AB81" i="8"/>
  <c r="AB80" i="8"/>
  <c r="BL80" i="8"/>
  <c r="AT83" i="8"/>
  <c r="AN82" i="8"/>
  <c r="AN81" i="8"/>
  <c r="AN80" i="8"/>
  <c r="V83" i="8"/>
  <c r="P81" i="8"/>
  <c r="P80" i="8"/>
  <c r="J83" i="8"/>
  <c r="BL83" i="8"/>
  <c r="BF82" i="8"/>
  <c r="BF81" i="8"/>
  <c r="BF80" i="8"/>
  <c r="AN83" i="8"/>
  <c r="AH82" i="8"/>
  <c r="AH80" i="8"/>
  <c r="P83" i="8"/>
  <c r="J80" i="8"/>
  <c r="J81" i="8"/>
  <c r="J82" i="8"/>
  <c r="BR82" i="8"/>
  <c r="BR81" i="8"/>
  <c r="BR80" i="8"/>
  <c r="AZ83" i="8"/>
  <c r="AT82" i="8"/>
  <c r="AT81" i="8"/>
  <c r="AT80" i="8"/>
  <c r="AB83" i="8"/>
  <c r="V82" i="8"/>
  <c r="V81" i="8"/>
  <c r="V80" i="8"/>
  <c r="BR83" i="8"/>
  <c r="BL82" i="8"/>
  <c r="BL81" i="8"/>
  <c r="P82" i="8"/>
  <c r="AH81" i="8"/>
  <c r="BJ65" i="8"/>
  <c r="AX65" i="8"/>
  <c r="AL65" i="8"/>
  <c r="Z65" i="8"/>
  <c r="N65" i="8"/>
  <c r="BP65" i="8"/>
  <c r="BD65" i="8"/>
  <c r="AR65" i="8"/>
  <c r="AF65" i="8"/>
  <c r="T65" i="8"/>
  <c r="H65" i="8"/>
  <c r="BK64" i="8"/>
  <c r="BK63" i="8"/>
  <c r="BK62" i="8"/>
  <c r="BK61" i="8"/>
  <c r="AY64" i="8"/>
  <c r="AY63" i="8"/>
  <c r="AY62" i="8"/>
  <c r="AY61" i="8"/>
  <c r="AM64" i="8"/>
  <c r="AM63" i="8"/>
  <c r="AM62" i="8"/>
  <c r="AM61" i="8"/>
  <c r="AA64" i="8"/>
  <c r="AA63" i="8"/>
  <c r="AA62" i="8"/>
  <c r="AA61" i="8"/>
  <c r="O64" i="8"/>
  <c r="O63" i="8"/>
  <c r="O62" i="8"/>
  <c r="O61" i="8"/>
  <c r="U63" i="8"/>
  <c r="BQ64" i="8"/>
  <c r="BQ63" i="8"/>
  <c r="BQ62" i="8"/>
  <c r="BQ61" i="8"/>
  <c r="BE64" i="8"/>
  <c r="BE63" i="8"/>
  <c r="BE62" i="8"/>
  <c r="BE61" i="8"/>
  <c r="AS64" i="8"/>
  <c r="AS63" i="8"/>
  <c r="AS62" i="8"/>
  <c r="AS61" i="8"/>
  <c r="AG64" i="8"/>
  <c r="AG63" i="8"/>
  <c r="AG62" i="8"/>
  <c r="AG61" i="8"/>
  <c r="U64" i="8"/>
  <c r="U62" i="8"/>
  <c r="U61" i="8"/>
  <c r="I61" i="8"/>
  <c r="I62" i="8"/>
  <c r="I63" i="8"/>
  <c r="I64" i="8"/>
  <c r="E16" i="10"/>
  <c r="BJ32" i="8"/>
  <c r="AL32" i="8"/>
  <c r="N32" i="8"/>
  <c r="BP32" i="8"/>
  <c r="AR32" i="8"/>
  <c r="T32" i="8"/>
  <c r="AX32" i="8"/>
  <c r="Z32" i="8"/>
  <c r="BD32" i="8"/>
  <c r="AF32" i="8"/>
  <c r="H32" i="8"/>
  <c r="BT52" i="8"/>
  <c r="BN52" i="8"/>
  <c r="BH52" i="8"/>
  <c r="BB52" i="8"/>
  <c r="AV52" i="8"/>
  <c r="AP52" i="8"/>
  <c r="AJ52" i="8"/>
  <c r="AD52" i="8"/>
  <c r="X52" i="8"/>
  <c r="R52" i="8"/>
  <c r="L52" i="8"/>
  <c r="BH51" i="8"/>
  <c r="AJ51" i="8"/>
  <c r="L51" i="8"/>
  <c r="BB51" i="8"/>
  <c r="AD51" i="8"/>
  <c r="BN51" i="8"/>
  <c r="R51" i="8"/>
  <c r="BT51" i="8"/>
  <c r="AV51" i="8"/>
  <c r="X51" i="8"/>
  <c r="AP51" i="8"/>
  <c r="BT50" i="8"/>
  <c r="BT48" i="8"/>
  <c r="BN47" i="8"/>
  <c r="BH49" i="8"/>
  <c r="AV50" i="8"/>
  <c r="AV48" i="8"/>
  <c r="AP47" i="8"/>
  <c r="AJ49" i="8"/>
  <c r="X50" i="8"/>
  <c r="X48" i="8"/>
  <c r="R47" i="8"/>
  <c r="L49" i="8"/>
  <c r="BN50" i="8"/>
  <c r="BN48" i="8"/>
  <c r="BH47" i="8"/>
  <c r="BB49" i="8"/>
  <c r="AP50" i="8"/>
  <c r="AP48" i="8"/>
  <c r="AJ47" i="8"/>
  <c r="AD49" i="8"/>
  <c r="R50" i="8"/>
  <c r="R48" i="8"/>
  <c r="BT49" i="8"/>
  <c r="BH50" i="8"/>
  <c r="BH48" i="8"/>
  <c r="BB47" i="8"/>
  <c r="AV49" i="8"/>
  <c r="AJ50" i="8"/>
  <c r="AJ48" i="8"/>
  <c r="AD47" i="8"/>
  <c r="X49" i="8"/>
  <c r="L48" i="8"/>
  <c r="L50" i="8"/>
  <c r="BT47" i="8"/>
  <c r="BN49" i="8"/>
  <c r="BB50" i="8"/>
  <c r="BB48" i="8"/>
  <c r="AV47" i="8"/>
  <c r="AP49" i="8"/>
  <c r="AD50" i="8"/>
  <c r="AD48" i="8"/>
  <c r="X47" i="8"/>
  <c r="R49" i="8"/>
  <c r="L47" i="8"/>
  <c r="BL52" i="8"/>
  <c r="AZ52" i="8"/>
  <c r="AN52" i="8"/>
  <c r="AB52" i="8"/>
  <c r="P52" i="8"/>
  <c r="BR52" i="8"/>
  <c r="BF52" i="8"/>
  <c r="AT52" i="8"/>
  <c r="AH52" i="8"/>
  <c r="V52" i="8"/>
  <c r="J52" i="8"/>
  <c r="J53" i="8"/>
  <c r="J54" i="8"/>
  <c r="J55" i="8"/>
  <c r="J56" i="8"/>
  <c r="BR56" i="8"/>
  <c r="BR55" i="8"/>
  <c r="BR54" i="8"/>
  <c r="BR53" i="8"/>
  <c r="BF56" i="8"/>
  <c r="BF55" i="8"/>
  <c r="BF54" i="8"/>
  <c r="BF53" i="8"/>
  <c r="AT56" i="8"/>
  <c r="AT55" i="8"/>
  <c r="AT54" i="8"/>
  <c r="AT53" i="8"/>
  <c r="AH56" i="8"/>
  <c r="AH55" i="8"/>
  <c r="AH54" i="8"/>
  <c r="AH53" i="8"/>
  <c r="V56" i="8"/>
  <c r="V55" i="8"/>
  <c r="V54" i="8"/>
  <c r="V53" i="8"/>
  <c r="BL56" i="8"/>
  <c r="BL55" i="8"/>
  <c r="BL54" i="8"/>
  <c r="BL53" i="8"/>
  <c r="AZ56" i="8"/>
  <c r="AZ55" i="8"/>
  <c r="AZ54" i="8"/>
  <c r="AZ53" i="8"/>
  <c r="AN56" i="8"/>
  <c r="AN55" i="8"/>
  <c r="AN54" i="8"/>
  <c r="AN53" i="8"/>
  <c r="AB56" i="8"/>
  <c r="AB55" i="8"/>
  <c r="AB54" i="8"/>
  <c r="AB53" i="8"/>
  <c r="P56" i="8"/>
  <c r="P55" i="8"/>
  <c r="P54" i="8"/>
  <c r="P53" i="8"/>
  <c r="BR114" i="8"/>
  <c r="BL116" i="8"/>
  <c r="BF114" i="8"/>
  <c r="AZ116" i="8"/>
  <c r="AT114" i="8"/>
  <c r="AN116" i="8"/>
  <c r="AH114" i="8"/>
  <c r="AB116" i="8"/>
  <c r="V114" i="8"/>
  <c r="P116" i="8"/>
  <c r="J117" i="8"/>
  <c r="BR117" i="8"/>
  <c r="BL115" i="8"/>
  <c r="BF117" i="8"/>
  <c r="AZ115" i="8"/>
  <c r="AT117" i="8"/>
  <c r="AN115" i="8"/>
  <c r="AH117" i="8"/>
  <c r="AB115" i="8"/>
  <c r="V117" i="8"/>
  <c r="P115" i="8"/>
  <c r="J114" i="8"/>
  <c r="BR116" i="8"/>
  <c r="BL114" i="8"/>
  <c r="BF116" i="8"/>
  <c r="AZ114" i="8"/>
  <c r="AT116" i="8"/>
  <c r="AN114" i="8"/>
  <c r="AH116" i="8"/>
  <c r="AB114" i="8"/>
  <c r="V116" i="8"/>
  <c r="P114" i="8"/>
  <c r="J115" i="8"/>
  <c r="BR115" i="8"/>
  <c r="BL117" i="8"/>
  <c r="BF115" i="8"/>
  <c r="AZ117" i="8"/>
  <c r="AT115" i="8"/>
  <c r="AN117" i="8"/>
  <c r="AH115" i="8"/>
  <c r="AB117" i="8"/>
  <c r="V115" i="8"/>
  <c r="P117" i="8"/>
  <c r="J116" i="8"/>
  <c r="BP34" i="8"/>
  <c r="BJ34" i="8"/>
  <c r="BD34" i="8"/>
  <c r="AX34" i="8"/>
  <c r="AR34" i="8"/>
  <c r="AL34" i="8"/>
  <c r="AF34" i="8"/>
  <c r="Z34" i="8"/>
  <c r="T34" i="8"/>
  <c r="N34" i="8"/>
  <c r="BP33" i="8"/>
  <c r="BJ33" i="8"/>
  <c r="BD33" i="8"/>
  <c r="AX33" i="8"/>
  <c r="AR33" i="8"/>
  <c r="AL33" i="8"/>
  <c r="AF33" i="8"/>
  <c r="Z33" i="8"/>
  <c r="T33" i="8"/>
  <c r="N33" i="8"/>
  <c r="H33" i="8"/>
  <c r="H34" i="8"/>
  <c r="BP85" i="8"/>
  <c r="BP84" i="8"/>
  <c r="BP83" i="8"/>
  <c r="BJ85" i="8"/>
  <c r="BJ84" i="8"/>
  <c r="BJ83" i="8"/>
  <c r="BD85" i="8"/>
  <c r="BD84" i="8"/>
  <c r="BD83" i="8"/>
  <c r="AX85" i="8"/>
  <c r="AX84" i="8"/>
  <c r="AX83" i="8"/>
  <c r="AR85" i="8"/>
  <c r="AR84" i="8"/>
  <c r="AR83" i="8"/>
  <c r="AL85" i="8"/>
  <c r="AL84" i="8"/>
  <c r="AL83" i="8"/>
  <c r="AF85" i="8"/>
  <c r="AF84" i="8"/>
  <c r="AF83" i="8"/>
  <c r="Z85" i="8"/>
  <c r="Z84" i="8"/>
  <c r="Z83" i="8"/>
  <c r="T85" i="8"/>
  <c r="T84" i="8"/>
  <c r="T83" i="8"/>
  <c r="N85" i="8"/>
  <c r="N84" i="8"/>
  <c r="N83" i="8"/>
  <c r="BP82" i="8"/>
  <c r="BJ82" i="8"/>
  <c r="BD82" i="8"/>
  <c r="AX82" i="8"/>
  <c r="AR82" i="8"/>
  <c r="AL82" i="8"/>
  <c r="AF82" i="8"/>
  <c r="Z82" i="8"/>
  <c r="T82" i="8"/>
  <c r="N82" i="8"/>
  <c r="H82" i="8"/>
  <c r="H83" i="8"/>
  <c r="H84" i="8"/>
  <c r="H85" i="8"/>
  <c r="BQ87" i="8"/>
  <c r="AS87" i="8"/>
  <c r="U87" i="8"/>
  <c r="BK87" i="8"/>
  <c r="AM87" i="8"/>
  <c r="O87" i="8"/>
  <c r="BE87" i="8"/>
  <c r="AG87" i="8"/>
  <c r="I87" i="8"/>
  <c r="AY87" i="8"/>
  <c r="AA87" i="8"/>
  <c r="BQ83" i="8"/>
  <c r="BK84" i="8"/>
  <c r="BE85" i="8"/>
  <c r="AY86" i="8"/>
  <c r="AS83" i="8"/>
  <c r="AM84" i="8"/>
  <c r="AG85" i="8"/>
  <c r="AA86" i="8"/>
  <c r="U83" i="8"/>
  <c r="O84" i="8"/>
  <c r="I85" i="8"/>
  <c r="BQ86" i="8"/>
  <c r="BK83" i="8"/>
  <c r="BE84" i="8"/>
  <c r="AY85" i="8"/>
  <c r="AS86" i="8"/>
  <c r="AM83" i="8"/>
  <c r="AG84" i="8"/>
  <c r="AA85" i="8"/>
  <c r="U86" i="8"/>
  <c r="O83" i="8"/>
  <c r="I86" i="8"/>
  <c r="BQ85" i="8"/>
  <c r="BK86" i="8"/>
  <c r="BE83" i="8"/>
  <c r="AY84" i="8"/>
  <c r="AS85" i="8"/>
  <c r="AM86" i="8"/>
  <c r="AG83" i="8"/>
  <c r="AA84" i="8"/>
  <c r="U85" i="8"/>
  <c r="O86" i="8"/>
  <c r="I83" i="8"/>
  <c r="BQ84" i="8"/>
  <c r="BK85" i="8"/>
  <c r="BE86" i="8"/>
  <c r="AY83" i="8"/>
  <c r="AS84" i="8"/>
  <c r="AM85" i="8"/>
  <c r="AG86" i="8"/>
  <c r="AA83" i="8"/>
  <c r="U84" i="8"/>
  <c r="O85" i="8"/>
  <c r="I84" i="8"/>
  <c r="BK94" i="8"/>
  <c r="BK93" i="8"/>
  <c r="BE92" i="8"/>
  <c r="BE91" i="8"/>
  <c r="AM94" i="8"/>
  <c r="AM93" i="8"/>
  <c r="AG92" i="8"/>
  <c r="AG91" i="8"/>
  <c r="O94" i="8"/>
  <c r="O93" i="8"/>
  <c r="I91" i="8"/>
  <c r="I92" i="8"/>
  <c r="BQ94" i="8"/>
  <c r="BK91" i="8"/>
  <c r="AM92" i="8"/>
  <c r="U93" i="8"/>
  <c r="I94" i="8"/>
  <c r="BE94" i="8"/>
  <c r="BE93" i="8"/>
  <c r="AY92" i="8"/>
  <c r="AY91" i="8"/>
  <c r="AG94" i="8"/>
  <c r="AG93" i="8"/>
  <c r="AA92" i="8"/>
  <c r="AA91" i="8"/>
  <c r="BK92" i="8"/>
  <c r="AS94" i="8"/>
  <c r="AM91" i="8"/>
  <c r="U94" i="8"/>
  <c r="O91" i="8"/>
  <c r="BQ92" i="8"/>
  <c r="BQ91" i="8"/>
  <c r="AY94" i="8"/>
  <c r="AY93" i="8"/>
  <c r="AS92" i="8"/>
  <c r="AS91" i="8"/>
  <c r="AA94" i="8"/>
  <c r="AA93" i="8"/>
  <c r="U92" i="8"/>
  <c r="U91" i="8"/>
  <c r="BQ93" i="8"/>
  <c r="AS93" i="8"/>
  <c r="O92" i="8"/>
  <c r="I93" i="8"/>
  <c r="BQ52" i="8"/>
  <c r="BK51" i="8"/>
  <c r="BE50" i="8"/>
  <c r="AY49" i="8"/>
  <c r="AS52" i="8"/>
  <c r="AM51" i="8"/>
  <c r="AG50" i="8"/>
  <c r="AA49" i="8"/>
  <c r="U52" i="8"/>
  <c r="O51" i="8"/>
  <c r="I50" i="8"/>
  <c r="BQ49" i="8"/>
  <c r="BK52" i="8"/>
  <c r="BE51" i="8"/>
  <c r="AY50" i="8"/>
  <c r="AS49" i="8"/>
  <c r="AM52" i="8"/>
  <c r="AG51" i="8"/>
  <c r="AA50" i="8"/>
  <c r="U49" i="8"/>
  <c r="O52" i="8"/>
  <c r="I49" i="8"/>
  <c r="BQ50" i="8"/>
  <c r="BK49" i="8"/>
  <c r="BE52" i="8"/>
  <c r="AY51" i="8"/>
  <c r="AS50" i="8"/>
  <c r="AM49" i="8"/>
  <c r="AG52" i="8"/>
  <c r="AA51" i="8"/>
  <c r="U50" i="8"/>
  <c r="O49" i="8"/>
  <c r="I52" i="8"/>
  <c r="BQ51" i="8"/>
  <c r="BK50" i="8"/>
  <c r="BE49" i="8"/>
  <c r="AY52" i="8"/>
  <c r="AS51" i="8"/>
  <c r="AM50" i="8"/>
  <c r="AG49" i="8"/>
  <c r="AA52" i="8"/>
  <c r="U51" i="8"/>
  <c r="O50" i="8"/>
  <c r="I51" i="8"/>
  <c r="AZ51" i="8"/>
  <c r="AZ50" i="8"/>
  <c r="AB51" i="8"/>
  <c r="AB50" i="8"/>
  <c r="BF51" i="8"/>
  <c r="BF50" i="8"/>
  <c r="AH51" i="8"/>
  <c r="AH50" i="8"/>
  <c r="J50" i="8"/>
  <c r="J51" i="8"/>
  <c r="BL51" i="8"/>
  <c r="BL50" i="8"/>
  <c r="AN51" i="8"/>
  <c r="AN50" i="8"/>
  <c r="P51" i="8"/>
  <c r="P50" i="8"/>
  <c r="BR51" i="8"/>
  <c r="BR50" i="8"/>
  <c r="AT51" i="8"/>
  <c r="AT50" i="8"/>
  <c r="V51" i="8"/>
  <c r="V50" i="8"/>
  <c r="J111" i="8"/>
  <c r="BR111" i="8"/>
  <c r="BL111" i="8"/>
  <c r="BF111" i="8"/>
  <c r="AZ111" i="8"/>
  <c r="AT111" i="8"/>
  <c r="AN111" i="8"/>
  <c r="AH111" i="8"/>
  <c r="AB111" i="8"/>
  <c r="V111" i="8"/>
  <c r="P111" i="8"/>
  <c r="BR107" i="8"/>
  <c r="BL107" i="8"/>
  <c r="BF107" i="8"/>
  <c r="AZ107" i="8"/>
  <c r="AT107" i="8"/>
  <c r="AN107" i="8"/>
  <c r="AH107" i="8"/>
  <c r="AB107" i="8"/>
  <c r="V107" i="8"/>
  <c r="P107" i="8"/>
  <c r="J108" i="8"/>
  <c r="BR108" i="8"/>
  <c r="AZ108" i="8"/>
  <c r="AN108" i="8"/>
  <c r="AB108" i="8"/>
  <c r="P108" i="8"/>
  <c r="J109" i="8"/>
  <c r="J110" i="8"/>
  <c r="BL108" i="8"/>
  <c r="V108" i="8"/>
  <c r="J107" i="8"/>
  <c r="BR110" i="8"/>
  <c r="BR109" i="8"/>
  <c r="BL110" i="8"/>
  <c r="BL109" i="8"/>
  <c r="BF110" i="8"/>
  <c r="BF109" i="8"/>
  <c r="AZ110" i="8"/>
  <c r="AZ109" i="8"/>
  <c r="AT110" i="8"/>
  <c r="AT109" i="8"/>
  <c r="AN110" i="8"/>
  <c r="AN109" i="8"/>
  <c r="AH110" i="8"/>
  <c r="AH109" i="8"/>
  <c r="AB110" i="8"/>
  <c r="AB109" i="8"/>
  <c r="V110" i="8"/>
  <c r="V109" i="8"/>
  <c r="P110" i="8"/>
  <c r="P109" i="8"/>
  <c r="BF108" i="8"/>
  <c r="AT108" i="8"/>
  <c r="AH108" i="8"/>
  <c r="BS94" i="8"/>
  <c r="BM94" i="8"/>
  <c r="BG94" i="8"/>
  <c r="BA94" i="8"/>
  <c r="AU94" i="8"/>
  <c r="AO94" i="8"/>
  <c r="AI94" i="8"/>
  <c r="AC94" i="8"/>
  <c r="W94" i="8"/>
  <c r="Q94" i="8"/>
  <c r="K95" i="8"/>
  <c r="BS93" i="8"/>
  <c r="BS92" i="8"/>
  <c r="BM93" i="8"/>
  <c r="BM92" i="8"/>
  <c r="BG93" i="8"/>
  <c r="BG92" i="8"/>
  <c r="BA93" i="8"/>
  <c r="BA92" i="8"/>
  <c r="AU93" i="8"/>
  <c r="AU92" i="8"/>
  <c r="AO93" i="8"/>
  <c r="AO92" i="8"/>
  <c r="AI93" i="8"/>
  <c r="AI92" i="8"/>
  <c r="AC93" i="8"/>
  <c r="AC92" i="8"/>
  <c r="W93" i="8"/>
  <c r="W92" i="8"/>
  <c r="Q93" i="8"/>
  <c r="Q92" i="8"/>
  <c r="K92" i="8"/>
  <c r="K93" i="8"/>
  <c r="BS95" i="8"/>
  <c r="BM95" i="8"/>
  <c r="BG95" i="8"/>
  <c r="BA95" i="8"/>
  <c r="AU95" i="8"/>
  <c r="AO95" i="8"/>
  <c r="AI95" i="8"/>
  <c r="AC95" i="8"/>
  <c r="W95" i="8"/>
  <c r="Q95" i="8"/>
  <c r="K94" i="8"/>
  <c r="BD71" i="8"/>
  <c r="AF71" i="8"/>
  <c r="H71" i="8"/>
  <c r="AX71" i="8"/>
  <c r="Z71" i="8"/>
  <c r="BP71" i="8"/>
  <c r="AR71" i="8"/>
  <c r="T71" i="8"/>
  <c r="BJ71" i="8"/>
  <c r="AL71" i="8"/>
  <c r="N71" i="8"/>
  <c r="BJ70" i="8"/>
  <c r="AX70" i="8"/>
  <c r="AL70" i="8"/>
  <c r="Z70" i="8"/>
  <c r="N70" i="8"/>
  <c r="H70" i="8"/>
  <c r="BP70" i="8"/>
  <c r="BD70" i="8"/>
  <c r="AR70" i="8"/>
  <c r="AF70" i="8"/>
  <c r="T70" i="8"/>
  <c r="BP69" i="8"/>
  <c r="BJ67" i="8"/>
  <c r="BD69" i="8"/>
  <c r="AX67" i="8"/>
  <c r="AR69" i="8"/>
  <c r="AL67" i="8"/>
  <c r="AF69" i="8"/>
  <c r="Z67" i="8"/>
  <c r="T69" i="8"/>
  <c r="N67" i="8"/>
  <c r="H68" i="8"/>
  <c r="BD66" i="8"/>
  <c r="AR66" i="8"/>
  <c r="AL68" i="8"/>
  <c r="Z68" i="8"/>
  <c r="H67" i="8"/>
  <c r="BP68" i="8"/>
  <c r="BJ66" i="8"/>
  <c r="BD68" i="8"/>
  <c r="AX66" i="8"/>
  <c r="AR68" i="8"/>
  <c r="AL66" i="8"/>
  <c r="AF68" i="8"/>
  <c r="Z66" i="8"/>
  <c r="T68" i="8"/>
  <c r="N66" i="8"/>
  <c r="H69" i="8"/>
  <c r="AX68" i="8"/>
  <c r="BP67" i="8"/>
  <c r="BJ69" i="8"/>
  <c r="BD67" i="8"/>
  <c r="AX69" i="8"/>
  <c r="AR67" i="8"/>
  <c r="AL69" i="8"/>
  <c r="AF67" i="8"/>
  <c r="Z69" i="8"/>
  <c r="T67" i="8"/>
  <c r="N69" i="8"/>
  <c r="H66" i="8"/>
  <c r="BP66" i="8"/>
  <c r="BJ68" i="8"/>
  <c r="AF66" i="8"/>
  <c r="T66" i="8"/>
  <c r="N68" i="8"/>
  <c r="BQ31" i="8"/>
  <c r="BQ30" i="8"/>
  <c r="BQ28" i="8"/>
  <c r="BK29" i="8"/>
  <c r="BE31" i="8"/>
  <c r="BE30" i="8"/>
  <c r="BE28" i="8"/>
  <c r="AY29" i="8"/>
  <c r="AS31" i="8"/>
  <c r="AS30" i="8"/>
  <c r="AS28" i="8"/>
  <c r="AM29" i="8"/>
  <c r="AG31" i="8"/>
  <c r="AG30" i="8"/>
  <c r="AG28" i="8"/>
  <c r="AA29" i="8"/>
  <c r="U31" i="8"/>
  <c r="U30" i="8"/>
  <c r="U28" i="8"/>
  <c r="O29" i="8"/>
  <c r="I28" i="8"/>
  <c r="I30" i="8"/>
  <c r="I31" i="8"/>
  <c r="BQ29" i="8"/>
  <c r="BK31" i="8"/>
  <c r="BK30" i="8"/>
  <c r="BK28" i="8"/>
  <c r="BE29" i="8"/>
  <c r="AY31" i="8"/>
  <c r="AY30" i="8"/>
  <c r="AY28" i="8"/>
  <c r="AS29" i="8"/>
  <c r="AM31" i="8"/>
  <c r="AM30" i="8"/>
  <c r="AM28" i="8"/>
  <c r="AG29" i="8"/>
  <c r="AA31" i="8"/>
  <c r="AA30" i="8"/>
  <c r="AA28" i="8"/>
  <c r="U29" i="8"/>
  <c r="O31" i="8"/>
  <c r="O30" i="8"/>
  <c r="O28" i="8"/>
  <c r="I29" i="8"/>
  <c r="BR75" i="8"/>
  <c r="BL73" i="8"/>
  <c r="BF75" i="8"/>
  <c r="AZ73" i="8"/>
  <c r="AT75" i="8"/>
  <c r="AN73" i="8"/>
  <c r="AH75" i="8"/>
  <c r="AB73" i="8"/>
  <c r="V75" i="8"/>
  <c r="P73" i="8"/>
  <c r="J74" i="8"/>
  <c r="BR74" i="8"/>
  <c r="BL76" i="8"/>
  <c r="BF74" i="8"/>
  <c r="AZ76" i="8"/>
  <c r="AT74" i="8"/>
  <c r="AN76" i="8"/>
  <c r="AH74" i="8"/>
  <c r="AB76" i="8"/>
  <c r="V74" i="8"/>
  <c r="P76" i="8"/>
  <c r="J75" i="8"/>
  <c r="BR73" i="8"/>
  <c r="BL75" i="8"/>
  <c r="BF73" i="8"/>
  <c r="AZ75" i="8"/>
  <c r="AT73" i="8"/>
  <c r="AN75" i="8"/>
  <c r="AH73" i="8"/>
  <c r="AB75" i="8"/>
  <c r="V73" i="8"/>
  <c r="P75" i="8"/>
  <c r="J76" i="8"/>
  <c r="BR76" i="8"/>
  <c r="BL74" i="8"/>
  <c r="BF76" i="8"/>
  <c r="AZ74" i="8"/>
  <c r="AT76" i="8"/>
  <c r="AN74" i="8"/>
  <c r="AH76" i="8"/>
  <c r="AB74" i="8"/>
  <c r="V76" i="8"/>
  <c r="P74" i="8"/>
  <c r="J73" i="8"/>
  <c r="BN29" i="8"/>
  <c r="AP29" i="8"/>
  <c r="R29" i="8"/>
  <c r="BT29" i="8"/>
  <c r="AV29" i="8"/>
  <c r="X29" i="8"/>
  <c r="BB29" i="8"/>
  <c r="AD29" i="8"/>
  <c r="BH29" i="8"/>
  <c r="AJ29" i="8"/>
  <c r="L29" i="8"/>
  <c r="BT28" i="8"/>
  <c r="BH28" i="8"/>
  <c r="AV28" i="8"/>
  <c r="AJ28" i="8"/>
  <c r="X28" i="8"/>
  <c r="BN27" i="8"/>
  <c r="BB27" i="8"/>
  <c r="AP27" i="8"/>
  <c r="AD27" i="8"/>
  <c r="R27" i="8"/>
  <c r="L28" i="8"/>
  <c r="BN28" i="8"/>
  <c r="BB28" i="8"/>
  <c r="AP28" i="8"/>
  <c r="AD28" i="8"/>
  <c r="R28" i="8"/>
  <c r="L27" i="8"/>
  <c r="BT27" i="8"/>
  <c r="BH27" i="8"/>
  <c r="AV27" i="8"/>
  <c r="AJ27" i="8"/>
  <c r="X27" i="8"/>
  <c r="BP81" i="8"/>
  <c r="BJ79" i="8"/>
  <c r="BD81" i="8"/>
  <c r="AX79" i="8"/>
  <c r="AR81" i="8"/>
  <c r="AL79" i="8"/>
  <c r="AF81" i="8"/>
  <c r="Z79" i="8"/>
  <c r="T81" i="8"/>
  <c r="N79" i="8"/>
  <c r="H80" i="8"/>
  <c r="BP80" i="8"/>
  <c r="BJ78" i="8"/>
  <c r="BD80" i="8"/>
  <c r="AX78" i="8"/>
  <c r="AR80" i="8"/>
  <c r="AL78" i="8"/>
  <c r="AF80" i="8"/>
  <c r="Z78" i="8"/>
  <c r="T80" i="8"/>
  <c r="N78" i="8"/>
  <c r="H81" i="8"/>
  <c r="BP79" i="8"/>
  <c r="BJ81" i="8"/>
  <c r="BD79" i="8"/>
  <c r="AX81" i="8"/>
  <c r="AR79" i="8"/>
  <c r="AL81" i="8"/>
  <c r="AF79" i="8"/>
  <c r="Z81" i="8"/>
  <c r="T79" i="8"/>
  <c r="N81" i="8"/>
  <c r="H78" i="8"/>
  <c r="BP78" i="8"/>
  <c r="BJ80" i="8"/>
  <c r="BD78" i="8"/>
  <c r="AX80" i="8"/>
  <c r="AR78" i="8"/>
  <c r="AL80" i="8"/>
  <c r="AF78" i="8"/>
  <c r="Z80" i="8"/>
  <c r="T78" i="8"/>
  <c r="N80" i="8"/>
  <c r="H79" i="8"/>
  <c r="BP61" i="8"/>
  <c r="BJ63" i="8"/>
  <c r="BD61" i="8"/>
  <c r="AX63" i="8"/>
  <c r="AR61" i="8"/>
  <c r="AL63" i="8"/>
  <c r="AF61" i="8"/>
  <c r="Z63" i="8"/>
  <c r="T61" i="8"/>
  <c r="N63" i="8"/>
  <c r="H64" i="8"/>
  <c r="BP64" i="8"/>
  <c r="BJ62" i="8"/>
  <c r="BD64" i="8"/>
  <c r="AX62" i="8"/>
  <c r="AR64" i="8"/>
  <c r="AL62" i="8"/>
  <c r="AF64" i="8"/>
  <c r="Z62" i="8"/>
  <c r="T64" i="8"/>
  <c r="N62" i="8"/>
  <c r="H61" i="8"/>
  <c r="BP63" i="8"/>
  <c r="BJ61" i="8"/>
  <c r="BD63" i="8"/>
  <c r="AX61" i="8"/>
  <c r="AR63" i="8"/>
  <c r="AL61" i="8"/>
  <c r="AF63" i="8"/>
  <c r="Z61" i="8"/>
  <c r="T63" i="8"/>
  <c r="N61" i="8"/>
  <c r="H62" i="8"/>
  <c r="BP62" i="8"/>
  <c r="BJ64" i="8"/>
  <c r="BD62" i="8"/>
  <c r="AX64" i="8"/>
  <c r="AR62" i="8"/>
  <c r="AL64" i="8"/>
  <c r="AF62" i="8"/>
  <c r="Z64" i="8"/>
  <c r="T62" i="8"/>
  <c r="N64" i="8"/>
  <c r="H63" i="8"/>
  <c r="AX58" i="8"/>
  <c r="Z58" i="8"/>
  <c r="BD58" i="8"/>
  <c r="AF58" i="8"/>
  <c r="H58" i="8"/>
  <c r="BJ58" i="8"/>
  <c r="AL58" i="8"/>
  <c r="N58" i="8"/>
  <c r="BP58" i="8"/>
  <c r="AR58" i="8"/>
  <c r="T58" i="8"/>
  <c r="BP57" i="8"/>
  <c r="BJ56" i="8"/>
  <c r="BD55" i="8"/>
  <c r="AX54" i="8"/>
  <c r="AR57" i="8"/>
  <c r="AL56" i="8"/>
  <c r="AF55" i="8"/>
  <c r="Z54" i="8"/>
  <c r="T57" i="8"/>
  <c r="N56" i="8"/>
  <c r="H57" i="8"/>
  <c r="BP56" i="8"/>
  <c r="BJ55" i="8"/>
  <c r="BD54" i="8"/>
  <c r="AX57" i="8"/>
  <c r="AR56" i="8"/>
  <c r="AL55" i="8"/>
  <c r="AF54" i="8"/>
  <c r="Z57" i="8"/>
  <c r="T56" i="8"/>
  <c r="N55" i="8"/>
  <c r="H54" i="8"/>
  <c r="BP55" i="8"/>
  <c r="BJ54" i="8"/>
  <c r="BD57" i="8"/>
  <c r="AX56" i="8"/>
  <c r="AR55" i="8"/>
  <c r="AL54" i="8"/>
  <c r="AF57" i="8"/>
  <c r="Z56" i="8"/>
  <c r="T55" i="8"/>
  <c r="N54" i="8"/>
  <c r="H55" i="8"/>
  <c r="BP54" i="8"/>
  <c r="BJ57" i="8"/>
  <c r="BD56" i="8"/>
  <c r="AX55" i="8"/>
  <c r="AR54" i="8"/>
  <c r="AL57" i="8"/>
  <c r="AF56" i="8"/>
  <c r="Z55" i="8"/>
  <c r="T54" i="8"/>
  <c r="N57" i="8"/>
  <c r="H56" i="8"/>
  <c r="BD51" i="8"/>
  <c r="AX52" i="8"/>
  <c r="AF51" i="8"/>
  <c r="Z52" i="8"/>
  <c r="H51" i="8"/>
  <c r="BP52" i="8"/>
  <c r="AX51" i="8"/>
  <c r="AR52" i="8"/>
  <c r="Z51" i="8"/>
  <c r="T52" i="8"/>
  <c r="H52" i="8"/>
  <c r="BP51" i="8"/>
  <c r="BJ52" i="8"/>
  <c r="AR51" i="8"/>
  <c r="AL52" i="8"/>
  <c r="T51" i="8"/>
  <c r="N52" i="8"/>
  <c r="BJ51" i="8"/>
  <c r="BD52" i="8"/>
  <c r="AL51" i="8"/>
  <c r="AF52" i="8"/>
  <c r="N51" i="8"/>
  <c r="BJ50" i="8"/>
  <c r="BJ49" i="8"/>
  <c r="BJ48" i="8"/>
  <c r="BJ47" i="8"/>
  <c r="AL50" i="8"/>
  <c r="AL49" i="8"/>
  <c r="AL48" i="8"/>
  <c r="AL47" i="8"/>
  <c r="N50" i="8"/>
  <c r="N49" i="8"/>
  <c r="N48" i="8"/>
  <c r="N47" i="8"/>
  <c r="BD50" i="8"/>
  <c r="BD49" i="8"/>
  <c r="BD48" i="8"/>
  <c r="BD47" i="8"/>
  <c r="AF50" i="8"/>
  <c r="AF49" i="8"/>
  <c r="AF48" i="8"/>
  <c r="AF47" i="8"/>
  <c r="AX50" i="8"/>
  <c r="AX49" i="8"/>
  <c r="AX48" i="8"/>
  <c r="AX47" i="8"/>
  <c r="Z50" i="8"/>
  <c r="Z49" i="8"/>
  <c r="Z48" i="8"/>
  <c r="Z47" i="8"/>
  <c r="BP50" i="8"/>
  <c r="BP49" i="8"/>
  <c r="BP48" i="8"/>
  <c r="BP47" i="8"/>
  <c r="AR50" i="8"/>
  <c r="AR49" i="8"/>
  <c r="AR48" i="8"/>
  <c r="AR47" i="8"/>
  <c r="T50" i="8"/>
  <c r="T49" i="8"/>
  <c r="T48" i="8"/>
  <c r="T47" i="8"/>
  <c r="H47" i="8"/>
  <c r="H48" i="8"/>
  <c r="H49" i="8"/>
  <c r="H50" i="8"/>
  <c r="H39" i="8"/>
  <c r="BP39" i="8"/>
  <c r="BD39" i="8"/>
  <c r="AR39" i="8"/>
  <c r="AF39" i="8"/>
  <c r="T39" i="8"/>
  <c r="BJ39" i="8"/>
  <c r="AX39" i="8"/>
  <c r="AL39" i="8"/>
  <c r="Z39" i="8"/>
  <c r="N39" i="8"/>
  <c r="BJ38" i="8"/>
  <c r="BJ37" i="8"/>
  <c r="BJ36" i="8"/>
  <c r="BJ35" i="8"/>
  <c r="AX38" i="8"/>
  <c r="AX37" i="8"/>
  <c r="AX36" i="8"/>
  <c r="AX35" i="8"/>
  <c r="AL38" i="8"/>
  <c r="AL37" i="8"/>
  <c r="AL36" i="8"/>
  <c r="AL35" i="8"/>
  <c r="Z38" i="8"/>
  <c r="Z37" i="8"/>
  <c r="Z36" i="8"/>
  <c r="Z35" i="8"/>
  <c r="N38" i="8"/>
  <c r="N37" i="8"/>
  <c r="N36" i="8"/>
  <c r="N35" i="8"/>
  <c r="BP38" i="8"/>
  <c r="BP37" i="8"/>
  <c r="BP36" i="8"/>
  <c r="BP35" i="8"/>
  <c r="BD38" i="8"/>
  <c r="BD37" i="8"/>
  <c r="BD36" i="8"/>
  <c r="BD35" i="8"/>
  <c r="AR38" i="8"/>
  <c r="AR37" i="8"/>
  <c r="AR36" i="8"/>
  <c r="AR35" i="8"/>
  <c r="AF38" i="8"/>
  <c r="AF37" i="8"/>
  <c r="AF36" i="8"/>
  <c r="AF35" i="8"/>
  <c r="T38" i="8"/>
  <c r="T37" i="8"/>
  <c r="T36" i="8"/>
  <c r="T35" i="8"/>
  <c r="H35" i="8"/>
  <c r="H36" i="8"/>
  <c r="H37" i="8"/>
  <c r="H38" i="8"/>
  <c r="BR47" i="8"/>
  <c r="BL49" i="8"/>
  <c r="BF47" i="8"/>
  <c r="AZ49" i="8"/>
  <c r="AT47" i="8"/>
  <c r="AN49" i="8"/>
  <c r="AH47" i="8"/>
  <c r="AB49" i="8"/>
  <c r="V47" i="8"/>
  <c r="P49" i="8"/>
  <c r="J46" i="8"/>
  <c r="BR46" i="8"/>
  <c r="BL48" i="8"/>
  <c r="BF46" i="8"/>
  <c r="AZ48" i="8"/>
  <c r="AT46" i="8"/>
  <c r="AN48" i="8"/>
  <c r="AH46" i="8"/>
  <c r="AB48" i="8"/>
  <c r="V46" i="8"/>
  <c r="P48" i="8"/>
  <c r="J47" i="8"/>
  <c r="BR49" i="8"/>
  <c r="BL47" i="8"/>
  <c r="BF49" i="8"/>
  <c r="AZ47" i="8"/>
  <c r="AT49" i="8"/>
  <c r="AN47" i="8"/>
  <c r="AH49" i="8"/>
  <c r="AB47" i="8"/>
  <c r="V49" i="8"/>
  <c r="P47" i="8"/>
  <c r="J48" i="8"/>
  <c r="BR48" i="8"/>
  <c r="BL46" i="8"/>
  <c r="BF48" i="8"/>
  <c r="AZ46" i="8"/>
  <c r="AT48" i="8"/>
  <c r="AN46" i="8"/>
  <c r="AH48" i="8"/>
  <c r="AB46" i="8"/>
  <c r="V48" i="8"/>
  <c r="P46" i="8"/>
  <c r="J49" i="8"/>
  <c r="BR34" i="8"/>
  <c r="BL36" i="8"/>
  <c r="BF34" i="8"/>
  <c r="AZ36" i="8"/>
  <c r="AT34" i="8"/>
  <c r="AN36" i="8"/>
  <c r="AH34" i="8"/>
  <c r="AB36" i="8"/>
  <c r="V34" i="8"/>
  <c r="P36" i="8"/>
  <c r="J37" i="8"/>
  <c r="BR37" i="8"/>
  <c r="BL35" i="8"/>
  <c r="BF37" i="8"/>
  <c r="AZ35" i="8"/>
  <c r="AT37" i="8"/>
  <c r="AN35" i="8"/>
  <c r="AH37" i="8"/>
  <c r="AB35" i="8"/>
  <c r="V37" i="8"/>
  <c r="P35" i="8"/>
  <c r="J34" i="8"/>
  <c r="BR36" i="8"/>
  <c r="BL34" i="8"/>
  <c r="BF36" i="8"/>
  <c r="AZ34" i="8"/>
  <c r="AT36" i="8"/>
  <c r="AN34" i="8"/>
  <c r="AH36" i="8"/>
  <c r="AB34" i="8"/>
  <c r="V36" i="8"/>
  <c r="P34" i="8"/>
  <c r="J35" i="8"/>
  <c r="BR35" i="8"/>
  <c r="BL37" i="8"/>
  <c r="BF35" i="8"/>
  <c r="AZ37" i="8"/>
  <c r="AT35" i="8"/>
  <c r="AN37" i="8"/>
  <c r="AH35" i="8"/>
  <c r="AB37" i="8"/>
  <c r="V35" i="8"/>
  <c r="P37" i="8"/>
  <c r="J36" i="8"/>
  <c r="AZ29" i="8"/>
  <c r="AB29" i="8"/>
  <c r="BF29" i="8"/>
  <c r="AH29" i="8"/>
  <c r="J29" i="8"/>
  <c r="BL29" i="8"/>
  <c r="AN29" i="8"/>
  <c r="P29" i="8"/>
  <c r="BR29" i="8"/>
  <c r="AT29" i="8"/>
  <c r="V29" i="8"/>
  <c r="BL28" i="8"/>
  <c r="BL27" i="8"/>
  <c r="AZ28" i="8"/>
  <c r="AZ27" i="8"/>
  <c r="AN28" i="8"/>
  <c r="AN27" i="8"/>
  <c r="AB28" i="8"/>
  <c r="AB27" i="8"/>
  <c r="P28" i="8"/>
  <c r="P27" i="8"/>
  <c r="J27" i="8"/>
  <c r="J28" i="8"/>
  <c r="BR28" i="8"/>
  <c r="BR27" i="8"/>
  <c r="BF28" i="8"/>
  <c r="BF27" i="8"/>
  <c r="AT28" i="8"/>
  <c r="AT27" i="8"/>
  <c r="AH28" i="8"/>
  <c r="AH27" i="8"/>
  <c r="V28" i="8"/>
  <c r="V27" i="8"/>
  <c r="BP93" i="8"/>
  <c r="BJ91" i="8"/>
  <c r="BD93" i="8"/>
  <c r="AX91" i="8"/>
  <c r="AR93" i="8"/>
  <c r="AL91" i="8"/>
  <c r="AF93" i="8"/>
  <c r="Z91" i="8"/>
  <c r="T93" i="8"/>
  <c r="N91" i="8"/>
  <c r="H92" i="8"/>
  <c r="BP90" i="8"/>
  <c r="BJ92" i="8"/>
  <c r="AF90" i="8"/>
  <c r="T90" i="8"/>
  <c r="BP92" i="8"/>
  <c r="BJ90" i="8"/>
  <c r="BD92" i="8"/>
  <c r="AX90" i="8"/>
  <c r="AR92" i="8"/>
  <c r="AL90" i="8"/>
  <c r="AF92" i="8"/>
  <c r="Z90" i="8"/>
  <c r="T92" i="8"/>
  <c r="N90" i="8"/>
  <c r="H93" i="8"/>
  <c r="BD90" i="8"/>
  <c r="AX92" i="8"/>
  <c r="AR90" i="8"/>
  <c r="N92" i="8"/>
  <c r="H91" i="8"/>
  <c r="BP91" i="8"/>
  <c r="BJ93" i="8"/>
  <c r="BD91" i="8"/>
  <c r="AX93" i="8"/>
  <c r="AR91" i="8"/>
  <c r="AL93" i="8"/>
  <c r="AF91" i="8"/>
  <c r="Z93" i="8"/>
  <c r="T91" i="8"/>
  <c r="N93" i="8"/>
  <c r="H90" i="8"/>
  <c r="AL92" i="8"/>
  <c r="Z92" i="8"/>
  <c r="BQ111" i="8"/>
  <c r="BK112" i="8"/>
  <c r="AY110" i="8"/>
  <c r="AS111" i="8"/>
  <c r="AM112" i="8"/>
  <c r="AA110" i="8"/>
  <c r="U111" i="8"/>
  <c r="O112" i="8"/>
  <c r="BQ110" i="8"/>
  <c r="BK111" i="8"/>
  <c r="BE112" i="8"/>
  <c r="AS110" i="8"/>
  <c r="AM111" i="8"/>
  <c r="AG112" i="8"/>
  <c r="U110" i="8"/>
  <c r="O111" i="8"/>
  <c r="I110" i="8"/>
  <c r="BK110" i="8"/>
  <c r="BE111" i="8"/>
  <c r="AY112" i="8"/>
  <c r="AM110" i="8"/>
  <c r="AG111" i="8"/>
  <c r="AA112" i="8"/>
  <c r="O110" i="8"/>
  <c r="I111" i="8"/>
  <c r="BQ112" i="8"/>
  <c r="BE110" i="8"/>
  <c r="AY111" i="8"/>
  <c r="AS112" i="8"/>
  <c r="AG110" i="8"/>
  <c r="AA111" i="8"/>
  <c r="U112" i="8"/>
  <c r="I112" i="8"/>
  <c r="BQ43" i="8"/>
  <c r="BE43" i="8"/>
  <c r="AS43" i="8"/>
  <c r="AG43" i="8"/>
  <c r="U43" i="8"/>
  <c r="I43" i="8"/>
  <c r="BK43" i="8"/>
  <c r="AY43" i="8"/>
  <c r="AM43" i="8"/>
  <c r="AA43" i="8"/>
  <c r="O43" i="8"/>
  <c r="BQ39" i="8"/>
  <c r="BK41" i="8"/>
  <c r="BE39" i="8"/>
  <c r="AY41" i="8"/>
  <c r="AS39" i="8"/>
  <c r="AM41" i="8"/>
  <c r="AG39" i="8"/>
  <c r="AA41" i="8"/>
  <c r="U39" i="8"/>
  <c r="O41" i="8"/>
  <c r="I42" i="8"/>
  <c r="BQ42" i="8"/>
  <c r="BK40" i="8"/>
  <c r="BE42" i="8"/>
  <c r="AY40" i="8"/>
  <c r="AS42" i="8"/>
  <c r="AM40" i="8"/>
  <c r="AG42" i="8"/>
  <c r="AA40" i="8"/>
  <c r="U42" i="8"/>
  <c r="O40" i="8"/>
  <c r="I39" i="8"/>
  <c r="BQ41" i="8"/>
  <c r="BK39" i="8"/>
  <c r="BE41" i="8"/>
  <c r="AY39" i="8"/>
  <c r="AS41" i="8"/>
  <c r="AM39" i="8"/>
  <c r="AG41" i="8"/>
  <c r="AA39" i="8"/>
  <c r="U41" i="8"/>
  <c r="O39" i="8"/>
  <c r="I40" i="8"/>
  <c r="BQ40" i="8"/>
  <c r="BK42" i="8"/>
  <c r="BE40" i="8"/>
  <c r="AY42" i="8"/>
  <c r="AS40" i="8"/>
  <c r="AM42" i="8"/>
  <c r="AG40" i="8"/>
  <c r="AA42" i="8"/>
  <c r="U40" i="8"/>
  <c r="O42" i="8"/>
  <c r="I41" i="8"/>
  <c r="BJ27" i="8"/>
  <c r="AL27" i="8"/>
  <c r="N27" i="8"/>
  <c r="BP27" i="8"/>
  <c r="AR27" i="8"/>
  <c r="T27" i="8"/>
  <c r="AX27" i="8"/>
  <c r="Z27" i="8"/>
  <c r="BD27" i="8"/>
  <c r="AF27" i="8"/>
  <c r="H27" i="8"/>
  <c r="BP28" i="8"/>
  <c r="BJ31" i="8"/>
  <c r="BD30" i="8"/>
  <c r="AX29" i="8"/>
  <c r="AR28" i="8"/>
  <c r="AL31" i="8"/>
  <c r="AF30" i="8"/>
  <c r="Z29" i="8"/>
  <c r="T28" i="8"/>
  <c r="N31" i="8"/>
  <c r="H28" i="8"/>
  <c r="AR29" i="8"/>
  <c r="BP31" i="8"/>
  <c r="BJ30" i="8"/>
  <c r="BD29" i="8"/>
  <c r="AX28" i="8"/>
  <c r="AR31" i="8"/>
  <c r="AL30" i="8"/>
  <c r="AF29" i="8"/>
  <c r="Z28" i="8"/>
  <c r="T31" i="8"/>
  <c r="N30" i="8"/>
  <c r="BP29" i="8"/>
  <c r="AX30" i="8"/>
  <c r="AL28" i="8"/>
  <c r="AF31" i="8"/>
  <c r="N28" i="8"/>
  <c r="BP30" i="8"/>
  <c r="BJ29" i="8"/>
  <c r="BD28" i="8"/>
  <c r="AX31" i="8"/>
  <c r="AR30" i="8"/>
  <c r="AL29" i="8"/>
  <c r="AF28" i="8"/>
  <c r="Z31" i="8"/>
  <c r="T30" i="8"/>
  <c r="N29" i="8"/>
  <c r="H30" i="8"/>
  <c r="BJ28" i="8"/>
  <c r="BD31" i="8"/>
  <c r="Z30" i="8"/>
  <c r="T29" i="8"/>
  <c r="G22" i="9" l="1"/>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5" i="2"/>
  <c r="B34" i="2"/>
  <c r="B33" i="2"/>
  <c r="B32" i="2"/>
  <c r="B31" i="2"/>
  <c r="B30" i="2"/>
  <c r="B29" i="2"/>
  <c r="B28" i="2"/>
  <c r="B27" i="2"/>
  <c r="B26" i="2"/>
  <c r="B25" i="2"/>
  <c r="B24" i="2"/>
  <c r="C23" i="8"/>
  <c r="D23" i="8"/>
  <c r="E23" i="8"/>
  <c r="F23" i="8"/>
  <c r="B23" i="8"/>
  <c r="BP21" i="8"/>
  <c r="BJ21" i="8"/>
  <c r="BD21" i="8"/>
  <c r="AX21" i="8"/>
  <c r="AR21" i="8"/>
  <c r="AL21" i="8"/>
  <c r="AF21" i="8"/>
  <c r="Z21" i="8"/>
  <c r="T21" i="8"/>
  <c r="N21" i="8"/>
  <c r="H21" i="8"/>
  <c r="BN26" i="8" l="1"/>
  <c r="AP26" i="8"/>
  <c r="R26" i="8"/>
  <c r="AV26" i="8"/>
  <c r="BH26" i="8"/>
  <c r="AJ26" i="8"/>
  <c r="BB26" i="8"/>
  <c r="AD26" i="8"/>
  <c r="L26" i="8"/>
  <c r="BT26" i="8"/>
  <c r="X26" i="8"/>
  <c r="BD26" i="8"/>
  <c r="AF26" i="8"/>
  <c r="H26" i="8"/>
  <c r="AX26" i="8"/>
  <c r="T26" i="8"/>
  <c r="BP26" i="8"/>
  <c r="AR26" i="8"/>
  <c r="N26" i="8"/>
  <c r="BJ26" i="8"/>
  <c r="AL26" i="8"/>
  <c r="Z26" i="8"/>
  <c r="BK26" i="8"/>
  <c r="AM26" i="8"/>
  <c r="U26" i="8"/>
  <c r="BE26" i="8"/>
  <c r="AG26" i="8"/>
  <c r="O26" i="8"/>
  <c r="AY26" i="8"/>
  <c r="AA26" i="8"/>
  <c r="BQ26" i="8"/>
  <c r="AS26" i="8"/>
  <c r="I26" i="8"/>
  <c r="BA26" i="8"/>
  <c r="AC26" i="8"/>
  <c r="BS26" i="8"/>
  <c r="AU26" i="8"/>
  <c r="W26" i="8"/>
  <c r="BM26" i="8"/>
  <c r="AO26" i="8"/>
  <c r="Q26" i="8"/>
  <c r="BG26" i="8"/>
  <c r="AI26" i="8"/>
  <c r="K26" i="8"/>
  <c r="AZ26" i="8"/>
  <c r="AH26" i="8"/>
  <c r="BR26" i="8"/>
  <c r="BL26" i="8"/>
  <c r="P26" i="8"/>
  <c r="AT26" i="8"/>
  <c r="AN26" i="8"/>
  <c r="AB26" i="8"/>
  <c r="J26" i="8"/>
  <c r="BF26" i="8"/>
  <c r="V26" i="8"/>
  <c r="E10" i="8"/>
  <c r="F15" i="2" s="1"/>
  <c r="B12" i="8"/>
  <c r="C17" i="2" s="1"/>
  <c r="B3" i="8"/>
  <c r="C8" i="2" s="1"/>
  <c r="B7" i="8"/>
  <c r="C12" i="2" s="1"/>
  <c r="C13" i="8"/>
  <c r="D18" i="2" s="1"/>
  <c r="D8" i="8"/>
  <c r="E13" i="2" s="1"/>
  <c r="C9" i="8"/>
  <c r="D14" i="2" s="1"/>
  <c r="C4" i="8"/>
  <c r="D9" i="2" s="1"/>
  <c r="C8" i="8"/>
  <c r="D13" i="2" s="1"/>
  <c r="B5" i="8"/>
  <c r="C10" i="2" s="1"/>
  <c r="B15" i="8"/>
  <c r="B6" i="8"/>
  <c r="C11" i="2" s="1"/>
  <c r="C3" i="8"/>
  <c r="D8" i="2" s="1"/>
  <c r="C5" i="8"/>
  <c r="D10" i="2" s="1"/>
  <c r="C7" i="8"/>
  <c r="D12" i="2" s="1"/>
  <c r="E9" i="8"/>
  <c r="F14" i="2" s="1"/>
  <c r="C12" i="8"/>
  <c r="D17" i="2" s="1"/>
  <c r="E13" i="8"/>
  <c r="F18" i="2" s="1"/>
  <c r="E3" i="8"/>
  <c r="F8" i="2" s="1"/>
  <c r="E4" i="8"/>
  <c r="F9" i="2" s="1"/>
  <c r="D5" i="8"/>
  <c r="E10" i="2" s="1"/>
  <c r="D6" i="8"/>
  <c r="E11" i="2" s="1"/>
  <c r="E7" i="8"/>
  <c r="F12" i="2" s="1"/>
  <c r="E8" i="8"/>
  <c r="F13" i="2" s="1"/>
  <c r="B10" i="8"/>
  <c r="C15" i="2" s="1"/>
  <c r="C11" i="8"/>
  <c r="D16" i="2" s="1"/>
  <c r="E12" i="8"/>
  <c r="F17" i="2" s="1"/>
  <c r="B14" i="8"/>
  <c r="C19" i="2" s="1"/>
  <c r="E15" i="8"/>
  <c r="D4" i="8"/>
  <c r="E9" i="2" s="1"/>
  <c r="C6" i="8"/>
  <c r="D11" i="2" s="1"/>
  <c r="B11" i="8"/>
  <c r="C16" i="2" s="1"/>
  <c r="C15" i="8"/>
  <c r="B4" i="8"/>
  <c r="C9" i="2" s="1"/>
  <c r="F4" i="8"/>
  <c r="G9" i="2" s="1"/>
  <c r="E5" i="8"/>
  <c r="F10" i="2" s="1"/>
  <c r="E6" i="8"/>
  <c r="F11" i="2" s="1"/>
  <c r="B8" i="8"/>
  <c r="C13" i="2" s="1"/>
  <c r="B9" i="8"/>
  <c r="C14" i="2" s="1"/>
  <c r="C10" i="8"/>
  <c r="D15" i="2" s="1"/>
  <c r="E11" i="8"/>
  <c r="F16" i="2" s="1"/>
  <c r="B13" i="8"/>
  <c r="C18" i="2" s="1"/>
  <c r="E14" i="8"/>
  <c r="F19" i="2" s="1"/>
  <c r="F5" i="8"/>
  <c r="G10" i="2" s="1"/>
  <c r="F6" i="8"/>
  <c r="G11" i="2" s="1"/>
  <c r="F7" i="8"/>
  <c r="G12" i="2" s="1"/>
  <c r="F14" i="8"/>
  <c r="G19" i="2" s="1"/>
  <c r="F15" i="8"/>
  <c r="G20" i="2" s="1"/>
  <c r="F3" i="8"/>
  <c r="G8" i="2" s="1"/>
  <c r="F8" i="8"/>
  <c r="G13" i="2" s="1"/>
  <c r="F9" i="8"/>
  <c r="G14" i="2" s="1"/>
  <c r="F10" i="8"/>
  <c r="G15" i="2" s="1"/>
  <c r="F11" i="8"/>
  <c r="G16" i="2" s="1"/>
  <c r="F12" i="8"/>
  <c r="G17" i="2" s="1"/>
  <c r="F13" i="8"/>
  <c r="G18" i="2" s="1"/>
  <c r="D10" i="8"/>
  <c r="E15" i="2" s="1"/>
  <c r="D12" i="8"/>
  <c r="E17" i="2" s="1"/>
  <c r="D14" i="8"/>
  <c r="E19" i="2" s="1"/>
  <c r="D7" i="8"/>
  <c r="E12" i="2" s="1"/>
  <c r="D9" i="8"/>
  <c r="E14" i="2" s="1"/>
  <c r="D11" i="8"/>
  <c r="E16" i="2" s="1"/>
  <c r="D13" i="8"/>
  <c r="E18" i="2" s="1"/>
  <c r="D15" i="8"/>
  <c r="D3" i="8"/>
  <c r="E8" i="2" s="1"/>
  <c r="C14" i="8"/>
  <c r="D19" i="2" s="1"/>
  <c r="K14" i="10" l="1"/>
  <c r="L4" i="10"/>
  <c r="L14" i="10"/>
  <c r="L34" i="9" s="1"/>
  <c r="D70" i="9" s="1"/>
  <c r="F70" i="9" s="1"/>
  <c r="J9" i="10"/>
  <c r="J29" i="9" s="1"/>
  <c r="L8" i="10"/>
  <c r="L28" i="9" s="1"/>
  <c r="D64" i="9" s="1"/>
  <c r="F64" i="9" s="1"/>
  <c r="L5" i="10"/>
  <c r="L25" i="9" s="1"/>
  <c r="D61" i="9" s="1"/>
  <c r="F61" i="9" s="1"/>
  <c r="J8" i="10"/>
  <c r="J28" i="9" s="1"/>
  <c r="J13" i="10"/>
  <c r="J33" i="9" s="1"/>
  <c r="K7" i="10"/>
  <c r="K27" i="9" s="1"/>
  <c r="K4" i="10"/>
  <c r="K24" i="9" s="1"/>
  <c r="D71" i="9" s="1"/>
  <c r="F71" i="9" s="1"/>
  <c r="J7" i="10"/>
  <c r="J27" i="9" s="1"/>
  <c r="J10" i="10"/>
  <c r="K11" i="10"/>
  <c r="K31" i="9" s="1"/>
  <c r="K5" i="10"/>
  <c r="K25" i="9" s="1"/>
  <c r="J6" i="10"/>
  <c r="J26" i="9" s="1"/>
  <c r="L7" i="10"/>
  <c r="L27" i="9" s="1"/>
  <c r="D63" i="9" s="1"/>
  <c r="F63" i="9" s="1"/>
  <c r="K8" i="10"/>
  <c r="K28" i="9" s="1"/>
  <c r="J11" i="10"/>
  <c r="J31" i="9" s="1"/>
  <c r="K12" i="10"/>
  <c r="K32" i="9" s="1"/>
  <c r="K13" i="10"/>
  <c r="K33" i="9" s="1"/>
  <c r="J4" i="10"/>
  <c r="J24" i="9" s="1"/>
  <c r="J5" i="10"/>
  <c r="J25" i="9" s="1"/>
  <c r="L10" i="10"/>
  <c r="L30" i="9" s="1"/>
  <c r="D66" i="9" s="1"/>
  <c r="F66" i="9" s="1"/>
  <c r="K6" i="10"/>
  <c r="K26" i="9" s="1"/>
  <c r="K9" i="10"/>
  <c r="K29" i="9" s="1"/>
  <c r="K10" i="10"/>
  <c r="K30" i="9" s="1"/>
  <c r="J14" i="10"/>
  <c r="J34" i="9" s="1"/>
  <c r="J12" i="10"/>
  <c r="J32" i="9" s="1"/>
  <c r="L12" i="10"/>
  <c r="L32" i="9" s="1"/>
  <c r="D68" i="9" s="1"/>
  <c r="F68" i="9" s="1"/>
  <c r="L9" i="10"/>
  <c r="L29" i="9" s="1"/>
  <c r="D65" i="9" s="1"/>
  <c r="F65" i="9" s="1"/>
  <c r="L6" i="10"/>
  <c r="L26" i="9" s="1"/>
  <c r="D62" i="9" s="1"/>
  <c r="F62" i="9" s="1"/>
  <c r="L13" i="10"/>
  <c r="L33" i="9" s="1"/>
  <c r="D69" i="9" s="1"/>
  <c r="F69" i="9" s="1"/>
  <c r="I11" i="10"/>
  <c r="I31" i="9" s="1"/>
  <c r="I5" i="10"/>
  <c r="I25" i="9" s="1"/>
  <c r="M6" i="10"/>
  <c r="M26" i="9" s="1"/>
  <c r="D51" i="9" s="1"/>
  <c r="F51" i="9" s="1"/>
  <c r="M14" i="10"/>
  <c r="M34" i="9" s="1"/>
  <c r="D59" i="9" s="1"/>
  <c r="F59" i="9" s="1"/>
  <c r="M12" i="10"/>
  <c r="M32" i="9" s="1"/>
  <c r="D57" i="9" s="1"/>
  <c r="F57" i="9" s="1"/>
  <c r="I14" i="10"/>
  <c r="I34" i="9" s="1"/>
  <c r="I7" i="10"/>
  <c r="I27" i="9" s="1"/>
  <c r="I4" i="10"/>
  <c r="I24" i="9" s="1"/>
  <c r="M9" i="10"/>
  <c r="M29" i="9" s="1"/>
  <c r="D54" i="9" s="1"/>
  <c r="F54" i="9" s="1"/>
  <c r="M11" i="10"/>
  <c r="M31" i="9" s="1"/>
  <c r="D56" i="9" s="1"/>
  <c r="F56" i="9" s="1"/>
  <c r="I10" i="10"/>
  <c r="I30" i="9" s="1"/>
  <c r="I6" i="10"/>
  <c r="I26" i="9" s="1"/>
  <c r="I8" i="10"/>
  <c r="I28" i="9" s="1"/>
  <c r="M10" i="10"/>
  <c r="M30" i="9" s="1"/>
  <c r="D55" i="9" s="1"/>
  <c r="F55" i="9" s="1"/>
  <c r="M13" i="10"/>
  <c r="M33" i="9" s="1"/>
  <c r="D58" i="9" s="1"/>
  <c r="F58" i="9" s="1"/>
  <c r="M4" i="10"/>
  <c r="M24" i="9" s="1"/>
  <c r="D49" i="9" s="1"/>
  <c r="F49" i="9" s="1"/>
  <c r="L11" i="10"/>
  <c r="L31" i="9" s="1"/>
  <c r="D67" i="9" s="1"/>
  <c r="F67" i="9" s="1"/>
  <c r="I13" i="10"/>
  <c r="I33" i="9" s="1"/>
  <c r="I9" i="10"/>
  <c r="I29" i="9" s="1"/>
  <c r="I12" i="10"/>
  <c r="I32" i="9" s="1"/>
  <c r="M7" i="10"/>
  <c r="M27" i="9" s="1"/>
  <c r="D52" i="9" s="1"/>
  <c r="F52" i="9" s="1"/>
  <c r="M5" i="10"/>
  <c r="M25" i="9" s="1"/>
  <c r="D50" i="9" s="1"/>
  <c r="F50" i="9" s="1"/>
  <c r="M8" i="10"/>
  <c r="M28" i="9" s="1"/>
  <c r="D53" i="9" s="1"/>
  <c r="F53" i="9" s="1"/>
  <c r="J30" i="9"/>
  <c r="K34" i="9"/>
  <c r="D72" i="9" s="1"/>
  <c r="F72" i="9" s="1"/>
  <c r="L24" i="9"/>
  <c r="D60" i="9" s="1"/>
  <c r="F60" i="9" s="1"/>
  <c r="E20" i="2"/>
  <c r="D20" i="2"/>
  <c r="C20" i="2"/>
  <c r="F20" i="2"/>
  <c r="E16" i="8"/>
  <c r="G21" i="2"/>
  <c r="C16" i="8"/>
  <c r="B16" i="8"/>
  <c r="D16" i="8"/>
  <c r="F16" i="8"/>
  <c r="F20" i="8" s="1"/>
  <c r="E21" i="8" l="1"/>
  <c r="E20" i="8"/>
  <c r="D22" i="8"/>
  <c r="BR25" i="8" s="1"/>
  <c r="D20" i="8"/>
  <c r="B21" i="8"/>
  <c r="B20" i="8"/>
  <c r="C21" i="2"/>
  <c r="C21" i="8"/>
  <c r="C20" i="8"/>
  <c r="E21" i="2"/>
  <c r="F21" i="2"/>
  <c r="C22" i="8"/>
  <c r="BQ25" i="8" s="1"/>
  <c r="D21" i="2"/>
  <c r="E22" i="8"/>
  <c r="BS25" i="8" s="1"/>
  <c r="B22" i="8"/>
  <c r="D21" i="8"/>
  <c r="F21" i="8"/>
  <c r="F22" i="8"/>
  <c r="BT25" i="8" s="1"/>
  <c r="P25" i="8" l="1"/>
  <c r="AH25" i="8"/>
  <c r="AR23" i="8"/>
  <c r="J25" i="8"/>
  <c r="AB25" i="8"/>
  <c r="BF25" i="8"/>
  <c r="BL25" i="8"/>
  <c r="AN25" i="8"/>
  <c r="AZ25" i="8"/>
  <c r="V25" i="8"/>
  <c r="AT25" i="8"/>
  <c r="BT24" i="8"/>
  <c r="BP23" i="8"/>
  <c r="BR23" i="8"/>
  <c r="BR24" i="8"/>
  <c r="BK23" i="8"/>
  <c r="BP24" i="8"/>
  <c r="BM23" i="8"/>
  <c r="BQ23" i="8"/>
  <c r="BS23" i="8"/>
  <c r="BJ24" i="8"/>
  <c r="BP25" i="8"/>
  <c r="BM24" i="8"/>
  <c r="BQ24" i="8"/>
  <c r="BS24" i="8"/>
  <c r="BH25" i="8"/>
  <c r="BN25" i="8"/>
  <c r="BN24" i="8"/>
  <c r="BL23" i="8"/>
  <c r="BL24" i="8"/>
  <c r="BG24" i="8"/>
  <c r="BM25" i="8"/>
  <c r="AY24" i="8"/>
  <c r="BK25" i="8"/>
  <c r="BK24" i="8"/>
  <c r="BD23" i="8"/>
  <c r="BJ25" i="8"/>
  <c r="BJ23" i="8"/>
  <c r="BA24" i="8"/>
  <c r="BG23" i="8"/>
  <c r="BF24" i="8"/>
  <c r="BF23" i="8"/>
  <c r="AX23" i="8"/>
  <c r="AY23" i="8"/>
  <c r="BE25" i="8"/>
  <c r="BE23" i="8"/>
  <c r="BB24" i="8"/>
  <c r="BH24" i="8"/>
  <c r="BA23" i="8"/>
  <c r="BG25" i="8"/>
  <c r="AX25" i="8"/>
  <c r="BD25" i="8"/>
  <c r="BD24" i="8"/>
  <c r="BE24" i="8"/>
  <c r="AZ24" i="8"/>
  <c r="AZ23" i="8"/>
  <c r="AV25" i="8"/>
  <c r="BB25" i="8"/>
  <c r="AU25" i="8"/>
  <c r="BA25" i="8"/>
  <c r="AS23" i="8"/>
  <c r="AY25" i="8"/>
  <c r="AR24" i="8"/>
  <c r="AX24" i="8"/>
  <c r="AT23" i="8"/>
  <c r="AT24" i="8"/>
  <c r="AL24" i="8"/>
  <c r="AR25" i="8"/>
  <c r="AU23" i="8"/>
  <c r="AM25" i="8"/>
  <c r="AS25" i="8"/>
  <c r="AP24" i="8"/>
  <c r="AV24" i="8"/>
  <c r="AI24" i="8"/>
  <c r="AS24" i="8"/>
  <c r="AU24" i="8"/>
  <c r="AN23" i="8"/>
  <c r="AN24" i="8"/>
  <c r="AG24" i="8"/>
  <c r="AL23" i="8"/>
  <c r="AM23" i="8"/>
  <c r="AG23" i="8"/>
  <c r="AM24" i="8"/>
  <c r="AI25" i="8"/>
  <c r="AO25" i="8"/>
  <c r="AJ25" i="8"/>
  <c r="AP25" i="8"/>
  <c r="AF25" i="8"/>
  <c r="AL25" i="8"/>
  <c r="AI23" i="8"/>
  <c r="AO23" i="8"/>
  <c r="AO24" i="8"/>
  <c r="AJ24" i="8"/>
  <c r="AH24" i="8"/>
  <c r="AH23" i="8"/>
  <c r="AF23" i="8"/>
  <c r="AA23" i="8"/>
  <c r="AG25" i="8"/>
  <c r="Z24" i="8"/>
  <c r="AF24" i="8"/>
  <c r="T25" i="8"/>
  <c r="Z25" i="8"/>
  <c r="X24" i="8"/>
  <c r="AD24" i="8"/>
  <c r="AB24" i="8"/>
  <c r="AB23" i="8"/>
  <c r="Z23" i="8"/>
  <c r="W25" i="8"/>
  <c r="AC25" i="8"/>
  <c r="U25" i="8"/>
  <c r="AA25" i="8"/>
  <c r="AA24" i="8"/>
  <c r="X25" i="8"/>
  <c r="AD25" i="8"/>
  <c r="AC23" i="8"/>
  <c r="AC24" i="8"/>
  <c r="T23" i="8"/>
  <c r="V23" i="8"/>
  <c r="V24" i="8"/>
  <c r="T24" i="8"/>
  <c r="U23" i="8"/>
  <c r="W23" i="8"/>
  <c r="U24" i="8"/>
  <c r="W24" i="8"/>
  <c r="K24" i="8"/>
  <c r="N23" i="8"/>
  <c r="Q24" i="8"/>
  <c r="O23" i="8"/>
  <c r="K25" i="8"/>
  <c r="Q25" i="8"/>
  <c r="I25" i="8"/>
  <c r="O25" i="8"/>
  <c r="O24" i="8"/>
  <c r="J24" i="8"/>
  <c r="P24" i="8"/>
  <c r="P23" i="8"/>
  <c r="L25" i="8"/>
  <c r="R25" i="8"/>
  <c r="H25" i="8"/>
  <c r="N25" i="8"/>
  <c r="N24" i="8"/>
  <c r="R24" i="8"/>
  <c r="Q23" i="8"/>
  <c r="I24" i="8"/>
  <c r="L24" i="8"/>
  <c r="H24" i="8"/>
  <c r="I23" i="8"/>
  <c r="BT23" i="8"/>
  <c r="J23" i="8"/>
  <c r="K23" i="8"/>
  <c r="H23" i="8"/>
  <c r="G22" i="2"/>
  <c r="P40" i="2" s="1"/>
  <c r="R40" i="2" s="1"/>
  <c r="P62" i="2" l="1"/>
  <c r="R62" i="2" s="1"/>
  <c r="P61" i="2"/>
  <c r="R61" i="2" s="1"/>
  <c r="P56" i="2"/>
  <c r="R56" i="2" s="1"/>
  <c r="P41" i="2"/>
  <c r="R41" i="2" s="1"/>
  <c r="P48" i="2"/>
  <c r="R48" i="2" s="1"/>
  <c r="P63" i="2"/>
  <c r="R63" i="2" s="1"/>
  <c r="P58" i="2"/>
  <c r="R58" i="2" s="1"/>
  <c r="P45" i="2"/>
  <c r="R45" i="2" s="1"/>
  <c r="P54" i="2"/>
  <c r="R54" i="2" s="1"/>
  <c r="P53" i="2"/>
  <c r="R53" i="2" s="1"/>
  <c r="P55" i="2"/>
  <c r="R55" i="2" s="1"/>
  <c r="P52" i="2"/>
  <c r="R52" i="2" s="1"/>
  <c r="P47" i="2"/>
  <c r="R47" i="2" s="1"/>
  <c r="P38" i="2"/>
  <c r="P43" i="2"/>
  <c r="R43" i="2" s="1"/>
  <c r="P46" i="2"/>
  <c r="R46" i="2" s="1"/>
  <c r="P49" i="2"/>
  <c r="R49" i="2" s="1"/>
  <c r="P51" i="2"/>
  <c r="R51" i="2" s="1"/>
  <c r="P57" i="2"/>
  <c r="R57" i="2" s="1"/>
  <c r="P44" i="2"/>
  <c r="P59" i="2"/>
  <c r="R59" i="2" s="1"/>
  <c r="P50" i="2"/>
  <c r="R50" i="2" s="1"/>
  <c r="P42" i="2"/>
  <c r="R42" i="2" s="1"/>
  <c r="P60" i="2"/>
  <c r="R60" i="2" s="1"/>
  <c r="P39" i="2"/>
  <c r="BH23" i="8"/>
  <c r="BN23" i="8"/>
  <c r="AV23" i="8"/>
  <c r="BB23" i="8"/>
  <c r="AJ23" i="8"/>
  <c r="AP23" i="8"/>
  <c r="X23" i="8"/>
  <c r="AD23" i="8"/>
  <c r="L23" i="8"/>
  <c r="R23" i="8"/>
  <c r="D44" i="2"/>
  <c r="D40" i="2"/>
  <c r="D43" i="2"/>
  <c r="D41" i="2"/>
  <c r="D45" i="2"/>
  <c r="D39" i="2"/>
  <c r="D46" i="2"/>
  <c r="D42" i="2"/>
  <c r="D48" i="2"/>
  <c r="D38" i="2"/>
  <c r="D47" i="2"/>
  <c r="M27" i="2" l="1"/>
  <c r="M32" i="2"/>
  <c r="M25" i="2"/>
  <c r="M26" i="2"/>
  <c r="M31" i="2"/>
  <c r="R44" i="2"/>
  <c r="R39" i="2"/>
  <c r="I31" i="2"/>
  <c r="L24" i="2"/>
  <c r="I32" i="2"/>
  <c r="I30" i="2"/>
  <c r="I25" i="2"/>
  <c r="L32" i="2"/>
  <c r="L31" i="2"/>
  <c r="L27" i="2"/>
  <c r="J26" i="2"/>
  <c r="J27" i="2"/>
  <c r="J31" i="2"/>
  <c r="K25" i="2"/>
  <c r="K34" i="2"/>
  <c r="K31" i="2"/>
  <c r="I29" i="2"/>
  <c r="I26" i="2"/>
  <c r="L28" i="2"/>
  <c r="L26" i="2"/>
  <c r="L30" i="2"/>
  <c r="J34" i="2"/>
  <c r="J33" i="2"/>
  <c r="L33" i="2"/>
  <c r="K26" i="2"/>
  <c r="M33" i="2"/>
  <c r="K28" i="2"/>
  <c r="K30" i="2"/>
  <c r="I27" i="2"/>
  <c r="L29" i="2"/>
  <c r="J28" i="2"/>
  <c r="I33" i="2"/>
  <c r="I28" i="2"/>
  <c r="I34" i="2"/>
  <c r="L25" i="2"/>
  <c r="L34" i="2"/>
  <c r="J25" i="2"/>
  <c r="J30" i="2"/>
  <c r="J24" i="2"/>
  <c r="J32" i="2"/>
  <c r="K24" i="2"/>
  <c r="K29" i="2"/>
  <c r="K33" i="2"/>
  <c r="I24" i="2"/>
  <c r="J29" i="2"/>
  <c r="K32" i="2"/>
  <c r="K27" i="2"/>
  <c r="R38" i="2"/>
  <c r="M34" i="2"/>
  <c r="M28" i="2"/>
  <c r="M29" i="2"/>
  <c r="M30" i="2"/>
  <c r="M24" i="2"/>
  <c r="F44" i="2"/>
  <c r="F46" i="2"/>
  <c r="F40" i="2"/>
  <c r="F45" i="2"/>
  <c r="F48" i="2"/>
  <c r="F43" i="2"/>
  <c r="F42" i="2"/>
  <c r="F38" i="2"/>
  <c r="F39" i="2"/>
  <c r="F47" i="2"/>
  <c r="F41" i="2"/>
  <c r="D72" i="2" l="1"/>
  <c r="F72" i="2" s="1"/>
  <c r="D71" i="2"/>
  <c r="F71" i="2" s="1"/>
  <c r="D70" i="2"/>
  <c r="F70" i="2" s="1"/>
  <c r="D69" i="2"/>
  <c r="F69" i="2" s="1"/>
  <c r="D62" i="2"/>
  <c r="F62" i="2" s="1"/>
  <c r="D68" i="2"/>
  <c r="F68" i="2" s="1"/>
  <c r="D61" i="2"/>
  <c r="F61" i="2" s="1"/>
  <c r="D64" i="2"/>
  <c r="F64" i="2" s="1"/>
  <c r="D65" i="2"/>
  <c r="F65" i="2" s="1"/>
  <c r="D63" i="2"/>
  <c r="F63" i="2" s="1"/>
  <c r="D66" i="2"/>
  <c r="F66" i="2" s="1"/>
  <c r="D67" i="2"/>
  <c r="F67" i="2" s="1"/>
  <c r="D60" i="2"/>
  <c r="F60" i="2" s="1"/>
  <c r="D57" i="2"/>
  <c r="F57" i="2" s="1"/>
  <c r="D58" i="2"/>
  <c r="F58" i="2" s="1"/>
  <c r="D52" i="2"/>
  <c r="F52" i="2" s="1"/>
  <c r="D50" i="2"/>
  <c r="F50" i="2" s="1"/>
  <c r="D54" i="2"/>
  <c r="D55" i="2"/>
  <c r="D59" i="2"/>
  <c r="D56" i="2"/>
  <c r="D51" i="2"/>
  <c r="D53" i="2"/>
  <c r="D49" i="2"/>
  <c r="F55" i="2" l="1"/>
  <c r="F49" i="2"/>
  <c r="F53" i="2"/>
  <c r="F51" i="2"/>
  <c r="F54" i="2"/>
  <c r="F59" i="2"/>
  <c r="F56" i="2"/>
</calcChain>
</file>

<file path=xl/sharedStrings.xml><?xml version="1.0" encoding="utf-8"?>
<sst xmlns="http://schemas.openxmlformats.org/spreadsheetml/2006/main" count="1393" uniqueCount="59">
  <si>
    <t>Pos.</t>
  </si>
  <si>
    <t>Reel 1</t>
  </si>
  <si>
    <t>Reel 2</t>
  </si>
  <si>
    <t>Reel 3</t>
  </si>
  <si>
    <t>Reel 4</t>
  </si>
  <si>
    <t>Reel 5</t>
  </si>
  <si>
    <t>K</t>
  </si>
  <si>
    <t>J</t>
  </si>
  <si>
    <t>Q</t>
  </si>
  <si>
    <t>Bet</t>
  </si>
  <si>
    <t>Total</t>
  </si>
  <si>
    <t>Symbol</t>
  </si>
  <si>
    <t>Cycle</t>
  </si>
  <si>
    <t>2x</t>
  </si>
  <si>
    <t>3x</t>
  </si>
  <si>
    <t>4x</t>
  </si>
  <si>
    <t>5x</t>
  </si>
  <si>
    <t>Combination</t>
  </si>
  <si>
    <t>Hits</t>
  </si>
  <si>
    <t>Prob</t>
  </si>
  <si>
    <t>Pay</t>
  </si>
  <si>
    <t>Contribution</t>
  </si>
  <si>
    <t>A</t>
  </si>
  <si>
    <t>BG Reels</t>
  </si>
  <si>
    <t>Game Pays - Standard</t>
  </si>
  <si>
    <t>--</t>
  </si>
  <si>
    <t>Symbol Appearances</t>
  </si>
  <si>
    <t>Free Games Odds</t>
  </si>
  <si>
    <t>Avg Pay</t>
  </si>
  <si>
    <t>FG</t>
  </si>
  <si>
    <t>WW</t>
  </si>
  <si>
    <t>FG*</t>
  </si>
  <si>
    <t>* Scatter pays are multiplied by total bet</t>
  </si>
  <si>
    <t>SYM1</t>
  </si>
  <si>
    <t>SYM2</t>
  </si>
  <si>
    <t>SYM3</t>
  </si>
  <si>
    <t>SYM4</t>
  </si>
  <si>
    <t>SYM5</t>
  </si>
  <si>
    <t>FG Reels</t>
  </si>
  <si>
    <t>WILD</t>
  </si>
  <si>
    <t>FG x5</t>
  </si>
  <si>
    <t>FG x4</t>
  </si>
  <si>
    <t>FG x3</t>
  </si>
  <si>
    <t>FG x2</t>
  </si>
  <si>
    <t>X</t>
  </si>
  <si>
    <t>Pay per Spin</t>
  </si>
  <si>
    <t>Avg Spins</t>
  </si>
  <si>
    <t>FG Spins</t>
  </si>
  <si>
    <t>BG</t>
  </si>
  <si>
    <t>BG Spins</t>
  </si>
  <si>
    <t>Trigger</t>
  </si>
  <si>
    <t>Total Return</t>
  </si>
  <si>
    <t>GAME RULES</t>
  </si>
  <si>
    <r>
      <rPr>
        <b/>
        <sz val="11"/>
        <color theme="1"/>
        <rFont val="Calibri"/>
        <family val="2"/>
        <scheme val="minor"/>
      </rPr>
      <t>Base Game</t>
    </r>
    <r>
      <rPr>
        <sz val="11"/>
        <color theme="1"/>
        <rFont val="Calibri"/>
        <family val="2"/>
        <scheme val="minor"/>
      </rPr>
      <t xml:space="preserve">
All wins pay in any position from left to right on adjacent reels, beginning with the leftmost reel.
There are 1024 ways to win.
A Wild in a winning combination is wild and substitutes for all symbols. 
</t>
    </r>
    <r>
      <rPr>
        <b/>
        <sz val="11"/>
        <color theme="1"/>
        <rFont val="Calibri"/>
        <family val="2"/>
        <scheme val="minor"/>
      </rPr>
      <t>Free Games Feature</t>
    </r>
    <r>
      <rPr>
        <sz val="11"/>
        <color theme="1"/>
        <rFont val="Calibri"/>
        <family val="2"/>
        <scheme val="minor"/>
      </rPr>
      <t xml:space="preserve">
3, 4, or 5 scattered FG symbols awards 8, 15, or 20 free games, respectively.
2, 3, 4, or 5 scattered FG symbols awards 5, 8, 15, or 20 free games, respectively.</t>
    </r>
  </si>
  <si>
    <t>Rules for Ways Pays</t>
  </si>
  <si>
    <t>Except for the FG symbol, all winning combinations are payable only when appearing on valid positions on adjacent reels
All winning combinations amounts are multiplied by the number of winning symbols the appear on each reel.
For each symbol, only the highest winning combinations is paid each spin.</t>
  </si>
  <si>
    <t>^^^ 4 of a kind wins, 6 ways</t>
  </si>
  <si>
    <t>Example</t>
  </si>
  <si>
    <t>Reel Height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</si>
</sst>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00000"/>
    <numFmt numFmtId="165" formatCode="0.000%"/>
    <numFmt numFmtId="166" formatCode="_-&quot;$&quot;* #,##0.00_-;\-&quot;$&quot;* #,##0.00_-;_-&quot;$&quot;* &quot;-&quot;??_-;_-@_-"/>
    <numFmt numFmtId="167" formatCode="_-* #,##0.00_-;\-* #,##0.00_-;_-* &quot;-&quot;??_-;_-@_-"/>
    <numFmt numFmtId="168" formatCode="0\x"/>
  </numFmts>
  <fonts count="25"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0"/>
      <name val="Arial"/>
      <family val="2"/>
    </font>
    <font>
      <sz val="8"/>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indexed="8"/>
      <name val="Calibri"/>
      <family val="2"/>
    </font>
    <font>
      <u/>
      <sz val="10"/>
      <color indexed="36"/>
      <name val="Arial"/>
      <family val="2"/>
    </font>
    <font>
      <sz val="12"/>
      <name val="Times New Roman"/>
      <family val="1"/>
    </font>
    <font>
      <b/>
      <sz val="18"/>
      <color theme="3"/>
      <name val="Calibri Light"/>
      <family val="2"/>
      <scheme val="major"/>
    </font>
    <font>
      <sz val="11"/>
      <color rgb="FF9C6500"/>
      <name val="Calibri"/>
      <family val="2"/>
      <scheme val="minor"/>
    </font>
    <font>
      <sz val="8"/>
      <name val="Helv"/>
    </font>
  </fonts>
  <fills count="3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21">
    <xf numFmtId="0" fontId="0" fillId="0" borderId="0"/>
    <xf numFmtId="9" fontId="1" fillId="0" borderId="0" applyFont="0" applyFill="0" applyBorder="0" applyAlignment="0" applyProtection="0"/>
    <xf numFmtId="0" fontId="5" fillId="0" borderId="0"/>
    <xf numFmtId="0" fontId="5" fillId="0" borderId="0"/>
    <xf numFmtId="0" fontId="5" fillId="0" borderId="0"/>
    <xf numFmtId="0" fontId="5" fillId="0" borderId="0"/>
    <xf numFmtId="0" fontId="7" fillId="0" borderId="16" applyNumberFormat="0" applyFill="0" applyAlignment="0" applyProtection="0"/>
    <xf numFmtId="0" fontId="8" fillId="0" borderId="17" applyNumberFormat="0" applyFill="0" applyAlignment="0" applyProtection="0"/>
    <xf numFmtId="0" fontId="9" fillId="0" borderId="18" applyNumberFormat="0" applyFill="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7" borderId="19" applyNumberFormat="0" applyAlignment="0" applyProtection="0"/>
    <xf numFmtId="0" fontId="13" fillId="8" borderId="20" applyNumberFormat="0" applyAlignment="0" applyProtection="0"/>
    <xf numFmtId="0" fontId="14" fillId="8" borderId="19" applyNumberFormat="0" applyAlignment="0" applyProtection="0"/>
    <xf numFmtId="0" fontId="15" fillId="0" borderId="21" applyNumberFormat="0" applyFill="0" applyAlignment="0" applyProtection="0"/>
    <xf numFmtId="0" fontId="16" fillId="9" borderId="22" applyNumberFormat="0" applyAlignment="0" applyProtection="0"/>
    <xf numFmtId="0" fontId="2" fillId="0" borderId="0" applyNumberFormat="0" applyFill="0" applyBorder="0" applyAlignment="0" applyProtection="0"/>
    <xf numFmtId="0" fontId="1" fillId="10" borderId="23" applyNumberFormat="0" applyFont="0" applyAlignment="0" applyProtection="0"/>
    <xf numFmtId="0" fontId="17" fillId="0" borderId="0" applyNumberFormat="0" applyFill="0" applyBorder="0" applyAlignment="0" applyProtection="0"/>
    <xf numFmtId="0" fontId="3" fillId="0" borderId="24" applyNumberFormat="0" applyFill="0" applyAlignment="0" applyProtection="0"/>
    <xf numFmtId="0" fontId="18"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8"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8"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8"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8"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8"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9" fontId="5" fillId="0" borderId="0" applyFont="0" applyFill="0" applyBorder="0" applyAlignment="0" applyProtection="0"/>
    <xf numFmtId="37" fontId="5" fillId="0" borderId="0" applyFont="0" applyFill="0" applyBorder="0" applyAlignment="0" applyProtection="0"/>
    <xf numFmtId="37" fontId="5" fillId="0" borderId="0" applyFont="0" applyFill="0" applyBorder="0" applyAlignment="0" applyProtection="0"/>
    <xf numFmtId="37" fontId="5" fillId="0" borderId="0" applyFont="0" applyFill="0" applyBorder="0" applyAlignment="0" applyProtection="0"/>
    <xf numFmtId="43" fontId="1" fillId="0" borderId="0" applyFont="0" applyFill="0" applyBorder="0" applyAlignment="0" applyProtection="0"/>
    <xf numFmtId="3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1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20" fillId="0" borderId="0" applyNumberFormat="0" applyFill="0" applyBorder="0" applyAlignment="0" applyProtection="0">
      <alignment vertical="top"/>
      <protection locked="0"/>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5"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0" borderId="0"/>
    <xf numFmtId="0" fontId="5" fillId="0" borderId="0"/>
    <xf numFmtId="0" fontId="21" fillId="0" borderId="0"/>
    <xf numFmtId="0" fontId="5" fillId="0" borderId="0"/>
    <xf numFmtId="0" fontId="21" fillId="0" borderId="0"/>
    <xf numFmtId="0" fontId="5" fillId="0" borderId="0"/>
    <xf numFmtId="0" fontId="21" fillId="0" borderId="0"/>
    <xf numFmtId="0" fontId="5" fillId="0" borderId="0"/>
    <xf numFmtId="0" fontId="21" fillId="0" borderId="0"/>
    <xf numFmtId="0" fontId="21" fillId="0" borderId="0"/>
    <xf numFmtId="0" fontId="21" fillId="0" borderId="0"/>
    <xf numFmtId="0" fontId="21" fillId="0" borderId="0"/>
    <xf numFmtId="0" fontId="5" fillId="0" borderId="0"/>
    <xf numFmtId="0" fontId="2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0" borderId="0"/>
    <xf numFmtId="0" fontId="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0" borderId="0"/>
    <xf numFmtId="0" fontId="5" fillId="0" borderId="0"/>
    <xf numFmtId="0" fontId="21" fillId="0" borderId="0"/>
    <xf numFmtId="0" fontId="21" fillId="0" borderId="0"/>
    <xf numFmtId="0" fontId="21" fillId="0" borderId="0"/>
    <xf numFmtId="0" fontId="21" fillId="0" borderId="0"/>
    <xf numFmtId="0" fontId="21" fillId="0" borderId="0"/>
    <xf numFmtId="0" fontId="2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5" fillId="0" borderId="0"/>
    <xf numFmtId="0" fontId="22" fillId="0" borderId="0" applyNumberFormat="0" applyFill="0" applyBorder="0" applyAlignment="0" applyProtection="0"/>
    <xf numFmtId="0" fontId="23" fillId="6"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34" borderId="0" applyNumberFormat="0" applyBorder="0" applyAlignment="0" applyProtection="0"/>
    <xf numFmtId="0" fontId="5" fillId="0" borderId="0"/>
    <xf numFmtId="0" fontId="5" fillId="0" borderId="0"/>
    <xf numFmtId="43" fontId="5"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37" fontId="5" fillId="0" borderId="0" applyFont="0" applyFill="0" applyBorder="0" applyAlignment="0" applyProtection="0"/>
    <xf numFmtId="43" fontId="1" fillId="0" borderId="0" applyFont="0" applyFill="0" applyBorder="0" applyAlignment="0" applyProtection="0"/>
    <xf numFmtId="37"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5" fillId="0" borderId="0"/>
    <xf numFmtId="0" fontId="5" fillId="0" borderId="0"/>
    <xf numFmtId="0" fontId="1"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7"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7" fontId="5"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24" fillId="0" borderId="0"/>
  </cellStyleXfs>
  <cellXfs count="156">
    <xf numFmtId="0" fontId="0" fillId="0" borderId="0" xfId="0"/>
    <xf numFmtId="0" fontId="2" fillId="0" borderId="0" xfId="0" applyFont="1" applyBorder="1" applyAlignment="1">
      <alignment horizontal="center"/>
    </xf>
    <xf numFmtId="0" fontId="0" fillId="0" borderId="0" xfId="0" applyFont="1" applyAlignment="1">
      <alignment horizontal="center"/>
    </xf>
    <xf numFmtId="0" fontId="0" fillId="0" borderId="11" xfId="0" applyFont="1" applyBorder="1" applyAlignment="1">
      <alignment horizontal="center"/>
    </xf>
    <xf numFmtId="0" fontId="0" fillId="0" borderId="11" xfId="0" applyNumberFormat="1" applyFont="1" applyBorder="1" applyAlignment="1">
      <alignment horizontal="center"/>
    </xf>
    <xf numFmtId="0" fontId="0" fillId="0" borderId="12" xfId="0" applyNumberFormat="1" applyFont="1" applyBorder="1" applyAlignment="1">
      <alignment horizontal="center"/>
    </xf>
    <xf numFmtId="0" fontId="0" fillId="0" borderId="13" xfId="0" applyFont="1" applyBorder="1" applyAlignment="1">
      <alignment horizontal="center"/>
    </xf>
    <xf numFmtId="0" fontId="0" fillId="3" borderId="1" xfId="0" applyFont="1" applyFill="1" applyBorder="1" applyAlignment="1">
      <alignment horizontal="center"/>
    </xf>
    <xf numFmtId="0" fontId="0" fillId="3" borderId="13" xfId="0" applyFont="1" applyFill="1" applyBorder="1" applyAlignment="1">
      <alignment horizontal="center"/>
    </xf>
    <xf numFmtId="0" fontId="0" fillId="3" borderId="14" xfId="0" applyFont="1" applyFill="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0" fillId="3" borderId="15"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 xfId="0"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164" fontId="0" fillId="0" borderId="3" xfId="0" applyNumberFormat="1" applyBorder="1" applyAlignment="1">
      <alignment horizontal="center"/>
    </xf>
    <xf numFmtId="0" fontId="0" fillId="2" borderId="3" xfId="0" applyFill="1" applyBorder="1" applyAlignment="1">
      <alignment horizontal="center"/>
    </xf>
    <xf numFmtId="164" fontId="0" fillId="0" borderId="0" xfId="0" applyNumberFormat="1" applyBorder="1" applyAlignment="1">
      <alignment horizontal="center"/>
    </xf>
    <xf numFmtId="0" fontId="0" fillId="2" borderId="0" xfId="0" applyFill="1" applyBorder="1" applyAlignment="1">
      <alignment horizontal="center"/>
    </xf>
    <xf numFmtId="164" fontId="0" fillId="0" borderId="8" xfId="0" applyNumberFormat="1" applyBorder="1" applyAlignment="1">
      <alignment horizontal="center"/>
    </xf>
    <xf numFmtId="0" fontId="0" fillId="2" borderId="8" xfId="0" applyFill="1" applyBorder="1" applyAlignment="1">
      <alignment horizontal="center"/>
    </xf>
    <xf numFmtId="165" fontId="0" fillId="0" borderId="11" xfId="1" applyNumberFormat="1" applyFont="1" applyBorder="1" applyAlignment="1">
      <alignment horizontal="center"/>
    </xf>
    <xf numFmtId="165" fontId="0" fillId="0" borderId="10" xfId="1" applyNumberFormat="1" applyFont="1" applyBorder="1" applyAlignment="1">
      <alignment horizontal="center"/>
    </xf>
    <xf numFmtId="165" fontId="0" fillId="0" borderId="12" xfId="1" applyNumberFormat="1" applyFont="1" applyBorder="1" applyAlignment="1">
      <alignment horizontal="center"/>
    </xf>
    <xf numFmtId="0" fontId="4" fillId="3" borderId="1" xfId="0" applyNumberFormat="1" applyFont="1" applyFill="1" applyBorder="1" applyAlignment="1">
      <alignment horizontal="center"/>
    </xf>
    <xf numFmtId="0" fontId="4" fillId="3" borderId="13" xfId="0" applyNumberFormat="1" applyFont="1" applyFill="1" applyBorder="1" applyAlignment="1">
      <alignment horizontal="center"/>
    </xf>
    <xf numFmtId="0" fontId="4" fillId="3" borderId="14" xfId="0" applyNumberFormat="1" applyFont="1" applyFill="1" applyBorder="1" applyAlignment="1">
      <alignment horizontal="center"/>
    </xf>
    <xf numFmtId="0" fontId="3" fillId="0" borderId="0" xfId="0" applyFont="1" applyAlignment="1">
      <alignment horizontal="left"/>
    </xf>
    <xf numFmtId="0" fontId="2" fillId="0" borderId="6"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0" fillId="0" borderId="0" xfId="0" applyFont="1" applyBorder="1" applyAlignment="1">
      <alignment horizontal="center"/>
    </xf>
    <xf numFmtId="0" fontId="0" fillId="0" borderId="0" xfId="0" applyAlignment="1">
      <alignment horizontal="right"/>
    </xf>
    <xf numFmtId="165" fontId="0" fillId="0" borderId="0" xfId="0" applyNumberFormat="1" applyAlignment="1">
      <alignment horizontal="center"/>
    </xf>
    <xf numFmtId="0" fontId="5" fillId="0" borderId="6" xfId="520" applyFont="1" applyFill="1" applyBorder="1" applyAlignment="1" applyProtection="1">
      <alignment horizontal="center"/>
      <protection locked="0"/>
    </xf>
    <xf numFmtId="0" fontId="5" fillId="0" borderId="0" xfId="520" applyFont="1" applyFill="1" applyBorder="1" applyAlignment="1" applyProtection="1">
      <alignment horizontal="center"/>
      <protection locked="0"/>
    </xf>
    <xf numFmtId="0" fontId="0" fillId="0" borderId="0"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3"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0" xfId="0" applyFont="1" applyAlignment="1">
      <alignment horizontal="center"/>
    </xf>
    <xf numFmtId="0" fontId="0" fillId="0" borderId="1" xfId="0" applyBorder="1" applyAlignment="1">
      <alignment horizontal="center"/>
    </xf>
    <xf numFmtId="0" fontId="5" fillId="0" borderId="4" xfId="520" applyFont="1" applyFill="1" applyBorder="1" applyAlignment="1" applyProtection="1">
      <alignment horizontal="center"/>
      <protection locked="0"/>
    </xf>
    <xf numFmtId="0" fontId="0" fillId="0" borderId="12" xfId="0" applyFont="1" applyBorder="1" applyAlignment="1">
      <alignment horizontal="center"/>
    </xf>
    <xf numFmtId="0" fontId="5" fillId="2" borderId="0" xfId="520" applyFont="1" applyFill="1" applyBorder="1" applyAlignment="1" applyProtection="1">
      <alignment horizontal="center"/>
      <protection locked="0"/>
    </xf>
    <xf numFmtId="0" fontId="5" fillId="2" borderId="6" xfId="520" applyFont="1" applyFill="1" applyBorder="1" applyAlignment="1" applyProtection="1">
      <alignment horizontal="center"/>
      <protection locked="0"/>
    </xf>
    <xf numFmtId="0" fontId="4" fillId="2" borderId="0" xfId="0" applyFont="1" applyFill="1" applyBorder="1" applyAlignment="1">
      <alignment horizontal="center"/>
    </xf>
    <xf numFmtId="0" fontId="4" fillId="2" borderId="6" xfId="0" applyNumberFormat="1" applyFont="1" applyFill="1" applyBorder="1" applyAlignment="1">
      <alignment horizontal="center"/>
    </xf>
    <xf numFmtId="0" fontId="4" fillId="2" borderId="8" xfId="0" applyFont="1" applyFill="1" applyBorder="1" applyAlignment="1">
      <alignment horizontal="center"/>
    </xf>
    <xf numFmtId="0" fontId="0" fillId="0" borderId="0" xfId="0" applyBorder="1"/>
    <xf numFmtId="0" fontId="4" fillId="35" borderId="0" xfId="0" applyNumberFormat="1" applyFont="1" applyFill="1" applyBorder="1" applyAlignment="1">
      <alignment horizontal="center"/>
    </xf>
    <xf numFmtId="0" fontId="0" fillId="0" borderId="6" xfId="0" applyFont="1" applyBorder="1" applyAlignment="1">
      <alignment horizontal="center"/>
    </xf>
    <xf numFmtId="0" fontId="0" fillId="0" borderId="14" xfId="0" applyFont="1" applyBorder="1" applyAlignment="1">
      <alignment horizontal="center"/>
    </xf>
    <xf numFmtId="0" fontId="4" fillId="35" borderId="6" xfId="0" applyNumberFormat="1" applyFont="1" applyFill="1" applyBorder="1" applyAlignment="1">
      <alignment horizontal="center"/>
    </xf>
    <xf numFmtId="0" fontId="4" fillId="35" borderId="8" xfId="0" applyNumberFormat="1" applyFont="1" applyFill="1" applyBorder="1" applyAlignment="1">
      <alignment horizontal="center"/>
    </xf>
    <xf numFmtId="0" fontId="4" fillId="35" borderId="9" xfId="0" applyNumberFormat="1" applyFont="1" applyFill="1" applyBorder="1" applyAlignment="1">
      <alignment horizontal="center"/>
    </xf>
    <xf numFmtId="0" fontId="4" fillId="35" borderId="11" xfId="0" applyNumberFormat="1" applyFont="1" applyFill="1" applyBorder="1" applyAlignment="1">
      <alignment horizontal="center"/>
    </xf>
    <xf numFmtId="0" fontId="4" fillId="35" borderId="12" xfId="0" applyNumberFormat="1" applyFont="1" applyFill="1" applyBorder="1" applyAlignment="1">
      <alignment horizontal="center"/>
    </xf>
    <xf numFmtId="0" fontId="4" fillId="0" borderId="1" xfId="0" applyNumberFormat="1" applyFont="1" applyFill="1" applyBorder="1" applyAlignment="1">
      <alignment horizontal="center"/>
    </xf>
    <xf numFmtId="0" fontId="0" fillId="0" borderId="4" xfId="0" applyBorder="1" applyAlignment="1">
      <alignment horizontal="center"/>
    </xf>
    <xf numFmtId="0" fontId="0" fillId="0" borderId="9" xfId="0" applyBorder="1" applyAlignment="1">
      <alignment horizontal="center"/>
    </xf>
    <xf numFmtId="0" fontId="3" fillId="0" borderId="0" xfId="0" applyFont="1"/>
    <xf numFmtId="0" fontId="5" fillId="0" borderId="8" xfId="520" applyFont="1" applyFill="1" applyBorder="1" applyAlignment="1" applyProtection="1">
      <alignment horizontal="center"/>
      <protection locked="0"/>
    </xf>
    <xf numFmtId="0" fontId="5" fillId="0" borderId="9" xfId="520" applyFont="1" applyFill="1" applyBorder="1" applyAlignment="1" applyProtection="1">
      <alignment horizontal="center"/>
      <protection locked="0"/>
    </xf>
    <xf numFmtId="0" fontId="5" fillId="0" borderId="5" xfId="520" applyFont="1" applyFill="1" applyBorder="1" applyAlignment="1" applyProtection="1">
      <alignment horizontal="center"/>
      <protection locked="0"/>
    </xf>
    <xf numFmtId="0" fontId="5" fillId="0" borderId="7" xfId="520" applyFont="1" applyFill="1" applyBorder="1" applyAlignment="1" applyProtection="1">
      <alignment horizontal="center"/>
      <protection locked="0"/>
    </xf>
    <xf numFmtId="0" fontId="4" fillId="2" borderId="9" xfId="0" applyNumberFormat="1" applyFont="1" applyFill="1" applyBorder="1" applyAlignment="1">
      <alignment horizontal="center"/>
    </xf>
    <xf numFmtId="165" fontId="0" fillId="0" borderId="0" xfId="1" applyNumberFormat="1" applyFont="1" applyAlignment="1">
      <alignment horizontal="center"/>
    </xf>
    <xf numFmtId="0" fontId="0" fillId="0" borderId="6" xfId="0" quotePrefix="1" applyBorder="1" applyAlignment="1">
      <alignment horizontal="center"/>
    </xf>
    <xf numFmtId="0" fontId="0" fillId="0" borderId="0" xfId="0" quotePrefix="1" applyBorder="1" applyAlignment="1">
      <alignment horizontal="center"/>
    </xf>
    <xf numFmtId="0" fontId="0" fillId="0" borderId="8" xfId="0" quotePrefix="1" applyBorder="1" applyAlignment="1">
      <alignment horizontal="center"/>
    </xf>
    <xf numFmtId="0" fontId="0" fillId="0" borderId="9" xfId="0" quotePrefix="1" applyBorder="1" applyAlignment="1">
      <alignment horizontal="center"/>
    </xf>
    <xf numFmtId="0" fontId="0" fillId="0" borderId="0" xfId="0" applyFont="1" applyAlignment="1">
      <alignment horizontal="left"/>
    </xf>
    <xf numFmtId="1" fontId="0" fillId="0" borderId="0" xfId="0" applyNumberFormat="1" applyFont="1" applyAlignment="1">
      <alignment horizontal="center"/>
    </xf>
    <xf numFmtId="0" fontId="4" fillId="0" borderId="0" xfId="0" applyNumberFormat="1" applyFont="1" applyAlignment="1">
      <alignment horizontal="center"/>
    </xf>
    <xf numFmtId="168" fontId="2" fillId="0" borderId="8" xfId="0" applyNumberFormat="1" applyFont="1" applyBorder="1" applyAlignment="1">
      <alignment horizontal="center"/>
    </xf>
    <xf numFmtId="168" fontId="2" fillId="0" borderId="9" xfId="0" applyNumberFormat="1" applyFont="1" applyBorder="1" applyAlignment="1">
      <alignment horizontal="center"/>
    </xf>
    <xf numFmtId="0" fontId="2" fillId="0" borderId="1" xfId="0" applyFont="1" applyBorder="1" applyAlignment="1">
      <alignment horizontal="center"/>
    </xf>
    <xf numFmtId="0" fontId="4" fillId="0" borderId="5" xfId="0" applyNumberFormat="1" applyFont="1" applyBorder="1" applyAlignment="1">
      <alignment horizontal="center"/>
    </xf>
    <xf numFmtId="0" fontId="4" fillId="0" borderId="7" xfId="0" applyNumberFormat="1" applyFont="1" applyBorder="1" applyAlignment="1">
      <alignment horizontal="center"/>
    </xf>
    <xf numFmtId="0" fontId="0" fillId="0" borderId="5" xfId="0" quotePrefix="1" applyBorder="1" applyAlignment="1">
      <alignment horizontal="center"/>
    </xf>
    <xf numFmtId="0" fontId="0" fillId="0" borderId="7" xfId="0" quotePrefix="1" applyBorder="1" applyAlignment="1">
      <alignment horizontal="center"/>
    </xf>
    <xf numFmtId="0" fontId="3" fillId="0" borderId="0" xfId="0" applyFont="1" applyAlignment="1">
      <alignment horizontal="center"/>
    </xf>
    <xf numFmtId="0" fontId="2" fillId="0" borderId="8" xfId="0" quotePrefix="1" applyFont="1" applyBorder="1" applyAlignment="1">
      <alignment horizontal="center"/>
    </xf>
    <xf numFmtId="0" fontId="0" fillId="0" borderId="0" xfId="0" applyBorder="1" applyAlignment="1">
      <alignment vertical="top" wrapText="1"/>
    </xf>
    <xf numFmtId="0" fontId="3" fillId="0" borderId="0" xfId="0" applyFont="1" applyBorder="1" applyAlignment="1">
      <alignment vertical="top"/>
    </xf>
    <xf numFmtId="0" fontId="0" fillId="0" borderId="0" xfId="0" applyFont="1" applyBorder="1" applyAlignment="1">
      <alignment vertical="top"/>
    </xf>
    <xf numFmtId="0" fontId="0" fillId="36" borderId="0" xfId="0" applyFill="1" applyBorder="1" applyAlignment="1">
      <alignment horizontal="center"/>
    </xf>
    <xf numFmtId="0" fontId="0" fillId="36" borderId="8" xfId="0" applyFill="1" applyBorder="1" applyAlignment="1">
      <alignment horizontal="center"/>
    </xf>
    <xf numFmtId="0" fontId="0" fillId="36" borderId="3" xfId="0" applyFill="1" applyBorder="1" applyAlignment="1">
      <alignment horizontal="center"/>
    </xf>
    <xf numFmtId="0" fontId="0" fillId="36" borderId="2" xfId="0" applyFill="1" applyBorder="1" applyAlignment="1">
      <alignment horizontal="center"/>
    </xf>
    <xf numFmtId="0" fontId="0" fillId="36" borderId="4" xfId="0" applyFill="1" applyBorder="1" applyAlignment="1">
      <alignment horizontal="center"/>
    </xf>
    <xf numFmtId="0" fontId="0" fillId="36" borderId="5" xfId="0" applyFill="1" applyBorder="1" applyAlignment="1">
      <alignment horizontal="center"/>
    </xf>
    <xf numFmtId="0" fontId="0" fillId="36" borderId="6" xfId="0" applyFill="1" applyBorder="1" applyAlignment="1">
      <alignment horizontal="center"/>
    </xf>
    <xf numFmtId="0" fontId="0" fillId="36" borderId="7" xfId="0" applyFill="1" applyBorder="1" applyAlignment="1">
      <alignment horizontal="center"/>
    </xf>
    <xf numFmtId="0" fontId="0" fillId="36" borderId="9" xfId="0" applyFill="1" applyBorder="1" applyAlignment="1">
      <alignment horizontal="center"/>
    </xf>
    <xf numFmtId="1" fontId="0" fillId="36" borderId="1" xfId="0" applyNumberFormat="1" applyFill="1" applyBorder="1" applyAlignment="1">
      <alignment horizontal="center"/>
    </xf>
    <xf numFmtId="10" fontId="0" fillId="36" borderId="0" xfId="1" applyNumberFormat="1" applyFont="1" applyFill="1" applyBorder="1" applyAlignment="1">
      <alignment horizontal="center"/>
    </xf>
    <xf numFmtId="10" fontId="3" fillId="36" borderId="1" xfId="1" applyNumberFormat="1" applyFont="1" applyFill="1" applyBorder="1" applyAlignment="1">
      <alignment horizontal="center"/>
    </xf>
    <xf numFmtId="0" fontId="0" fillId="36" borderId="7" xfId="0" quotePrefix="1" applyFill="1" applyBorder="1" applyAlignment="1">
      <alignment horizontal="center"/>
    </xf>
    <xf numFmtId="0" fontId="0" fillId="36" borderId="15" xfId="0" applyFill="1" applyBorder="1" applyAlignment="1">
      <alignment horizontal="center"/>
    </xf>
    <xf numFmtId="0" fontId="0" fillId="36" borderId="14" xfId="0" applyFill="1" applyBorder="1" applyAlignment="1">
      <alignment horizontal="center"/>
    </xf>
    <xf numFmtId="0" fontId="4" fillId="2" borderId="6" xfId="0" applyFont="1" applyFill="1" applyBorder="1" applyAlignment="1">
      <alignment horizontal="center"/>
    </xf>
    <xf numFmtId="0" fontId="4" fillId="2" borderId="9" xfId="0" applyFont="1" applyFill="1" applyBorder="1" applyAlignment="1">
      <alignment horizontal="center"/>
    </xf>
    <xf numFmtId="2" fontId="0" fillId="36" borderId="1" xfId="0" applyNumberFormat="1" applyFill="1" applyBorder="1" applyAlignment="1">
      <alignment horizontal="center"/>
    </xf>
    <xf numFmtId="165" fontId="0" fillId="36" borderId="1" xfId="0" applyNumberFormat="1" applyFill="1" applyBorder="1" applyAlignment="1">
      <alignment horizontal="center"/>
    </xf>
    <xf numFmtId="2" fontId="3" fillId="36" borderId="1" xfId="0" applyNumberFormat="1" applyFont="1" applyFill="1" applyBorder="1" applyAlignment="1">
      <alignment horizontal="center"/>
    </xf>
    <xf numFmtId="0" fontId="4" fillId="36" borderId="0" xfId="0" applyNumberFormat="1" applyFont="1" applyFill="1" applyBorder="1" applyAlignment="1">
      <alignment horizontal="center"/>
    </xf>
    <xf numFmtId="0" fontId="4" fillId="36" borderId="6" xfId="0" applyNumberFormat="1" applyFont="1" applyFill="1" applyBorder="1" applyAlignment="1">
      <alignment horizontal="center"/>
    </xf>
    <xf numFmtId="0" fontId="4" fillId="36" borderId="8" xfId="0" applyNumberFormat="1" applyFont="1" applyFill="1" applyBorder="1" applyAlignment="1">
      <alignment horizontal="center"/>
    </xf>
    <xf numFmtId="0" fontId="4" fillId="36" borderId="9" xfId="0" applyNumberFormat="1" applyFont="1" applyFill="1" applyBorder="1" applyAlignment="1">
      <alignment horizontal="center"/>
    </xf>
    <xf numFmtId="0" fontId="0" fillId="0" borderId="1" xfId="0" applyFont="1" applyBorder="1" applyAlignment="1">
      <alignment vertical="top"/>
    </xf>
    <xf numFmtId="0" fontId="0" fillId="0" borderId="1" xfId="0" applyFont="1" applyBorder="1" applyAlignment="1">
      <alignment horizontal="center"/>
    </xf>
    <xf numFmtId="0" fontId="0" fillId="37" borderId="1" xfId="0" applyFont="1" applyFill="1" applyBorder="1" applyAlignment="1">
      <alignment horizontal="center"/>
    </xf>
    <xf numFmtId="0" fontId="0" fillId="37" borderId="1" xfId="0" applyFont="1" applyFill="1" applyBorder="1" applyAlignment="1">
      <alignment vertical="top"/>
    </xf>
    <xf numFmtId="0" fontId="0" fillId="0" borderId="0" xfId="0" quotePrefix="1" applyFont="1" applyAlignment="1">
      <alignment horizontal="center"/>
    </xf>
    <xf numFmtId="0" fontId="0" fillId="0" borderId="0" xfId="0" applyFont="1" applyAlignment="1"/>
    <xf numFmtId="0" fontId="0" fillId="36" borderId="3" xfId="0" applyNumberFormat="1" applyFill="1" applyBorder="1" applyAlignment="1">
      <alignment horizontal="center"/>
    </xf>
    <xf numFmtId="0" fontId="0" fillId="36" borderId="4" xfId="0" applyNumberFormat="1" applyFill="1" applyBorder="1" applyAlignment="1">
      <alignment horizontal="center"/>
    </xf>
    <xf numFmtId="0" fontId="0" fillId="36" borderId="0" xfId="0" applyNumberFormat="1" applyFill="1" applyBorder="1" applyAlignment="1">
      <alignment horizontal="center"/>
    </xf>
    <xf numFmtId="0" fontId="0" fillId="36" borderId="6" xfId="0" applyNumberFormat="1" applyFill="1" applyBorder="1" applyAlignment="1">
      <alignment horizontal="center"/>
    </xf>
    <xf numFmtId="0" fontId="0" fillId="36" borderId="8" xfId="0" applyNumberFormat="1" applyFill="1" applyBorder="1" applyAlignment="1">
      <alignment horizontal="center"/>
    </xf>
    <xf numFmtId="0" fontId="0" fillId="36" borderId="9" xfId="0" applyNumberFormat="1" applyFill="1" applyBorder="1" applyAlignment="1">
      <alignment horizontal="center"/>
    </xf>
    <xf numFmtId="0" fontId="2" fillId="36" borderId="1" xfId="0" applyFont="1" applyFill="1" applyBorder="1" applyAlignment="1">
      <alignment horizontal="center"/>
    </xf>
    <xf numFmtId="0" fontId="0" fillId="36" borderId="1" xfId="0" applyFill="1" applyBorder="1" applyAlignment="1">
      <alignment horizontal="center"/>
    </xf>
    <xf numFmtId="0" fontId="5" fillId="0" borderId="0" xfId="520" applyFont="1" applyAlignment="1" applyProtection="1">
      <alignment horizontal="center"/>
      <protection locked="0"/>
    </xf>
    <xf numFmtId="0" fontId="5" fillId="0" borderId="4" xfId="520" applyFont="1" applyBorder="1" applyAlignment="1" applyProtection="1">
      <alignment horizontal="center"/>
      <protection locked="0"/>
    </xf>
    <xf numFmtId="0" fontId="5" fillId="0" borderId="6" xfId="520" applyFont="1" applyBorder="1" applyAlignment="1" applyProtection="1">
      <alignment horizontal="center"/>
      <protection locked="0"/>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2" xfId="0" applyFont="1" applyBorder="1" applyAlignment="1">
      <alignment horizontal="left" vertical="top" wrapText="1"/>
    </xf>
    <xf numFmtId="0" fontId="0" fillId="0" borderId="3" xfId="0" applyFont="1" applyBorder="1" applyAlignment="1">
      <alignment horizontal="left" vertical="top" wrapText="1"/>
    </xf>
    <xf numFmtId="0" fontId="0" fillId="0" borderId="4" xfId="0" applyFont="1" applyBorder="1" applyAlignment="1">
      <alignment horizontal="left" vertical="top" wrapText="1"/>
    </xf>
    <xf numFmtId="0" fontId="0" fillId="0" borderId="5" xfId="0" applyFont="1" applyBorder="1" applyAlignment="1">
      <alignment horizontal="left" vertical="top" wrapText="1"/>
    </xf>
    <xf numFmtId="0" fontId="0" fillId="0" borderId="0" xfId="0" applyFont="1" applyBorder="1" applyAlignment="1">
      <alignment horizontal="left" vertical="top" wrapText="1"/>
    </xf>
    <xf numFmtId="0" fontId="0" fillId="0" borderId="6" xfId="0" applyFont="1" applyBorder="1" applyAlignment="1">
      <alignment horizontal="left" vertical="top" wrapText="1"/>
    </xf>
    <xf numFmtId="0" fontId="0" fillId="0" borderId="7" xfId="0" applyFont="1" applyBorder="1" applyAlignment="1">
      <alignment horizontal="left" vertical="top" wrapText="1"/>
    </xf>
    <xf numFmtId="0" fontId="0" fillId="0" borderId="8" xfId="0" applyFont="1" applyBorder="1" applyAlignment="1">
      <alignment horizontal="left" vertical="top" wrapText="1"/>
    </xf>
    <xf numFmtId="0" fontId="0" fillId="0" borderId="9" xfId="0" applyFont="1" applyBorder="1" applyAlignment="1">
      <alignment horizontal="left" vertical="top" wrapText="1"/>
    </xf>
  </cellXfs>
  <cellStyles count="521">
    <cellStyle name="20% - Accent1" xfId="22" builtinId="30" customBuiltin="1"/>
    <cellStyle name="20% - Accent2" xfId="25" builtinId="34" customBuiltin="1"/>
    <cellStyle name="20% - Accent3" xfId="28" builtinId="38" customBuiltin="1"/>
    <cellStyle name="20% - Accent4" xfId="31" builtinId="42" customBuiltin="1"/>
    <cellStyle name="20% - Accent5" xfId="34" builtinId="46" customBuiltin="1"/>
    <cellStyle name="20% - Accent6" xfId="37" builtinId="50" customBuiltin="1"/>
    <cellStyle name="40% - Accent1" xfId="23" builtinId="31" customBuiltin="1"/>
    <cellStyle name="40% - Accent2" xfId="26" builtinId="35" customBuiltin="1"/>
    <cellStyle name="40% - Accent3" xfId="29" builtinId="39" customBuiltin="1"/>
    <cellStyle name="40% - Accent4" xfId="32" builtinId="43" customBuiltin="1"/>
    <cellStyle name="40% - Accent5" xfId="35" builtinId="47" customBuiltin="1"/>
    <cellStyle name="40% - Accent6" xfId="38" builtinId="51" customBuiltin="1"/>
    <cellStyle name="60% - Accent1 2" xfId="392" xr:uid="{613A84C6-ED1A-41A3-BC5C-C216883FB7B6}"/>
    <cellStyle name="60% - Accent2 2" xfId="393" xr:uid="{28C2F071-EE96-44B0-81E3-BF9ADF86C8C9}"/>
    <cellStyle name="60% - Accent3 2" xfId="394" xr:uid="{366FAA87-CDEC-4F06-B5AA-3CA5999DCB9C}"/>
    <cellStyle name="60% - Accent4 2" xfId="395" xr:uid="{1F8943A9-36C5-4C3D-85BF-E55D89E07F32}"/>
    <cellStyle name="60% - Accent5 2" xfId="396" xr:uid="{625CD582-6054-416C-A444-D2E1733BD64A}"/>
    <cellStyle name="60% - Accent6 2" xfId="397" xr:uid="{99C1E23E-01BE-44A9-995B-A1FB25F24E53}"/>
    <cellStyle name="Accent1" xfId="21" builtinId="29" customBuiltin="1"/>
    <cellStyle name="Accent2" xfId="24" builtinId="33" customBuiltin="1"/>
    <cellStyle name="Accent3" xfId="27" builtinId="37" customBuiltin="1"/>
    <cellStyle name="Accent4" xfId="30" builtinId="41" customBuiltin="1"/>
    <cellStyle name="Accent5" xfId="33" builtinId="45" customBuiltin="1"/>
    <cellStyle name="Accent6" xfId="36" builtinId="49" customBuiltin="1"/>
    <cellStyle name="Bad" xfId="11" builtinId="27" customBuiltin="1"/>
    <cellStyle name="Besuchter Hyperlink" xfId="69" xr:uid="{167EA163-F222-4997-90F9-99556CDADB3D}"/>
    <cellStyle name="Calculation" xfId="14" builtinId="22" customBuiltin="1"/>
    <cellStyle name="Check Cell" xfId="16" builtinId="23" customBuiltin="1"/>
    <cellStyle name="Comma 10" xfId="404" xr:uid="{0B494F89-EABC-42A5-94CD-5BBA8B2CBAD8}"/>
    <cellStyle name="Comma 11" xfId="519" xr:uid="{36626FF0-5708-4CB2-9466-3C82AF0DD9D8}"/>
    <cellStyle name="Comma 2" xfId="70" xr:uid="{FC4C477B-CB0A-4F9F-8F1D-A8B4C7C50FCB}"/>
    <cellStyle name="Comma 2 2" xfId="40" xr:uid="{A395A942-DD42-493D-BD10-55FCB38D8ECD}"/>
    <cellStyle name="Comma 2 3" xfId="455" xr:uid="{6980D514-F28E-4356-8112-FEEB271F3F65}"/>
    <cellStyle name="Comma 3" xfId="41" xr:uid="{30EBB8F8-8B7C-4647-BB21-B04ADCEFE5D2}"/>
    <cellStyle name="Comma 3 2" xfId="400" xr:uid="{ABBA17D5-9595-4823-81BE-095C18FDF512}"/>
    <cellStyle name="Comma 3 2 2" xfId="517" xr:uid="{9093062B-1E47-4824-BF2A-8BE17F034674}"/>
    <cellStyle name="Comma 4" xfId="42" xr:uid="{928053E0-B18D-4356-9463-420A4143E2E2}"/>
    <cellStyle name="Comma 45" xfId="71" xr:uid="{C24B6693-44FA-4244-AE48-867128C93DA0}"/>
    <cellStyle name="Comma 45 10" xfId="72" xr:uid="{386FD048-ECB4-43BD-B29A-D167212FA680}"/>
    <cellStyle name="Comma 45 10 2" xfId="457" xr:uid="{0F478D07-152A-4104-A1FC-1DED32202BD3}"/>
    <cellStyle name="Comma 45 11" xfId="73" xr:uid="{ED8D8A7A-C6EB-4AB7-A6D6-17465BF7F059}"/>
    <cellStyle name="Comma 45 11 2" xfId="458" xr:uid="{B98C1B7D-3AB1-4656-8C77-8DB89F51496D}"/>
    <cellStyle name="Comma 45 12" xfId="74" xr:uid="{461A90D8-464D-46C8-AC2E-E3445BB46AF4}"/>
    <cellStyle name="Comma 45 12 2" xfId="459" xr:uid="{DC2205C4-D55F-4E66-A838-53CCB06DA7DB}"/>
    <cellStyle name="Comma 45 13" xfId="75" xr:uid="{06994560-1D71-4C20-ACFD-1DE3B8E876A8}"/>
    <cellStyle name="Comma 45 13 2" xfId="460" xr:uid="{D4CD2757-62EC-43CA-8C1A-EC6EAC514154}"/>
    <cellStyle name="Comma 45 14" xfId="76" xr:uid="{A93E2BFF-4130-4696-9077-88A6AF2567B9}"/>
    <cellStyle name="Comma 45 14 2" xfId="461" xr:uid="{17AC8C85-C165-4447-9839-1AE0DF047914}"/>
    <cellStyle name="Comma 45 15" xfId="77" xr:uid="{6435EDFD-22F0-492E-B756-28CE791066BC}"/>
    <cellStyle name="Comma 45 15 2" xfId="462" xr:uid="{2D266D12-621D-4D90-912C-BC27B396F4ED}"/>
    <cellStyle name="Comma 45 16" xfId="78" xr:uid="{0E7A7A3E-F28F-4EAA-9B62-E23FB5F6DDB1}"/>
    <cellStyle name="Comma 45 16 2" xfId="463" xr:uid="{D9B33C8A-B099-4469-8A5B-2DFE2A9D2B31}"/>
    <cellStyle name="Comma 45 17" xfId="79" xr:uid="{92A84B0A-5679-4E21-8E90-31495E5EE708}"/>
    <cellStyle name="Comma 45 17 2" xfId="464" xr:uid="{BC7858CE-F4E3-4909-A9C7-BF773DA5FBAA}"/>
    <cellStyle name="Comma 45 18" xfId="80" xr:uid="{0D12365F-C4A6-4D54-B733-554C4C53327B}"/>
    <cellStyle name="Comma 45 18 2" xfId="465" xr:uid="{77DB0CB7-99F3-4ABE-9CB6-3E34714123E3}"/>
    <cellStyle name="Comma 45 19" xfId="81" xr:uid="{6B70B7A9-8BEF-47B7-B2F8-4220BC72575D}"/>
    <cellStyle name="Comma 45 19 2" xfId="466" xr:uid="{B6CD45C4-5A08-4936-BDAB-BCF06CA98A9C}"/>
    <cellStyle name="Comma 45 2" xfId="82" xr:uid="{61361AED-8DFD-4704-A782-D95EA9C8FA5D}"/>
    <cellStyle name="Comma 45 2 2" xfId="467" xr:uid="{5FAC8A49-D744-49D2-B580-D213A72572A4}"/>
    <cellStyle name="Comma 45 20" xfId="83" xr:uid="{971548DE-FE4C-4FBB-915B-24AEC6DA2DE5}"/>
    <cellStyle name="Comma 45 20 2" xfId="468" xr:uid="{5AF7F51A-5DE9-4F87-B23D-BB740F8D4C6A}"/>
    <cellStyle name="Comma 45 21" xfId="84" xr:uid="{2A20E9B6-1588-4E49-A20E-A7CA69D55A65}"/>
    <cellStyle name="Comma 45 21 2" xfId="469" xr:uid="{4A3F0BA0-4661-4A04-850C-1183747D623C}"/>
    <cellStyle name="Comma 45 22" xfId="85" xr:uid="{8FDACD89-894B-4AA7-9625-34686246F831}"/>
    <cellStyle name="Comma 45 22 2" xfId="470" xr:uid="{8F246D49-F154-48B5-87B5-ED32FCAE217C}"/>
    <cellStyle name="Comma 45 23" xfId="86" xr:uid="{18FF1677-EBF0-4F73-B4ED-944EA907E897}"/>
    <cellStyle name="Comma 45 23 2" xfId="471" xr:uid="{0F89FD49-3DEF-4339-9BAF-718941D69761}"/>
    <cellStyle name="Comma 45 24" xfId="87" xr:uid="{540B03DE-E51D-49A3-820A-8D182D140BA3}"/>
    <cellStyle name="Comma 45 24 2" xfId="472" xr:uid="{3AE73E0F-1175-486B-8CEB-44B128CBFA96}"/>
    <cellStyle name="Comma 45 25" xfId="88" xr:uid="{A581C8B7-94E7-45BA-873E-CC0928814849}"/>
    <cellStyle name="Comma 45 25 2" xfId="473" xr:uid="{DEA0BED6-1031-4175-BC53-ABAB0D254DBE}"/>
    <cellStyle name="Comma 45 26" xfId="89" xr:uid="{0974BB46-EB58-4A0E-A419-8A1EC47773DA}"/>
    <cellStyle name="Comma 45 26 2" xfId="474" xr:uid="{482611A3-AFE2-4D57-94EB-403F6DE1B565}"/>
    <cellStyle name="Comma 45 27" xfId="90" xr:uid="{DD3B1E17-0FE6-4841-BB77-5945853BF1B7}"/>
    <cellStyle name="Comma 45 27 2" xfId="475" xr:uid="{E02AFBE0-2992-40C4-8B38-66B227C6CEC5}"/>
    <cellStyle name="Comma 45 28" xfId="91" xr:uid="{7F93F4EB-928D-44F0-884E-C10C4482BA89}"/>
    <cellStyle name="Comma 45 28 2" xfId="476" xr:uid="{D1540B07-BA13-4776-8D4A-B83F7FB5FEDB}"/>
    <cellStyle name="Comma 45 29" xfId="92" xr:uid="{770B85D0-8CF5-483D-A630-D216B6844DCE}"/>
    <cellStyle name="Comma 45 29 2" xfId="477" xr:uid="{CB14322E-6300-4192-A54F-43D5AAF1268B}"/>
    <cellStyle name="Comma 45 3" xfId="93" xr:uid="{7DADD363-246B-4172-934C-EC2A90552B6A}"/>
    <cellStyle name="Comma 45 3 2" xfId="478" xr:uid="{CEAF084C-D158-419F-9080-96431C7B2865}"/>
    <cellStyle name="Comma 45 30" xfId="94" xr:uid="{8C9A4728-6275-4621-946E-3B37F0217BBB}"/>
    <cellStyle name="Comma 45 30 2" xfId="479" xr:uid="{98B2FD0C-ED9B-4292-A183-F6CDE360207A}"/>
    <cellStyle name="Comma 45 31" xfId="456" xr:uid="{45FE929A-EEE8-4DDE-ACA4-993B5DA5CBBF}"/>
    <cellStyle name="Comma 45 4" xfId="95" xr:uid="{184B4A54-3AEA-4FF5-A271-7FAD769B9D94}"/>
    <cellStyle name="Comma 45 4 2" xfId="480" xr:uid="{513D7228-0121-4F4D-8C0F-725EB20F05DF}"/>
    <cellStyle name="Comma 45 5" xfId="96" xr:uid="{D533A4E7-B98F-48EE-963F-AD86FCE5134F}"/>
    <cellStyle name="Comma 45 5 2" xfId="481" xr:uid="{1AA0D7D3-AEA1-494D-9B89-D94759E7B987}"/>
    <cellStyle name="Comma 45 6" xfId="97" xr:uid="{7D4550CF-8D1D-483B-911A-E94D6B64B7F1}"/>
    <cellStyle name="Comma 45 6 2" xfId="482" xr:uid="{B3CF12ED-24B0-4929-87B6-4F65BA8A5DE9}"/>
    <cellStyle name="Comma 45 7" xfId="98" xr:uid="{12881A31-2A56-4F46-8A53-7AA766D42587}"/>
    <cellStyle name="Comma 45 7 2" xfId="483" xr:uid="{4F2ADC50-D7E4-4C53-A25D-A2278418EDA3}"/>
    <cellStyle name="Comma 45 8" xfId="99" xr:uid="{23FFFCAA-7E1F-4B77-B492-F46C30AB8253}"/>
    <cellStyle name="Comma 45 8 2" xfId="484" xr:uid="{2FA44D1B-3F35-4689-86FA-8AC2B7214B69}"/>
    <cellStyle name="Comma 45 9" xfId="100" xr:uid="{0EC1C54A-CB8F-4E44-92CF-E327A099C227}"/>
    <cellStyle name="Comma 45 9 2" xfId="485" xr:uid="{0041BBEA-17B6-4322-86AB-22F588E7CB65}"/>
    <cellStyle name="Comma 46" xfId="43" xr:uid="{C72889BD-A441-4FFC-AC29-A2B7E29EAA84}"/>
    <cellStyle name="Comma 46 10" xfId="101" xr:uid="{7F5E730F-568A-42EE-A109-94C6EB8B8A65}"/>
    <cellStyle name="Comma 46 10 2" xfId="486" xr:uid="{C83A3A46-0D35-4714-B997-D302B3A4A14B}"/>
    <cellStyle name="Comma 46 11" xfId="102" xr:uid="{CF07C8F0-B5FD-4665-8FF1-8E959270CB05}"/>
    <cellStyle name="Comma 46 11 2" xfId="487" xr:uid="{1D4FE271-D76A-4215-8597-48A42ED30903}"/>
    <cellStyle name="Comma 46 12" xfId="103" xr:uid="{8071827F-9A6A-47AF-8EA6-F910595E20D9}"/>
    <cellStyle name="Comma 46 12 2" xfId="488" xr:uid="{28AD9A79-ED9C-45AC-98B8-989A744D0CB0}"/>
    <cellStyle name="Comma 46 13" xfId="104" xr:uid="{7AF96777-871D-4662-8F43-4526A373E6B6}"/>
    <cellStyle name="Comma 46 13 2" xfId="489" xr:uid="{A0273E56-1C95-4EB5-91F1-0987F9CE6BB8}"/>
    <cellStyle name="Comma 46 14" xfId="105" xr:uid="{0C0306F7-C971-4818-A044-A1F4E59F7399}"/>
    <cellStyle name="Comma 46 14 2" xfId="490" xr:uid="{25952620-F780-4026-9702-D0ADA55A50C9}"/>
    <cellStyle name="Comma 46 15" xfId="106" xr:uid="{709A4B79-8945-43B3-9DD2-F68295B03DB0}"/>
    <cellStyle name="Comma 46 15 2" xfId="491" xr:uid="{0E6AAAB4-ADF6-49DA-A251-5FA8205BD5C1}"/>
    <cellStyle name="Comma 46 16" xfId="107" xr:uid="{6DE08231-6697-4469-A0A9-BF8EF1863723}"/>
    <cellStyle name="Comma 46 16 2" xfId="492" xr:uid="{96D3C394-2BE1-41BF-9409-6828F92D5FD5}"/>
    <cellStyle name="Comma 46 17" xfId="108" xr:uid="{F8E31FB8-61CE-423B-BCC1-E484222E3CE2}"/>
    <cellStyle name="Comma 46 17 2" xfId="493" xr:uid="{B9E070AD-B1A4-4D35-9102-A828AA4026B9}"/>
    <cellStyle name="Comma 46 18" xfId="109" xr:uid="{620D545A-A428-4CDD-B328-43280A7CD6C8}"/>
    <cellStyle name="Comma 46 18 2" xfId="494" xr:uid="{E22B44A7-93EC-4010-A788-ECB61424BB7B}"/>
    <cellStyle name="Comma 46 19" xfId="110" xr:uid="{3D69CB28-0D01-4C5F-B2E6-65FE850AE48D}"/>
    <cellStyle name="Comma 46 19 2" xfId="495" xr:uid="{062D70C9-DC97-48E2-8A38-E5E40F5869A0}"/>
    <cellStyle name="Comma 46 2" xfId="111" xr:uid="{5EE76B9C-2141-4343-8481-EEA08D25C32C}"/>
    <cellStyle name="Comma 46 2 2" xfId="405" xr:uid="{A025D66A-69BB-4216-8A4F-3CFB0E2D38DB}"/>
    <cellStyle name="Comma 46 2 2 2" xfId="518" xr:uid="{5C2E73A1-2ED6-48EE-81FE-1EA6296B03CC}"/>
    <cellStyle name="Comma 46 2 3" xfId="496" xr:uid="{48533C21-A81F-461D-BEAE-070647927E2D}"/>
    <cellStyle name="Comma 46 20" xfId="112" xr:uid="{06FF9F5A-DB96-428E-9F4C-B373977369CA}"/>
    <cellStyle name="Comma 46 20 2" xfId="497" xr:uid="{6B055A09-B4BD-4B87-B380-FE8FF8F1354F}"/>
    <cellStyle name="Comma 46 21" xfId="113" xr:uid="{99ACF7CB-38BF-4940-AEDF-C69BAA2E74D3}"/>
    <cellStyle name="Comma 46 21 2" xfId="498" xr:uid="{D38E2031-3C65-44A9-A3F8-266FD1B9CE9A}"/>
    <cellStyle name="Comma 46 22" xfId="114" xr:uid="{3DD90099-095B-4B36-B86A-C624A999901D}"/>
    <cellStyle name="Comma 46 22 2" xfId="499" xr:uid="{D079E8CD-36DB-44E9-B53B-7F30D699951D}"/>
    <cellStyle name="Comma 46 23" xfId="115" xr:uid="{762D018E-A93A-475E-989D-C5F10E4629E0}"/>
    <cellStyle name="Comma 46 23 2" xfId="500" xr:uid="{FDCBFC1D-FEA5-4CD5-B887-D77993ECFF97}"/>
    <cellStyle name="Comma 46 24" xfId="116" xr:uid="{C893FFF3-3ED2-4F53-85C4-F64393FECDAC}"/>
    <cellStyle name="Comma 46 24 2" xfId="501" xr:uid="{24A09D56-3C00-4CC0-9455-CB605B750591}"/>
    <cellStyle name="Comma 46 25" xfId="117" xr:uid="{C23F9AE9-8B5D-488B-AA92-09A008BF5F8E}"/>
    <cellStyle name="Comma 46 25 2" xfId="502" xr:uid="{EBBEF174-184C-4315-8554-14C6D7BFAD97}"/>
    <cellStyle name="Comma 46 26" xfId="118" xr:uid="{9B71A54F-C5FC-4E4F-BE72-26F0A7548E34}"/>
    <cellStyle name="Comma 46 26 2" xfId="503" xr:uid="{22C7B5AA-EF2C-4CB4-B28E-FE30FF608007}"/>
    <cellStyle name="Comma 46 27" xfId="119" xr:uid="{ACE5BA08-987F-4164-AB20-7E3799A6CC7C}"/>
    <cellStyle name="Comma 46 27 2" xfId="504" xr:uid="{F25800D1-6549-42E9-AA99-F89C38042D34}"/>
    <cellStyle name="Comma 46 28" xfId="120" xr:uid="{073D0960-18B4-48CF-B185-03954B4CB08A}"/>
    <cellStyle name="Comma 46 28 2" xfId="505" xr:uid="{D0628C53-9B73-4B1D-850D-23A10F9E1B72}"/>
    <cellStyle name="Comma 46 29" xfId="121" xr:uid="{B8EB6862-CC8F-4769-92D0-9A5DABAC5B1B}"/>
    <cellStyle name="Comma 46 29 2" xfId="506" xr:uid="{F0C206E6-CF7F-47D9-B352-C39905DA3916}"/>
    <cellStyle name="Comma 46 3" xfId="122" xr:uid="{EFC53DB2-A006-4DFA-A346-81B0ADAC5BE5}"/>
    <cellStyle name="Comma 46 3 2" xfId="507" xr:uid="{D9074D85-0C3C-42F3-9FF2-08B70E4EA784}"/>
    <cellStyle name="Comma 46 30" xfId="123" xr:uid="{AF0E8D78-C1F5-4C8E-A77B-8AEF6F03DE58}"/>
    <cellStyle name="Comma 46 30 2" xfId="508" xr:uid="{7D38ACE3-2510-4F5F-8E5D-108AB1C550D4}"/>
    <cellStyle name="Comma 46 31" xfId="451" xr:uid="{F0AF567F-6957-49A8-B5A1-DD13454C789A}"/>
    <cellStyle name="Comma 46 4" xfId="124" xr:uid="{F8EF6873-6FA5-4A4C-8D43-52B2FC6B4A61}"/>
    <cellStyle name="Comma 46 4 2" xfId="509" xr:uid="{6C4E4369-12D8-4CA2-A418-1082223453D2}"/>
    <cellStyle name="Comma 46 5" xfId="125" xr:uid="{A8EDDDFC-6AE6-4139-ADEA-5961D6501D58}"/>
    <cellStyle name="Comma 46 5 2" xfId="510" xr:uid="{132C9FA3-D00D-4491-A43E-368D4EE95F5E}"/>
    <cellStyle name="Comma 46 6" xfId="126" xr:uid="{8BA59770-1824-49AA-89F6-1518E2FCE7D6}"/>
    <cellStyle name="Comma 46 6 2" xfId="511" xr:uid="{2E5BBEF2-8A3B-4FCE-9080-7BED8FF6A84B}"/>
    <cellStyle name="Comma 46 7" xfId="127" xr:uid="{E99B41C9-2FD4-4784-AE3B-95C624647067}"/>
    <cellStyle name="Comma 46 7 2" xfId="512" xr:uid="{BA1E050A-A116-42B3-893E-C6977C18C958}"/>
    <cellStyle name="Comma 46 8" xfId="128" xr:uid="{8282159B-81E7-4463-97B0-19B147CAB0DC}"/>
    <cellStyle name="Comma 46 8 2" xfId="513" xr:uid="{A24E4709-E592-47FF-AC68-221D6BB97570}"/>
    <cellStyle name="Comma 46 9" xfId="129" xr:uid="{E4821233-10E4-4159-ACF5-EA31B10B945A}"/>
    <cellStyle name="Comma 46 9 2" xfId="514" xr:uid="{9EBC4D1F-E173-4036-94D7-5124BA72C93E}"/>
    <cellStyle name="Comma 5" xfId="44" xr:uid="{2F046570-581E-43D4-BDDD-B712D90311EC}"/>
    <cellStyle name="Comma 6" xfId="45" xr:uid="{ED03FC47-C25C-46A4-A633-3A0613D573B3}"/>
    <cellStyle name="Comma 6 2" xfId="452" xr:uid="{65D3D095-7077-4A90-8C7A-25825F63E6F8}"/>
    <cellStyle name="Comma 7" xfId="46" xr:uid="{989C1733-E71F-4B12-9308-64FB8D44A536}"/>
    <cellStyle name="Comma 7 2" xfId="453" xr:uid="{A6D3A278-8C17-442F-85EB-30ED1391C9D7}"/>
    <cellStyle name="Comma 8" xfId="47" xr:uid="{419D5A0F-22DA-4BC9-9EC2-CF0F148FF912}"/>
    <cellStyle name="Comma 8 2" xfId="454" xr:uid="{220C4000-FC45-46AF-9338-58F69D2B2F53}"/>
    <cellStyle name="Comma 9" xfId="406" xr:uid="{0A760CD5-0C9E-41A3-9038-3CFB7E82709D}"/>
    <cellStyle name="Currency 2" xfId="130" xr:uid="{1CFCDD60-9006-4ECF-8CA6-321B181B28FE}"/>
    <cellStyle name="Currency 2 2" xfId="515" xr:uid="{BC8B8BEC-5C65-421D-8C63-49FDF6F13553}"/>
    <cellStyle name="Currency 3" xfId="131" xr:uid="{0ECCA74D-880F-4B26-81F8-F7B10F309D3C}"/>
    <cellStyle name="Currency 3 2" xfId="516" xr:uid="{079F8B77-73A2-4159-89B4-7835A2CF3665}"/>
    <cellStyle name="Euro" xfId="132" xr:uid="{9DE38CE2-6669-4D49-9771-75F535AF386F}"/>
    <cellStyle name="Explanatory Text" xfId="19"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2" builtinId="20" customBuiltin="1"/>
    <cellStyle name="Linked Cell" xfId="15" builtinId="24" customBuiltin="1"/>
    <cellStyle name="Neutral 2" xfId="391" xr:uid="{872C3257-9C78-4CBC-922D-F6F39BC3A215}"/>
    <cellStyle name="Normal" xfId="0" builtinId="0"/>
    <cellStyle name="Normal 10" xfId="133" xr:uid="{6EF29E7F-B6A9-4DF7-A50B-3DF46A14F78A}"/>
    <cellStyle name="Normal 10 2" xfId="4" xr:uid="{0659EA68-4221-495B-82A2-D9BD8E5B1822}"/>
    <cellStyle name="Normal 10 3" xfId="407" xr:uid="{12292F61-201C-47FD-B7F3-9F349713760D}"/>
    <cellStyle name="Normal 11" xfId="398" xr:uid="{465F9FA2-34DB-410E-B0FB-E03D9864ADCF}"/>
    <cellStyle name="Normal 11 2" xfId="399" xr:uid="{785DA693-E10E-489F-BC76-5D8040C0872A}"/>
    <cellStyle name="Normal 11 2 2" xfId="409" xr:uid="{0E04073C-8053-4A6E-9C41-4A5724D05959}"/>
    <cellStyle name="Normal 11 3" xfId="408" xr:uid="{3DE86D61-AD1A-4C69-B4E1-3E4C39AB500F}"/>
    <cellStyle name="Normal 12" xfId="410" xr:uid="{44F5CDBF-936C-46CD-AFCD-6B897DD13DB0}"/>
    <cellStyle name="Normal 13" xfId="411" xr:uid="{71CFFA27-5846-4D9C-8DD6-B60F640A4B6F}"/>
    <cellStyle name="Normal 13 2" xfId="412" xr:uid="{C93119C9-5B45-4439-862C-743E516E1F55}"/>
    <cellStyle name="Normal 14" xfId="413" xr:uid="{6DBA4AEA-6993-4592-B2C1-9D777CCD3BC4}"/>
    <cellStyle name="Normal 15" xfId="414" xr:uid="{62081BA0-CD5E-44E1-92E0-21CD905ACE58}"/>
    <cellStyle name="Normal 15 2" xfId="5" xr:uid="{43DAAD3D-BF27-46FA-A39E-086D6331CD5D}"/>
    <cellStyle name="Normal 16" xfId="415" xr:uid="{A15ED252-0022-4F67-8D0B-B44248C139CF}"/>
    <cellStyle name="Normal 17" xfId="416" xr:uid="{F6E6B4D4-65BC-46B2-BDF8-AEEC7C74B8EA}"/>
    <cellStyle name="Normal 18" xfId="417" xr:uid="{0291A738-479A-43D3-ADF0-C3E1189C8982}"/>
    <cellStyle name="Normal 19" xfId="402" xr:uid="{2E973CBC-1FC2-4CEA-A2D1-198F203FB6F0}"/>
    <cellStyle name="Normal 2" xfId="3" xr:uid="{DF87EDFA-42B2-4A67-9B9F-31789A40C196}"/>
    <cellStyle name="Normal 2 10" xfId="134" xr:uid="{FEE7D81E-4B94-4D8D-8A05-BEB47742D4E2}"/>
    <cellStyle name="Normal 2 10 2" xfId="418" xr:uid="{909A80F2-44AC-489D-90A8-A625FABB0CA6}"/>
    <cellStyle name="Normal 2 11" xfId="135" xr:uid="{B446DDCE-98C7-41BD-BE63-3A96A50A1B32}"/>
    <cellStyle name="Normal 2 11 2" xfId="419" xr:uid="{516887F7-EF55-42FD-816B-008593993193}"/>
    <cellStyle name="Normal 2 12" xfId="136" xr:uid="{E421FF7E-10CC-485C-BF94-4E433D5FFC32}"/>
    <cellStyle name="Normal 2 12 2" xfId="420" xr:uid="{A2458EF3-F853-4846-A188-60BB5E71A1DF}"/>
    <cellStyle name="Normal 2 13" xfId="137" xr:uid="{6312AB2C-DA72-4C8D-BFF9-7C989C212708}"/>
    <cellStyle name="Normal 2 13 2" xfId="421" xr:uid="{D47226F2-4D64-4FAE-AF90-9344CDFDD8C8}"/>
    <cellStyle name="Normal 2 14" xfId="138" xr:uid="{26695C7C-385F-4FF3-B1FA-9C69B87022B5}"/>
    <cellStyle name="Normal 2 15" xfId="139" xr:uid="{33AFB62F-BA3E-4B19-9FF2-06232016584D}"/>
    <cellStyle name="Normal 2 16" xfId="140" xr:uid="{8B8EFC95-E3DC-4B0B-A932-A9B458244D56}"/>
    <cellStyle name="Normal 2 17" xfId="141" xr:uid="{9DFA09BF-ADC2-4E5D-9E90-944A0037452D}"/>
    <cellStyle name="Normal 2 18" xfId="142" xr:uid="{5FF97BAA-DD83-489D-954E-F440C3C96865}"/>
    <cellStyle name="Normal 2 19" xfId="143" xr:uid="{D744E80D-0351-47E7-AE70-BF54CAE27B05}"/>
    <cellStyle name="Normal 2 2" xfId="49" xr:uid="{DD9C7CC1-372E-4AE1-9B60-9CD4AE74A3E2}"/>
    <cellStyle name="Normal 2 2 2" xfId="50" xr:uid="{07CC1AB6-3EAE-4D7A-8E5C-28AA422A3B6B}"/>
    <cellStyle name="Normal 2 2 3" xfId="422" xr:uid="{70F40C95-0282-4C36-B42C-D17666158DDA}"/>
    <cellStyle name="Normal 2 2 4" xfId="423" xr:uid="{2CC23E6F-999A-4AE3-A101-CA15C04099A1}"/>
    <cellStyle name="Normal 2 2 5" xfId="424" xr:uid="{C68E2A76-1B5D-43ED-8C6F-DE4043D4D40A}"/>
    <cellStyle name="Normal 2 2 6" xfId="425" xr:uid="{CEE0484E-5447-4DB1-9C89-295900906BA5}"/>
    <cellStyle name="Normal 2 20" xfId="144" xr:uid="{155ED259-AD9C-4F51-B08B-615F6D7007FC}"/>
    <cellStyle name="Normal 2 21" xfId="145" xr:uid="{748360DD-CAE5-48C2-96DC-4308D566DC4C}"/>
    <cellStyle name="Normal 2 22" xfId="146" xr:uid="{94B28631-238E-4E72-BE57-923A8A6ABF5F}"/>
    <cellStyle name="Normal 2 23" xfId="147" xr:uid="{67BC180A-E9A6-4DEA-84A4-BBA692FF1C16}"/>
    <cellStyle name="Normal 2 24" xfId="148" xr:uid="{1D4C83CE-8E31-4603-905F-AD0935111FD8}"/>
    <cellStyle name="Normal 2 25" xfId="149" xr:uid="{4C73F5BF-81D6-4B43-8E32-38EED386C3AF}"/>
    <cellStyle name="Normal 2 26" xfId="150" xr:uid="{A0DF2D48-B986-459B-BEF7-21F558987A6C}"/>
    <cellStyle name="Normal 2 27" xfId="151" xr:uid="{811A8001-46C2-413D-B917-CB468BECEBAB}"/>
    <cellStyle name="Normal 2 28" xfId="152" xr:uid="{181FB463-E916-4D88-AFFC-3DB0C2638E0C}"/>
    <cellStyle name="Normal 2 29" xfId="153" xr:uid="{B71D1431-2B46-44B4-B2ED-F8257EEA8D0A}"/>
    <cellStyle name="Normal 2 3" xfId="51" xr:uid="{4934EBD1-1481-45B0-9F83-B1B8E997C32E}"/>
    <cellStyle name="Normal 2 3 2" xfId="154" xr:uid="{AB2D4561-AAF5-499F-806C-FDD89B609A30}"/>
    <cellStyle name="Normal 2 30" xfId="155" xr:uid="{E1030DF7-228A-42D5-B3E5-2732B562BCEA}"/>
    <cellStyle name="Normal 2 31" xfId="156" xr:uid="{4A5B47F9-EACC-4568-A2CF-F6E375FD237D}"/>
    <cellStyle name="Normal 2 32" xfId="48" xr:uid="{500411AD-BA09-4791-8369-AE6BE9BA586F}"/>
    <cellStyle name="Normal 2 4" xfId="157" xr:uid="{A150CCC9-3D1E-4593-B90D-A9F9D24D3A02}"/>
    <cellStyle name="Normal 2 4 2" xfId="158" xr:uid="{169C3413-575C-4776-A16D-7E01C6428438}"/>
    <cellStyle name="Normal 2 5" xfId="159" xr:uid="{427D5270-FABC-4CAB-8B42-D0670EFAD93E}"/>
    <cellStyle name="Normal 2 5 2" xfId="160" xr:uid="{C1E42BB5-1E12-47E0-8E73-ACA01EE48C9F}"/>
    <cellStyle name="Normal 2 6" xfId="161" xr:uid="{A0ABC243-44F0-4638-A70D-55B2D1CCD002}"/>
    <cellStyle name="Normal 2 6 2" xfId="162" xr:uid="{D8163C8F-030A-42A1-8D67-ECDE792276B2}"/>
    <cellStyle name="Normal 2 7" xfId="163" xr:uid="{B441F5E3-A914-4322-B926-7731D0BD2EB5}"/>
    <cellStyle name="Normal 2 7 2" xfId="164" xr:uid="{7AC8AEB2-0C71-4856-8EC4-2975147F5394}"/>
    <cellStyle name="Normal 2 8" xfId="165" xr:uid="{6326C39D-9284-4062-8757-3ADF1FC30A0F}"/>
    <cellStyle name="Normal 2 8 2" xfId="426" xr:uid="{6CC64302-8584-4E39-8070-5F225C183978}"/>
    <cellStyle name="Normal 2 9" xfId="166" xr:uid="{408E8BD8-2274-41D3-9E3E-4445BE34E1B3}"/>
    <cellStyle name="Normal 2 9 2" xfId="427" xr:uid="{718DEFD3-4857-42A4-A381-54E59C412BBD}"/>
    <cellStyle name="Normal 20" xfId="428" xr:uid="{8BDA7286-003E-492C-BA9E-8BB51BCF70E8}"/>
    <cellStyle name="Normal 3" xfId="2" xr:uid="{ABF30E5B-B690-4ACC-B7EA-E6B7292E2881}"/>
    <cellStyle name="Normal 3 10" xfId="167" xr:uid="{A03CB38F-2905-425F-811E-544E906C1ACA}"/>
    <cellStyle name="Normal 3 11" xfId="168" xr:uid="{E7EDA6A0-2DE5-4D68-939B-47766ED764E3}"/>
    <cellStyle name="Normal 3 11 2" xfId="169" xr:uid="{13A3524E-3F24-4D66-A8E9-D3BCD82C802D}"/>
    <cellStyle name="Normal 3 12" xfId="170" xr:uid="{9F74EAB4-02A9-4AF4-BBE2-14D6B2740D4A}"/>
    <cellStyle name="Normal 3 12 2" xfId="171" xr:uid="{1C3EB138-5DA2-4CAB-883F-5E8A4E110E31}"/>
    <cellStyle name="Normal 3 13" xfId="172" xr:uid="{9CA10CE7-A534-4C8C-910E-FC916525176F}"/>
    <cellStyle name="Normal 3 14" xfId="173" xr:uid="{60E5407A-312F-45DB-950C-A6F0B445D803}"/>
    <cellStyle name="Normal 3 15" xfId="174" xr:uid="{84ADE3ED-2195-4EFE-BD79-B4CDEF9B36DB}"/>
    <cellStyle name="Normal 3 16" xfId="175" xr:uid="{E3544668-33D5-4373-B20C-D0EB7B2E3E59}"/>
    <cellStyle name="Normal 3 17" xfId="176" xr:uid="{7CBC636F-0351-48B9-AD28-52D974C6AFE2}"/>
    <cellStyle name="Normal 3 18" xfId="177" xr:uid="{28F62BC7-3544-418B-991D-FA14AFA6B587}"/>
    <cellStyle name="Normal 3 19" xfId="178" xr:uid="{71442C52-12B6-41A4-9953-C8C8D1C5C607}"/>
    <cellStyle name="Normal 3 2" xfId="179" xr:uid="{6CF9C88E-0D11-49CF-AF64-0E53609C73E6}"/>
    <cellStyle name="Normal 3 2 2" xfId="429" xr:uid="{3195D804-C0A2-4472-B058-41C86D89162F}"/>
    <cellStyle name="Normal 3 20" xfId="180" xr:uid="{16634938-8BBC-4D87-A8B6-D43D3C64CD7A}"/>
    <cellStyle name="Normal 3 21" xfId="181" xr:uid="{CAC84209-E3CF-432D-BC52-48F0DF64AA85}"/>
    <cellStyle name="Normal 3 22" xfId="182" xr:uid="{AF6A5F76-73B7-4D7E-B295-AAE0DAFCD409}"/>
    <cellStyle name="Normal 3 23" xfId="183" xr:uid="{77D25626-2427-467D-984E-F81CAB74410D}"/>
    <cellStyle name="Normal 3 24" xfId="184" xr:uid="{0B5E90E9-F09F-4789-B46B-FDABCE1D84EC}"/>
    <cellStyle name="Normal 3 25" xfId="185" xr:uid="{283B370E-EA8A-4E74-957F-7D027ECE6871}"/>
    <cellStyle name="Normal 3 26" xfId="186" xr:uid="{F405E85E-9803-454D-9B86-C561C230C58D}"/>
    <cellStyle name="Normal 3 27" xfId="187" xr:uid="{CF6C8C04-6A49-4EDC-A1D5-E8B087F002B0}"/>
    <cellStyle name="Normal 3 28" xfId="188" xr:uid="{5505CE32-7664-43B4-8F57-157DF8A79692}"/>
    <cellStyle name="Normal 3 29" xfId="189" xr:uid="{AE90A16D-6D96-4BEA-ABCD-A8EFB2A4BAC5}"/>
    <cellStyle name="Normal 3 3" xfId="190" xr:uid="{2D919567-0F55-4207-A989-4330AE6996FC}"/>
    <cellStyle name="Normal 3 30" xfId="191" xr:uid="{62A3E040-3F3C-4646-989D-7A8DC238120F}"/>
    <cellStyle name="Normal 3 4" xfId="192" xr:uid="{6C6C497E-61C6-4B52-8753-779FF4F80653}"/>
    <cellStyle name="Normal 3 5" xfId="193" xr:uid="{C58A0D12-3CE8-4230-807B-B9313FB0B624}"/>
    <cellStyle name="Normal 3 6" xfId="194" xr:uid="{C881A4B1-11E3-49C2-9016-EFEDEEE64F25}"/>
    <cellStyle name="Normal 3 7" xfId="195" xr:uid="{1221307E-A13D-45E2-8F09-39F36682309B}"/>
    <cellStyle name="Normal 3 8" xfId="196" xr:uid="{358C7536-A0BD-4037-ADB1-8FA2A4AB3FF2}"/>
    <cellStyle name="Normal 3 9" xfId="197" xr:uid="{548AD856-7BC2-4A2B-9A9D-ACF1CDB268C5}"/>
    <cellStyle name="Normal 4" xfId="52" xr:uid="{8C24C274-158C-412B-9A95-4764CA814CE8}"/>
    <cellStyle name="Normal 4 10" xfId="198" xr:uid="{E38E599F-5E62-4F08-A6C2-75DAB48A243F}"/>
    <cellStyle name="Normal 4 11" xfId="199" xr:uid="{6355A353-2D95-4EA8-AF92-92FE6CF111EB}"/>
    <cellStyle name="Normal 4 12" xfId="200" xr:uid="{7C55D47E-B275-416C-89DD-867C1C7CBAE7}"/>
    <cellStyle name="Normal 4 13" xfId="201" xr:uid="{E2A3DCE8-86E4-4352-8997-322F1A011437}"/>
    <cellStyle name="Normal 4 14" xfId="202" xr:uid="{4C19EB07-6D8E-4C48-A454-166CB5567131}"/>
    <cellStyle name="Normal 4 15" xfId="203" xr:uid="{24826A58-C214-4931-B547-D71FDC8852F1}"/>
    <cellStyle name="Normal 4 16" xfId="204" xr:uid="{F80DF6B4-B15F-4E40-B46E-907A2B4AFCFD}"/>
    <cellStyle name="Normal 4 17" xfId="205" xr:uid="{591A32BA-90D1-4255-BA8B-FF112AE3FCC7}"/>
    <cellStyle name="Normal 4 18" xfId="206" xr:uid="{2DE8A2BF-7C0B-4DFB-B5EB-3BD0B99320CC}"/>
    <cellStyle name="Normal 4 19" xfId="207" xr:uid="{08F9CBD7-D973-441C-8DDD-9E5290A8FC92}"/>
    <cellStyle name="Normal 4 2" xfId="208" xr:uid="{D40DA1B9-B2F5-4DCA-B744-E5D1312E4595}"/>
    <cellStyle name="Normal 4 2 2" xfId="430" xr:uid="{32B71EB2-964E-40AC-933D-71CA28EAFE1D}"/>
    <cellStyle name="Normal 4 20" xfId="209" xr:uid="{5C0F8878-524C-4338-A692-2A9F5480BFEE}"/>
    <cellStyle name="Normal 4 21" xfId="210" xr:uid="{3EA176EC-A783-4871-9E9E-C9EA1BDE4AF0}"/>
    <cellStyle name="Normal 4 22" xfId="211" xr:uid="{880AB70B-42C4-468B-ADC6-DF17B115EFAE}"/>
    <cellStyle name="Normal 4 23" xfId="212" xr:uid="{FD21EC4D-F305-494B-B5D7-3D19B9EB5B9F}"/>
    <cellStyle name="Normal 4 24" xfId="213" xr:uid="{E50C1269-2369-4B7E-ABE5-D9836692A483}"/>
    <cellStyle name="Normal 4 25" xfId="214" xr:uid="{490A5667-245B-454B-8817-B020E5D355B7}"/>
    <cellStyle name="Normal 4 26" xfId="215" xr:uid="{06866973-44E9-40CB-A5A3-E97BC2840086}"/>
    <cellStyle name="Normal 4 27" xfId="216" xr:uid="{DE4033EA-6626-49C3-84BD-8EEAC46B9FF1}"/>
    <cellStyle name="Normal 4 28" xfId="217" xr:uid="{BE887009-3919-48A7-B79C-D07FBCE33712}"/>
    <cellStyle name="Normal 4 29" xfId="218" xr:uid="{504AAF18-DA6D-4008-AD66-D9DDB3C65FED}"/>
    <cellStyle name="Normal 4 3" xfId="219" xr:uid="{47EDDE90-0E65-4209-9808-5EF5729A24F9}"/>
    <cellStyle name="Normal 4 30" xfId="220" xr:uid="{EE6A469A-9411-4AB0-AFDB-86A0862B2D9C}"/>
    <cellStyle name="Normal 4 4" xfId="221" xr:uid="{DBB901B2-0347-4D3E-B256-8E9E752E37C1}"/>
    <cellStyle name="Normal 4 5" xfId="222" xr:uid="{AA73369E-800D-4845-B4EF-F9778B839B02}"/>
    <cellStyle name="Normal 4 6" xfId="223" xr:uid="{CEC20B1B-75D7-4D6D-9B5D-67F960D5DDA1}"/>
    <cellStyle name="Normal 4 7" xfId="224" xr:uid="{36D3A86B-6F57-4DB1-A825-8087C7B9EC5D}"/>
    <cellStyle name="Normal 4 8" xfId="225" xr:uid="{D0B2C1B2-C0F5-4E73-9F17-5E525D87B971}"/>
    <cellStyle name="Normal 4 9" xfId="226" xr:uid="{DCB824D0-6E66-4EDB-AAF3-261BE329274D}"/>
    <cellStyle name="Normal 40" xfId="53" xr:uid="{156C3411-C24A-4824-B168-FE84AB3C2BA4}"/>
    <cellStyle name="Normal 40 10" xfId="227" xr:uid="{34D38820-5135-4099-8357-DFA2756C2F94}"/>
    <cellStyle name="Normal 40 11" xfId="228" xr:uid="{2044E201-C560-4975-915C-333046874490}"/>
    <cellStyle name="Normal 40 12" xfId="229" xr:uid="{208B421A-EEE7-44C1-8EA4-9D50F9173084}"/>
    <cellStyle name="Normal 40 13" xfId="230" xr:uid="{6535534E-6508-4C29-8A81-7D161A6A4CA8}"/>
    <cellStyle name="Normal 40 2" xfId="54" xr:uid="{2135B417-D43D-47BC-B6AF-47D886787C9F}"/>
    <cellStyle name="Normal 40 3" xfId="231" xr:uid="{082CB93C-FC6E-4C76-AF9F-C206E2B9AB51}"/>
    <cellStyle name="Normal 40 4" xfId="232" xr:uid="{2D148741-953E-4C2A-AC45-B60231556F17}"/>
    <cellStyle name="Normal 40 5" xfId="233" xr:uid="{C19EC0F4-169F-4EA2-88F4-1B2982C2FA3C}"/>
    <cellStyle name="Normal 40 6" xfId="234" xr:uid="{B8EADFEB-F0B1-4649-AB8E-2D51D16E5130}"/>
    <cellStyle name="Normal 40 7" xfId="235" xr:uid="{67E42D0A-7EAA-4F93-B198-47B1129B3719}"/>
    <cellStyle name="Normal 40 8" xfId="236" xr:uid="{093E8C74-A023-499A-A47C-C30F48F84334}"/>
    <cellStyle name="Normal 40 9" xfId="237" xr:uid="{98361D5F-A469-44BE-9363-F38EA86C304B}"/>
    <cellStyle name="Normal 48" xfId="431" xr:uid="{57BDED3B-F823-4723-A043-367F19C169EB}"/>
    <cellStyle name="Normal 5" xfId="55" xr:uid="{F1331B31-4E5F-45AB-AB4E-A4D9694867C1}"/>
    <cellStyle name="Normal 5 10" xfId="238" xr:uid="{24AE39A5-2093-4F49-97E1-FBE6604CAAD4}"/>
    <cellStyle name="Normal 5 11" xfId="239" xr:uid="{302FD7D3-D842-4F3B-A607-8828DA0B996C}"/>
    <cellStyle name="Normal 5 12" xfId="240" xr:uid="{029CB14A-8326-44B5-B08D-3BC66CDA3522}"/>
    <cellStyle name="Normal 5 13" xfId="241" xr:uid="{1A0015F2-AB04-4691-A4E3-D8C98DDB8AC7}"/>
    <cellStyle name="Normal 5 14" xfId="242" xr:uid="{56FDF2BE-B54A-4B29-B658-138715106CE7}"/>
    <cellStyle name="Normal 5 15" xfId="243" xr:uid="{22F5C580-1CAD-4969-B7BB-D08B5CC024AC}"/>
    <cellStyle name="Normal 5 16" xfId="244" xr:uid="{4A37360D-CB82-4F86-9430-D89714FEECD3}"/>
    <cellStyle name="Normal 5 17" xfId="245" xr:uid="{3E6813D9-12B7-4424-B8B0-453B09699C8F}"/>
    <cellStyle name="Normal 5 18" xfId="246" xr:uid="{E32E6FFE-FE83-44F3-8563-99D25A406925}"/>
    <cellStyle name="Normal 5 19" xfId="247" xr:uid="{DF4197C6-E83B-4F33-AE6E-95A206D06229}"/>
    <cellStyle name="Normal 5 2" xfId="248" xr:uid="{77492F67-3682-4C89-A796-7D4D95C3BC14}"/>
    <cellStyle name="Normal 5 20" xfId="249" xr:uid="{7F7D0D8A-1DC5-4734-A22E-1E5CB6E6F751}"/>
    <cellStyle name="Normal 5 21" xfId="250" xr:uid="{91AD8BBE-5499-4BDF-8C4C-05C9FB86A9EC}"/>
    <cellStyle name="Normal 5 22" xfId="251" xr:uid="{257827C7-FD7F-43FF-9038-861E42FC778C}"/>
    <cellStyle name="Normal 5 23" xfId="252" xr:uid="{E5F645B4-92DD-40AD-B92D-9E0D5A2383D1}"/>
    <cellStyle name="Normal 5 24" xfId="253" xr:uid="{8D1437A6-502B-4491-85F4-D9142593F574}"/>
    <cellStyle name="Normal 5 25" xfId="254" xr:uid="{3BED74B7-3A1C-4B08-88F9-02844E86BDA7}"/>
    <cellStyle name="Normal 5 26" xfId="255" xr:uid="{8FE25625-590E-4DA1-BDCE-A842FE91EF86}"/>
    <cellStyle name="Normal 5 27" xfId="256" xr:uid="{C5FD4ED1-66A9-40B1-827A-37C885396C1A}"/>
    <cellStyle name="Normal 5 28" xfId="257" xr:uid="{CDE32072-EA5B-4498-A822-3EF5DEFA3A32}"/>
    <cellStyle name="Normal 5 29" xfId="258" xr:uid="{D460BB64-1A5A-450E-9EA8-6B872CC6343D}"/>
    <cellStyle name="Normal 5 3" xfId="259" xr:uid="{F6D9D108-5C92-44A1-93E3-3A58AD8D65F3}"/>
    <cellStyle name="Normal 5 30" xfId="260" xr:uid="{BFDF4439-FBC9-411E-A611-D90F3F52887C}"/>
    <cellStyle name="Normal 5 31" xfId="401" xr:uid="{84860192-A68C-4859-8693-27A19D940E79}"/>
    <cellStyle name="Normal 5 4" xfId="261" xr:uid="{8E952CD1-1520-45A7-A829-4F02A6988619}"/>
    <cellStyle name="Normal 5 5" xfId="262" xr:uid="{C544BC4A-7F48-4F8E-B16F-C0113CF96478}"/>
    <cellStyle name="Normal 5 6" xfId="263" xr:uid="{F2694FB8-E941-403B-B31B-ACAFBB759F5D}"/>
    <cellStyle name="Normal 5 7" xfId="264" xr:uid="{EB0A1E26-B794-4A2B-BED9-144D2AD994D0}"/>
    <cellStyle name="Normal 5 8" xfId="265" xr:uid="{C5A2C2D3-D90E-49C1-8309-BA6D5EBAA654}"/>
    <cellStyle name="Normal 5 9" xfId="266" xr:uid="{DCC7AE0F-95EA-4FD9-9632-81D106FEE224}"/>
    <cellStyle name="Normal 6" xfId="56" xr:uid="{9FE9E8B9-8EA1-4450-946B-CB1E97613205}"/>
    <cellStyle name="Normal 6 10" xfId="267" xr:uid="{0B7C8B13-EAEF-4A0B-88D4-C0AB4AC093F8}"/>
    <cellStyle name="Normal 6 11" xfId="268" xr:uid="{94B9DBEC-3E2E-41DA-9AC7-74AFEABE5482}"/>
    <cellStyle name="Normal 6 12" xfId="269" xr:uid="{0AC145F8-F441-4966-8CFB-1381095F684D}"/>
    <cellStyle name="Normal 6 13" xfId="270" xr:uid="{F2ECB952-0A8C-4639-A98E-DA4AD26DDE53}"/>
    <cellStyle name="Normal 6 14" xfId="271" xr:uid="{FAB4FB52-65B0-49BE-A9BC-45572DBB7401}"/>
    <cellStyle name="Normal 6 15" xfId="272" xr:uid="{102D9A13-95B3-4DA0-A8C1-EC9FFBA1AADA}"/>
    <cellStyle name="Normal 6 16" xfId="273" xr:uid="{A92F92BB-23BB-44F2-AFDB-46CA587E92B5}"/>
    <cellStyle name="Normal 6 17" xfId="274" xr:uid="{BECE60A6-4DA6-42C6-9A07-161330D9A735}"/>
    <cellStyle name="Normal 6 18" xfId="275" xr:uid="{212077F0-39B8-4B6F-BC61-86962330F64D}"/>
    <cellStyle name="Normal 6 19" xfId="276" xr:uid="{82580A1E-057C-4A7F-A050-2BDBFD35E6D7}"/>
    <cellStyle name="Normal 6 2" xfId="277" xr:uid="{9C7F6A83-EB4F-47E6-A61E-BE0430BD3654}"/>
    <cellStyle name="Normal 6 2 2" xfId="432" xr:uid="{225EAAE5-CF31-4D39-BB17-AB5B181568AA}"/>
    <cellStyle name="Normal 6 20" xfId="278" xr:uid="{16060D68-517B-4B1A-A271-00C8188FF28E}"/>
    <cellStyle name="Normal 6 21" xfId="279" xr:uid="{24D26EA2-FB7B-48E5-867B-B9451DFC124E}"/>
    <cellStyle name="Normal 6 22" xfId="280" xr:uid="{0C345AC6-3D62-4D10-AEDE-42489CD0E13E}"/>
    <cellStyle name="Normal 6 23" xfId="281" xr:uid="{3154366C-50E7-4F11-9BD1-7DC8931726C9}"/>
    <cellStyle name="Normal 6 24" xfId="282" xr:uid="{B5F9F6D4-670C-49CE-81EA-CA467471FFC0}"/>
    <cellStyle name="Normal 6 25" xfId="283" xr:uid="{6B736409-BCB8-47F6-9191-5E7F517764D4}"/>
    <cellStyle name="Normal 6 26" xfId="284" xr:uid="{E5B9694A-229A-4105-AC45-E1CBE832D5B4}"/>
    <cellStyle name="Normal 6 27" xfId="285" xr:uid="{B31D9FF5-C2F2-4BB7-AF58-F014793E4455}"/>
    <cellStyle name="Normal 6 28" xfId="286" xr:uid="{3D30244E-DC65-44F3-B42F-FBD4770695C3}"/>
    <cellStyle name="Normal 6 29" xfId="287" xr:uid="{5E218CB9-FA7B-4DC9-821F-0EE662D1D73C}"/>
    <cellStyle name="Normal 6 3" xfId="288" xr:uid="{953FF292-EE5A-4972-B18E-4F5E0A0ADD3C}"/>
    <cellStyle name="Normal 6 30" xfId="289" xr:uid="{48BC3109-41F8-435A-A670-6EB91F9BB2A5}"/>
    <cellStyle name="Normal 6 4" xfId="290" xr:uid="{5951074A-876A-416F-91DE-6F89576E61D8}"/>
    <cellStyle name="Normal 6 4 2" xfId="433" xr:uid="{38F33AE6-E6FE-45A5-8441-D3C1BE511126}"/>
    <cellStyle name="Normal 6 5" xfId="291" xr:uid="{4ED303F2-B95D-4E11-84B4-9113151E3928}"/>
    <cellStyle name="Normal 6 6" xfId="292" xr:uid="{53A3FAEC-429C-4DBB-9461-28102B1BE4FA}"/>
    <cellStyle name="Normal 6 7" xfId="293" xr:uid="{8299CEE5-E877-486B-B331-1BE57C22D944}"/>
    <cellStyle name="Normal 6 8" xfId="294" xr:uid="{FE216E1D-4AF6-4F14-BE88-94EF3850389B}"/>
    <cellStyle name="Normal 6 9" xfId="295" xr:uid="{705021E5-2B7F-4682-B2F4-668D0370B5AE}"/>
    <cellStyle name="Normal 7" xfId="57" xr:uid="{06687B75-FC47-4465-9BE5-3A09656A8161}"/>
    <cellStyle name="Normal 7 10" xfId="296" xr:uid="{B75E219B-EFFD-49CA-8CB8-2E3BCBC2F861}"/>
    <cellStyle name="Normal 7 11" xfId="297" xr:uid="{276A705E-75C9-4E55-ACB2-AE0FFE80001A}"/>
    <cellStyle name="Normal 7 12" xfId="298" xr:uid="{A378A6B8-F84C-4BFC-A234-49EC4B799FC3}"/>
    <cellStyle name="Normal 7 13" xfId="299" xr:uid="{CAE07770-6CD0-451F-9D8C-4850E3A7AFD8}"/>
    <cellStyle name="Normal 7 14" xfId="300" xr:uid="{0F4E9137-0714-490B-8763-454F9867DB6B}"/>
    <cellStyle name="Normal 7 15" xfId="301" xr:uid="{9A3DA43C-37FA-4064-ADCD-287B81D9965C}"/>
    <cellStyle name="Normal 7 16" xfId="302" xr:uid="{FABD3BA9-93D1-4DCC-B4A9-6B70A6F448F0}"/>
    <cellStyle name="Normal 7 17" xfId="303" xr:uid="{A32269A3-E3C4-42DC-AF3B-B25D6BAE359F}"/>
    <cellStyle name="Normal 7 18" xfId="304" xr:uid="{50A8D5D4-A58B-4D39-A6D0-5509EF9B5341}"/>
    <cellStyle name="Normal 7 19" xfId="305" xr:uid="{918F6E9A-DE00-4731-B0EF-00052C814764}"/>
    <cellStyle name="Normal 7 2" xfId="306" xr:uid="{3E28FB80-3EE4-4324-A6E5-72EA6987CFDD}"/>
    <cellStyle name="Normal 7 20" xfId="307" xr:uid="{7B529AEF-4F65-49BB-8F92-91244C0FB533}"/>
    <cellStyle name="Normal 7 21" xfId="308" xr:uid="{DB5D981D-29C9-4937-B862-B4C4A65C44F2}"/>
    <cellStyle name="Normal 7 22" xfId="309" xr:uid="{06ED6B1F-1A33-475A-B3BD-CFFD655B420D}"/>
    <cellStyle name="Normal 7 23" xfId="310" xr:uid="{FEC8512A-2215-43B9-B42C-E72CD3B83890}"/>
    <cellStyle name="Normal 7 24" xfId="311" xr:uid="{41C605AB-7AA5-470D-9915-48B2E6E6A5F8}"/>
    <cellStyle name="Normal 7 25" xfId="312" xr:uid="{03CD3968-3029-4946-BDAC-D6549D82EE59}"/>
    <cellStyle name="Normal 7 26" xfId="313" xr:uid="{FD2C3D27-A500-4608-8FEA-CF64428B6E05}"/>
    <cellStyle name="Normal 7 27" xfId="314" xr:uid="{2D297FAE-B6E8-4F3E-B2D6-39A716371627}"/>
    <cellStyle name="Normal 7 28" xfId="315" xr:uid="{5BC1E56D-C12E-42B2-8A69-A904D74447AA}"/>
    <cellStyle name="Normal 7 29" xfId="316" xr:uid="{205CCDB8-15B4-440A-ABD4-D915A2A3196C}"/>
    <cellStyle name="Normal 7 3" xfId="317" xr:uid="{B8AF9E5B-E651-4E9A-940A-45C6265AD2C0}"/>
    <cellStyle name="Normal 7 30" xfId="318" xr:uid="{C94FCDA1-115D-437C-BD01-21164B67B849}"/>
    <cellStyle name="Normal 7 4" xfId="319" xr:uid="{55B73B81-8DDF-4837-8451-623CD58AD428}"/>
    <cellStyle name="Normal 7 4 2" xfId="434" xr:uid="{5D4AC609-3472-478C-8AAF-8FD417E01140}"/>
    <cellStyle name="Normal 7 5" xfId="320" xr:uid="{6165C95F-5967-4CDE-B745-A62584E5FC98}"/>
    <cellStyle name="Normal 7 6" xfId="321" xr:uid="{FE1EADE1-3BB9-454F-808D-4FC12A1CBDD6}"/>
    <cellStyle name="Normal 7 7" xfId="322" xr:uid="{311F4C61-E789-4DD0-862B-FF821401A660}"/>
    <cellStyle name="Normal 7 8" xfId="323" xr:uid="{AD546D8F-F694-4C77-A30C-9A35660E9F5E}"/>
    <cellStyle name="Normal 7 9" xfId="324" xr:uid="{B151A418-DC3D-4DDF-BDBA-4F3E7E815616}"/>
    <cellStyle name="Normal 8" xfId="58" xr:uid="{11BACDD5-D744-49B9-B652-A2D2A2D7AE56}"/>
    <cellStyle name="Normal 8 2" xfId="435" xr:uid="{87D9E317-1937-4D37-8646-F49C260FAB60}"/>
    <cellStyle name="Normal 8 3" xfId="436" xr:uid="{B1F7A502-7293-41C9-8E43-ABBF0F390293}"/>
    <cellStyle name="Normal 8 4" xfId="437" xr:uid="{CD4A37BD-8434-4AB9-B4BF-B27E0FF73F7F}"/>
    <cellStyle name="Normal 8 5" xfId="438" xr:uid="{05F30FA1-B262-46BE-83F2-C7BDDB1B5E15}"/>
    <cellStyle name="Normal 9" xfId="59" xr:uid="{A4D16629-1EEF-4AE7-94A4-37512CA0291D}"/>
    <cellStyle name="Normal 9 2" xfId="60" xr:uid="{B19B69E9-9FAD-4CB6-B884-E2BDB500B119}"/>
    <cellStyle name="Normal 9 3" xfId="439" xr:uid="{AABA5E69-FCED-460B-B23F-2D69E9F1D527}"/>
    <cellStyle name="Normal 9 4" xfId="440" xr:uid="{8B6BA0AD-6349-43A0-92B7-203F4D3BB75F}"/>
    <cellStyle name="Normal 9 5" xfId="441" xr:uid="{AB7A5CED-A530-4C97-A8AA-543B9E002F62}"/>
    <cellStyle name="Normal 9_Paradise moon 90% (3)" xfId="325" xr:uid="{B6E5D316-5A4F-4316-844F-481AF4E713FD}"/>
    <cellStyle name="Normal_VAR99 - 3 WAYS" xfId="520" xr:uid="{D684F729-B3C2-4BCC-94B9-BD5DC41FCFB3}"/>
    <cellStyle name="Note" xfId="18" builtinId="10" customBuiltin="1"/>
    <cellStyle name="Output" xfId="13" builtinId="21" customBuiltin="1"/>
    <cellStyle name="Percent" xfId="1" builtinId="5"/>
    <cellStyle name="Percent 10" xfId="442" xr:uid="{87D01DC3-DF28-481B-AACE-793FA160310C}"/>
    <cellStyle name="Percent 11" xfId="443" xr:uid="{93263A09-5391-40EE-81E1-774B029BF33E}"/>
    <cellStyle name="Percent 12" xfId="444" xr:uid="{C4014FEF-61E3-49B4-B5C2-099BA7336D7C}"/>
    <cellStyle name="Percent 13" xfId="445" xr:uid="{DF103F6B-97DD-43BB-80E7-095F025DB0A5}"/>
    <cellStyle name="Percent 14" xfId="403" xr:uid="{C739F43E-9CE9-4109-8814-640216C1263D}"/>
    <cellStyle name="Percent 15" xfId="446" xr:uid="{20224EE7-5EE7-480C-A060-BDC48BC6ED06}"/>
    <cellStyle name="Percent 2" xfId="326" xr:uid="{450BFB8E-13CE-4130-81AA-1BD36964460D}"/>
    <cellStyle name="Percent 2 2" xfId="61" xr:uid="{024330D2-7207-4172-B77B-0E8E00517C24}"/>
    <cellStyle name="Percent 2 2 2" xfId="447" xr:uid="{2350C75C-FBD2-407B-8AC9-C2A8FC4FF5DE}"/>
    <cellStyle name="Percent 2 3" xfId="39" xr:uid="{446344CB-0527-4B9A-AC31-8ACE8E22D863}"/>
    <cellStyle name="Percent 2 4" xfId="448" xr:uid="{335A6F23-03F9-4980-94AC-D8F9CC823B65}"/>
    <cellStyle name="Percent 3" xfId="62" xr:uid="{4DC430E0-0AFA-4B9D-9108-DF28017231D6}"/>
    <cellStyle name="Percent 3 2" xfId="327" xr:uid="{AC33C763-9CF0-4933-802E-8219005577E1}"/>
    <cellStyle name="Percent 3 3" xfId="328" xr:uid="{F6883850-F5D7-4B6D-867F-BE4CE109540F}"/>
    <cellStyle name="Percent 4" xfId="63" xr:uid="{AB5A4B74-4AB6-4C59-AD30-6059EE99025D}"/>
    <cellStyle name="Percent 45" xfId="329" xr:uid="{E609C53C-1DF7-4763-8C69-05B828B35DA6}"/>
    <cellStyle name="Percent 45 10" xfId="330" xr:uid="{AC42B63C-D9EA-4111-AB46-2B8FB45D1C2B}"/>
    <cellStyle name="Percent 45 11" xfId="331" xr:uid="{CB80A875-5ED3-4657-9E08-FC31B801111D}"/>
    <cellStyle name="Percent 45 12" xfId="332" xr:uid="{9C0072A4-04DD-4F68-93A6-C619011C84B7}"/>
    <cellStyle name="Percent 45 13" xfId="333" xr:uid="{BEC4D6B7-50F2-4E94-A976-D29342754B59}"/>
    <cellStyle name="Percent 45 14" xfId="334" xr:uid="{8AE2B740-B697-4525-A3BE-7A4EE4C79AAB}"/>
    <cellStyle name="Percent 45 15" xfId="335" xr:uid="{32D6C64F-515B-4E4C-BC9C-1E4D2A395FFA}"/>
    <cellStyle name="Percent 45 16" xfId="336" xr:uid="{44EE948D-B8FA-4FF9-B229-3C85B37BFF95}"/>
    <cellStyle name="Percent 45 17" xfId="337" xr:uid="{D1DB2654-00CE-478E-A889-9E184DD37016}"/>
    <cellStyle name="Percent 45 18" xfId="338" xr:uid="{B3DC511E-CD41-4DD4-86FF-064D3AE59CEA}"/>
    <cellStyle name="Percent 45 19" xfId="339" xr:uid="{5DAAF373-AE35-48F0-9D36-8F65CF325754}"/>
    <cellStyle name="Percent 45 2" xfId="340" xr:uid="{E9C681EA-67BF-4246-B9EB-464465008024}"/>
    <cellStyle name="Percent 45 20" xfId="341" xr:uid="{D2878F29-044D-4219-A5B5-F21801449510}"/>
    <cellStyle name="Percent 45 21" xfId="342" xr:uid="{5034AC6E-074C-4DF1-AE69-3DE731A48CD3}"/>
    <cellStyle name="Percent 45 22" xfId="343" xr:uid="{F2D3C139-A5B2-4A14-947E-1695118A2234}"/>
    <cellStyle name="Percent 45 23" xfId="344" xr:uid="{379102C0-4064-402F-9E99-911D6CFBC76A}"/>
    <cellStyle name="Percent 45 24" xfId="345" xr:uid="{F3516035-B3E9-4A29-8F06-882CA72527DE}"/>
    <cellStyle name="Percent 45 25" xfId="346" xr:uid="{6AAB5B3B-28A8-4790-93CB-D5D0E091FABF}"/>
    <cellStyle name="Percent 45 26" xfId="347" xr:uid="{36B7BCB4-E0F2-4066-A9D7-0F962E3E0FC4}"/>
    <cellStyle name="Percent 45 27" xfId="348" xr:uid="{C481B648-E6C3-4054-BE38-149EE7525D5D}"/>
    <cellStyle name="Percent 45 28" xfId="349" xr:uid="{E43F1314-5EB9-4002-9287-F4F605DD0C60}"/>
    <cellStyle name="Percent 45 29" xfId="350" xr:uid="{4EBCF38A-1273-4390-81E5-A403D264CF8A}"/>
    <cellStyle name="Percent 45 3" xfId="351" xr:uid="{3BED8630-FCE0-429F-A04A-F82A61149DD8}"/>
    <cellStyle name="Percent 45 30" xfId="352" xr:uid="{C6C5756D-F5CC-4E09-82C8-AE4BCD992AC0}"/>
    <cellStyle name="Percent 45 4" xfId="353" xr:uid="{EB25C5A2-FDED-4BB1-9826-DC33D4355530}"/>
    <cellStyle name="Percent 45 5" xfId="354" xr:uid="{42AE80DE-72FE-4456-ACFF-90233BEDABEB}"/>
    <cellStyle name="Percent 45 6" xfId="355" xr:uid="{F144EFF2-8F87-4213-AB44-B2E25B4B9AC5}"/>
    <cellStyle name="Percent 45 7" xfId="356" xr:uid="{36ACD493-DDEB-4D53-A7A8-988D115982FF}"/>
    <cellStyle name="Percent 45 8" xfId="357" xr:uid="{1FB67DD0-5E0D-402B-9A54-29CF10647EC1}"/>
    <cellStyle name="Percent 45 9" xfId="358" xr:uid="{6927E540-E13B-48BF-A0DD-467BA04D8EEB}"/>
    <cellStyle name="Percent 5" xfId="64" xr:uid="{86DFB13F-B010-40DC-B9DB-8B685115E79A}"/>
    <cellStyle name="Percent 56" xfId="65" xr:uid="{BEEF42C8-A044-4BEF-8E6B-22038BD00D1B}"/>
    <cellStyle name="Percent 56 10" xfId="359" xr:uid="{B1168E06-80DE-4BBC-AD21-44EA13D1C972}"/>
    <cellStyle name="Percent 56 11" xfId="360" xr:uid="{7E68A835-71FF-44D4-9494-F1EC6DC97195}"/>
    <cellStyle name="Percent 56 12" xfId="361" xr:uid="{2C2625C5-FBFA-4999-82B4-8D00ADFD816D}"/>
    <cellStyle name="Percent 56 13" xfId="362" xr:uid="{E91AEB23-4854-4C30-B628-1A161B9E9CA7}"/>
    <cellStyle name="Percent 56 14" xfId="363" xr:uid="{962CAAD7-521B-41EC-B24C-E57DCDE2DDC4}"/>
    <cellStyle name="Percent 56 15" xfId="364" xr:uid="{B58E2237-35D3-456D-BB72-4EC2232A7403}"/>
    <cellStyle name="Percent 56 16" xfId="365" xr:uid="{FC9C2C73-A9FE-402B-84BC-70B0181A43FC}"/>
    <cellStyle name="Percent 56 17" xfId="366" xr:uid="{982F2E42-8F39-4376-8007-0FB46A682B98}"/>
    <cellStyle name="Percent 56 18" xfId="367" xr:uid="{DCB99237-547C-4CEE-9DDB-142D5B224F40}"/>
    <cellStyle name="Percent 56 19" xfId="368" xr:uid="{DB6E2969-30D9-4B91-B952-535F099C96D9}"/>
    <cellStyle name="Percent 56 2" xfId="369" xr:uid="{DEEF7B96-958D-4BBF-BAD1-7EDF1D8C2B8E}"/>
    <cellStyle name="Percent 56 2 2" xfId="449" xr:uid="{ADF0B2CC-C56D-4F55-A544-A47F84CAB8C4}"/>
    <cellStyle name="Percent 56 20" xfId="370" xr:uid="{567147C1-BACE-4804-9CE1-0BD6A8FC9EBC}"/>
    <cellStyle name="Percent 56 21" xfId="371" xr:uid="{3A30D9C8-9530-4225-ABEA-C275C38F4123}"/>
    <cellStyle name="Percent 56 22" xfId="372" xr:uid="{9AEE43BF-E962-47D5-AA55-085F664D043A}"/>
    <cellStyle name="Percent 56 23" xfId="373" xr:uid="{DC89BD0D-2984-4F91-86DA-1236D31A2CF4}"/>
    <cellStyle name="Percent 56 24" xfId="374" xr:uid="{A44A2193-AAA0-47A8-BED3-11A3A93EAD4E}"/>
    <cellStyle name="Percent 56 25" xfId="375" xr:uid="{208BD28A-036D-4B65-AA6B-527832BEF4D5}"/>
    <cellStyle name="Percent 56 26" xfId="376" xr:uid="{0840045F-3DB8-4C71-8FE5-A54B0D15BBEF}"/>
    <cellStyle name="Percent 56 27" xfId="377" xr:uid="{B95895F8-C9DE-4FBF-89A0-BAA615AD0697}"/>
    <cellStyle name="Percent 56 28" xfId="378" xr:uid="{4C5DAB3C-25C0-4AFE-88A5-2A75C986F728}"/>
    <cellStyle name="Percent 56 29" xfId="379" xr:uid="{AD1DB37D-AEFC-4886-8E30-ACD4AB1F242C}"/>
    <cellStyle name="Percent 56 3" xfId="380" xr:uid="{60B0E11B-4240-44E5-91B0-843127635919}"/>
    <cellStyle name="Percent 56 30" xfId="381" xr:uid="{22B7F1F2-437A-4470-9711-0A06008A78E2}"/>
    <cellStyle name="Percent 56 31" xfId="382" xr:uid="{D8E92E2A-EEEB-4EF1-A902-F33BDEA941DB}"/>
    <cellStyle name="Percent 56 4" xfId="383" xr:uid="{A0A18A58-5F60-4399-AB02-B189ADA51A08}"/>
    <cellStyle name="Percent 56 5" xfId="384" xr:uid="{58CEC9D5-310F-490B-A054-CC8C2F9A7D0C}"/>
    <cellStyle name="Percent 56 6" xfId="385" xr:uid="{233DDCB6-48EF-46C0-904B-46A2A6A11DC9}"/>
    <cellStyle name="Percent 56 7" xfId="386" xr:uid="{9BE2876B-4B84-45F8-ACAE-87B7FDFEDB2E}"/>
    <cellStyle name="Percent 56 8" xfId="387" xr:uid="{98A47902-1B8A-4E1C-996F-9EBEAD842096}"/>
    <cellStyle name="Percent 56 9" xfId="388" xr:uid="{C3F02AF5-32C0-48F7-8766-D35284BAA38F}"/>
    <cellStyle name="Percent 6" xfId="66" xr:uid="{8A78C37A-C889-42C6-9566-FC8A9CBEBE0F}"/>
    <cellStyle name="Percent 7" xfId="67" xr:uid="{427AA564-6111-446B-9351-22CC8A0BCEB1}"/>
    <cellStyle name="Percent 8" xfId="68" xr:uid="{7A62C9FB-8226-4C9B-83E2-FBF70F0712B0}"/>
    <cellStyle name="Percent 9" xfId="450" xr:uid="{ED221EC4-9E00-40A1-9B87-A7A20BEEEC26}"/>
    <cellStyle name="Standard_Feature Info" xfId="389" xr:uid="{4ED1BB9C-DF33-43BA-84FE-FD5BDECF6CFE}"/>
    <cellStyle name="Title 2" xfId="390" xr:uid="{5254FADA-61B1-46ED-8DC8-DB0B4837D862}"/>
    <cellStyle name="Total" xfId="20" builtinId="25" customBuiltin="1"/>
    <cellStyle name="Warning Text" xfId="17" builtinId="11" customBuiltin="1"/>
  </cellStyles>
  <dxfs count="38">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9C5700"/>
      </font>
      <fill>
        <patternFill>
          <bgColor rgb="FFFFC000"/>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0000FF"/>
      <color rgb="FFFFB3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J155"/>
  <sheetViews>
    <sheetView zoomScaleNormal="100" workbookViewId="0">
      <selection activeCell="I5" sqref="I5"/>
    </sheetView>
  </sheetViews>
  <sheetFormatPr defaultColWidth="8.85546875" defaultRowHeight="15" x14ac:dyDescent="0.25"/>
  <cols>
    <col min="1" max="1" width="3.7109375" style="50" customWidth="1"/>
    <col min="2" max="8" width="8.7109375" style="50" customWidth="1"/>
    <col min="9" max="22" width="8.85546875" style="50"/>
    <col min="23" max="28" width="10" style="2" customWidth="1"/>
    <col min="29" max="33" width="10" style="50" customWidth="1"/>
    <col min="34" max="34" width="10" style="2" customWidth="1"/>
    <col min="35" max="16384" width="8.85546875" style="2"/>
  </cols>
  <sheetData>
    <row r="2" spans="2:31" s="50" customFormat="1" x14ac:dyDescent="0.25">
      <c r="B2" s="50" t="s">
        <v>9</v>
      </c>
      <c r="C2" s="87">
        <v>40</v>
      </c>
    </row>
    <row r="3" spans="2:31" s="50" customFormat="1" x14ac:dyDescent="0.25"/>
    <row r="4" spans="2:31" x14ac:dyDescent="0.25">
      <c r="B4" s="35" t="s">
        <v>52</v>
      </c>
      <c r="C4" s="45"/>
      <c r="D4" s="45"/>
      <c r="E4" s="45"/>
      <c r="F4" s="45"/>
      <c r="G4" s="45"/>
      <c r="I4" s="35" t="s">
        <v>23</v>
      </c>
      <c r="P4" s="35" t="s">
        <v>38</v>
      </c>
      <c r="W4" s="35" t="s">
        <v>24</v>
      </c>
      <c r="AC4" s="92" t="s">
        <v>47</v>
      </c>
    </row>
    <row r="5" spans="2:31" ht="15" customHeight="1" x14ac:dyDescent="0.25">
      <c r="B5" s="138" t="s">
        <v>53</v>
      </c>
      <c r="C5" s="139"/>
      <c r="D5" s="139"/>
      <c r="E5" s="139"/>
      <c r="F5" s="139"/>
      <c r="G5" s="140"/>
      <c r="I5" s="32" t="s">
        <v>0</v>
      </c>
      <c r="J5" s="33" t="s">
        <v>1</v>
      </c>
      <c r="K5" s="33" t="s">
        <v>2</v>
      </c>
      <c r="L5" s="33" t="s">
        <v>3</v>
      </c>
      <c r="M5" s="33" t="s">
        <v>4</v>
      </c>
      <c r="N5" s="34" t="s">
        <v>5</v>
      </c>
      <c r="P5" s="32" t="s">
        <v>0</v>
      </c>
      <c r="Q5" s="33" t="s">
        <v>1</v>
      </c>
      <c r="R5" s="33" t="s">
        <v>2</v>
      </c>
      <c r="S5" s="33" t="s">
        <v>3</v>
      </c>
      <c r="T5" s="33" t="s">
        <v>4</v>
      </c>
      <c r="U5" s="34" t="s">
        <v>5</v>
      </c>
      <c r="W5" s="7" t="s">
        <v>11</v>
      </c>
      <c r="X5" s="8" t="s">
        <v>13</v>
      </c>
      <c r="Y5" s="8" t="s">
        <v>14</v>
      </c>
      <c r="Z5" s="8" t="s">
        <v>15</v>
      </c>
      <c r="AA5" s="9" t="s">
        <v>16</v>
      </c>
      <c r="AC5" s="7" t="s">
        <v>50</v>
      </c>
      <c r="AD5" s="8" t="s">
        <v>48</v>
      </c>
      <c r="AE5" s="9" t="s">
        <v>29</v>
      </c>
    </row>
    <row r="6" spans="2:31" x14ac:dyDescent="0.25">
      <c r="B6" s="141"/>
      <c r="C6" s="142"/>
      <c r="D6" s="142"/>
      <c r="E6" s="142"/>
      <c r="F6" s="142"/>
      <c r="G6" s="143"/>
      <c r="I6" s="4">
        <v>1</v>
      </c>
      <c r="J6" s="43">
        <v>10</v>
      </c>
      <c r="K6" s="43" t="s">
        <v>36</v>
      </c>
      <c r="L6" s="43" t="s">
        <v>33</v>
      </c>
      <c r="M6" s="43">
        <v>10</v>
      </c>
      <c r="N6" s="52">
        <v>10</v>
      </c>
      <c r="P6" s="4">
        <v>1</v>
      </c>
      <c r="Q6" s="135">
        <v>10</v>
      </c>
      <c r="R6" s="135" t="s">
        <v>36</v>
      </c>
      <c r="S6" s="135" t="s">
        <v>33</v>
      </c>
      <c r="T6" s="135">
        <v>10</v>
      </c>
      <c r="U6" s="136">
        <v>10</v>
      </c>
      <c r="W6" s="3" t="s">
        <v>33</v>
      </c>
      <c r="X6" s="1">
        <v>10</v>
      </c>
      <c r="Y6" s="1">
        <v>50</v>
      </c>
      <c r="Z6" s="1">
        <v>100</v>
      </c>
      <c r="AA6" s="36">
        <v>300</v>
      </c>
      <c r="AC6" s="3" t="s">
        <v>40</v>
      </c>
      <c r="AD6" s="1">
        <v>20</v>
      </c>
      <c r="AE6" s="36">
        <v>20</v>
      </c>
    </row>
    <row r="7" spans="2:31" x14ac:dyDescent="0.25">
      <c r="B7" s="141"/>
      <c r="C7" s="142"/>
      <c r="D7" s="142"/>
      <c r="E7" s="142"/>
      <c r="F7" s="142"/>
      <c r="G7" s="143"/>
      <c r="I7" s="4">
        <v>2</v>
      </c>
      <c r="J7" s="43" t="s">
        <v>35</v>
      </c>
      <c r="K7" s="43">
        <v>9</v>
      </c>
      <c r="L7" s="43" t="s">
        <v>6</v>
      </c>
      <c r="M7" s="43" t="s">
        <v>35</v>
      </c>
      <c r="N7" s="42" t="s">
        <v>37</v>
      </c>
      <c r="P7" s="4">
        <v>2</v>
      </c>
      <c r="Q7" s="135" t="s">
        <v>35</v>
      </c>
      <c r="R7" s="135">
        <v>9</v>
      </c>
      <c r="S7" s="135" t="s">
        <v>6</v>
      </c>
      <c r="T7" s="135" t="s">
        <v>35</v>
      </c>
      <c r="U7" s="137" t="s">
        <v>37</v>
      </c>
      <c r="W7" s="3" t="s">
        <v>34</v>
      </c>
      <c r="X7" s="1">
        <v>0</v>
      </c>
      <c r="Y7" s="1">
        <v>50</v>
      </c>
      <c r="Z7" s="1">
        <v>100</v>
      </c>
      <c r="AA7" s="36">
        <v>150</v>
      </c>
      <c r="AC7" s="3" t="s">
        <v>41</v>
      </c>
      <c r="AD7" s="1">
        <v>15</v>
      </c>
      <c r="AE7" s="36">
        <v>15</v>
      </c>
    </row>
    <row r="8" spans="2:31" x14ac:dyDescent="0.25">
      <c r="B8" s="141"/>
      <c r="C8" s="142"/>
      <c r="D8" s="142"/>
      <c r="E8" s="142"/>
      <c r="F8" s="142"/>
      <c r="G8" s="143"/>
      <c r="I8" s="4">
        <v>3</v>
      </c>
      <c r="J8" s="43">
        <v>9</v>
      </c>
      <c r="K8" s="43" t="s">
        <v>34</v>
      </c>
      <c r="L8" s="43">
        <v>10</v>
      </c>
      <c r="M8" s="43" t="s">
        <v>7</v>
      </c>
      <c r="N8" s="42" t="s">
        <v>8</v>
      </c>
      <c r="P8" s="4">
        <v>3</v>
      </c>
      <c r="Q8" s="135">
        <v>9</v>
      </c>
      <c r="R8" s="135" t="s">
        <v>34</v>
      </c>
      <c r="S8" s="135">
        <v>10</v>
      </c>
      <c r="T8" s="135" t="s">
        <v>7</v>
      </c>
      <c r="U8" s="137" t="s">
        <v>8</v>
      </c>
      <c r="W8" s="3" t="s">
        <v>35</v>
      </c>
      <c r="X8" s="1">
        <v>0</v>
      </c>
      <c r="Y8" s="1">
        <v>50</v>
      </c>
      <c r="Z8" s="1">
        <v>100</v>
      </c>
      <c r="AA8" s="36">
        <v>150</v>
      </c>
      <c r="AC8" s="3" t="s">
        <v>42</v>
      </c>
      <c r="AD8" s="1">
        <v>8</v>
      </c>
      <c r="AE8" s="36">
        <v>8</v>
      </c>
    </row>
    <row r="9" spans="2:31" x14ac:dyDescent="0.25">
      <c r="B9" s="141"/>
      <c r="C9" s="142"/>
      <c r="D9" s="142"/>
      <c r="E9" s="142"/>
      <c r="F9" s="142"/>
      <c r="G9" s="143"/>
      <c r="I9" s="4">
        <v>4</v>
      </c>
      <c r="J9" s="43" t="s">
        <v>34</v>
      </c>
      <c r="K9" s="43" t="s">
        <v>7</v>
      </c>
      <c r="L9" s="43" t="s">
        <v>8</v>
      </c>
      <c r="M9" s="43" t="s">
        <v>34</v>
      </c>
      <c r="N9" s="42" t="s">
        <v>6</v>
      </c>
      <c r="P9" s="4">
        <v>4</v>
      </c>
      <c r="Q9" s="135" t="s">
        <v>34</v>
      </c>
      <c r="R9" s="135" t="s">
        <v>7</v>
      </c>
      <c r="S9" s="135" t="s">
        <v>8</v>
      </c>
      <c r="T9" s="135" t="s">
        <v>34</v>
      </c>
      <c r="U9" s="137" t="s">
        <v>6</v>
      </c>
      <c r="W9" s="3" t="s">
        <v>36</v>
      </c>
      <c r="X9" s="1">
        <v>0</v>
      </c>
      <c r="Y9" s="1">
        <v>20</v>
      </c>
      <c r="Z9" s="1">
        <v>80</v>
      </c>
      <c r="AA9" s="36">
        <v>120</v>
      </c>
      <c r="AC9" s="53" t="s">
        <v>43</v>
      </c>
      <c r="AD9" s="93" t="s">
        <v>25</v>
      </c>
      <c r="AE9" s="38">
        <v>5</v>
      </c>
    </row>
    <row r="10" spans="2:31" x14ac:dyDescent="0.25">
      <c r="B10" s="141"/>
      <c r="C10" s="142"/>
      <c r="D10" s="142"/>
      <c r="E10" s="142"/>
      <c r="F10" s="142"/>
      <c r="G10" s="143"/>
      <c r="I10" s="4">
        <v>5</v>
      </c>
      <c r="J10" s="43" t="s">
        <v>8</v>
      </c>
      <c r="K10" s="43" t="s">
        <v>6</v>
      </c>
      <c r="L10" s="43" t="s">
        <v>37</v>
      </c>
      <c r="M10" s="43" t="s">
        <v>34</v>
      </c>
      <c r="N10" s="42" t="s">
        <v>7</v>
      </c>
      <c r="P10" s="4">
        <v>5</v>
      </c>
      <c r="Q10" s="135" t="s">
        <v>8</v>
      </c>
      <c r="R10" s="135" t="s">
        <v>6</v>
      </c>
      <c r="S10" s="135" t="s">
        <v>37</v>
      </c>
      <c r="T10" s="135" t="s">
        <v>34</v>
      </c>
      <c r="U10" s="137" t="s">
        <v>7</v>
      </c>
      <c r="W10" s="3" t="s">
        <v>37</v>
      </c>
      <c r="X10" s="1">
        <v>0</v>
      </c>
      <c r="Y10" s="1">
        <v>20</v>
      </c>
      <c r="Z10" s="1">
        <v>80</v>
      </c>
      <c r="AA10" s="36">
        <v>120</v>
      </c>
      <c r="AB10" s="50"/>
    </row>
    <row r="11" spans="2:31" x14ac:dyDescent="0.25">
      <c r="B11" s="141"/>
      <c r="C11" s="142"/>
      <c r="D11" s="142"/>
      <c r="E11" s="142"/>
      <c r="F11" s="142"/>
      <c r="G11" s="143"/>
      <c r="I11" s="4">
        <v>6</v>
      </c>
      <c r="J11" s="43">
        <v>10</v>
      </c>
      <c r="K11" s="43" t="s">
        <v>33</v>
      </c>
      <c r="L11" s="43" t="s">
        <v>7</v>
      </c>
      <c r="M11" s="43" t="s">
        <v>34</v>
      </c>
      <c r="N11" s="42" t="s">
        <v>35</v>
      </c>
      <c r="P11" s="4">
        <v>6</v>
      </c>
      <c r="Q11" s="135">
        <v>10</v>
      </c>
      <c r="R11" s="135" t="s">
        <v>33</v>
      </c>
      <c r="S11" s="135" t="s">
        <v>7</v>
      </c>
      <c r="T11" s="135" t="s">
        <v>34</v>
      </c>
      <c r="U11" s="137" t="s">
        <v>35</v>
      </c>
      <c r="W11" s="3" t="s">
        <v>22</v>
      </c>
      <c r="X11" s="1">
        <v>0</v>
      </c>
      <c r="Y11" s="1">
        <v>10</v>
      </c>
      <c r="Z11" s="1">
        <v>50</v>
      </c>
      <c r="AA11" s="36">
        <v>100</v>
      </c>
    </row>
    <row r="12" spans="2:31" x14ac:dyDescent="0.25">
      <c r="B12" s="141"/>
      <c r="C12" s="142"/>
      <c r="D12" s="142"/>
      <c r="E12" s="142"/>
      <c r="F12" s="142"/>
      <c r="G12" s="143"/>
      <c r="I12" s="4">
        <v>7</v>
      </c>
      <c r="J12" s="43" t="s">
        <v>33</v>
      </c>
      <c r="K12" s="43" t="s">
        <v>22</v>
      </c>
      <c r="L12" s="43" t="s">
        <v>39</v>
      </c>
      <c r="M12" s="43">
        <v>9</v>
      </c>
      <c r="N12" s="42">
        <v>9</v>
      </c>
      <c r="P12" s="4">
        <v>7</v>
      </c>
      <c r="Q12" s="135" t="s">
        <v>33</v>
      </c>
      <c r="R12" s="135" t="s">
        <v>22</v>
      </c>
      <c r="S12" s="135" t="s">
        <v>39</v>
      </c>
      <c r="T12" s="135">
        <v>9</v>
      </c>
      <c r="U12" s="137">
        <v>9</v>
      </c>
      <c r="W12" s="3" t="s">
        <v>6</v>
      </c>
      <c r="X12" s="1">
        <v>0</v>
      </c>
      <c r="Y12" s="1">
        <v>10</v>
      </c>
      <c r="Z12" s="1">
        <v>50</v>
      </c>
      <c r="AA12" s="36">
        <v>100</v>
      </c>
    </row>
    <row r="13" spans="2:31" x14ac:dyDescent="0.25">
      <c r="B13" s="141"/>
      <c r="C13" s="142"/>
      <c r="D13" s="142"/>
      <c r="E13" s="142"/>
      <c r="F13" s="142"/>
      <c r="G13" s="143"/>
      <c r="I13" s="4">
        <v>8</v>
      </c>
      <c r="J13" s="43" t="s">
        <v>37</v>
      </c>
      <c r="K13" s="43" t="s">
        <v>35</v>
      </c>
      <c r="L13" s="43" t="s">
        <v>8</v>
      </c>
      <c r="M13" s="43" t="s">
        <v>8</v>
      </c>
      <c r="N13" s="42" t="s">
        <v>33</v>
      </c>
      <c r="O13" s="83"/>
      <c r="P13" s="4">
        <v>8</v>
      </c>
      <c r="Q13" s="135" t="s">
        <v>37</v>
      </c>
      <c r="R13" s="135" t="s">
        <v>35</v>
      </c>
      <c r="S13" s="135" t="s">
        <v>8</v>
      </c>
      <c r="T13" s="135" t="s">
        <v>8</v>
      </c>
      <c r="U13" s="137" t="s">
        <v>33</v>
      </c>
      <c r="W13" s="3" t="s">
        <v>8</v>
      </c>
      <c r="X13" s="1">
        <v>0</v>
      </c>
      <c r="Y13" s="1">
        <v>5</v>
      </c>
      <c r="Z13" s="1">
        <v>20</v>
      </c>
      <c r="AA13" s="36">
        <v>100</v>
      </c>
    </row>
    <row r="14" spans="2:31" x14ac:dyDescent="0.25">
      <c r="B14" s="141"/>
      <c r="C14" s="142"/>
      <c r="D14" s="142"/>
      <c r="E14" s="142"/>
      <c r="F14" s="142"/>
      <c r="G14" s="143"/>
      <c r="I14" s="4">
        <v>9</v>
      </c>
      <c r="J14" s="43" t="s">
        <v>29</v>
      </c>
      <c r="K14" s="43">
        <v>10</v>
      </c>
      <c r="L14" s="43" t="s">
        <v>37</v>
      </c>
      <c r="M14" s="43" t="s">
        <v>37</v>
      </c>
      <c r="N14" s="42" t="s">
        <v>8</v>
      </c>
      <c r="P14" s="4">
        <v>9</v>
      </c>
      <c r="Q14" s="135" t="s">
        <v>29</v>
      </c>
      <c r="R14" s="135">
        <v>10</v>
      </c>
      <c r="S14" s="135" t="s">
        <v>37</v>
      </c>
      <c r="T14" s="135" t="s">
        <v>37</v>
      </c>
      <c r="U14" s="137" t="s">
        <v>8</v>
      </c>
      <c r="W14" s="3" t="s">
        <v>7</v>
      </c>
      <c r="X14" s="1">
        <v>0</v>
      </c>
      <c r="Y14" s="1">
        <v>5</v>
      </c>
      <c r="Z14" s="1">
        <v>20</v>
      </c>
      <c r="AA14" s="36">
        <v>100</v>
      </c>
    </row>
    <row r="15" spans="2:31" x14ac:dyDescent="0.25">
      <c r="B15" s="141"/>
      <c r="C15" s="142"/>
      <c r="D15" s="142"/>
      <c r="E15" s="142"/>
      <c r="F15" s="142"/>
      <c r="G15" s="143"/>
      <c r="I15" s="4">
        <v>10</v>
      </c>
      <c r="J15" s="43" t="s">
        <v>22</v>
      </c>
      <c r="K15" s="43" t="s">
        <v>36</v>
      </c>
      <c r="L15" s="43" t="s">
        <v>6</v>
      </c>
      <c r="M15" s="43">
        <v>9</v>
      </c>
      <c r="N15" s="42">
        <v>9</v>
      </c>
      <c r="P15" s="4">
        <v>10</v>
      </c>
      <c r="Q15" s="135" t="s">
        <v>22</v>
      </c>
      <c r="R15" s="135" t="s">
        <v>36</v>
      </c>
      <c r="S15" s="135" t="s">
        <v>6</v>
      </c>
      <c r="T15" s="135">
        <v>9</v>
      </c>
      <c r="U15" s="137">
        <v>9</v>
      </c>
      <c r="W15" s="3">
        <v>10</v>
      </c>
      <c r="X15" s="1">
        <v>0</v>
      </c>
      <c r="Y15" s="1">
        <v>5</v>
      </c>
      <c r="Z15" s="1">
        <v>10</v>
      </c>
      <c r="AA15" s="36">
        <v>100</v>
      </c>
    </row>
    <row r="16" spans="2:31" x14ac:dyDescent="0.25">
      <c r="B16" s="141"/>
      <c r="C16" s="142"/>
      <c r="D16" s="142"/>
      <c r="E16" s="142"/>
      <c r="F16" s="142"/>
      <c r="G16" s="143"/>
      <c r="I16" s="4">
        <v>11</v>
      </c>
      <c r="J16" s="43" t="s">
        <v>6</v>
      </c>
      <c r="K16" s="43" t="s">
        <v>6</v>
      </c>
      <c r="L16" s="43" t="s">
        <v>29</v>
      </c>
      <c r="M16" s="43" t="s">
        <v>39</v>
      </c>
      <c r="N16" s="42" t="s">
        <v>34</v>
      </c>
      <c r="P16" s="4">
        <v>11</v>
      </c>
      <c r="Q16" s="135" t="s">
        <v>6</v>
      </c>
      <c r="R16" s="135" t="s">
        <v>6</v>
      </c>
      <c r="S16" s="135" t="s">
        <v>29</v>
      </c>
      <c r="T16" s="135" t="s">
        <v>39</v>
      </c>
      <c r="U16" s="137" t="s">
        <v>34</v>
      </c>
      <c r="W16" s="53">
        <v>9</v>
      </c>
      <c r="X16" s="37">
        <v>2</v>
      </c>
      <c r="Y16" s="37">
        <v>5</v>
      </c>
      <c r="Z16" s="37">
        <v>10</v>
      </c>
      <c r="AA16" s="38">
        <v>100</v>
      </c>
    </row>
    <row r="17" spans="2:36" x14ac:dyDescent="0.25">
      <c r="B17" s="144"/>
      <c r="C17" s="145"/>
      <c r="D17" s="145"/>
      <c r="E17" s="145"/>
      <c r="F17" s="145"/>
      <c r="G17" s="146"/>
      <c r="I17" s="4">
        <v>12</v>
      </c>
      <c r="J17" s="43" t="s">
        <v>36</v>
      </c>
      <c r="K17" s="43" t="s">
        <v>35</v>
      </c>
      <c r="L17" s="43">
        <v>10</v>
      </c>
      <c r="M17" s="43" t="s">
        <v>22</v>
      </c>
      <c r="N17" s="42" t="s">
        <v>7</v>
      </c>
      <c r="P17" s="4">
        <v>12</v>
      </c>
      <c r="Q17" s="135" t="s">
        <v>36</v>
      </c>
      <c r="R17" s="135" t="s">
        <v>35</v>
      </c>
      <c r="S17" s="135">
        <v>10</v>
      </c>
      <c r="T17" s="135" t="s">
        <v>22</v>
      </c>
      <c r="U17" s="137" t="s">
        <v>7</v>
      </c>
      <c r="W17" s="53" t="s">
        <v>31</v>
      </c>
      <c r="X17" s="37">
        <v>0</v>
      </c>
      <c r="Y17" s="85">
        <v>2</v>
      </c>
      <c r="Z17" s="85">
        <v>10</v>
      </c>
      <c r="AA17" s="86">
        <v>20</v>
      </c>
      <c r="AB17" s="50"/>
    </row>
    <row r="18" spans="2:36" x14ac:dyDescent="0.25">
      <c r="B18" s="94"/>
      <c r="C18" s="94"/>
      <c r="D18" s="94"/>
      <c r="E18" s="94"/>
      <c r="F18" s="94"/>
      <c r="G18" s="94"/>
      <c r="I18" s="4">
        <v>13</v>
      </c>
      <c r="J18" s="43">
        <v>9</v>
      </c>
      <c r="K18" s="43" t="s">
        <v>22</v>
      </c>
      <c r="L18" s="43" t="s">
        <v>8</v>
      </c>
      <c r="M18" s="43" t="s">
        <v>34</v>
      </c>
      <c r="N18" s="42" t="s">
        <v>35</v>
      </c>
      <c r="P18" s="4">
        <v>13</v>
      </c>
      <c r="Q18" s="135">
        <v>9</v>
      </c>
      <c r="R18" s="135" t="s">
        <v>22</v>
      </c>
      <c r="S18" s="135" t="s">
        <v>8</v>
      </c>
      <c r="T18" s="135" t="s">
        <v>34</v>
      </c>
      <c r="U18" s="137" t="s">
        <v>35</v>
      </c>
      <c r="W18" s="82" t="s">
        <v>32</v>
      </c>
      <c r="X18" s="50"/>
      <c r="Y18" s="50"/>
      <c r="Z18" s="50"/>
      <c r="AA18" s="50"/>
      <c r="AB18" s="50"/>
    </row>
    <row r="19" spans="2:36" x14ac:dyDescent="0.25">
      <c r="B19" s="95" t="s">
        <v>54</v>
      </c>
      <c r="C19" s="94"/>
      <c r="D19" s="94"/>
      <c r="E19" s="94"/>
      <c r="F19" s="94"/>
      <c r="G19" s="94"/>
      <c r="I19" s="4">
        <v>14</v>
      </c>
      <c r="J19" s="43" t="s">
        <v>7</v>
      </c>
      <c r="K19" s="43" t="s">
        <v>39</v>
      </c>
      <c r="L19" s="43" t="s">
        <v>35</v>
      </c>
      <c r="M19" s="43" t="s">
        <v>6</v>
      </c>
      <c r="N19" s="42" t="s">
        <v>8</v>
      </c>
      <c r="P19" s="4">
        <v>14</v>
      </c>
      <c r="Q19" s="135" t="s">
        <v>7</v>
      </c>
      <c r="R19" s="135" t="s">
        <v>39</v>
      </c>
      <c r="S19" s="135" t="s">
        <v>35</v>
      </c>
      <c r="T19" s="135" t="s">
        <v>6</v>
      </c>
      <c r="U19" s="137" t="s">
        <v>8</v>
      </c>
      <c r="W19" s="50"/>
      <c r="X19" s="50"/>
      <c r="Y19" s="50"/>
      <c r="Z19" s="50"/>
      <c r="AA19" s="50"/>
      <c r="AB19" s="50"/>
    </row>
    <row r="20" spans="2:36" ht="15" customHeight="1" x14ac:dyDescent="0.25">
      <c r="B20" s="147" t="s">
        <v>55</v>
      </c>
      <c r="C20" s="148"/>
      <c r="D20" s="148"/>
      <c r="E20" s="148"/>
      <c r="F20" s="148"/>
      <c r="G20" s="149"/>
      <c r="I20" s="4">
        <v>15</v>
      </c>
      <c r="J20" s="43" t="s">
        <v>22</v>
      </c>
      <c r="K20" s="43" t="s">
        <v>6</v>
      </c>
      <c r="L20" s="43" t="s">
        <v>22</v>
      </c>
      <c r="M20" s="43" t="s">
        <v>36</v>
      </c>
      <c r="N20" s="42" t="s">
        <v>33</v>
      </c>
      <c r="P20" s="4">
        <v>15</v>
      </c>
      <c r="Q20" s="135" t="s">
        <v>22</v>
      </c>
      <c r="R20" s="135" t="s">
        <v>6</v>
      </c>
      <c r="S20" s="135" t="s">
        <v>22</v>
      </c>
      <c r="T20" s="135" t="s">
        <v>36</v>
      </c>
      <c r="U20" s="137" t="s">
        <v>33</v>
      </c>
      <c r="W20" s="50"/>
      <c r="X20" s="50"/>
      <c r="Y20" s="50"/>
      <c r="Z20" s="50"/>
      <c r="AA20" s="50"/>
      <c r="AB20" s="50"/>
      <c r="AH20" s="50"/>
      <c r="AI20" s="50"/>
      <c r="AJ20" s="50"/>
    </row>
    <row r="21" spans="2:36" x14ac:dyDescent="0.25">
      <c r="B21" s="150"/>
      <c r="C21" s="151"/>
      <c r="D21" s="151"/>
      <c r="E21" s="151"/>
      <c r="F21" s="151"/>
      <c r="G21" s="152"/>
      <c r="I21" s="4">
        <v>16</v>
      </c>
      <c r="J21" s="43" t="s">
        <v>37</v>
      </c>
      <c r="K21" s="43" t="s">
        <v>33</v>
      </c>
      <c r="L21" s="43" t="s">
        <v>36</v>
      </c>
      <c r="M21" s="43" t="s">
        <v>7</v>
      </c>
      <c r="N21" s="42" t="s">
        <v>6</v>
      </c>
      <c r="P21" s="4">
        <v>16</v>
      </c>
      <c r="Q21" s="135" t="s">
        <v>37</v>
      </c>
      <c r="R21" s="135" t="s">
        <v>33</v>
      </c>
      <c r="S21" s="135" t="s">
        <v>36</v>
      </c>
      <c r="T21" s="135" t="s">
        <v>7</v>
      </c>
      <c r="U21" s="137" t="s">
        <v>6</v>
      </c>
      <c r="W21" s="50"/>
      <c r="X21" s="50"/>
      <c r="Y21" s="50"/>
      <c r="Z21" s="50"/>
      <c r="AA21" s="50"/>
      <c r="AB21" s="50"/>
      <c r="AH21" s="50"/>
      <c r="AI21" s="50"/>
      <c r="AJ21" s="50"/>
    </row>
    <row r="22" spans="2:36" x14ac:dyDescent="0.25">
      <c r="B22" s="150"/>
      <c r="C22" s="151"/>
      <c r="D22" s="151"/>
      <c r="E22" s="151"/>
      <c r="F22" s="151"/>
      <c r="G22" s="152"/>
      <c r="I22" s="4">
        <v>17</v>
      </c>
      <c r="J22" s="43" t="s">
        <v>37</v>
      </c>
      <c r="K22" s="43" t="s">
        <v>8</v>
      </c>
      <c r="L22" s="43" t="s">
        <v>36</v>
      </c>
      <c r="M22" s="43" t="s">
        <v>33</v>
      </c>
      <c r="N22" s="42" t="s">
        <v>8</v>
      </c>
      <c r="P22" s="4">
        <v>17</v>
      </c>
      <c r="Q22" s="135" t="s">
        <v>37</v>
      </c>
      <c r="R22" s="135" t="s">
        <v>8</v>
      </c>
      <c r="S22" s="135" t="s">
        <v>36</v>
      </c>
      <c r="T22" s="135" t="s">
        <v>33</v>
      </c>
      <c r="U22" s="137" t="s">
        <v>8</v>
      </c>
      <c r="W22" s="50"/>
      <c r="X22" s="50"/>
      <c r="Y22" s="50"/>
      <c r="Z22" s="50"/>
      <c r="AA22" s="50"/>
      <c r="AB22" s="50"/>
      <c r="AH22" s="50"/>
      <c r="AI22" s="50"/>
      <c r="AJ22" s="50"/>
    </row>
    <row r="23" spans="2:36" x14ac:dyDescent="0.25">
      <c r="B23" s="150"/>
      <c r="C23" s="151"/>
      <c r="D23" s="151"/>
      <c r="E23" s="151"/>
      <c r="F23" s="151"/>
      <c r="G23" s="152"/>
      <c r="I23" s="4">
        <v>18</v>
      </c>
      <c r="J23" s="43" t="s">
        <v>37</v>
      </c>
      <c r="K23" s="43">
        <v>10</v>
      </c>
      <c r="L23" s="43" t="s">
        <v>36</v>
      </c>
      <c r="M23" s="43" t="s">
        <v>33</v>
      </c>
      <c r="N23" s="42" t="s">
        <v>36</v>
      </c>
      <c r="P23" s="4">
        <v>18</v>
      </c>
      <c r="Q23" s="135" t="s">
        <v>37</v>
      </c>
      <c r="R23" s="135">
        <v>10</v>
      </c>
      <c r="S23" s="135" t="s">
        <v>36</v>
      </c>
      <c r="T23" s="135" t="s">
        <v>33</v>
      </c>
      <c r="U23" s="137" t="s">
        <v>36</v>
      </c>
      <c r="W23" s="50"/>
      <c r="X23" s="50"/>
      <c r="Y23" s="50"/>
      <c r="Z23" s="50"/>
      <c r="AA23" s="50"/>
      <c r="AB23" s="50"/>
      <c r="AH23" s="50"/>
      <c r="AI23" s="50"/>
      <c r="AJ23" s="50"/>
    </row>
    <row r="24" spans="2:36" x14ac:dyDescent="0.25">
      <c r="B24" s="150"/>
      <c r="C24" s="151"/>
      <c r="D24" s="151"/>
      <c r="E24" s="151"/>
      <c r="F24" s="151"/>
      <c r="G24" s="152"/>
      <c r="I24" s="4">
        <v>19</v>
      </c>
      <c r="J24" s="43" t="s">
        <v>8</v>
      </c>
      <c r="K24" s="43" t="s">
        <v>6</v>
      </c>
      <c r="L24" s="43" t="s">
        <v>7</v>
      </c>
      <c r="M24" s="43" t="s">
        <v>33</v>
      </c>
      <c r="N24" s="42" t="s">
        <v>6</v>
      </c>
      <c r="P24" s="4">
        <v>19</v>
      </c>
      <c r="Q24" s="135" t="s">
        <v>8</v>
      </c>
      <c r="R24" s="135" t="s">
        <v>6</v>
      </c>
      <c r="S24" s="135" t="s">
        <v>7</v>
      </c>
      <c r="T24" s="135" t="s">
        <v>33</v>
      </c>
      <c r="U24" s="137" t="s">
        <v>6</v>
      </c>
      <c r="W24" s="50"/>
      <c r="X24" s="50"/>
      <c r="Y24" s="50"/>
      <c r="Z24" s="50"/>
      <c r="AA24" s="50"/>
      <c r="AB24" s="50"/>
      <c r="AH24" s="50"/>
      <c r="AI24" s="50"/>
      <c r="AJ24" s="50"/>
    </row>
    <row r="25" spans="2:36" x14ac:dyDescent="0.25">
      <c r="B25" s="150"/>
      <c r="C25" s="151"/>
      <c r="D25" s="151"/>
      <c r="E25" s="151"/>
      <c r="F25" s="151"/>
      <c r="G25" s="152"/>
      <c r="I25" s="4">
        <v>20</v>
      </c>
      <c r="J25" s="43">
        <v>10</v>
      </c>
      <c r="K25" s="43" t="s">
        <v>36</v>
      </c>
      <c r="L25" s="43" t="s">
        <v>29</v>
      </c>
      <c r="M25" s="43" t="s">
        <v>7</v>
      </c>
      <c r="N25" s="42" t="s">
        <v>33</v>
      </c>
      <c r="P25" s="4">
        <v>20</v>
      </c>
      <c r="Q25" s="135">
        <v>10</v>
      </c>
      <c r="R25" s="135" t="s">
        <v>36</v>
      </c>
      <c r="S25" s="135" t="s">
        <v>29</v>
      </c>
      <c r="T25" s="135" t="s">
        <v>7</v>
      </c>
      <c r="U25" s="137" t="s">
        <v>33</v>
      </c>
      <c r="W25" s="50"/>
      <c r="X25" s="50"/>
      <c r="Y25" s="50"/>
      <c r="Z25" s="50"/>
      <c r="AA25" s="50"/>
      <c r="AB25" s="50"/>
      <c r="AH25" s="50"/>
      <c r="AI25" s="50"/>
      <c r="AJ25" s="50"/>
    </row>
    <row r="26" spans="2:36" x14ac:dyDescent="0.25">
      <c r="B26" s="150"/>
      <c r="C26" s="151"/>
      <c r="D26" s="151"/>
      <c r="E26" s="151"/>
      <c r="F26" s="151"/>
      <c r="G26" s="152"/>
      <c r="I26" s="4">
        <v>21</v>
      </c>
      <c r="J26" s="43" t="s">
        <v>37</v>
      </c>
      <c r="K26" s="43" t="s">
        <v>8</v>
      </c>
      <c r="L26" s="43">
        <v>10</v>
      </c>
      <c r="M26" s="43" t="s">
        <v>34</v>
      </c>
      <c r="N26" s="42">
        <v>10</v>
      </c>
      <c r="P26" s="4">
        <v>21</v>
      </c>
      <c r="Q26" s="135" t="s">
        <v>37</v>
      </c>
      <c r="R26" s="135" t="s">
        <v>8</v>
      </c>
      <c r="S26" s="135">
        <v>10</v>
      </c>
      <c r="T26" s="135" t="s">
        <v>34</v>
      </c>
      <c r="U26" s="137">
        <v>10</v>
      </c>
      <c r="W26" s="50"/>
      <c r="X26" s="50"/>
      <c r="Y26" s="50"/>
      <c r="Z26" s="50"/>
      <c r="AA26" s="50"/>
      <c r="AB26" s="50"/>
      <c r="AH26" s="50"/>
      <c r="AI26" s="50"/>
      <c r="AJ26" s="50"/>
    </row>
    <row r="27" spans="2:36" x14ac:dyDescent="0.25">
      <c r="B27" s="153"/>
      <c r="C27" s="154"/>
      <c r="D27" s="154"/>
      <c r="E27" s="154"/>
      <c r="F27" s="154"/>
      <c r="G27" s="155"/>
      <c r="I27" s="4">
        <v>22</v>
      </c>
      <c r="J27" s="43" t="s">
        <v>8</v>
      </c>
      <c r="K27" s="43" t="s">
        <v>34</v>
      </c>
      <c r="L27" s="43" t="s">
        <v>33</v>
      </c>
      <c r="M27" s="43" t="s">
        <v>6</v>
      </c>
      <c r="N27" s="42" t="s">
        <v>35</v>
      </c>
      <c r="P27" s="4">
        <v>22</v>
      </c>
      <c r="Q27" s="135" t="s">
        <v>8</v>
      </c>
      <c r="R27" s="135" t="s">
        <v>39</v>
      </c>
      <c r="S27" s="135" t="s">
        <v>33</v>
      </c>
      <c r="T27" s="135" t="s">
        <v>6</v>
      </c>
      <c r="U27" s="137" t="s">
        <v>35</v>
      </c>
      <c r="W27" s="50"/>
      <c r="X27" s="50"/>
      <c r="Y27" s="50"/>
      <c r="Z27" s="50"/>
      <c r="AA27" s="50"/>
      <c r="AB27" s="50"/>
      <c r="AH27" s="50"/>
      <c r="AI27" s="50"/>
      <c r="AJ27" s="50"/>
    </row>
    <row r="28" spans="2:36" x14ac:dyDescent="0.25">
      <c r="B28" s="96"/>
      <c r="C28" s="96"/>
      <c r="D28" s="96"/>
      <c r="E28" s="96"/>
      <c r="F28" s="96"/>
      <c r="G28" s="96"/>
      <c r="I28" s="4">
        <v>23</v>
      </c>
      <c r="J28" s="43" t="s">
        <v>34</v>
      </c>
      <c r="K28" s="43" t="s">
        <v>22</v>
      </c>
      <c r="L28" s="43" t="s">
        <v>7</v>
      </c>
      <c r="M28" s="43" t="s">
        <v>37</v>
      </c>
      <c r="N28" s="42" t="s">
        <v>8</v>
      </c>
      <c r="P28" s="4">
        <v>23</v>
      </c>
      <c r="Q28" s="135" t="s">
        <v>34</v>
      </c>
      <c r="R28" s="135" t="s">
        <v>22</v>
      </c>
      <c r="S28" s="135" t="s">
        <v>7</v>
      </c>
      <c r="T28" s="135" t="s">
        <v>37</v>
      </c>
      <c r="U28" s="137" t="s">
        <v>8</v>
      </c>
      <c r="W28" s="50"/>
      <c r="X28" s="50"/>
      <c r="Y28" s="50"/>
      <c r="Z28" s="50"/>
      <c r="AA28" s="50"/>
      <c r="AB28" s="50"/>
      <c r="AH28" s="50"/>
      <c r="AI28" s="50"/>
      <c r="AJ28" s="50"/>
    </row>
    <row r="29" spans="2:36" x14ac:dyDescent="0.25">
      <c r="B29" s="35" t="s">
        <v>57</v>
      </c>
      <c r="I29" s="4">
        <v>24</v>
      </c>
      <c r="J29" s="43" t="s">
        <v>35</v>
      </c>
      <c r="K29" s="43" t="s">
        <v>8</v>
      </c>
      <c r="L29" s="43">
        <v>10</v>
      </c>
      <c r="M29" s="43">
        <v>9</v>
      </c>
      <c r="N29" s="42" t="s">
        <v>22</v>
      </c>
      <c r="P29" s="4">
        <v>24</v>
      </c>
      <c r="Q29" s="135" t="s">
        <v>35</v>
      </c>
      <c r="R29" s="135" t="s">
        <v>8</v>
      </c>
      <c r="S29" s="135">
        <v>10</v>
      </c>
      <c r="T29" s="135">
        <v>9</v>
      </c>
      <c r="U29" s="137" t="s">
        <v>22</v>
      </c>
      <c r="W29" s="50"/>
      <c r="X29" s="50"/>
      <c r="Y29" s="50"/>
      <c r="Z29" s="50"/>
      <c r="AA29" s="50"/>
      <c r="AB29" s="50"/>
      <c r="AH29" s="50"/>
      <c r="AI29" s="50"/>
      <c r="AJ29" s="50"/>
    </row>
    <row r="30" spans="2:36" x14ac:dyDescent="0.25">
      <c r="B30" s="121"/>
      <c r="C30" s="121"/>
      <c r="D30" s="124"/>
      <c r="E30" s="121"/>
      <c r="F30" s="121"/>
      <c r="G30" s="96"/>
      <c r="I30" s="4">
        <v>25</v>
      </c>
      <c r="J30" s="43" t="s">
        <v>7</v>
      </c>
      <c r="K30" s="43" t="s">
        <v>36</v>
      </c>
      <c r="L30" s="43" t="s">
        <v>8</v>
      </c>
      <c r="M30" s="43" t="s">
        <v>36</v>
      </c>
      <c r="N30" s="42" t="s">
        <v>33</v>
      </c>
      <c r="P30" s="4">
        <v>25</v>
      </c>
      <c r="Q30" s="135" t="s">
        <v>7</v>
      </c>
      <c r="R30" s="135" t="s">
        <v>36</v>
      </c>
      <c r="S30" s="135" t="s">
        <v>8</v>
      </c>
      <c r="T30" s="135" t="s">
        <v>36</v>
      </c>
      <c r="U30" s="137" t="s">
        <v>33</v>
      </c>
      <c r="W30" s="50"/>
      <c r="X30" s="50"/>
      <c r="Y30" s="50"/>
      <c r="Z30" s="50"/>
      <c r="AA30" s="50"/>
      <c r="AB30" s="50"/>
      <c r="AH30" s="50"/>
      <c r="AI30" s="50"/>
      <c r="AJ30" s="50"/>
    </row>
    <row r="31" spans="2:36" x14ac:dyDescent="0.25">
      <c r="B31" s="121"/>
      <c r="C31" s="124"/>
      <c r="D31" s="124"/>
      <c r="E31" s="121"/>
      <c r="F31" s="121"/>
      <c r="G31" s="96"/>
      <c r="I31" s="4">
        <v>26</v>
      </c>
      <c r="J31" s="43">
        <v>10</v>
      </c>
      <c r="K31" s="43" t="s">
        <v>7</v>
      </c>
      <c r="L31" s="43" t="s">
        <v>33</v>
      </c>
      <c r="M31" s="43" t="s">
        <v>34</v>
      </c>
      <c r="N31" s="42" t="s">
        <v>33</v>
      </c>
      <c r="P31" s="4">
        <v>26</v>
      </c>
      <c r="Q31" s="135">
        <v>10</v>
      </c>
      <c r="R31" s="135" t="s">
        <v>7</v>
      </c>
      <c r="S31" s="135" t="s">
        <v>33</v>
      </c>
      <c r="T31" s="135" t="s">
        <v>34</v>
      </c>
      <c r="U31" s="137" t="s">
        <v>33</v>
      </c>
      <c r="W31" s="50"/>
      <c r="X31" s="50"/>
      <c r="Y31" s="50"/>
      <c r="Z31" s="50"/>
      <c r="AA31" s="50"/>
      <c r="AB31" s="50"/>
      <c r="AH31" s="50"/>
      <c r="AI31" s="50"/>
      <c r="AJ31" s="50"/>
    </row>
    <row r="32" spans="2:36" x14ac:dyDescent="0.25">
      <c r="B32" s="123"/>
      <c r="C32" s="122"/>
      <c r="D32" s="123"/>
      <c r="E32" s="123"/>
      <c r="F32" s="122"/>
      <c r="I32" s="4">
        <v>27</v>
      </c>
      <c r="J32" s="43" t="s">
        <v>22</v>
      </c>
      <c r="K32" s="43" t="s">
        <v>33</v>
      </c>
      <c r="L32" s="43" t="s">
        <v>6</v>
      </c>
      <c r="M32" s="43" t="s">
        <v>7</v>
      </c>
      <c r="N32" s="42" t="s">
        <v>33</v>
      </c>
      <c r="P32" s="4">
        <v>27</v>
      </c>
      <c r="Q32" s="135" t="s">
        <v>22</v>
      </c>
      <c r="R32" s="135" t="s">
        <v>33</v>
      </c>
      <c r="S32" s="135" t="s">
        <v>6</v>
      </c>
      <c r="T32" s="135" t="s">
        <v>7</v>
      </c>
      <c r="U32" s="137" t="s">
        <v>33</v>
      </c>
    </row>
    <row r="33" spans="2:33" x14ac:dyDescent="0.25">
      <c r="B33" s="122"/>
      <c r="C33" s="123"/>
      <c r="D33" s="122"/>
      <c r="E33" s="122"/>
      <c r="F33" s="122"/>
      <c r="I33" s="4">
        <v>28</v>
      </c>
      <c r="J33" s="43" t="s">
        <v>36</v>
      </c>
      <c r="K33" s="43" t="s">
        <v>6</v>
      </c>
      <c r="L33" s="43" t="s">
        <v>7</v>
      </c>
      <c r="M33" s="43" t="s">
        <v>22</v>
      </c>
      <c r="N33" s="42">
        <v>10</v>
      </c>
      <c r="P33" s="4">
        <v>28</v>
      </c>
      <c r="Q33" s="135" t="s">
        <v>36</v>
      </c>
      <c r="R33" s="135" t="s">
        <v>6</v>
      </c>
      <c r="S33" s="135" t="s">
        <v>7</v>
      </c>
      <c r="T33" s="135" t="s">
        <v>22</v>
      </c>
      <c r="U33" s="137">
        <v>10</v>
      </c>
    </row>
    <row r="34" spans="2:33" x14ac:dyDescent="0.25">
      <c r="B34" s="50">
        <v>1</v>
      </c>
      <c r="C34" s="50">
        <v>2</v>
      </c>
      <c r="D34" s="50">
        <v>3</v>
      </c>
      <c r="E34" s="50">
        <v>1</v>
      </c>
      <c r="F34" s="125" t="s">
        <v>25</v>
      </c>
      <c r="I34" s="4">
        <v>29</v>
      </c>
      <c r="J34" s="43" t="s">
        <v>36</v>
      </c>
      <c r="K34" s="43" t="s">
        <v>34</v>
      </c>
      <c r="L34" s="43" t="s">
        <v>35</v>
      </c>
      <c r="M34" s="43" t="s">
        <v>36</v>
      </c>
      <c r="N34" s="42" t="s">
        <v>35</v>
      </c>
      <c r="P34" s="4">
        <v>29</v>
      </c>
      <c r="Q34" s="135" t="s">
        <v>36</v>
      </c>
      <c r="R34" s="135" t="s">
        <v>34</v>
      </c>
      <c r="S34" s="135" t="s">
        <v>35</v>
      </c>
      <c r="T34" s="135" t="s">
        <v>36</v>
      </c>
      <c r="U34" s="137" t="s">
        <v>35</v>
      </c>
    </row>
    <row r="35" spans="2:33" x14ac:dyDescent="0.25">
      <c r="I35" s="4">
        <v>30</v>
      </c>
      <c r="J35" s="43">
        <v>9</v>
      </c>
      <c r="K35" s="43" t="s">
        <v>7</v>
      </c>
      <c r="L35" s="43" t="s">
        <v>37</v>
      </c>
      <c r="M35" s="43" t="s">
        <v>8</v>
      </c>
      <c r="N35" s="42" t="s">
        <v>8</v>
      </c>
      <c r="P35" s="4">
        <v>30</v>
      </c>
      <c r="Q35" s="135">
        <v>9</v>
      </c>
      <c r="R35" s="135" t="s">
        <v>7</v>
      </c>
      <c r="S35" s="135" t="s">
        <v>37</v>
      </c>
      <c r="T35" s="135" t="s">
        <v>8</v>
      </c>
      <c r="U35" s="137" t="s">
        <v>8</v>
      </c>
      <c r="W35" s="50"/>
      <c r="X35" s="50"/>
      <c r="Y35" s="50"/>
      <c r="Z35" s="50"/>
      <c r="AA35" s="50"/>
      <c r="AB35" s="50"/>
    </row>
    <row r="36" spans="2:33" x14ac:dyDescent="0.25">
      <c r="B36" s="126" t="s">
        <v>56</v>
      </c>
      <c r="I36" s="4">
        <v>31</v>
      </c>
      <c r="J36" s="43" t="s">
        <v>34</v>
      </c>
      <c r="K36" s="43" t="s">
        <v>37</v>
      </c>
      <c r="L36" s="43" t="s">
        <v>8</v>
      </c>
      <c r="M36" s="43" t="s">
        <v>34</v>
      </c>
      <c r="N36" s="42" t="s">
        <v>6</v>
      </c>
      <c r="P36" s="4">
        <v>31</v>
      </c>
      <c r="Q36" s="135" t="s">
        <v>34</v>
      </c>
      <c r="R36" s="135" t="s">
        <v>37</v>
      </c>
      <c r="S36" s="135" t="s">
        <v>8</v>
      </c>
      <c r="T36" s="135" t="s">
        <v>34</v>
      </c>
      <c r="U36" s="137" t="s">
        <v>6</v>
      </c>
      <c r="W36" s="50"/>
      <c r="X36" s="50"/>
      <c r="Y36" s="50"/>
      <c r="Z36" s="50"/>
      <c r="AA36" s="50"/>
      <c r="AB36" s="50"/>
    </row>
    <row r="37" spans="2:33" x14ac:dyDescent="0.25">
      <c r="I37" s="4">
        <v>32</v>
      </c>
      <c r="J37" s="43" t="s">
        <v>22</v>
      </c>
      <c r="K37" s="43" t="s">
        <v>6</v>
      </c>
      <c r="L37" s="43" t="s">
        <v>22</v>
      </c>
      <c r="M37" s="43">
        <v>10</v>
      </c>
      <c r="N37" s="42" t="s">
        <v>35</v>
      </c>
      <c r="P37" s="4">
        <v>32</v>
      </c>
      <c r="Q37" s="135" t="s">
        <v>22</v>
      </c>
      <c r="R37" s="135" t="s">
        <v>6</v>
      </c>
      <c r="S37" s="135" t="s">
        <v>22</v>
      </c>
      <c r="T37" s="135">
        <v>10</v>
      </c>
      <c r="U37" s="137" t="s">
        <v>35</v>
      </c>
      <c r="W37" s="50"/>
      <c r="X37" s="50"/>
      <c r="Y37" s="50"/>
      <c r="Z37" s="50"/>
      <c r="AA37" s="50"/>
      <c r="AB37" s="50"/>
    </row>
    <row r="38" spans="2:33" x14ac:dyDescent="0.25">
      <c r="I38" s="4">
        <v>33</v>
      </c>
      <c r="J38" s="43" t="s">
        <v>7</v>
      </c>
      <c r="K38" s="43" t="s">
        <v>29</v>
      </c>
      <c r="L38" s="43" t="s">
        <v>34</v>
      </c>
      <c r="M38" s="43" t="s">
        <v>35</v>
      </c>
      <c r="N38" s="42" t="s">
        <v>22</v>
      </c>
      <c r="P38" s="4">
        <v>33</v>
      </c>
      <c r="Q38" s="135" t="s">
        <v>7</v>
      </c>
      <c r="R38" s="135" t="s">
        <v>33</v>
      </c>
      <c r="S38" s="135" t="s">
        <v>34</v>
      </c>
      <c r="T38" s="135" t="s">
        <v>35</v>
      </c>
      <c r="U38" s="137" t="s">
        <v>22</v>
      </c>
      <c r="W38" s="50"/>
      <c r="X38" s="50"/>
      <c r="Y38" s="50"/>
      <c r="Z38" s="50"/>
      <c r="AA38" s="50"/>
      <c r="AB38" s="50"/>
    </row>
    <row r="39" spans="2:33" x14ac:dyDescent="0.25">
      <c r="I39" s="4">
        <v>34</v>
      </c>
      <c r="J39" s="43" t="s">
        <v>35</v>
      </c>
      <c r="K39" s="43" t="s">
        <v>7</v>
      </c>
      <c r="L39" s="43" t="s">
        <v>6</v>
      </c>
      <c r="M39" s="43" t="s">
        <v>6</v>
      </c>
      <c r="N39" s="42" t="s">
        <v>36</v>
      </c>
      <c r="P39" s="4">
        <v>34</v>
      </c>
      <c r="Q39" s="135" t="s">
        <v>35</v>
      </c>
      <c r="R39" s="135" t="s">
        <v>7</v>
      </c>
      <c r="S39" s="135" t="s">
        <v>6</v>
      </c>
      <c r="T39" s="135" t="s">
        <v>6</v>
      </c>
      <c r="U39" s="137" t="s">
        <v>36</v>
      </c>
      <c r="W39" s="50"/>
      <c r="X39" s="50"/>
      <c r="Y39" s="50"/>
      <c r="Z39" s="50"/>
      <c r="AA39" s="50"/>
      <c r="AB39" s="50"/>
    </row>
    <row r="40" spans="2:33" x14ac:dyDescent="0.25">
      <c r="I40" s="4">
        <v>35</v>
      </c>
      <c r="J40" s="43" t="s">
        <v>7</v>
      </c>
      <c r="K40" s="43" t="s">
        <v>34</v>
      </c>
      <c r="L40" s="43" t="s">
        <v>35</v>
      </c>
      <c r="M40" s="43" t="s">
        <v>37</v>
      </c>
      <c r="N40" s="42" t="s">
        <v>7</v>
      </c>
      <c r="P40" s="4">
        <v>35</v>
      </c>
      <c r="Q40" s="135" t="s">
        <v>7</v>
      </c>
      <c r="R40" s="135" t="s">
        <v>34</v>
      </c>
      <c r="S40" s="135" t="s">
        <v>35</v>
      </c>
      <c r="T40" s="135" t="s">
        <v>37</v>
      </c>
      <c r="U40" s="137" t="s">
        <v>7</v>
      </c>
      <c r="W40" s="50"/>
      <c r="X40" s="50"/>
      <c r="Y40" s="50"/>
      <c r="Z40" s="50"/>
      <c r="AA40" s="50"/>
      <c r="AB40" s="50"/>
    </row>
    <row r="41" spans="2:33" x14ac:dyDescent="0.25">
      <c r="I41" s="4">
        <v>36</v>
      </c>
      <c r="J41" s="43" t="s">
        <v>34</v>
      </c>
      <c r="K41" s="43" t="s">
        <v>34</v>
      </c>
      <c r="L41" s="43" t="s">
        <v>35</v>
      </c>
      <c r="M41" s="43" t="s">
        <v>8</v>
      </c>
      <c r="N41" s="42" t="s">
        <v>33</v>
      </c>
      <c r="P41" s="4">
        <v>36</v>
      </c>
      <c r="Q41" s="135" t="s">
        <v>34</v>
      </c>
      <c r="R41" s="135" t="s">
        <v>34</v>
      </c>
      <c r="S41" s="135" t="s">
        <v>35</v>
      </c>
      <c r="T41" s="135" t="s">
        <v>8</v>
      </c>
      <c r="U41" s="137" t="s">
        <v>33</v>
      </c>
      <c r="W41" s="50"/>
      <c r="X41" s="50"/>
      <c r="Y41" s="50"/>
      <c r="Z41" s="50"/>
      <c r="AA41" s="50"/>
      <c r="AB41" s="50"/>
    </row>
    <row r="42" spans="2:33" x14ac:dyDescent="0.25">
      <c r="I42" s="4">
        <v>37</v>
      </c>
      <c r="J42" s="43" t="s">
        <v>34</v>
      </c>
      <c r="K42" s="43" t="s">
        <v>34</v>
      </c>
      <c r="L42" s="43" t="s">
        <v>35</v>
      </c>
      <c r="M42" s="43" t="s">
        <v>34</v>
      </c>
      <c r="N42" s="42" t="s">
        <v>6</v>
      </c>
      <c r="P42" s="4">
        <v>37</v>
      </c>
      <c r="Q42" s="135" t="s">
        <v>34</v>
      </c>
      <c r="R42" s="135" t="s">
        <v>34</v>
      </c>
      <c r="S42" s="135" t="s">
        <v>35</v>
      </c>
      <c r="T42" s="135" t="s">
        <v>34</v>
      </c>
      <c r="U42" s="137" t="s">
        <v>6</v>
      </c>
      <c r="W42" s="50"/>
      <c r="X42" s="50"/>
      <c r="Y42" s="50"/>
      <c r="Z42" s="50"/>
      <c r="AA42" s="50"/>
      <c r="AB42" s="50"/>
    </row>
    <row r="43" spans="2:33" x14ac:dyDescent="0.25">
      <c r="I43" s="4">
        <v>38</v>
      </c>
      <c r="J43" s="43">
        <v>9</v>
      </c>
      <c r="K43" s="43" t="s">
        <v>8</v>
      </c>
      <c r="L43" s="43">
        <v>10</v>
      </c>
      <c r="M43" s="43">
        <v>9</v>
      </c>
      <c r="N43" s="42" t="s">
        <v>35</v>
      </c>
      <c r="P43" s="4">
        <v>38</v>
      </c>
      <c r="Q43" s="135">
        <v>9</v>
      </c>
      <c r="R43" s="135" t="s">
        <v>8</v>
      </c>
      <c r="S43" s="135">
        <v>10</v>
      </c>
      <c r="T43" s="135">
        <v>9</v>
      </c>
      <c r="U43" s="137" t="s">
        <v>35</v>
      </c>
      <c r="W43" s="39"/>
      <c r="X43" s="39"/>
      <c r="Y43" s="39"/>
      <c r="Z43" s="39"/>
      <c r="AA43" s="39"/>
      <c r="AB43" s="39"/>
      <c r="AC43" s="39"/>
      <c r="AD43" s="39"/>
      <c r="AE43" s="39"/>
      <c r="AF43" s="39"/>
      <c r="AG43" s="39"/>
    </row>
    <row r="44" spans="2:33" x14ac:dyDescent="0.25">
      <c r="I44" s="4">
        <v>39</v>
      </c>
      <c r="J44" s="43" t="s">
        <v>6</v>
      </c>
      <c r="K44" s="43" t="s">
        <v>29</v>
      </c>
      <c r="L44" s="43" t="s">
        <v>33</v>
      </c>
      <c r="M44" s="43" t="s">
        <v>33</v>
      </c>
      <c r="N44" s="42">
        <v>10</v>
      </c>
      <c r="P44" s="4">
        <v>39</v>
      </c>
      <c r="Q44" s="135" t="s">
        <v>6</v>
      </c>
      <c r="R44" s="135" t="s">
        <v>29</v>
      </c>
      <c r="S44" s="135" t="s">
        <v>33</v>
      </c>
      <c r="T44" s="135" t="s">
        <v>33</v>
      </c>
      <c r="U44" s="137">
        <v>10</v>
      </c>
    </row>
    <row r="45" spans="2:33" x14ac:dyDescent="0.25">
      <c r="I45" s="4">
        <v>40</v>
      </c>
      <c r="J45" s="43" t="s">
        <v>35</v>
      </c>
      <c r="K45" s="43" t="s">
        <v>22</v>
      </c>
      <c r="L45" s="43" t="s">
        <v>7</v>
      </c>
      <c r="M45" s="43" t="s">
        <v>8</v>
      </c>
      <c r="N45" s="42" t="s">
        <v>6</v>
      </c>
      <c r="P45" s="4">
        <v>40</v>
      </c>
      <c r="Q45" s="135" t="s">
        <v>35</v>
      </c>
      <c r="R45" s="135" t="s">
        <v>22</v>
      </c>
      <c r="S45" s="135" t="s">
        <v>7</v>
      </c>
      <c r="T45" s="135" t="s">
        <v>8</v>
      </c>
      <c r="U45" s="137" t="s">
        <v>6</v>
      </c>
    </row>
    <row r="46" spans="2:33" x14ac:dyDescent="0.25">
      <c r="I46" s="4">
        <v>41</v>
      </c>
      <c r="J46" s="43" t="s">
        <v>35</v>
      </c>
      <c r="K46" s="43" t="s">
        <v>8</v>
      </c>
      <c r="L46" s="43" t="s">
        <v>39</v>
      </c>
      <c r="M46" s="43" t="s">
        <v>36</v>
      </c>
      <c r="N46" s="42" t="s">
        <v>33</v>
      </c>
      <c r="P46" s="4">
        <v>41</v>
      </c>
      <c r="Q46" s="135" t="s">
        <v>35</v>
      </c>
      <c r="R46" s="135" t="s">
        <v>8</v>
      </c>
      <c r="S46" s="135" t="s">
        <v>39</v>
      </c>
      <c r="T46" s="135" t="s">
        <v>36</v>
      </c>
      <c r="U46" s="137" t="s">
        <v>33</v>
      </c>
      <c r="W46" s="39"/>
    </row>
    <row r="47" spans="2:33" x14ac:dyDescent="0.25">
      <c r="I47" s="4">
        <v>42</v>
      </c>
      <c r="J47" s="43">
        <v>10</v>
      </c>
      <c r="K47" s="43" t="s">
        <v>36</v>
      </c>
      <c r="L47" s="43">
        <v>10</v>
      </c>
      <c r="M47" s="43" t="s">
        <v>7</v>
      </c>
      <c r="N47" s="42">
        <v>10</v>
      </c>
      <c r="P47" s="4">
        <v>42</v>
      </c>
      <c r="Q47" s="135">
        <v>10</v>
      </c>
      <c r="R47" s="135" t="s">
        <v>36</v>
      </c>
      <c r="S47" s="135">
        <v>10</v>
      </c>
      <c r="T47" s="135" t="s">
        <v>7</v>
      </c>
      <c r="U47" s="137">
        <v>10</v>
      </c>
    </row>
    <row r="48" spans="2:33" x14ac:dyDescent="0.25">
      <c r="I48" s="4">
        <v>43</v>
      </c>
      <c r="J48" s="43" t="s">
        <v>29</v>
      </c>
      <c r="K48" s="43" t="s">
        <v>7</v>
      </c>
      <c r="L48" s="43" t="s">
        <v>36</v>
      </c>
      <c r="M48" s="43" t="s">
        <v>35</v>
      </c>
      <c r="N48" s="42" t="s">
        <v>35</v>
      </c>
      <c r="P48" s="4">
        <v>43</v>
      </c>
      <c r="Q48" s="135" t="s">
        <v>29</v>
      </c>
      <c r="R48" s="135" t="s">
        <v>7</v>
      </c>
      <c r="S48" s="135" t="s">
        <v>36</v>
      </c>
      <c r="T48" s="135" t="s">
        <v>35</v>
      </c>
      <c r="U48" s="137" t="s">
        <v>35</v>
      </c>
    </row>
    <row r="49" spans="9:21" x14ac:dyDescent="0.25">
      <c r="I49" s="4">
        <v>44</v>
      </c>
      <c r="J49" s="43" t="s">
        <v>22</v>
      </c>
      <c r="K49" s="43" t="s">
        <v>35</v>
      </c>
      <c r="L49" s="43" t="s">
        <v>36</v>
      </c>
      <c r="M49" s="43" t="s">
        <v>35</v>
      </c>
      <c r="N49" s="42" t="s">
        <v>8</v>
      </c>
      <c r="P49" s="4">
        <v>44</v>
      </c>
      <c r="Q49" s="135" t="s">
        <v>22</v>
      </c>
      <c r="R49" s="135" t="s">
        <v>35</v>
      </c>
      <c r="S49" s="135" t="s">
        <v>36</v>
      </c>
      <c r="T49" s="135" t="s">
        <v>35</v>
      </c>
      <c r="U49" s="137" t="s">
        <v>8</v>
      </c>
    </row>
    <row r="50" spans="9:21" x14ac:dyDescent="0.25">
      <c r="I50" s="4">
        <v>45</v>
      </c>
      <c r="J50" s="43" t="s">
        <v>7</v>
      </c>
      <c r="K50" s="43" t="s">
        <v>6</v>
      </c>
      <c r="L50" s="43" t="s">
        <v>36</v>
      </c>
      <c r="M50" s="43" t="s">
        <v>35</v>
      </c>
      <c r="N50" s="42" t="s">
        <v>22</v>
      </c>
      <c r="P50" s="4">
        <v>45</v>
      </c>
      <c r="Q50" s="135" t="s">
        <v>7</v>
      </c>
      <c r="R50" s="135" t="s">
        <v>6</v>
      </c>
      <c r="S50" s="135" t="s">
        <v>36</v>
      </c>
      <c r="T50" s="135" t="s">
        <v>35</v>
      </c>
      <c r="U50" s="137" t="s">
        <v>22</v>
      </c>
    </row>
    <row r="51" spans="9:21" x14ac:dyDescent="0.25">
      <c r="I51" s="4">
        <v>46</v>
      </c>
      <c r="J51" s="43">
        <v>10</v>
      </c>
      <c r="K51" s="43" t="s">
        <v>34</v>
      </c>
      <c r="L51" s="43" t="s">
        <v>6</v>
      </c>
      <c r="M51" s="43">
        <v>9</v>
      </c>
      <c r="N51" s="42" t="s">
        <v>36</v>
      </c>
      <c r="P51" s="4">
        <v>46</v>
      </c>
      <c r="Q51" s="135">
        <v>10</v>
      </c>
      <c r="R51" s="135" t="s">
        <v>34</v>
      </c>
      <c r="S51" s="135" t="s">
        <v>6</v>
      </c>
      <c r="T51" s="135">
        <v>9</v>
      </c>
      <c r="U51" s="137" t="s">
        <v>36</v>
      </c>
    </row>
    <row r="52" spans="9:21" x14ac:dyDescent="0.25">
      <c r="I52" s="4">
        <v>47</v>
      </c>
      <c r="J52" s="43" t="s">
        <v>34</v>
      </c>
      <c r="K52" s="43" t="s">
        <v>34</v>
      </c>
      <c r="L52" s="43" t="s">
        <v>37</v>
      </c>
      <c r="M52" s="43" t="s">
        <v>6</v>
      </c>
      <c r="N52" s="42" t="s">
        <v>6</v>
      </c>
      <c r="P52" s="4">
        <v>47</v>
      </c>
      <c r="Q52" s="135" t="s">
        <v>34</v>
      </c>
      <c r="R52" s="135" t="s">
        <v>34</v>
      </c>
      <c r="S52" s="135" t="s">
        <v>37</v>
      </c>
      <c r="T52" s="135" t="s">
        <v>6</v>
      </c>
      <c r="U52" s="137" t="s">
        <v>6</v>
      </c>
    </row>
    <row r="53" spans="9:21" x14ac:dyDescent="0.25">
      <c r="I53" s="4">
        <v>48</v>
      </c>
      <c r="J53" s="43">
        <v>9</v>
      </c>
      <c r="K53" s="43" t="s">
        <v>8</v>
      </c>
      <c r="L53" s="43" t="s">
        <v>7</v>
      </c>
      <c r="M53" s="43" t="s">
        <v>37</v>
      </c>
      <c r="N53" s="42" t="s">
        <v>35</v>
      </c>
      <c r="P53" s="4">
        <v>48</v>
      </c>
      <c r="Q53" s="135">
        <v>9</v>
      </c>
      <c r="R53" s="135" t="s">
        <v>8</v>
      </c>
      <c r="S53" s="135" t="s">
        <v>7</v>
      </c>
      <c r="T53" s="135" t="s">
        <v>37</v>
      </c>
      <c r="U53" s="137" t="s">
        <v>35</v>
      </c>
    </row>
    <row r="54" spans="9:21" x14ac:dyDescent="0.25">
      <c r="I54" s="4">
        <v>49</v>
      </c>
      <c r="J54" s="43" t="s">
        <v>36</v>
      </c>
      <c r="K54" s="43" t="s">
        <v>37</v>
      </c>
      <c r="L54" s="43" t="s">
        <v>33</v>
      </c>
      <c r="M54" s="43" t="s">
        <v>7</v>
      </c>
      <c r="N54" s="42" t="s">
        <v>35</v>
      </c>
      <c r="P54" s="4">
        <v>49</v>
      </c>
      <c r="Q54" s="135" t="s">
        <v>36</v>
      </c>
      <c r="R54" s="135" t="s">
        <v>37</v>
      </c>
      <c r="S54" s="135" t="s">
        <v>33</v>
      </c>
      <c r="T54" s="135" t="s">
        <v>7</v>
      </c>
      <c r="U54" s="137" t="s">
        <v>35</v>
      </c>
    </row>
    <row r="55" spans="9:21" x14ac:dyDescent="0.25">
      <c r="I55" s="4">
        <v>50</v>
      </c>
      <c r="J55" s="43" t="s">
        <v>7</v>
      </c>
      <c r="K55" s="43" t="s">
        <v>8</v>
      </c>
      <c r="L55" s="43" t="s">
        <v>33</v>
      </c>
      <c r="M55" s="43" t="s">
        <v>22</v>
      </c>
      <c r="N55" s="42" t="s">
        <v>35</v>
      </c>
      <c r="P55" s="4">
        <v>50</v>
      </c>
      <c r="Q55" s="135" t="s">
        <v>7</v>
      </c>
      <c r="R55" s="135" t="s">
        <v>8</v>
      </c>
      <c r="S55" s="135" t="s">
        <v>33</v>
      </c>
      <c r="T55" s="135" t="s">
        <v>22</v>
      </c>
      <c r="U55" s="137" t="s">
        <v>35</v>
      </c>
    </row>
    <row r="56" spans="9:21" x14ac:dyDescent="0.25">
      <c r="I56" s="4">
        <v>51</v>
      </c>
      <c r="J56" s="43" t="s">
        <v>35</v>
      </c>
      <c r="K56" s="43" t="s">
        <v>36</v>
      </c>
      <c r="L56" s="43" t="s">
        <v>8</v>
      </c>
      <c r="M56" s="43" t="s">
        <v>36</v>
      </c>
      <c r="N56" s="42" t="s">
        <v>8</v>
      </c>
      <c r="P56" s="4">
        <v>51</v>
      </c>
      <c r="Q56" s="135" t="s">
        <v>35</v>
      </c>
      <c r="R56" s="135" t="s">
        <v>36</v>
      </c>
      <c r="S56" s="135" t="s">
        <v>8</v>
      </c>
      <c r="T56" s="135" t="s">
        <v>36</v>
      </c>
      <c r="U56" s="137" t="s">
        <v>8</v>
      </c>
    </row>
    <row r="57" spans="9:21" x14ac:dyDescent="0.25">
      <c r="I57" s="4">
        <v>52</v>
      </c>
      <c r="J57" s="43" t="s">
        <v>6</v>
      </c>
      <c r="K57" s="43" t="s">
        <v>36</v>
      </c>
      <c r="L57" s="43" t="s">
        <v>6</v>
      </c>
      <c r="M57" s="43" t="s">
        <v>36</v>
      </c>
      <c r="N57" s="42" t="s">
        <v>6</v>
      </c>
      <c r="P57" s="4">
        <v>52</v>
      </c>
      <c r="Q57" s="135" t="s">
        <v>6</v>
      </c>
      <c r="R57" s="135" t="s">
        <v>36</v>
      </c>
      <c r="S57" s="135" t="s">
        <v>6</v>
      </c>
      <c r="T57" s="135" t="s">
        <v>36</v>
      </c>
      <c r="U57" s="137" t="s">
        <v>6</v>
      </c>
    </row>
    <row r="58" spans="9:21" x14ac:dyDescent="0.25">
      <c r="I58" s="4">
        <v>53</v>
      </c>
      <c r="J58" s="43">
        <v>9</v>
      </c>
      <c r="K58" s="43" t="s">
        <v>36</v>
      </c>
      <c r="L58" s="43" t="s">
        <v>7</v>
      </c>
      <c r="M58" s="43" t="s">
        <v>36</v>
      </c>
      <c r="N58" s="42" t="s">
        <v>34</v>
      </c>
      <c r="P58" s="4">
        <v>53</v>
      </c>
      <c r="Q58" s="135">
        <v>9</v>
      </c>
      <c r="R58" s="135" t="s">
        <v>36</v>
      </c>
      <c r="S58" s="135" t="s">
        <v>7</v>
      </c>
      <c r="T58" s="135" t="s">
        <v>36</v>
      </c>
      <c r="U58" s="137" t="s">
        <v>34</v>
      </c>
    </row>
    <row r="59" spans="9:21" x14ac:dyDescent="0.25">
      <c r="I59" s="4">
        <v>54</v>
      </c>
      <c r="J59" s="43" t="s">
        <v>33</v>
      </c>
      <c r="K59" s="43">
        <v>9</v>
      </c>
      <c r="L59" s="43" t="s">
        <v>34</v>
      </c>
      <c r="M59" s="43">
        <v>10</v>
      </c>
      <c r="N59" s="42" t="s">
        <v>22</v>
      </c>
      <c r="P59" s="4">
        <v>54</v>
      </c>
      <c r="Q59" s="135" t="s">
        <v>33</v>
      </c>
      <c r="R59" s="135">
        <v>9</v>
      </c>
      <c r="S59" s="135" t="s">
        <v>34</v>
      </c>
      <c r="T59" s="135">
        <v>10</v>
      </c>
      <c r="U59" s="137" t="s">
        <v>22</v>
      </c>
    </row>
    <row r="60" spans="9:21" x14ac:dyDescent="0.25">
      <c r="I60" s="4">
        <v>55</v>
      </c>
      <c r="J60" s="43" t="s">
        <v>33</v>
      </c>
      <c r="K60" s="43">
        <v>10</v>
      </c>
      <c r="L60" s="43" t="s">
        <v>34</v>
      </c>
      <c r="M60" s="43" t="s">
        <v>35</v>
      </c>
      <c r="N60" s="42" t="s">
        <v>37</v>
      </c>
      <c r="P60" s="4">
        <v>55</v>
      </c>
      <c r="Q60" s="135" t="s">
        <v>33</v>
      </c>
      <c r="R60" s="135">
        <v>10</v>
      </c>
      <c r="S60" s="135">
        <v>10</v>
      </c>
      <c r="T60" s="135" t="s">
        <v>35</v>
      </c>
      <c r="U60" s="137" t="s">
        <v>37</v>
      </c>
    </row>
    <row r="61" spans="9:21" x14ac:dyDescent="0.25">
      <c r="I61" s="4">
        <v>56</v>
      </c>
      <c r="J61" s="43">
        <v>10</v>
      </c>
      <c r="K61" s="43" t="s">
        <v>34</v>
      </c>
      <c r="L61" s="43" t="s">
        <v>34</v>
      </c>
      <c r="M61" s="43" t="s">
        <v>6</v>
      </c>
      <c r="N61" s="42" t="s">
        <v>7</v>
      </c>
      <c r="P61" s="4">
        <v>56</v>
      </c>
      <c r="Q61" s="135">
        <v>10</v>
      </c>
      <c r="R61" s="135" t="s">
        <v>34</v>
      </c>
      <c r="S61" s="135" t="s">
        <v>39</v>
      </c>
      <c r="T61" s="135" t="s">
        <v>6</v>
      </c>
      <c r="U61" s="137" t="s">
        <v>7</v>
      </c>
    </row>
    <row r="62" spans="9:21" x14ac:dyDescent="0.25">
      <c r="I62" s="4">
        <v>57</v>
      </c>
      <c r="J62" s="43" t="s">
        <v>8</v>
      </c>
      <c r="K62" s="43" t="s">
        <v>7</v>
      </c>
      <c r="L62" s="43" t="s">
        <v>8</v>
      </c>
      <c r="M62" s="43" t="s">
        <v>37</v>
      </c>
      <c r="N62" s="42" t="s">
        <v>33</v>
      </c>
      <c r="P62" s="4">
        <v>57</v>
      </c>
      <c r="Q62" s="135" t="s">
        <v>8</v>
      </c>
      <c r="R62" s="135" t="s">
        <v>7</v>
      </c>
      <c r="S62" s="135" t="s">
        <v>8</v>
      </c>
      <c r="T62" s="135" t="s">
        <v>37</v>
      </c>
      <c r="U62" s="137" t="s">
        <v>33</v>
      </c>
    </row>
    <row r="63" spans="9:21" x14ac:dyDescent="0.25">
      <c r="I63" s="4">
        <v>58</v>
      </c>
      <c r="J63" s="43" t="s">
        <v>35</v>
      </c>
      <c r="K63" s="43" t="s">
        <v>6</v>
      </c>
      <c r="L63" s="43" t="s">
        <v>37</v>
      </c>
      <c r="M63" s="43" t="s">
        <v>8</v>
      </c>
      <c r="N63" s="42" t="s">
        <v>6</v>
      </c>
      <c r="P63" s="4">
        <v>58</v>
      </c>
      <c r="Q63" s="135" t="s">
        <v>35</v>
      </c>
      <c r="R63" s="135" t="s">
        <v>6</v>
      </c>
      <c r="S63" s="135" t="s">
        <v>37</v>
      </c>
      <c r="T63" s="135" t="s">
        <v>8</v>
      </c>
      <c r="U63" s="137" t="s">
        <v>6</v>
      </c>
    </row>
    <row r="64" spans="9:21" x14ac:dyDescent="0.25">
      <c r="I64" s="4">
        <v>59</v>
      </c>
      <c r="J64" s="43" t="s">
        <v>22</v>
      </c>
      <c r="K64" s="43" t="s">
        <v>29</v>
      </c>
      <c r="L64" s="43">
        <v>10</v>
      </c>
      <c r="M64" s="43" t="s">
        <v>34</v>
      </c>
      <c r="N64" s="42" t="s">
        <v>35</v>
      </c>
      <c r="P64" s="4">
        <v>59</v>
      </c>
      <c r="Q64" s="135" t="s">
        <v>22</v>
      </c>
      <c r="R64" s="135" t="s">
        <v>29</v>
      </c>
      <c r="S64" s="135">
        <v>10</v>
      </c>
      <c r="T64" s="135" t="s">
        <v>34</v>
      </c>
      <c r="U64" s="137" t="s">
        <v>35</v>
      </c>
    </row>
    <row r="65" spans="9:21" x14ac:dyDescent="0.25">
      <c r="I65" s="4">
        <v>60</v>
      </c>
      <c r="J65" s="43">
        <v>10</v>
      </c>
      <c r="K65" s="43" t="s">
        <v>7</v>
      </c>
      <c r="L65" s="43" t="s">
        <v>36</v>
      </c>
      <c r="M65" s="43">
        <v>9</v>
      </c>
      <c r="N65" s="42" t="s">
        <v>7</v>
      </c>
      <c r="P65" s="4">
        <v>60</v>
      </c>
      <c r="Q65" s="135">
        <v>10</v>
      </c>
      <c r="R65" s="135" t="s">
        <v>7</v>
      </c>
      <c r="S65" s="135" t="s">
        <v>36</v>
      </c>
      <c r="T65" s="135">
        <v>9</v>
      </c>
      <c r="U65" s="137" t="s">
        <v>7</v>
      </c>
    </row>
    <row r="66" spans="9:21" x14ac:dyDescent="0.25">
      <c r="I66" s="4">
        <v>61</v>
      </c>
      <c r="J66" s="43" t="s">
        <v>6</v>
      </c>
      <c r="K66" s="43" t="s">
        <v>8</v>
      </c>
      <c r="L66" s="43">
        <v>9</v>
      </c>
      <c r="M66" s="43" t="s">
        <v>33</v>
      </c>
      <c r="N66" s="42" t="s">
        <v>34</v>
      </c>
      <c r="P66" s="4">
        <v>61</v>
      </c>
      <c r="Q66" s="135" t="s">
        <v>6</v>
      </c>
      <c r="R66" s="135" t="s">
        <v>8</v>
      </c>
      <c r="S66" s="135">
        <v>9</v>
      </c>
      <c r="T66" s="135" t="s">
        <v>33</v>
      </c>
      <c r="U66" s="137" t="s">
        <v>34</v>
      </c>
    </row>
    <row r="67" spans="9:21" x14ac:dyDescent="0.25">
      <c r="I67" s="4">
        <v>62</v>
      </c>
      <c r="J67" s="43" t="s">
        <v>34</v>
      </c>
      <c r="K67" s="43">
        <v>10</v>
      </c>
      <c r="L67" s="43" t="s">
        <v>34</v>
      </c>
      <c r="M67" s="43" t="s">
        <v>33</v>
      </c>
      <c r="N67" s="42" t="s">
        <v>34</v>
      </c>
      <c r="P67" s="4">
        <v>62</v>
      </c>
      <c r="Q67" s="135" t="s">
        <v>34</v>
      </c>
      <c r="R67" s="135">
        <v>10</v>
      </c>
      <c r="S67" s="135" t="s">
        <v>34</v>
      </c>
      <c r="T67" s="135" t="s">
        <v>33</v>
      </c>
      <c r="U67" s="137" t="s">
        <v>34</v>
      </c>
    </row>
    <row r="68" spans="9:21" x14ac:dyDescent="0.25">
      <c r="I68" s="4">
        <v>63</v>
      </c>
      <c r="J68" s="43" t="s">
        <v>7</v>
      </c>
      <c r="K68" s="43" t="s">
        <v>35</v>
      </c>
      <c r="L68" s="43" t="s">
        <v>6</v>
      </c>
      <c r="M68" s="43" t="s">
        <v>8</v>
      </c>
      <c r="N68" s="42" t="s">
        <v>34</v>
      </c>
      <c r="P68" s="4">
        <v>63</v>
      </c>
      <c r="Q68" s="135" t="s">
        <v>7</v>
      </c>
      <c r="R68" s="135" t="s">
        <v>35</v>
      </c>
      <c r="S68" s="135" t="s">
        <v>6</v>
      </c>
      <c r="T68" s="135" t="s">
        <v>8</v>
      </c>
      <c r="U68" s="137" t="s">
        <v>34</v>
      </c>
    </row>
    <row r="69" spans="9:21" x14ac:dyDescent="0.25">
      <c r="I69" s="4">
        <v>64</v>
      </c>
      <c r="J69" s="43" t="s">
        <v>33</v>
      </c>
      <c r="K69" s="43" t="s">
        <v>22</v>
      </c>
      <c r="L69" s="43" t="s">
        <v>33</v>
      </c>
      <c r="M69" s="43" t="s">
        <v>29</v>
      </c>
      <c r="N69" s="42">
        <v>10</v>
      </c>
      <c r="P69" s="4">
        <v>64</v>
      </c>
      <c r="Q69" s="135" t="s">
        <v>33</v>
      </c>
      <c r="R69" s="135" t="s">
        <v>22</v>
      </c>
      <c r="S69" s="135" t="s">
        <v>33</v>
      </c>
      <c r="T69" s="135" t="s">
        <v>29</v>
      </c>
      <c r="U69" s="137">
        <v>10</v>
      </c>
    </row>
    <row r="70" spans="9:21" x14ac:dyDescent="0.25">
      <c r="I70" s="4">
        <v>65</v>
      </c>
      <c r="J70" s="43" t="s">
        <v>8</v>
      </c>
      <c r="K70" s="43" t="s">
        <v>36</v>
      </c>
      <c r="L70" s="43" t="s">
        <v>8</v>
      </c>
      <c r="M70" s="43">
        <v>10</v>
      </c>
      <c r="N70" s="42" t="s">
        <v>36</v>
      </c>
      <c r="P70" s="4">
        <v>65</v>
      </c>
      <c r="Q70" s="135" t="s">
        <v>8</v>
      </c>
      <c r="R70" s="135" t="s">
        <v>36</v>
      </c>
      <c r="S70" s="135" t="s">
        <v>8</v>
      </c>
      <c r="T70" s="135">
        <v>10</v>
      </c>
      <c r="U70" s="137" t="s">
        <v>36</v>
      </c>
    </row>
    <row r="71" spans="9:21" x14ac:dyDescent="0.25">
      <c r="I71" s="4">
        <v>66</v>
      </c>
      <c r="J71" s="43" t="s">
        <v>35</v>
      </c>
      <c r="K71" s="43" t="s">
        <v>6</v>
      </c>
      <c r="L71" s="43" t="s">
        <v>29</v>
      </c>
      <c r="M71" s="43" t="s">
        <v>33</v>
      </c>
      <c r="N71" s="42" t="s">
        <v>7</v>
      </c>
      <c r="P71" s="4">
        <v>66</v>
      </c>
      <c r="Q71" s="135" t="s">
        <v>35</v>
      </c>
      <c r="R71" s="135" t="s">
        <v>6</v>
      </c>
      <c r="S71" s="135" t="s">
        <v>29</v>
      </c>
      <c r="T71" s="135" t="s">
        <v>33</v>
      </c>
      <c r="U71" s="137" t="s">
        <v>7</v>
      </c>
    </row>
    <row r="72" spans="9:21" x14ac:dyDescent="0.25">
      <c r="I72" s="4">
        <v>67</v>
      </c>
      <c r="J72" s="43">
        <v>10</v>
      </c>
      <c r="K72" s="43" t="s">
        <v>34</v>
      </c>
      <c r="L72" s="43">
        <v>10</v>
      </c>
      <c r="M72" s="43" t="s">
        <v>8</v>
      </c>
      <c r="N72" s="42" t="s">
        <v>33</v>
      </c>
      <c r="P72" s="4">
        <v>67</v>
      </c>
      <c r="Q72" s="135">
        <v>10</v>
      </c>
      <c r="R72" s="135" t="s">
        <v>34</v>
      </c>
      <c r="S72" s="135">
        <v>10</v>
      </c>
      <c r="T72" s="135" t="s">
        <v>8</v>
      </c>
      <c r="U72" s="137" t="s">
        <v>33</v>
      </c>
    </row>
    <row r="73" spans="9:21" x14ac:dyDescent="0.25">
      <c r="I73" s="4">
        <v>68</v>
      </c>
      <c r="J73" s="43" t="s">
        <v>36</v>
      </c>
      <c r="K73" s="43" t="s">
        <v>7</v>
      </c>
      <c r="L73" s="43">
        <v>9</v>
      </c>
      <c r="M73" s="43" t="s">
        <v>37</v>
      </c>
      <c r="N73" s="42" t="s">
        <v>33</v>
      </c>
      <c r="P73" s="4">
        <v>68</v>
      </c>
      <c r="Q73" s="135" t="s">
        <v>36</v>
      </c>
      <c r="R73" s="135" t="s">
        <v>7</v>
      </c>
      <c r="S73" s="135">
        <v>9</v>
      </c>
      <c r="T73" s="135" t="s">
        <v>37</v>
      </c>
      <c r="U73" s="137" t="s">
        <v>33</v>
      </c>
    </row>
    <row r="74" spans="9:21" x14ac:dyDescent="0.25">
      <c r="I74" s="4">
        <v>69</v>
      </c>
      <c r="J74" s="43" t="s">
        <v>22</v>
      </c>
      <c r="K74" s="43" t="s">
        <v>37</v>
      </c>
      <c r="L74" s="43" t="s">
        <v>34</v>
      </c>
      <c r="M74" s="43" t="s">
        <v>37</v>
      </c>
      <c r="N74" s="42" t="s">
        <v>33</v>
      </c>
      <c r="P74" s="4">
        <v>69</v>
      </c>
      <c r="Q74" s="135" t="s">
        <v>22</v>
      </c>
      <c r="R74" s="135" t="s">
        <v>37</v>
      </c>
      <c r="S74" s="135" t="s">
        <v>34</v>
      </c>
      <c r="T74" s="135" t="s">
        <v>37</v>
      </c>
      <c r="U74" s="137" t="s">
        <v>33</v>
      </c>
    </row>
    <row r="75" spans="9:21" x14ac:dyDescent="0.25">
      <c r="I75" s="4">
        <v>70</v>
      </c>
      <c r="J75" s="43" t="s">
        <v>29</v>
      </c>
      <c r="K75" s="43">
        <v>9</v>
      </c>
      <c r="L75" s="43" t="s">
        <v>33</v>
      </c>
      <c r="M75" s="43">
        <v>10</v>
      </c>
      <c r="N75" s="42" t="s">
        <v>6</v>
      </c>
      <c r="P75" s="4">
        <v>70</v>
      </c>
      <c r="Q75" s="135" t="s">
        <v>29</v>
      </c>
      <c r="R75" s="135">
        <v>9</v>
      </c>
      <c r="S75" s="135" t="s">
        <v>33</v>
      </c>
      <c r="T75" s="135">
        <v>10</v>
      </c>
      <c r="U75" s="137" t="s">
        <v>6</v>
      </c>
    </row>
    <row r="76" spans="9:21" x14ac:dyDescent="0.25">
      <c r="I76" s="4">
        <v>71</v>
      </c>
      <c r="J76" s="43" t="s">
        <v>8</v>
      </c>
      <c r="K76" s="43" t="s">
        <v>37</v>
      </c>
      <c r="L76" s="43" t="s">
        <v>7</v>
      </c>
      <c r="M76" s="43" t="s">
        <v>22</v>
      </c>
      <c r="N76" s="42">
        <v>10</v>
      </c>
      <c r="P76" s="4">
        <v>71</v>
      </c>
      <c r="Q76" s="135" t="s">
        <v>8</v>
      </c>
      <c r="R76" s="135" t="s">
        <v>37</v>
      </c>
      <c r="S76" s="135" t="s">
        <v>7</v>
      </c>
      <c r="T76" s="135" t="s">
        <v>22</v>
      </c>
      <c r="U76" s="137">
        <v>10</v>
      </c>
    </row>
    <row r="77" spans="9:21" x14ac:dyDescent="0.25">
      <c r="I77" s="4">
        <v>72</v>
      </c>
      <c r="J77" s="43">
        <v>10</v>
      </c>
      <c r="K77" s="43" t="s">
        <v>37</v>
      </c>
      <c r="L77" s="43" t="s">
        <v>37</v>
      </c>
      <c r="M77" s="43" t="s">
        <v>36</v>
      </c>
      <c r="N77" s="42" t="s">
        <v>29</v>
      </c>
      <c r="P77" s="4">
        <v>72</v>
      </c>
      <c r="Q77" s="135">
        <v>10</v>
      </c>
      <c r="R77" s="135" t="s">
        <v>37</v>
      </c>
      <c r="S77" s="135" t="s">
        <v>37</v>
      </c>
      <c r="T77" s="135" t="s">
        <v>36</v>
      </c>
      <c r="U77" s="137" t="s">
        <v>29</v>
      </c>
    </row>
    <row r="78" spans="9:21" x14ac:dyDescent="0.25">
      <c r="I78" s="4">
        <v>73</v>
      </c>
      <c r="J78" s="43" t="s">
        <v>37</v>
      </c>
      <c r="K78" s="43" t="s">
        <v>22</v>
      </c>
      <c r="L78" s="43">
        <v>9</v>
      </c>
      <c r="M78" s="43">
        <v>9</v>
      </c>
      <c r="N78" s="42" t="s">
        <v>22</v>
      </c>
      <c r="P78" s="4">
        <v>73</v>
      </c>
      <c r="Q78" s="135" t="s">
        <v>37</v>
      </c>
      <c r="R78" s="135" t="s">
        <v>22</v>
      </c>
      <c r="S78" s="135">
        <v>9</v>
      </c>
      <c r="T78" s="135">
        <v>9</v>
      </c>
      <c r="U78" s="137" t="s">
        <v>22</v>
      </c>
    </row>
    <row r="79" spans="9:21" x14ac:dyDescent="0.25">
      <c r="I79" s="4">
        <v>74</v>
      </c>
      <c r="J79" s="43" t="s">
        <v>8</v>
      </c>
      <c r="K79" s="43" t="s">
        <v>6</v>
      </c>
      <c r="L79" s="43" t="s">
        <v>35</v>
      </c>
      <c r="M79" s="43" t="s">
        <v>37</v>
      </c>
      <c r="N79" s="42" t="s">
        <v>34</v>
      </c>
      <c r="P79" s="4">
        <v>74</v>
      </c>
      <c r="Q79" s="135" t="s">
        <v>8</v>
      </c>
      <c r="R79" s="135" t="s">
        <v>6</v>
      </c>
      <c r="S79" s="135" t="s">
        <v>35</v>
      </c>
      <c r="T79" s="135" t="s">
        <v>37</v>
      </c>
      <c r="U79" s="137" t="s">
        <v>34</v>
      </c>
    </row>
    <row r="80" spans="9:21" x14ac:dyDescent="0.25">
      <c r="I80" s="4">
        <v>75</v>
      </c>
      <c r="J80" s="43" t="s">
        <v>34</v>
      </c>
      <c r="K80" s="43" t="s">
        <v>35</v>
      </c>
      <c r="L80" s="43" t="s">
        <v>22</v>
      </c>
      <c r="M80" s="43" t="s">
        <v>8</v>
      </c>
      <c r="N80" s="42" t="s">
        <v>7</v>
      </c>
      <c r="P80" s="4">
        <v>75</v>
      </c>
      <c r="Q80" s="135" t="s">
        <v>34</v>
      </c>
      <c r="R80" s="135" t="s">
        <v>35</v>
      </c>
      <c r="S80" s="135" t="s">
        <v>22</v>
      </c>
      <c r="T80" s="135" t="s">
        <v>8</v>
      </c>
      <c r="U80" s="137" t="s">
        <v>7</v>
      </c>
    </row>
    <row r="81" spans="9:21" x14ac:dyDescent="0.25">
      <c r="I81" s="4">
        <v>76</v>
      </c>
      <c r="J81" s="43" t="s">
        <v>6</v>
      </c>
      <c r="K81" s="43" t="s">
        <v>6</v>
      </c>
      <c r="L81" s="43" t="s">
        <v>36</v>
      </c>
      <c r="M81" s="43" t="s">
        <v>36</v>
      </c>
      <c r="N81" s="42" t="s">
        <v>35</v>
      </c>
      <c r="P81" s="4">
        <v>76</v>
      </c>
      <c r="Q81" s="135" t="s">
        <v>6</v>
      </c>
      <c r="R81" s="135" t="s">
        <v>6</v>
      </c>
      <c r="S81" s="135" t="s">
        <v>36</v>
      </c>
      <c r="T81" s="135" t="s">
        <v>36</v>
      </c>
      <c r="U81" s="137" t="s">
        <v>35</v>
      </c>
    </row>
    <row r="82" spans="9:21" x14ac:dyDescent="0.25">
      <c r="I82" s="4">
        <v>77</v>
      </c>
      <c r="J82" s="43" t="s">
        <v>33</v>
      </c>
      <c r="K82" s="43" t="s">
        <v>34</v>
      </c>
      <c r="L82" s="43" t="s">
        <v>8</v>
      </c>
      <c r="M82" s="43" t="s">
        <v>37</v>
      </c>
      <c r="N82" s="42">
        <v>9</v>
      </c>
      <c r="P82" s="4">
        <v>77</v>
      </c>
      <c r="Q82" s="135" t="s">
        <v>33</v>
      </c>
      <c r="R82" s="135" t="s">
        <v>34</v>
      </c>
      <c r="S82" s="135" t="s">
        <v>8</v>
      </c>
      <c r="T82" s="135" t="s">
        <v>37</v>
      </c>
      <c r="U82" s="137">
        <v>9</v>
      </c>
    </row>
    <row r="83" spans="9:21" x14ac:dyDescent="0.25">
      <c r="I83" s="4">
        <v>78</v>
      </c>
      <c r="J83" s="43">
        <v>10</v>
      </c>
      <c r="K83" s="43" t="s">
        <v>7</v>
      </c>
      <c r="L83" s="43" t="s">
        <v>37</v>
      </c>
      <c r="M83" s="43" t="s">
        <v>6</v>
      </c>
      <c r="N83" s="42" t="s">
        <v>33</v>
      </c>
      <c r="P83" s="4">
        <v>78</v>
      </c>
      <c r="Q83" s="135">
        <v>10</v>
      </c>
      <c r="R83" s="135" t="s">
        <v>7</v>
      </c>
      <c r="S83" s="135" t="s">
        <v>37</v>
      </c>
      <c r="T83" s="135" t="s">
        <v>6</v>
      </c>
      <c r="U83" s="137" t="s">
        <v>33</v>
      </c>
    </row>
    <row r="84" spans="9:21" x14ac:dyDescent="0.25">
      <c r="I84" s="4">
        <v>79</v>
      </c>
      <c r="J84" s="43" t="s">
        <v>36</v>
      </c>
      <c r="K84" s="43" t="s">
        <v>37</v>
      </c>
      <c r="L84" s="43">
        <v>10</v>
      </c>
      <c r="M84" s="43" t="s">
        <v>8</v>
      </c>
      <c r="N84" s="42" t="s">
        <v>8</v>
      </c>
      <c r="P84" s="4">
        <v>79</v>
      </c>
      <c r="Q84" s="135" t="s">
        <v>36</v>
      </c>
      <c r="R84" s="135" t="s">
        <v>37</v>
      </c>
      <c r="S84" s="135">
        <v>10</v>
      </c>
      <c r="T84" s="135" t="s">
        <v>8</v>
      </c>
      <c r="U84" s="137" t="s">
        <v>8</v>
      </c>
    </row>
    <row r="85" spans="9:21" x14ac:dyDescent="0.25">
      <c r="I85" s="4">
        <v>80</v>
      </c>
      <c r="J85" s="43" t="s">
        <v>22</v>
      </c>
      <c r="K85" s="43">
        <v>9</v>
      </c>
      <c r="L85" s="43" t="s">
        <v>36</v>
      </c>
      <c r="M85" s="43" t="s">
        <v>35</v>
      </c>
      <c r="N85" s="42">
        <v>9</v>
      </c>
      <c r="P85" s="4">
        <v>80</v>
      </c>
      <c r="Q85" s="135" t="s">
        <v>22</v>
      </c>
      <c r="R85" s="135" t="s">
        <v>39</v>
      </c>
      <c r="S85" s="135" t="s">
        <v>36</v>
      </c>
      <c r="T85" s="135" t="s">
        <v>35</v>
      </c>
      <c r="U85" s="137">
        <v>9</v>
      </c>
    </row>
    <row r="86" spans="9:21" x14ac:dyDescent="0.25">
      <c r="I86" s="4">
        <v>81</v>
      </c>
      <c r="J86" s="43" t="s">
        <v>8</v>
      </c>
      <c r="K86" s="43">
        <v>10</v>
      </c>
      <c r="L86" s="43" t="s">
        <v>8</v>
      </c>
      <c r="M86" s="43">
        <v>10</v>
      </c>
      <c r="N86" s="42" t="s">
        <v>37</v>
      </c>
      <c r="P86" s="4">
        <v>81</v>
      </c>
      <c r="Q86" s="135" t="s">
        <v>8</v>
      </c>
      <c r="R86" s="135">
        <v>10</v>
      </c>
      <c r="S86" s="135" t="s">
        <v>8</v>
      </c>
      <c r="T86" s="135">
        <v>10</v>
      </c>
      <c r="U86" s="137" t="s">
        <v>37</v>
      </c>
    </row>
    <row r="87" spans="9:21" x14ac:dyDescent="0.25">
      <c r="I87" s="4">
        <v>82</v>
      </c>
      <c r="J87" s="43" t="s">
        <v>29</v>
      </c>
      <c r="K87" s="43" t="s">
        <v>34</v>
      </c>
      <c r="L87" s="43" t="s">
        <v>35</v>
      </c>
      <c r="M87" s="43" t="s">
        <v>39</v>
      </c>
      <c r="N87" s="42" t="s">
        <v>37</v>
      </c>
      <c r="P87" s="4">
        <v>82</v>
      </c>
      <c r="Q87" s="135" t="s">
        <v>33</v>
      </c>
      <c r="R87" s="135" t="s">
        <v>34</v>
      </c>
      <c r="S87" s="135" t="s">
        <v>35</v>
      </c>
      <c r="T87" s="135" t="s">
        <v>39</v>
      </c>
      <c r="U87" s="137" t="s">
        <v>37</v>
      </c>
    </row>
    <row r="88" spans="9:21" x14ac:dyDescent="0.25">
      <c r="I88" s="4">
        <v>83</v>
      </c>
      <c r="J88" s="43">
        <v>10</v>
      </c>
      <c r="K88" s="43" t="s">
        <v>7</v>
      </c>
      <c r="L88" s="43">
        <v>10</v>
      </c>
      <c r="M88" s="43" t="s">
        <v>22</v>
      </c>
      <c r="N88" s="42" t="s">
        <v>37</v>
      </c>
      <c r="P88" s="4">
        <v>83</v>
      </c>
      <c r="Q88" s="135" t="s">
        <v>33</v>
      </c>
      <c r="R88" s="135" t="s">
        <v>7</v>
      </c>
      <c r="S88" s="135">
        <v>10</v>
      </c>
      <c r="T88" s="135" t="s">
        <v>22</v>
      </c>
      <c r="U88" s="137" t="s">
        <v>37</v>
      </c>
    </row>
    <row r="89" spans="9:21" x14ac:dyDescent="0.25">
      <c r="I89" s="4">
        <v>84</v>
      </c>
      <c r="J89" s="43" t="s">
        <v>35</v>
      </c>
      <c r="K89" s="43" t="s">
        <v>33</v>
      </c>
      <c r="L89" s="43" t="s">
        <v>37</v>
      </c>
      <c r="M89" s="43" t="s">
        <v>36</v>
      </c>
      <c r="N89" s="42" t="s">
        <v>8</v>
      </c>
      <c r="P89" s="4">
        <v>84</v>
      </c>
      <c r="Q89" s="135" t="s">
        <v>35</v>
      </c>
      <c r="R89" s="135" t="s">
        <v>33</v>
      </c>
      <c r="S89" s="135" t="s">
        <v>37</v>
      </c>
      <c r="T89" s="135" t="s">
        <v>36</v>
      </c>
      <c r="U89" s="137" t="s">
        <v>8</v>
      </c>
    </row>
    <row r="90" spans="9:21" x14ac:dyDescent="0.25">
      <c r="I90" s="4">
        <v>85</v>
      </c>
      <c r="J90" s="43" t="s">
        <v>7</v>
      </c>
      <c r="K90" s="43" t="s">
        <v>22</v>
      </c>
      <c r="L90" s="43" t="s">
        <v>6</v>
      </c>
      <c r="M90" s="43">
        <v>9</v>
      </c>
      <c r="N90" s="42" t="s">
        <v>33</v>
      </c>
      <c r="P90" s="4">
        <v>85</v>
      </c>
      <c r="Q90" s="135" t="s">
        <v>7</v>
      </c>
      <c r="R90" s="135" t="s">
        <v>22</v>
      </c>
      <c r="S90" s="135" t="s">
        <v>6</v>
      </c>
      <c r="T90" s="135">
        <v>9</v>
      </c>
      <c r="U90" s="137" t="s">
        <v>33</v>
      </c>
    </row>
    <row r="91" spans="9:21" x14ac:dyDescent="0.25">
      <c r="I91" s="4">
        <v>86</v>
      </c>
      <c r="J91" s="43">
        <v>10</v>
      </c>
      <c r="K91" s="43" t="s">
        <v>8</v>
      </c>
      <c r="L91" s="43" t="s">
        <v>22</v>
      </c>
      <c r="M91" s="43" t="s">
        <v>33</v>
      </c>
      <c r="N91" s="42" t="s">
        <v>6</v>
      </c>
      <c r="P91" s="4">
        <v>86</v>
      </c>
      <c r="Q91" s="135">
        <v>10</v>
      </c>
      <c r="R91" s="135" t="s">
        <v>8</v>
      </c>
      <c r="S91" s="135" t="s">
        <v>22</v>
      </c>
      <c r="T91" s="135" t="s">
        <v>33</v>
      </c>
      <c r="U91" s="137" t="s">
        <v>6</v>
      </c>
    </row>
    <row r="92" spans="9:21" x14ac:dyDescent="0.25">
      <c r="I92" s="4">
        <v>87</v>
      </c>
      <c r="J92" s="43" t="s">
        <v>34</v>
      </c>
      <c r="K92" s="43" t="s">
        <v>37</v>
      </c>
      <c r="L92" s="43" t="s">
        <v>7</v>
      </c>
      <c r="M92" s="43"/>
      <c r="N92" s="42" t="s">
        <v>8</v>
      </c>
      <c r="P92" s="4">
        <v>87</v>
      </c>
      <c r="Q92" s="135" t="s">
        <v>34</v>
      </c>
      <c r="R92" s="135" t="s">
        <v>37</v>
      </c>
      <c r="S92" s="135" t="s">
        <v>7</v>
      </c>
      <c r="T92" s="135"/>
      <c r="U92" s="137" t="s">
        <v>8</v>
      </c>
    </row>
    <row r="93" spans="9:21" x14ac:dyDescent="0.25">
      <c r="I93" s="4">
        <v>88</v>
      </c>
      <c r="J93" s="43">
        <v>9</v>
      </c>
      <c r="K93" s="43" t="s">
        <v>6</v>
      </c>
      <c r="L93" s="43" t="s">
        <v>33</v>
      </c>
      <c r="M93" s="43"/>
      <c r="N93" s="42" t="s">
        <v>36</v>
      </c>
      <c r="P93" s="4">
        <v>88</v>
      </c>
      <c r="Q93" s="135">
        <v>9</v>
      </c>
      <c r="R93" s="135" t="s">
        <v>6</v>
      </c>
      <c r="S93" s="135" t="s">
        <v>33</v>
      </c>
      <c r="T93" s="135"/>
      <c r="U93" s="137" t="s">
        <v>36</v>
      </c>
    </row>
    <row r="94" spans="9:21" x14ac:dyDescent="0.25">
      <c r="I94" s="4">
        <v>89</v>
      </c>
      <c r="J94" s="43" t="s">
        <v>35</v>
      </c>
      <c r="K94" s="43" t="s">
        <v>37</v>
      </c>
      <c r="L94" s="43" t="s">
        <v>8</v>
      </c>
      <c r="M94" s="43"/>
      <c r="N94" s="42" t="s">
        <v>6</v>
      </c>
      <c r="P94" s="4">
        <v>89</v>
      </c>
      <c r="Q94" s="135" t="s">
        <v>35</v>
      </c>
      <c r="R94" s="135" t="s">
        <v>37</v>
      </c>
      <c r="S94" s="135" t="s">
        <v>8</v>
      </c>
      <c r="T94" s="135"/>
      <c r="U94" s="137" t="s">
        <v>6</v>
      </c>
    </row>
    <row r="95" spans="9:21" x14ac:dyDescent="0.25">
      <c r="I95" s="4">
        <v>90</v>
      </c>
      <c r="J95" s="43" t="s">
        <v>8</v>
      </c>
      <c r="K95" s="43" t="s">
        <v>7</v>
      </c>
      <c r="L95" s="43" t="s">
        <v>35</v>
      </c>
      <c r="M95" s="43"/>
      <c r="N95" s="42" t="s">
        <v>33</v>
      </c>
      <c r="P95" s="4">
        <v>90</v>
      </c>
      <c r="Q95" s="135" t="s">
        <v>8</v>
      </c>
      <c r="R95" s="135" t="s">
        <v>7</v>
      </c>
      <c r="S95" s="135" t="s">
        <v>35</v>
      </c>
      <c r="T95" s="135"/>
      <c r="U95" s="137" t="s">
        <v>33</v>
      </c>
    </row>
    <row r="96" spans="9:21" x14ac:dyDescent="0.25">
      <c r="I96" s="4">
        <v>91</v>
      </c>
      <c r="J96" s="43" t="s">
        <v>33</v>
      </c>
      <c r="K96" s="43">
        <v>9</v>
      </c>
      <c r="L96" s="43" t="s">
        <v>22</v>
      </c>
      <c r="M96" s="43"/>
      <c r="N96" s="42">
        <v>10</v>
      </c>
      <c r="P96" s="4">
        <v>91</v>
      </c>
      <c r="Q96" s="135" t="s">
        <v>33</v>
      </c>
      <c r="R96" s="135">
        <v>9</v>
      </c>
      <c r="S96" s="135" t="s">
        <v>22</v>
      </c>
      <c r="T96" s="135"/>
      <c r="U96" s="137">
        <v>10</v>
      </c>
    </row>
    <row r="97" spans="9:21" x14ac:dyDescent="0.25">
      <c r="I97" s="4">
        <v>92</v>
      </c>
      <c r="J97" s="43">
        <v>10</v>
      </c>
      <c r="K97" s="43">
        <v>10</v>
      </c>
      <c r="L97" s="43" t="s">
        <v>37</v>
      </c>
      <c r="M97" s="43"/>
      <c r="N97" s="42" t="s">
        <v>35</v>
      </c>
      <c r="P97" s="4">
        <v>92</v>
      </c>
      <c r="Q97" s="135">
        <v>10</v>
      </c>
      <c r="R97" s="135">
        <v>10</v>
      </c>
      <c r="S97" s="135" t="s">
        <v>37</v>
      </c>
      <c r="T97" s="135"/>
      <c r="U97" s="137" t="s">
        <v>35</v>
      </c>
    </row>
    <row r="98" spans="9:21" x14ac:dyDescent="0.25">
      <c r="I98" s="4">
        <v>93</v>
      </c>
      <c r="J98" s="43" t="s">
        <v>35</v>
      </c>
      <c r="K98" s="43" t="s">
        <v>34</v>
      </c>
      <c r="L98" s="43" t="s">
        <v>8</v>
      </c>
      <c r="M98" s="43"/>
      <c r="N98" s="42" t="s">
        <v>8</v>
      </c>
      <c r="P98" s="4">
        <v>93</v>
      </c>
      <c r="Q98" s="135" t="s">
        <v>35</v>
      </c>
      <c r="R98" s="135" t="s">
        <v>34</v>
      </c>
      <c r="S98" s="135" t="s">
        <v>8</v>
      </c>
      <c r="T98" s="135"/>
      <c r="U98" s="137" t="s">
        <v>8</v>
      </c>
    </row>
    <row r="99" spans="9:21" x14ac:dyDescent="0.25">
      <c r="I99" s="4">
        <v>94</v>
      </c>
      <c r="J99" s="43">
        <v>9</v>
      </c>
      <c r="K99" s="43" t="s">
        <v>7</v>
      </c>
      <c r="L99" s="43" t="s">
        <v>35</v>
      </c>
      <c r="M99" s="43"/>
      <c r="N99" s="42" t="s">
        <v>22</v>
      </c>
      <c r="P99" s="4">
        <v>94</v>
      </c>
      <c r="Q99" s="135">
        <v>9</v>
      </c>
      <c r="R99" s="135" t="s">
        <v>7</v>
      </c>
      <c r="S99" s="135" t="s">
        <v>35</v>
      </c>
      <c r="T99" s="135"/>
      <c r="U99" s="137" t="s">
        <v>22</v>
      </c>
    </row>
    <row r="100" spans="9:21" x14ac:dyDescent="0.25">
      <c r="I100" s="4">
        <v>95</v>
      </c>
      <c r="J100" s="43" t="s">
        <v>34</v>
      </c>
      <c r="K100" s="43" t="s">
        <v>6</v>
      </c>
      <c r="L100" s="43">
        <v>10</v>
      </c>
      <c r="M100" s="43"/>
      <c r="N100" s="42" t="s">
        <v>36</v>
      </c>
      <c r="P100" s="4">
        <v>95</v>
      </c>
      <c r="Q100" s="135" t="s">
        <v>34</v>
      </c>
      <c r="R100" s="135" t="s">
        <v>6</v>
      </c>
      <c r="S100" s="135">
        <v>10</v>
      </c>
      <c r="T100" s="135"/>
      <c r="U100" s="137" t="s">
        <v>36</v>
      </c>
    </row>
    <row r="101" spans="9:21" x14ac:dyDescent="0.25">
      <c r="I101" s="4">
        <v>96</v>
      </c>
      <c r="J101" s="43" t="s">
        <v>6</v>
      </c>
      <c r="K101" s="43" t="s">
        <v>29</v>
      </c>
      <c r="L101" s="43" t="s">
        <v>36</v>
      </c>
      <c r="M101" s="43"/>
      <c r="N101" s="42" t="s">
        <v>6</v>
      </c>
      <c r="P101" s="4">
        <v>96</v>
      </c>
      <c r="Q101" s="135" t="s">
        <v>6</v>
      </c>
      <c r="R101" s="135" t="s">
        <v>29</v>
      </c>
      <c r="S101" s="135" t="s">
        <v>36</v>
      </c>
      <c r="T101" s="135"/>
      <c r="U101" s="137" t="s">
        <v>6</v>
      </c>
    </row>
    <row r="102" spans="9:21" x14ac:dyDescent="0.25">
      <c r="I102" s="4">
        <v>97</v>
      </c>
      <c r="J102" s="43" t="s">
        <v>35</v>
      </c>
      <c r="K102" s="43" t="s">
        <v>7</v>
      </c>
      <c r="L102" s="43" t="s">
        <v>8</v>
      </c>
      <c r="M102" s="43"/>
      <c r="N102" s="42" t="s">
        <v>33</v>
      </c>
      <c r="P102" s="4">
        <v>97</v>
      </c>
      <c r="Q102" s="135" t="s">
        <v>35</v>
      </c>
      <c r="R102" s="135" t="s">
        <v>7</v>
      </c>
      <c r="S102" s="135" t="s">
        <v>8</v>
      </c>
      <c r="T102" s="135"/>
      <c r="U102" s="137" t="s">
        <v>33</v>
      </c>
    </row>
    <row r="103" spans="9:21" x14ac:dyDescent="0.25">
      <c r="I103" s="4">
        <v>98</v>
      </c>
      <c r="J103" s="43" t="s">
        <v>8</v>
      </c>
      <c r="K103" s="43" t="s">
        <v>8</v>
      </c>
      <c r="L103" s="43" t="s">
        <v>6</v>
      </c>
      <c r="M103" s="43"/>
      <c r="N103" s="42">
        <v>10</v>
      </c>
      <c r="P103" s="4">
        <v>98</v>
      </c>
      <c r="Q103" s="135" t="s">
        <v>8</v>
      </c>
      <c r="R103" s="135" t="s">
        <v>8</v>
      </c>
      <c r="S103" s="135" t="s">
        <v>6</v>
      </c>
      <c r="T103" s="135"/>
      <c r="U103" s="137">
        <v>10</v>
      </c>
    </row>
    <row r="104" spans="9:21" x14ac:dyDescent="0.25">
      <c r="I104" s="4">
        <v>99</v>
      </c>
      <c r="J104" s="43">
        <v>10</v>
      </c>
      <c r="K104" s="43">
        <v>10</v>
      </c>
      <c r="L104" s="43" t="s">
        <v>29</v>
      </c>
      <c r="M104" s="43"/>
      <c r="N104" s="42" t="s">
        <v>35</v>
      </c>
      <c r="P104" s="4">
        <v>99</v>
      </c>
      <c r="Q104" s="135">
        <v>10</v>
      </c>
      <c r="R104" s="135">
        <v>10</v>
      </c>
      <c r="S104" s="135" t="s">
        <v>33</v>
      </c>
      <c r="T104" s="135"/>
      <c r="U104" s="137" t="s">
        <v>35</v>
      </c>
    </row>
    <row r="105" spans="9:21" x14ac:dyDescent="0.25">
      <c r="I105" s="4">
        <v>100</v>
      </c>
      <c r="J105" s="43" t="s">
        <v>35</v>
      </c>
      <c r="K105" s="43" t="s">
        <v>35</v>
      </c>
      <c r="L105" s="43" t="s">
        <v>7</v>
      </c>
      <c r="M105" s="43"/>
      <c r="N105" s="42" t="s">
        <v>8</v>
      </c>
      <c r="P105" s="4">
        <v>100</v>
      </c>
      <c r="Q105" s="135" t="s">
        <v>35</v>
      </c>
      <c r="R105" s="135" t="s">
        <v>35</v>
      </c>
      <c r="S105" s="135" t="s">
        <v>33</v>
      </c>
      <c r="T105" s="135"/>
      <c r="U105" s="137" t="s">
        <v>8</v>
      </c>
    </row>
    <row r="106" spans="9:21" x14ac:dyDescent="0.25">
      <c r="I106" s="4">
        <v>101</v>
      </c>
      <c r="J106" s="43">
        <v>9</v>
      </c>
      <c r="K106" s="43" t="s">
        <v>22</v>
      </c>
      <c r="L106" s="43" t="s">
        <v>33</v>
      </c>
      <c r="M106" s="43"/>
      <c r="N106" s="42" t="s">
        <v>6</v>
      </c>
      <c r="P106" s="4">
        <v>101</v>
      </c>
      <c r="Q106" s="135">
        <v>9</v>
      </c>
      <c r="R106" s="135" t="s">
        <v>22</v>
      </c>
      <c r="S106" s="135" t="s">
        <v>33</v>
      </c>
      <c r="T106" s="135"/>
      <c r="U106" s="137" t="s">
        <v>6</v>
      </c>
    </row>
    <row r="107" spans="9:21" x14ac:dyDescent="0.25">
      <c r="I107" s="4">
        <v>102</v>
      </c>
      <c r="J107" s="43" t="s">
        <v>34</v>
      </c>
      <c r="K107" s="43" t="s">
        <v>36</v>
      </c>
      <c r="L107" s="43" t="s">
        <v>8</v>
      </c>
      <c r="M107" s="43"/>
      <c r="N107" s="42" t="s">
        <v>34</v>
      </c>
      <c r="P107" s="4">
        <v>102</v>
      </c>
      <c r="Q107" s="135" t="s">
        <v>34</v>
      </c>
      <c r="R107" s="135" t="s">
        <v>36</v>
      </c>
      <c r="S107" s="135" t="s">
        <v>8</v>
      </c>
      <c r="T107" s="135"/>
      <c r="U107" s="137" t="s">
        <v>34</v>
      </c>
    </row>
    <row r="108" spans="9:21" x14ac:dyDescent="0.25">
      <c r="I108" s="4">
        <v>103</v>
      </c>
      <c r="J108" s="43" t="s">
        <v>6</v>
      </c>
      <c r="K108" s="43"/>
      <c r="L108" s="43" t="s">
        <v>35</v>
      </c>
      <c r="M108" s="43"/>
      <c r="N108" s="42" t="s">
        <v>22</v>
      </c>
      <c r="P108" s="4">
        <v>103</v>
      </c>
      <c r="Q108" s="135" t="s">
        <v>6</v>
      </c>
      <c r="R108" s="135"/>
      <c r="S108" s="135" t="s">
        <v>35</v>
      </c>
      <c r="T108" s="135"/>
      <c r="U108" s="137" t="s">
        <v>22</v>
      </c>
    </row>
    <row r="109" spans="9:21" x14ac:dyDescent="0.25">
      <c r="I109" s="4">
        <v>104</v>
      </c>
      <c r="J109" s="43" t="s">
        <v>35</v>
      </c>
      <c r="K109" s="43"/>
      <c r="L109" s="43" t="s">
        <v>22</v>
      </c>
      <c r="M109" s="43"/>
      <c r="N109" s="42" t="s">
        <v>36</v>
      </c>
      <c r="P109" s="4">
        <v>104</v>
      </c>
      <c r="Q109" s="135" t="s">
        <v>35</v>
      </c>
      <c r="R109" s="135"/>
      <c r="S109" s="135" t="s">
        <v>22</v>
      </c>
      <c r="T109" s="135"/>
      <c r="U109" s="137" t="s">
        <v>36</v>
      </c>
    </row>
    <row r="110" spans="9:21" x14ac:dyDescent="0.25">
      <c r="I110" s="4">
        <v>105</v>
      </c>
      <c r="J110" s="43" t="s">
        <v>8</v>
      </c>
      <c r="K110" s="43"/>
      <c r="L110" s="43" t="s">
        <v>37</v>
      </c>
      <c r="M110" s="43"/>
      <c r="N110" s="42" t="s">
        <v>7</v>
      </c>
      <c r="P110" s="4">
        <v>105</v>
      </c>
      <c r="Q110" s="135" t="s">
        <v>8</v>
      </c>
      <c r="R110" s="135"/>
      <c r="S110" s="135" t="s">
        <v>37</v>
      </c>
      <c r="T110" s="135"/>
      <c r="U110" s="137" t="s">
        <v>7</v>
      </c>
    </row>
    <row r="111" spans="9:21" x14ac:dyDescent="0.25">
      <c r="I111" s="4">
        <v>106</v>
      </c>
      <c r="J111" s="43">
        <v>10</v>
      </c>
      <c r="K111" s="43"/>
      <c r="L111" s="43" t="s">
        <v>8</v>
      </c>
      <c r="M111" s="43"/>
      <c r="N111" s="42" t="s">
        <v>33</v>
      </c>
      <c r="P111" s="4">
        <v>106</v>
      </c>
      <c r="Q111" s="135">
        <v>10</v>
      </c>
      <c r="R111" s="135"/>
      <c r="S111" s="135" t="s">
        <v>8</v>
      </c>
      <c r="T111" s="135"/>
      <c r="U111" s="137" t="s">
        <v>33</v>
      </c>
    </row>
    <row r="112" spans="9:21" x14ac:dyDescent="0.25">
      <c r="I112" s="4">
        <v>107</v>
      </c>
      <c r="J112" s="43" t="s">
        <v>34</v>
      </c>
      <c r="K112" s="43"/>
      <c r="L112" s="43" t="s">
        <v>35</v>
      </c>
      <c r="M112" s="43"/>
      <c r="N112" s="42" t="s">
        <v>6</v>
      </c>
      <c r="P112" s="4">
        <v>107</v>
      </c>
      <c r="Q112" s="135" t="s">
        <v>34</v>
      </c>
      <c r="R112" s="135"/>
      <c r="S112" s="135" t="s">
        <v>35</v>
      </c>
      <c r="T112" s="135"/>
      <c r="U112" s="137" t="s">
        <v>6</v>
      </c>
    </row>
    <row r="113" spans="9:21" x14ac:dyDescent="0.25">
      <c r="I113" s="4">
        <v>108</v>
      </c>
      <c r="J113" s="43"/>
      <c r="K113" s="43"/>
      <c r="L113" s="43">
        <v>10</v>
      </c>
      <c r="M113" s="43"/>
      <c r="N113" s="42" t="s">
        <v>35</v>
      </c>
      <c r="P113" s="4">
        <v>108</v>
      </c>
      <c r="Q113" s="135"/>
      <c r="R113" s="135"/>
      <c r="S113" s="135">
        <v>10</v>
      </c>
      <c r="T113" s="135"/>
      <c r="U113" s="137" t="s">
        <v>35</v>
      </c>
    </row>
    <row r="114" spans="9:21" x14ac:dyDescent="0.25">
      <c r="I114" s="4">
        <v>109</v>
      </c>
      <c r="J114" s="43"/>
      <c r="K114" s="43"/>
      <c r="L114" s="43" t="s">
        <v>36</v>
      </c>
      <c r="M114" s="43"/>
      <c r="N114" s="42">
        <v>10</v>
      </c>
      <c r="P114" s="4">
        <v>109</v>
      </c>
      <c r="Q114" s="135"/>
      <c r="R114" s="135"/>
      <c r="S114" s="135" t="s">
        <v>36</v>
      </c>
      <c r="T114" s="135"/>
      <c r="U114" s="137">
        <v>10</v>
      </c>
    </row>
    <row r="115" spans="9:21" x14ac:dyDescent="0.25">
      <c r="I115" s="4">
        <v>110</v>
      </c>
      <c r="J115" s="43"/>
      <c r="K115" s="43"/>
      <c r="L115" s="43" t="s">
        <v>8</v>
      </c>
      <c r="M115" s="43"/>
      <c r="N115" s="42" t="s">
        <v>34</v>
      </c>
      <c r="P115" s="4">
        <v>110</v>
      </c>
      <c r="Q115" s="135"/>
      <c r="R115" s="135"/>
      <c r="S115" s="135" t="s">
        <v>8</v>
      </c>
      <c r="T115" s="135"/>
      <c r="U115" s="137" t="s">
        <v>34</v>
      </c>
    </row>
    <row r="116" spans="9:21" x14ac:dyDescent="0.25">
      <c r="I116" s="4">
        <v>111</v>
      </c>
      <c r="J116" s="43"/>
      <c r="K116" s="43"/>
      <c r="L116" s="43"/>
      <c r="M116" s="43"/>
      <c r="N116" s="42" t="s">
        <v>8</v>
      </c>
      <c r="P116" s="4">
        <v>111</v>
      </c>
      <c r="Q116" s="135"/>
      <c r="R116" s="135"/>
      <c r="S116" s="135"/>
      <c r="T116" s="135"/>
      <c r="U116" s="137" t="s">
        <v>8</v>
      </c>
    </row>
    <row r="117" spans="9:21" x14ac:dyDescent="0.25">
      <c r="I117" s="4">
        <v>112</v>
      </c>
      <c r="J117" s="43"/>
      <c r="K117" s="43"/>
      <c r="L117" s="43"/>
      <c r="M117" s="43"/>
      <c r="N117" s="42" t="s">
        <v>36</v>
      </c>
      <c r="P117" s="4">
        <v>112</v>
      </c>
      <c r="Q117" s="135"/>
      <c r="R117" s="135"/>
      <c r="S117" s="135"/>
      <c r="T117" s="135"/>
      <c r="U117" s="137" t="s">
        <v>36</v>
      </c>
    </row>
    <row r="118" spans="9:21" x14ac:dyDescent="0.25">
      <c r="I118" s="4">
        <v>113</v>
      </c>
      <c r="J118" s="43"/>
      <c r="K118" s="43"/>
      <c r="L118" s="43"/>
      <c r="M118" s="43"/>
      <c r="N118" s="42" t="s">
        <v>7</v>
      </c>
      <c r="P118" s="4">
        <v>113</v>
      </c>
      <c r="Q118" s="135"/>
      <c r="R118" s="135"/>
      <c r="S118" s="135"/>
      <c r="T118" s="135"/>
      <c r="U118" s="137" t="s">
        <v>7</v>
      </c>
    </row>
    <row r="119" spans="9:21" x14ac:dyDescent="0.25">
      <c r="I119" s="4">
        <v>114</v>
      </c>
      <c r="J119" s="43"/>
      <c r="K119" s="43"/>
      <c r="L119" s="43"/>
      <c r="M119" s="43"/>
      <c r="N119" s="42"/>
      <c r="P119" s="4">
        <v>114</v>
      </c>
      <c r="Q119" s="135"/>
      <c r="R119" s="135"/>
      <c r="S119" s="135"/>
      <c r="T119" s="135"/>
      <c r="U119" s="137"/>
    </row>
    <row r="120" spans="9:21" x14ac:dyDescent="0.25">
      <c r="I120" s="4">
        <v>115</v>
      </c>
      <c r="J120" s="43"/>
      <c r="K120" s="43"/>
      <c r="L120" s="43"/>
      <c r="M120" s="43"/>
      <c r="N120" s="42"/>
      <c r="P120" s="4">
        <v>115</v>
      </c>
      <c r="Q120" s="135"/>
      <c r="R120" s="135"/>
      <c r="S120" s="135"/>
      <c r="T120" s="135"/>
      <c r="U120" s="137"/>
    </row>
    <row r="121" spans="9:21" x14ac:dyDescent="0.25">
      <c r="I121" s="4">
        <v>116</v>
      </c>
      <c r="J121" s="43"/>
      <c r="K121" s="43"/>
      <c r="L121" s="43"/>
      <c r="M121" s="43"/>
      <c r="N121" s="42"/>
      <c r="P121" s="4">
        <v>116</v>
      </c>
      <c r="Q121" s="135"/>
      <c r="R121" s="135"/>
      <c r="S121" s="135"/>
      <c r="T121" s="135"/>
      <c r="U121" s="137"/>
    </row>
    <row r="122" spans="9:21" x14ac:dyDescent="0.25">
      <c r="I122" s="4">
        <v>117</v>
      </c>
      <c r="J122" s="43"/>
      <c r="K122" s="43"/>
      <c r="L122" s="43"/>
      <c r="M122" s="43"/>
      <c r="N122" s="42"/>
      <c r="P122" s="4">
        <v>117</v>
      </c>
      <c r="Q122" s="135"/>
      <c r="R122" s="135"/>
      <c r="S122" s="135"/>
      <c r="T122" s="135"/>
      <c r="U122" s="137"/>
    </row>
    <row r="123" spans="9:21" x14ac:dyDescent="0.25">
      <c r="I123" s="4">
        <v>118</v>
      </c>
      <c r="J123" s="43"/>
      <c r="K123" s="43"/>
      <c r="L123" s="43"/>
      <c r="M123" s="43"/>
      <c r="N123" s="42"/>
      <c r="P123" s="4">
        <v>118</v>
      </c>
      <c r="Q123" s="135"/>
      <c r="R123" s="135"/>
      <c r="S123" s="135"/>
      <c r="T123" s="135"/>
      <c r="U123" s="137"/>
    </row>
    <row r="124" spans="9:21" x14ac:dyDescent="0.25">
      <c r="I124" s="4">
        <v>119</v>
      </c>
      <c r="J124" s="43"/>
      <c r="K124" s="43"/>
      <c r="L124" s="43"/>
      <c r="M124" s="43"/>
      <c r="N124" s="42"/>
      <c r="P124" s="4">
        <v>119</v>
      </c>
      <c r="Q124" s="43"/>
      <c r="R124" s="43"/>
      <c r="S124" s="43"/>
      <c r="T124" s="43"/>
      <c r="U124" s="42"/>
    </row>
    <row r="125" spans="9:21" x14ac:dyDescent="0.25">
      <c r="I125" s="4">
        <v>120</v>
      </c>
      <c r="J125" s="43"/>
      <c r="K125" s="43"/>
      <c r="L125" s="43"/>
      <c r="M125" s="43"/>
      <c r="N125" s="42"/>
      <c r="P125" s="4">
        <v>120</v>
      </c>
      <c r="Q125" s="43"/>
      <c r="R125" s="43"/>
      <c r="S125" s="43"/>
      <c r="T125" s="43"/>
      <c r="U125" s="42"/>
    </row>
    <row r="126" spans="9:21" x14ac:dyDescent="0.25">
      <c r="I126" s="4">
        <v>121</v>
      </c>
      <c r="J126" s="43"/>
      <c r="K126" s="43"/>
      <c r="L126" s="43"/>
      <c r="M126" s="43"/>
      <c r="N126" s="42"/>
      <c r="P126" s="4">
        <v>121</v>
      </c>
      <c r="Q126" s="43"/>
      <c r="R126" s="43"/>
      <c r="S126" s="43"/>
      <c r="T126" s="43"/>
      <c r="U126" s="42"/>
    </row>
    <row r="127" spans="9:21" x14ac:dyDescent="0.25">
      <c r="I127" s="4">
        <v>122</v>
      </c>
      <c r="J127" s="43"/>
      <c r="K127" s="43"/>
      <c r="L127" s="43"/>
      <c r="M127" s="43"/>
      <c r="N127" s="42"/>
      <c r="P127" s="4">
        <v>122</v>
      </c>
      <c r="Q127" s="43"/>
      <c r="R127" s="43"/>
      <c r="S127" s="43"/>
      <c r="T127" s="43"/>
      <c r="U127" s="42"/>
    </row>
    <row r="128" spans="9:21" x14ac:dyDescent="0.25">
      <c r="I128" s="4">
        <v>123</v>
      </c>
      <c r="J128" s="43"/>
      <c r="K128" s="43"/>
      <c r="L128" s="43"/>
      <c r="M128" s="43"/>
      <c r="N128" s="42"/>
      <c r="P128" s="4">
        <v>123</v>
      </c>
      <c r="Q128" s="43"/>
      <c r="R128" s="43"/>
      <c r="S128" s="43"/>
      <c r="T128" s="43"/>
      <c r="U128" s="42"/>
    </row>
    <row r="129" spans="9:21" x14ac:dyDescent="0.25">
      <c r="I129" s="4">
        <v>124</v>
      </c>
      <c r="J129" s="43"/>
      <c r="K129" s="43"/>
      <c r="L129" s="43"/>
      <c r="M129" s="43"/>
      <c r="N129" s="42"/>
      <c r="P129" s="4">
        <v>124</v>
      </c>
      <c r="Q129" s="43"/>
      <c r="R129" s="43"/>
      <c r="S129" s="43"/>
      <c r="T129" s="43"/>
      <c r="U129" s="42"/>
    </row>
    <row r="130" spans="9:21" x14ac:dyDescent="0.25">
      <c r="I130" s="4">
        <v>125</v>
      </c>
      <c r="J130" s="43"/>
      <c r="K130" s="43"/>
      <c r="L130" s="43"/>
      <c r="M130" s="43"/>
      <c r="N130" s="42"/>
      <c r="P130" s="4">
        <v>125</v>
      </c>
      <c r="Q130" s="43"/>
      <c r="R130" s="43"/>
      <c r="S130" s="43"/>
      <c r="T130" s="43"/>
      <c r="U130" s="42"/>
    </row>
    <row r="131" spans="9:21" x14ac:dyDescent="0.25">
      <c r="I131" s="4">
        <v>126</v>
      </c>
      <c r="J131" s="43"/>
      <c r="K131" s="43"/>
      <c r="L131" s="43"/>
      <c r="M131" s="43"/>
      <c r="N131" s="42"/>
      <c r="P131" s="4">
        <v>126</v>
      </c>
      <c r="Q131" s="43"/>
      <c r="R131" s="43"/>
      <c r="S131" s="43"/>
      <c r="T131" s="43"/>
      <c r="U131" s="42"/>
    </row>
    <row r="132" spans="9:21" x14ac:dyDescent="0.25">
      <c r="I132" s="4">
        <v>127</v>
      </c>
      <c r="J132" s="43"/>
      <c r="K132" s="43"/>
      <c r="L132" s="43"/>
      <c r="M132" s="43"/>
      <c r="N132" s="42"/>
      <c r="P132" s="4">
        <v>127</v>
      </c>
      <c r="Q132" s="43"/>
      <c r="R132" s="43"/>
      <c r="S132" s="43"/>
      <c r="T132" s="43"/>
      <c r="U132" s="42"/>
    </row>
    <row r="133" spans="9:21" x14ac:dyDescent="0.25">
      <c r="I133" s="4">
        <v>128</v>
      </c>
      <c r="J133" s="43"/>
      <c r="K133" s="43"/>
      <c r="L133" s="43"/>
      <c r="M133" s="43"/>
      <c r="N133" s="42"/>
      <c r="P133" s="4">
        <v>128</v>
      </c>
      <c r="Q133" s="43"/>
      <c r="R133" s="43"/>
      <c r="S133" s="43"/>
      <c r="T133" s="43"/>
      <c r="U133" s="42"/>
    </row>
    <row r="134" spans="9:21" x14ac:dyDescent="0.25">
      <c r="I134" s="4">
        <v>129</v>
      </c>
      <c r="J134" s="43"/>
      <c r="K134" s="43"/>
      <c r="L134" s="43"/>
      <c r="M134" s="43"/>
      <c r="N134" s="42"/>
      <c r="P134" s="4">
        <v>129</v>
      </c>
      <c r="Q134" s="43"/>
      <c r="R134" s="43"/>
      <c r="S134" s="43"/>
      <c r="T134" s="43"/>
      <c r="U134" s="42"/>
    </row>
    <row r="135" spans="9:21" x14ac:dyDescent="0.25">
      <c r="I135" s="4">
        <v>130</v>
      </c>
      <c r="J135" s="43"/>
      <c r="K135" s="43"/>
      <c r="L135" s="43"/>
      <c r="M135" s="43"/>
      <c r="N135" s="42"/>
      <c r="P135" s="4">
        <v>130</v>
      </c>
      <c r="Q135" s="43"/>
      <c r="R135" s="43"/>
      <c r="S135" s="43"/>
      <c r="T135" s="43"/>
      <c r="U135" s="42"/>
    </row>
    <row r="136" spans="9:21" x14ac:dyDescent="0.25">
      <c r="I136" s="4">
        <v>131</v>
      </c>
      <c r="J136" s="43"/>
      <c r="K136" s="43"/>
      <c r="L136" s="43"/>
      <c r="M136" s="43"/>
      <c r="N136" s="42"/>
      <c r="P136" s="4">
        <v>131</v>
      </c>
      <c r="Q136" s="43"/>
      <c r="R136" s="43"/>
      <c r="S136" s="43"/>
      <c r="T136" s="43"/>
      <c r="U136" s="42"/>
    </row>
    <row r="137" spans="9:21" x14ac:dyDescent="0.25">
      <c r="I137" s="4">
        <v>132</v>
      </c>
      <c r="J137" s="43"/>
      <c r="K137" s="43"/>
      <c r="L137" s="43"/>
      <c r="M137" s="43"/>
      <c r="N137" s="42"/>
      <c r="P137" s="4">
        <v>132</v>
      </c>
      <c r="Q137" s="43"/>
      <c r="R137" s="43"/>
      <c r="S137" s="43"/>
      <c r="T137" s="43"/>
      <c r="U137" s="42"/>
    </row>
    <row r="138" spans="9:21" x14ac:dyDescent="0.25">
      <c r="I138" s="4">
        <v>133</v>
      </c>
      <c r="J138" s="43"/>
      <c r="K138" s="43"/>
      <c r="L138" s="43"/>
      <c r="M138" s="43"/>
      <c r="N138" s="42"/>
      <c r="P138" s="4">
        <v>133</v>
      </c>
      <c r="Q138" s="43"/>
      <c r="R138" s="43"/>
      <c r="S138" s="43"/>
      <c r="T138" s="43"/>
      <c r="U138" s="42"/>
    </row>
    <row r="139" spans="9:21" x14ac:dyDescent="0.25">
      <c r="I139" s="4">
        <v>134</v>
      </c>
      <c r="J139" s="43"/>
      <c r="K139" s="43"/>
      <c r="L139" s="43"/>
      <c r="M139" s="43"/>
      <c r="N139" s="42"/>
      <c r="P139" s="4">
        <v>134</v>
      </c>
      <c r="Q139" s="43"/>
      <c r="R139" s="43"/>
      <c r="S139" s="43"/>
      <c r="T139" s="43"/>
      <c r="U139" s="42"/>
    </row>
    <row r="140" spans="9:21" x14ac:dyDescent="0.25">
      <c r="I140" s="4">
        <v>135</v>
      </c>
      <c r="J140" s="43"/>
      <c r="K140" s="43"/>
      <c r="L140" s="43"/>
      <c r="M140" s="43"/>
      <c r="N140" s="42"/>
      <c r="P140" s="4">
        <v>135</v>
      </c>
      <c r="Q140" s="43"/>
      <c r="R140" s="43"/>
      <c r="S140" s="43"/>
      <c r="T140" s="43"/>
      <c r="U140" s="42"/>
    </row>
    <row r="141" spans="9:21" x14ac:dyDescent="0.25">
      <c r="I141" s="4">
        <v>136</v>
      </c>
      <c r="J141" s="43"/>
      <c r="K141" s="43"/>
      <c r="L141" s="43"/>
      <c r="M141" s="43"/>
      <c r="N141" s="42"/>
      <c r="P141" s="4">
        <v>136</v>
      </c>
      <c r="Q141" s="43"/>
      <c r="R141" s="43"/>
      <c r="S141" s="43"/>
      <c r="T141" s="43"/>
      <c r="U141" s="42"/>
    </row>
    <row r="142" spans="9:21" x14ac:dyDescent="0.25">
      <c r="I142" s="4">
        <v>137</v>
      </c>
      <c r="J142" s="43"/>
      <c r="K142" s="43"/>
      <c r="L142" s="43"/>
      <c r="M142" s="43"/>
      <c r="N142" s="42"/>
      <c r="P142" s="4">
        <v>137</v>
      </c>
      <c r="Q142" s="43"/>
      <c r="R142" s="43"/>
      <c r="S142" s="43"/>
      <c r="T142" s="43"/>
      <c r="U142" s="42"/>
    </row>
    <row r="143" spans="9:21" x14ac:dyDescent="0.25">
      <c r="I143" s="4">
        <v>138</v>
      </c>
      <c r="J143" s="43"/>
      <c r="K143" s="43"/>
      <c r="L143" s="43"/>
      <c r="M143" s="43"/>
      <c r="N143" s="42"/>
      <c r="P143" s="4">
        <v>138</v>
      </c>
      <c r="Q143" s="43"/>
      <c r="R143" s="43"/>
      <c r="S143" s="43"/>
      <c r="T143" s="43"/>
      <c r="U143" s="42"/>
    </row>
    <row r="144" spans="9:21" x14ac:dyDescent="0.25">
      <c r="I144" s="4">
        <v>139</v>
      </c>
      <c r="J144" s="43"/>
      <c r="K144" s="43"/>
      <c r="L144" s="43"/>
      <c r="M144" s="43"/>
      <c r="N144" s="42"/>
      <c r="P144" s="4">
        <v>139</v>
      </c>
      <c r="Q144" s="43"/>
      <c r="R144" s="43"/>
      <c r="S144" s="43"/>
      <c r="T144" s="43"/>
      <c r="U144" s="42"/>
    </row>
    <row r="145" spans="9:21" x14ac:dyDescent="0.25">
      <c r="I145" s="4">
        <v>140</v>
      </c>
      <c r="J145" s="43"/>
      <c r="K145" s="43"/>
      <c r="L145" s="43"/>
      <c r="M145" s="43"/>
      <c r="N145" s="42"/>
      <c r="P145" s="4">
        <v>140</v>
      </c>
      <c r="Q145" s="43"/>
      <c r="R145" s="43"/>
      <c r="S145" s="43"/>
      <c r="T145" s="43"/>
      <c r="U145" s="42"/>
    </row>
    <row r="146" spans="9:21" x14ac:dyDescent="0.25">
      <c r="I146" s="4">
        <v>141</v>
      </c>
      <c r="J146" s="43"/>
      <c r="K146" s="43"/>
      <c r="L146" s="43"/>
      <c r="M146" s="43"/>
      <c r="N146" s="42"/>
      <c r="P146" s="4">
        <v>141</v>
      </c>
      <c r="Q146" s="43"/>
      <c r="R146" s="43"/>
      <c r="S146" s="43"/>
      <c r="T146" s="43"/>
      <c r="U146" s="42"/>
    </row>
    <row r="147" spans="9:21" x14ac:dyDescent="0.25">
      <c r="I147" s="4">
        <v>142</v>
      </c>
      <c r="J147" s="43"/>
      <c r="K147" s="43"/>
      <c r="L147" s="43"/>
      <c r="M147" s="43"/>
      <c r="N147" s="42"/>
      <c r="P147" s="4">
        <v>142</v>
      </c>
      <c r="Q147" s="43"/>
      <c r="R147" s="43"/>
      <c r="S147" s="43"/>
      <c r="T147" s="43"/>
      <c r="U147" s="42"/>
    </row>
    <row r="148" spans="9:21" x14ac:dyDescent="0.25">
      <c r="I148" s="4">
        <v>143</v>
      </c>
      <c r="J148" s="43"/>
      <c r="K148" s="43"/>
      <c r="L148" s="43"/>
      <c r="M148" s="43"/>
      <c r="N148" s="42"/>
      <c r="P148" s="4">
        <v>143</v>
      </c>
      <c r="Q148" s="43"/>
      <c r="R148" s="43"/>
      <c r="S148" s="43"/>
      <c r="T148" s="43"/>
      <c r="U148" s="42"/>
    </row>
    <row r="149" spans="9:21" x14ac:dyDescent="0.25">
      <c r="I149" s="4">
        <v>144</v>
      </c>
      <c r="J149" s="43"/>
      <c r="K149" s="43"/>
      <c r="L149" s="43"/>
      <c r="M149" s="43"/>
      <c r="N149" s="42"/>
      <c r="P149" s="4">
        <v>144</v>
      </c>
      <c r="Q149" s="43"/>
      <c r="R149" s="43"/>
      <c r="S149" s="43"/>
      <c r="T149" s="43"/>
      <c r="U149" s="42"/>
    </row>
    <row r="150" spans="9:21" x14ac:dyDescent="0.25">
      <c r="I150" s="4">
        <v>145</v>
      </c>
      <c r="J150" s="43"/>
      <c r="K150" s="43"/>
      <c r="L150" s="43"/>
      <c r="M150" s="43"/>
      <c r="N150" s="42"/>
      <c r="P150" s="4">
        <v>145</v>
      </c>
      <c r="Q150" s="43"/>
      <c r="R150" s="43"/>
      <c r="S150" s="43"/>
      <c r="T150" s="43"/>
      <c r="U150" s="42"/>
    </row>
    <row r="151" spans="9:21" x14ac:dyDescent="0.25">
      <c r="I151" s="4">
        <v>146</v>
      </c>
      <c r="J151" s="43"/>
      <c r="K151" s="43"/>
      <c r="L151" s="43"/>
      <c r="M151" s="43"/>
      <c r="N151" s="42"/>
      <c r="P151" s="4">
        <v>146</v>
      </c>
      <c r="Q151" s="43"/>
      <c r="R151" s="43"/>
      <c r="S151" s="43"/>
      <c r="T151" s="43"/>
      <c r="U151" s="42"/>
    </row>
    <row r="152" spans="9:21" x14ac:dyDescent="0.25">
      <c r="I152" s="4">
        <v>147</v>
      </c>
      <c r="J152" s="74"/>
      <c r="K152" s="43"/>
      <c r="L152" s="43"/>
      <c r="M152" s="43"/>
      <c r="N152" s="42"/>
      <c r="P152" s="4">
        <v>147</v>
      </c>
      <c r="Q152" s="74"/>
      <c r="R152" s="43"/>
      <c r="S152" s="43"/>
      <c r="T152" s="43"/>
      <c r="U152" s="42"/>
    </row>
    <row r="153" spans="9:21" x14ac:dyDescent="0.25">
      <c r="I153" s="4">
        <v>148</v>
      </c>
      <c r="J153" s="74"/>
      <c r="K153" s="43"/>
      <c r="L153" s="43"/>
      <c r="M153" s="43"/>
      <c r="N153" s="42"/>
      <c r="P153" s="4">
        <v>148</v>
      </c>
      <c r="Q153" s="74"/>
      <c r="R153" s="43"/>
      <c r="S153" s="43"/>
      <c r="T153" s="43"/>
      <c r="U153" s="42"/>
    </row>
    <row r="154" spans="9:21" x14ac:dyDescent="0.25">
      <c r="I154" s="4">
        <v>149</v>
      </c>
      <c r="J154" s="74"/>
      <c r="K154" s="43"/>
      <c r="L154" s="43"/>
      <c r="M154" s="43"/>
      <c r="N154" s="42"/>
      <c r="P154" s="4">
        <v>149</v>
      </c>
      <c r="Q154" s="74"/>
      <c r="R154" s="43"/>
      <c r="S154" s="43"/>
      <c r="T154" s="43"/>
      <c r="U154" s="42"/>
    </row>
    <row r="155" spans="9:21" x14ac:dyDescent="0.25">
      <c r="I155" s="5">
        <v>150</v>
      </c>
      <c r="J155" s="75"/>
      <c r="K155" s="72"/>
      <c r="L155" s="72"/>
      <c r="M155" s="72"/>
      <c r="N155" s="73"/>
      <c r="P155" s="5">
        <v>150</v>
      </c>
      <c r="Q155" s="75"/>
      <c r="R155" s="72"/>
      <c r="S155" s="72"/>
      <c r="T155" s="72"/>
      <c r="U155" s="73"/>
    </row>
  </sheetData>
  <mergeCells count="2">
    <mergeCell ref="B5:G17"/>
    <mergeCell ref="B20:G27"/>
  </mergeCells>
  <phoneticPr fontId="6" type="noConversion"/>
  <conditionalFormatting sqref="J6:N155">
    <cfRule type="containsText" dxfId="37" priority="10" operator="containsText" text="WILD">
      <formula>NOT(ISERROR(SEARCH("WILD",J6)))</formula>
    </cfRule>
    <cfRule type="containsText" dxfId="36" priority="11" operator="containsText" text="FG">
      <formula>NOT(ISERROR(SEARCH("FG",J6)))</formula>
    </cfRule>
    <cfRule type="containsText" dxfId="35" priority="12" operator="containsText" text="SYM">
      <formula>NOT(ISERROR(SEARCH("SYM",J6)))</formula>
    </cfRule>
  </conditionalFormatting>
  <conditionalFormatting sqref="Q136:U155">
    <cfRule type="containsText" dxfId="34" priority="7" operator="containsText" text="WILD">
      <formula>NOT(ISERROR(SEARCH("WILD",Q136)))</formula>
    </cfRule>
    <cfRule type="containsText" dxfId="33" priority="8" operator="containsText" text="FG">
      <formula>NOT(ISERROR(SEARCH("FG",Q136)))</formula>
    </cfRule>
    <cfRule type="containsText" dxfId="32" priority="9" operator="containsText" text="SYM">
      <formula>NOT(ISERROR(SEARCH("SYM",Q136)))</formula>
    </cfRule>
  </conditionalFormatting>
  <conditionalFormatting sqref="Q124:U135">
    <cfRule type="containsText" dxfId="31" priority="4" operator="containsText" text="WILD">
      <formula>NOT(ISERROR(SEARCH("WILD",Q124)))</formula>
    </cfRule>
    <cfRule type="containsText" dxfId="30" priority="5" operator="containsText" text="FG">
      <formula>NOT(ISERROR(SEARCH("FG",Q124)))</formula>
    </cfRule>
    <cfRule type="containsText" dxfId="29" priority="6" operator="containsText" text="SYM">
      <formula>NOT(ISERROR(SEARCH("SYM",Q124)))</formula>
    </cfRule>
  </conditionalFormatting>
  <conditionalFormatting sqref="Q6:U123">
    <cfRule type="containsText" dxfId="28" priority="1" operator="containsText" text="WILD">
      <formula>NOT(ISERROR(SEARCH("WILD",Q6)))</formula>
    </cfRule>
    <cfRule type="containsText" dxfId="27" priority="2" operator="containsText" text="FG">
      <formula>NOT(ISERROR(SEARCH("FG",Q6)))</formula>
    </cfRule>
    <cfRule type="containsText" dxfId="26" priority="3" operator="containsText" text="SYM">
      <formula>NOT(ISERROR(SEARCH("SYM",Q6)))</formula>
    </cfRule>
  </conditionalFormatting>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A9EC-6D64-4CD5-B512-F22D6E9EC0E1}">
  <dimension ref="B1:AJ79"/>
  <sheetViews>
    <sheetView zoomScaleNormal="100" workbookViewId="0">
      <selection activeCell="B7" sqref="B7"/>
    </sheetView>
  </sheetViews>
  <sheetFormatPr defaultColWidth="8.85546875" defaultRowHeight="15" x14ac:dyDescent="0.25"/>
  <cols>
    <col min="1" max="1" width="4" style="10" customWidth="1"/>
    <col min="2" max="7" width="12.42578125" style="10" customWidth="1"/>
    <col min="8" max="14" width="12.140625" style="10" customWidth="1"/>
    <col min="15" max="20" width="12.42578125" style="45" customWidth="1"/>
    <col min="21" max="21" width="12.140625" style="45" customWidth="1"/>
    <col min="22" max="26" width="12.42578125" style="45" customWidth="1"/>
    <col min="27" max="28" width="8.85546875" style="10"/>
    <col min="29" max="30" width="11.7109375" style="10" bestFit="1" customWidth="1"/>
    <col min="31" max="16384" width="8.85546875" style="10"/>
  </cols>
  <sheetData>
    <row r="1" spans="2:36" s="45" customFormat="1" x14ac:dyDescent="0.25"/>
    <row r="2" spans="2:36" x14ac:dyDescent="0.25">
      <c r="B2" s="77" t="s">
        <v>48</v>
      </c>
      <c r="C2" s="107"/>
      <c r="D2" s="45"/>
      <c r="F2" s="10" t="s">
        <v>9</v>
      </c>
      <c r="G2" s="68">
        <f>'Game Info'!C2</f>
        <v>40</v>
      </c>
    </row>
    <row r="3" spans="2:36" x14ac:dyDescent="0.25">
      <c r="B3" s="45" t="s">
        <v>29</v>
      </c>
      <c r="C3" s="107"/>
      <c r="D3" s="45"/>
      <c r="E3" s="45"/>
      <c r="F3" s="40" t="s">
        <v>27</v>
      </c>
      <c r="G3" s="106"/>
      <c r="L3" s="45"/>
    </row>
    <row r="4" spans="2:36" s="45" customFormat="1" x14ac:dyDescent="0.25">
      <c r="B4" s="45" t="s">
        <v>51</v>
      </c>
      <c r="C4" s="108"/>
      <c r="E4" s="10"/>
      <c r="F4" s="10"/>
      <c r="G4" s="10"/>
    </row>
    <row r="5" spans="2:36" s="45" customFormat="1" x14ac:dyDescent="0.25"/>
    <row r="6" spans="2:36" s="45" customFormat="1" x14ac:dyDescent="0.25">
      <c r="B6" s="45" t="s">
        <v>58</v>
      </c>
      <c r="C6" s="133"/>
      <c r="D6" s="133"/>
      <c r="E6" s="133"/>
      <c r="F6" s="133"/>
      <c r="G6" s="133"/>
    </row>
    <row r="7" spans="2:36" x14ac:dyDescent="0.25">
      <c r="B7" s="19" t="s">
        <v>11</v>
      </c>
      <c r="C7" s="17" t="s">
        <v>1</v>
      </c>
      <c r="D7" s="17" t="s">
        <v>2</v>
      </c>
      <c r="E7" s="17" t="s">
        <v>3</v>
      </c>
      <c r="F7" s="17" t="s">
        <v>4</v>
      </c>
      <c r="G7" s="18" t="s">
        <v>5</v>
      </c>
      <c r="H7" s="45"/>
      <c r="I7" s="45"/>
      <c r="J7" s="45"/>
      <c r="K7" s="45"/>
      <c r="L7" s="45"/>
      <c r="M7" s="45"/>
      <c r="AA7" s="45"/>
      <c r="AB7" s="45"/>
      <c r="AC7" s="45"/>
      <c r="AD7" s="45"/>
      <c r="AE7" s="45"/>
      <c r="AF7" s="45"/>
    </row>
    <row r="8" spans="2:36" x14ac:dyDescent="0.25">
      <c r="B8" s="20" t="s">
        <v>30</v>
      </c>
      <c r="C8" s="44">
        <f>'BG Reels'!B3</f>
        <v>0</v>
      </c>
      <c r="D8" s="44">
        <f>'BG Reels'!C3</f>
        <v>1</v>
      </c>
      <c r="E8" s="44">
        <f>'BG Reels'!D3</f>
        <v>2</v>
      </c>
      <c r="F8" s="44">
        <f>'BG Reels'!E3</f>
        <v>2</v>
      </c>
      <c r="G8" s="48">
        <f>'BG Reels'!F3</f>
        <v>0</v>
      </c>
      <c r="H8" s="45"/>
      <c r="I8" s="45"/>
      <c r="J8" s="45"/>
      <c r="K8" s="45"/>
      <c r="L8" s="45"/>
      <c r="M8" s="45"/>
      <c r="AA8" s="45"/>
      <c r="AB8" s="45"/>
      <c r="AC8" s="45"/>
      <c r="AD8" s="45"/>
      <c r="AE8" s="45"/>
      <c r="AF8" s="45"/>
    </row>
    <row r="9" spans="2:36" x14ac:dyDescent="0.25">
      <c r="B9" s="20" t="s">
        <v>33</v>
      </c>
      <c r="C9" s="44">
        <f>'BG Reels'!B4</f>
        <v>6</v>
      </c>
      <c r="D9" s="44">
        <f>'BG Reels'!C4</f>
        <v>4</v>
      </c>
      <c r="E9" s="44">
        <f>'BG Reels'!D4</f>
        <v>10</v>
      </c>
      <c r="F9" s="44">
        <f>'BG Reels'!E4</f>
        <v>8</v>
      </c>
      <c r="G9" s="48">
        <f>'BG Reels'!F4</f>
        <v>17</v>
      </c>
      <c r="H9" s="45"/>
      <c r="I9" s="45"/>
      <c r="J9" s="45"/>
      <c r="K9" s="45"/>
      <c r="L9" s="45"/>
      <c r="M9" s="45"/>
      <c r="AA9" s="45"/>
      <c r="AB9" s="45"/>
      <c r="AC9" s="45"/>
      <c r="AD9" s="45"/>
      <c r="AE9" s="45"/>
      <c r="AF9" s="45"/>
      <c r="AG9" s="45"/>
      <c r="AH9" s="45"/>
      <c r="AI9" s="45"/>
      <c r="AJ9" s="45"/>
    </row>
    <row r="10" spans="2:36" x14ac:dyDescent="0.25">
      <c r="B10" s="20" t="s">
        <v>34</v>
      </c>
      <c r="C10" s="44">
        <f>'BG Reels'!B5</f>
        <v>12</v>
      </c>
      <c r="D10" s="44">
        <f>'BG Reels'!C5</f>
        <v>13</v>
      </c>
      <c r="E10" s="44">
        <f>'BG Reels'!D5</f>
        <v>6</v>
      </c>
      <c r="F10" s="44">
        <f>'BG Reels'!E5</f>
        <v>9</v>
      </c>
      <c r="G10" s="48">
        <f>'BG Reels'!F5</f>
        <v>8</v>
      </c>
      <c r="H10" s="45"/>
      <c r="I10" s="45"/>
      <c r="J10" s="45"/>
      <c r="K10" s="45"/>
      <c r="O10" s="10"/>
      <c r="P10" s="10"/>
      <c r="Q10" s="10"/>
      <c r="R10" s="10"/>
      <c r="AA10" s="45"/>
      <c r="AB10" s="45"/>
      <c r="AC10" s="45"/>
      <c r="AD10" s="45"/>
      <c r="AE10" s="45"/>
      <c r="AF10" s="45"/>
    </row>
    <row r="11" spans="2:36" x14ac:dyDescent="0.25">
      <c r="B11" s="20" t="s">
        <v>35</v>
      </c>
      <c r="C11" s="44">
        <f>'BG Reels'!B6</f>
        <v>14</v>
      </c>
      <c r="D11" s="44">
        <f>'BG Reels'!C6</f>
        <v>6</v>
      </c>
      <c r="E11" s="44">
        <f>'BG Reels'!D6</f>
        <v>11</v>
      </c>
      <c r="F11" s="44">
        <f>'BG Reels'!E6</f>
        <v>7</v>
      </c>
      <c r="G11" s="48">
        <f>'BG Reels'!F6</f>
        <v>15</v>
      </c>
      <c r="H11" s="45"/>
      <c r="I11" s="45"/>
      <c r="J11" s="45"/>
      <c r="K11" s="45"/>
      <c r="L11" s="45"/>
      <c r="M11" s="45"/>
      <c r="AA11" s="45"/>
      <c r="AB11" s="45"/>
      <c r="AC11" s="45"/>
      <c r="AD11" s="45"/>
      <c r="AE11" s="45"/>
      <c r="AF11" s="45"/>
    </row>
    <row r="12" spans="2:36" s="45" customFormat="1" x14ac:dyDescent="0.25">
      <c r="B12" s="20" t="s">
        <v>36</v>
      </c>
      <c r="C12" s="44">
        <f>'BG Reels'!B7</f>
        <v>6</v>
      </c>
      <c r="D12" s="44">
        <f>'BG Reels'!C7</f>
        <v>10</v>
      </c>
      <c r="E12" s="44">
        <f>'BG Reels'!D7</f>
        <v>11</v>
      </c>
      <c r="F12" s="44">
        <f>'BG Reels'!E7</f>
        <v>10</v>
      </c>
      <c r="G12" s="48">
        <f>'BG Reels'!F7</f>
        <v>8</v>
      </c>
    </row>
    <row r="13" spans="2:36" s="45" customFormat="1" x14ac:dyDescent="0.25">
      <c r="B13" s="20" t="s">
        <v>37</v>
      </c>
      <c r="C13" s="44">
        <f>'BG Reels'!B8</f>
        <v>6</v>
      </c>
      <c r="D13" s="44">
        <f>'BG Reels'!C8</f>
        <v>8</v>
      </c>
      <c r="E13" s="44">
        <f>'BG Reels'!D8</f>
        <v>10</v>
      </c>
      <c r="F13" s="44">
        <f>'BG Reels'!E8</f>
        <v>9</v>
      </c>
      <c r="G13" s="48">
        <f>'BG Reels'!F8</f>
        <v>5</v>
      </c>
    </row>
    <row r="14" spans="2:36" x14ac:dyDescent="0.25">
      <c r="B14" s="20" t="s">
        <v>22</v>
      </c>
      <c r="C14" s="44">
        <f>'BG Reels'!B9</f>
        <v>8</v>
      </c>
      <c r="D14" s="44">
        <f>'BG Reels'!C9</f>
        <v>8</v>
      </c>
      <c r="E14" s="44">
        <f>'BG Reels'!D9</f>
        <v>6</v>
      </c>
      <c r="F14" s="44">
        <f>'BG Reels'!E9</f>
        <v>5</v>
      </c>
      <c r="G14" s="48">
        <f>'BG Reels'!F9</f>
        <v>7</v>
      </c>
      <c r="H14" s="45"/>
      <c r="I14" s="45"/>
      <c r="J14" s="45"/>
      <c r="K14" s="45"/>
      <c r="AA14" s="45"/>
      <c r="AB14" s="45"/>
      <c r="AC14" s="45"/>
      <c r="AD14" s="45"/>
      <c r="AE14" s="45"/>
      <c r="AF14" s="45"/>
    </row>
    <row r="15" spans="2:36" x14ac:dyDescent="0.25">
      <c r="B15" s="20" t="s">
        <v>6</v>
      </c>
      <c r="C15" s="44">
        <f>'BG Reels'!B10</f>
        <v>7</v>
      </c>
      <c r="D15" s="44">
        <f>'BG Reels'!C10</f>
        <v>13</v>
      </c>
      <c r="E15" s="44">
        <f>'BG Reels'!D10</f>
        <v>9</v>
      </c>
      <c r="F15" s="44">
        <f>'BG Reels'!E10</f>
        <v>6</v>
      </c>
      <c r="G15" s="48">
        <f>'BG Reels'!F10</f>
        <v>15</v>
      </c>
      <c r="H15" s="45"/>
      <c r="I15" s="45"/>
      <c r="J15" s="45"/>
      <c r="K15" s="45"/>
      <c r="AA15" s="45"/>
      <c r="AB15" s="45"/>
      <c r="AC15" s="45"/>
      <c r="AD15" s="45"/>
      <c r="AE15" s="45"/>
      <c r="AF15" s="45"/>
    </row>
    <row r="16" spans="2:36" x14ac:dyDescent="0.25">
      <c r="B16" s="20" t="s">
        <v>8</v>
      </c>
      <c r="C16" s="44">
        <f>'BG Reels'!B11</f>
        <v>11</v>
      </c>
      <c r="D16" s="44">
        <f>'BG Reels'!C11</f>
        <v>10</v>
      </c>
      <c r="E16" s="44">
        <f>'BG Reels'!D11</f>
        <v>16</v>
      </c>
      <c r="F16" s="44">
        <f>'BG Reels'!E11</f>
        <v>9</v>
      </c>
      <c r="G16" s="48">
        <f>'BG Reels'!F11</f>
        <v>14</v>
      </c>
      <c r="H16" s="45"/>
      <c r="I16" s="45"/>
      <c r="J16" s="45"/>
      <c r="K16" s="45"/>
      <c r="L16" s="45"/>
      <c r="M16" s="45"/>
      <c r="AA16" s="45"/>
      <c r="AB16" s="45"/>
      <c r="AC16" s="45"/>
      <c r="AD16" s="45"/>
      <c r="AE16" s="45"/>
      <c r="AF16" s="45"/>
    </row>
    <row r="17" spans="2:32" x14ac:dyDescent="0.25">
      <c r="B17" s="20" t="s">
        <v>7</v>
      </c>
      <c r="C17" s="44">
        <f>'BG Reels'!B12</f>
        <v>8</v>
      </c>
      <c r="D17" s="44">
        <f>'BG Reels'!C12</f>
        <v>13</v>
      </c>
      <c r="E17" s="44">
        <f>'BG Reels'!D12</f>
        <v>10</v>
      </c>
      <c r="F17" s="44">
        <f>'BG Reels'!E12</f>
        <v>6</v>
      </c>
      <c r="G17" s="48">
        <f>'BG Reels'!F12</f>
        <v>9</v>
      </c>
      <c r="H17" s="45"/>
      <c r="I17" s="45"/>
      <c r="J17" s="45"/>
      <c r="K17" s="45"/>
      <c r="L17" s="45"/>
      <c r="M17" s="45"/>
      <c r="AA17" s="45"/>
      <c r="AB17" s="45"/>
      <c r="AC17" s="45"/>
      <c r="AD17" s="45"/>
      <c r="AE17" s="45"/>
      <c r="AF17" s="45"/>
    </row>
    <row r="18" spans="2:32" x14ac:dyDescent="0.25">
      <c r="B18" s="20">
        <v>10</v>
      </c>
      <c r="C18" s="44">
        <f>'BG Reels'!B13</f>
        <v>16</v>
      </c>
      <c r="D18" s="44">
        <f>'BG Reels'!C13</f>
        <v>7</v>
      </c>
      <c r="E18" s="44">
        <f>'BG Reels'!D13</f>
        <v>12</v>
      </c>
      <c r="F18" s="44">
        <f>'BG Reels'!E13</f>
        <v>6</v>
      </c>
      <c r="G18" s="48">
        <f>'BG Reels'!F13</f>
        <v>10</v>
      </c>
      <c r="H18" s="45"/>
      <c r="I18" s="45"/>
      <c r="J18" s="45"/>
      <c r="K18" s="45"/>
      <c r="L18" s="45"/>
      <c r="M18" s="45"/>
      <c r="AA18" s="45"/>
      <c r="AB18" s="45"/>
      <c r="AC18" s="45"/>
      <c r="AD18" s="45"/>
      <c r="AE18" s="45"/>
      <c r="AF18" s="45"/>
    </row>
    <row r="19" spans="2:32" x14ac:dyDescent="0.25">
      <c r="B19" s="20">
        <v>9</v>
      </c>
      <c r="C19" s="44">
        <f>'BG Reels'!B14</f>
        <v>9</v>
      </c>
      <c r="D19" s="44">
        <f>'BG Reels'!C14</f>
        <v>5</v>
      </c>
      <c r="E19" s="44">
        <f>'BG Reels'!D14</f>
        <v>3</v>
      </c>
      <c r="F19" s="44">
        <f>'BG Reels'!E14</f>
        <v>8</v>
      </c>
      <c r="G19" s="48">
        <f>'BG Reels'!F14</f>
        <v>4</v>
      </c>
      <c r="H19" s="45"/>
      <c r="I19" s="45"/>
      <c r="J19" s="45"/>
      <c r="K19" s="45"/>
      <c r="L19" s="45"/>
      <c r="M19" s="45"/>
      <c r="AA19" s="45"/>
      <c r="AB19" s="45"/>
      <c r="AC19" s="45"/>
      <c r="AD19" s="45"/>
      <c r="AE19" s="45"/>
      <c r="AF19" s="45"/>
    </row>
    <row r="20" spans="2:32" s="45" customFormat="1" x14ac:dyDescent="0.25">
      <c r="B20" s="20" t="s">
        <v>29</v>
      </c>
      <c r="C20" s="44">
        <f>'BG Reels'!B15</f>
        <v>4</v>
      </c>
      <c r="D20" s="44">
        <f>'BG Reels'!C15</f>
        <v>4</v>
      </c>
      <c r="E20" s="44">
        <f>'BG Reels'!D15</f>
        <v>4</v>
      </c>
      <c r="F20" s="44">
        <f>'BG Reels'!E15</f>
        <v>1</v>
      </c>
      <c r="G20" s="48">
        <f>'BG Reels'!F15</f>
        <v>1</v>
      </c>
    </row>
    <row r="21" spans="2:32" x14ac:dyDescent="0.25">
      <c r="B21" s="51" t="s">
        <v>10</v>
      </c>
      <c r="C21" s="15">
        <f>SUM(C8:C20)</f>
        <v>107</v>
      </c>
      <c r="D21" s="15">
        <f t="shared" ref="D21:F21" si="0">SUM(D8:D20)</f>
        <v>102</v>
      </c>
      <c r="E21" s="15">
        <f t="shared" si="0"/>
        <v>110</v>
      </c>
      <c r="F21" s="15">
        <f t="shared" si="0"/>
        <v>86</v>
      </c>
      <c r="G21" s="46">
        <f>SUM(G8:G20)</f>
        <v>113</v>
      </c>
      <c r="H21" s="45"/>
      <c r="I21" s="45"/>
      <c r="J21" s="45"/>
      <c r="K21" s="45"/>
      <c r="L21" s="45"/>
      <c r="M21" s="45"/>
      <c r="AA21" s="45"/>
      <c r="AB21" s="45"/>
      <c r="AC21" s="45"/>
      <c r="AD21" s="45"/>
      <c r="AE21" s="45"/>
      <c r="AF21" s="45"/>
    </row>
    <row r="22" spans="2:32" x14ac:dyDescent="0.25">
      <c r="B22" s="45"/>
      <c r="C22" s="45"/>
      <c r="D22" s="45"/>
      <c r="E22" s="45"/>
      <c r="F22" s="14" t="s">
        <v>12</v>
      </c>
      <c r="G22" s="46">
        <f>PRODUCT(C21:G21)</f>
        <v>11666847720</v>
      </c>
      <c r="H22" s="45"/>
      <c r="I22" s="45"/>
      <c r="J22" s="45"/>
      <c r="K22" s="45"/>
      <c r="L22" s="45"/>
      <c r="M22" s="45"/>
    </row>
    <row r="23" spans="2:32" x14ac:dyDescent="0.25">
      <c r="B23" s="45"/>
      <c r="C23" s="45"/>
      <c r="D23" s="45"/>
      <c r="E23" s="45"/>
      <c r="F23" s="45"/>
      <c r="G23" s="45"/>
      <c r="H23" s="45"/>
      <c r="I23" s="71" t="s">
        <v>26</v>
      </c>
      <c r="J23"/>
      <c r="K23"/>
      <c r="L23"/>
      <c r="M23"/>
    </row>
    <row r="24" spans="2:32" x14ac:dyDescent="0.25">
      <c r="B24" s="22" t="str">
        <f>B9</f>
        <v>SYM1</v>
      </c>
      <c r="C24" s="127"/>
      <c r="D24" s="127"/>
      <c r="E24" s="127"/>
      <c r="F24" s="127"/>
      <c r="G24" s="127"/>
      <c r="H24" s="45"/>
      <c r="I24" s="11">
        <f>'BG Reels'!I4</f>
        <v>0</v>
      </c>
      <c r="J24" s="47">
        <f>'BG Reels'!J4</f>
        <v>0</v>
      </c>
      <c r="K24" s="47">
        <f>'BG Reels'!K4</f>
        <v>0</v>
      </c>
      <c r="L24" s="47">
        <f>'BG Reels'!L4</f>
        <v>0</v>
      </c>
      <c r="M24" s="69">
        <f>'BG Reels'!M4</f>
        <v>0</v>
      </c>
    </row>
    <row r="25" spans="2:32" x14ac:dyDescent="0.25">
      <c r="B25" s="20" t="str">
        <f>B10</f>
        <v>SYM2</v>
      </c>
      <c r="C25" s="129"/>
      <c r="D25" s="129"/>
      <c r="E25" s="129"/>
      <c r="F25" s="129"/>
      <c r="G25" s="130"/>
      <c r="H25" s="45"/>
      <c r="I25" s="12">
        <f>'BG Reels'!I5</f>
        <v>0</v>
      </c>
      <c r="J25" s="44">
        <f>'BG Reels'!J5</f>
        <v>0</v>
      </c>
      <c r="K25" s="44">
        <f>'BG Reels'!K5</f>
        <v>0</v>
      </c>
      <c r="L25" s="44">
        <f>'BG Reels'!L5</f>
        <v>0</v>
      </c>
      <c r="M25" s="48">
        <f>'BG Reels'!M5</f>
        <v>0</v>
      </c>
    </row>
    <row r="26" spans="2:32" x14ac:dyDescent="0.25">
      <c r="B26" s="20" t="str">
        <f>B11</f>
        <v>SYM3</v>
      </c>
      <c r="C26" s="129"/>
      <c r="D26" s="129"/>
      <c r="E26" s="129"/>
      <c r="F26" s="129"/>
      <c r="G26" s="130"/>
      <c r="H26" s="45"/>
      <c r="I26" s="12">
        <f>'BG Reels'!I6</f>
        <v>0</v>
      </c>
      <c r="J26" s="44">
        <f>'BG Reels'!J6</f>
        <v>0</v>
      </c>
      <c r="K26" s="44">
        <f>'BG Reels'!K6</f>
        <v>0</v>
      </c>
      <c r="L26" s="44">
        <f>'BG Reels'!L6</f>
        <v>0</v>
      </c>
      <c r="M26" s="48">
        <f>'BG Reels'!M6</f>
        <v>0</v>
      </c>
    </row>
    <row r="27" spans="2:32" x14ac:dyDescent="0.25">
      <c r="B27" s="20" t="str">
        <f t="shared" ref="B27:B35" si="1">B12</f>
        <v>SYM4</v>
      </c>
      <c r="C27" s="129"/>
      <c r="D27" s="129"/>
      <c r="E27" s="129"/>
      <c r="F27" s="129"/>
      <c r="G27" s="130"/>
      <c r="H27" s="45"/>
      <c r="I27" s="12">
        <f>'BG Reels'!I7</f>
        <v>0</v>
      </c>
      <c r="J27" s="44">
        <f>'BG Reels'!J7</f>
        <v>0</v>
      </c>
      <c r="K27" s="44">
        <f>'BG Reels'!K7</f>
        <v>0</v>
      </c>
      <c r="L27" s="44">
        <f>'BG Reels'!L7</f>
        <v>0</v>
      </c>
      <c r="M27" s="48">
        <f>'BG Reels'!M7</f>
        <v>0</v>
      </c>
    </row>
    <row r="28" spans="2:32" x14ac:dyDescent="0.25">
      <c r="B28" s="20" t="str">
        <f t="shared" si="1"/>
        <v>SYM5</v>
      </c>
      <c r="C28" s="129"/>
      <c r="D28" s="129"/>
      <c r="E28" s="129"/>
      <c r="F28" s="129"/>
      <c r="G28" s="130"/>
      <c r="H28" s="45"/>
      <c r="I28" s="12">
        <f>'BG Reels'!I8</f>
        <v>0</v>
      </c>
      <c r="J28" s="44">
        <f>'BG Reels'!J8</f>
        <v>0</v>
      </c>
      <c r="K28" s="44">
        <f>'BG Reels'!K8</f>
        <v>0</v>
      </c>
      <c r="L28" s="44">
        <f>'BG Reels'!L8</f>
        <v>0</v>
      </c>
      <c r="M28" s="48">
        <f>'BG Reels'!M8</f>
        <v>0</v>
      </c>
    </row>
    <row r="29" spans="2:32" x14ac:dyDescent="0.25">
      <c r="B29" s="20" t="str">
        <f t="shared" si="1"/>
        <v>A</v>
      </c>
      <c r="C29" s="129"/>
      <c r="D29" s="129"/>
      <c r="E29" s="129"/>
      <c r="F29" s="129"/>
      <c r="G29" s="130"/>
      <c r="H29" s="45"/>
      <c r="I29" s="12">
        <f>'BG Reels'!I9</f>
        <v>0</v>
      </c>
      <c r="J29" s="44">
        <f>'BG Reels'!J9</f>
        <v>0</v>
      </c>
      <c r="K29" s="44">
        <f>'BG Reels'!K9</f>
        <v>0</v>
      </c>
      <c r="L29" s="44">
        <f>'BG Reels'!L9</f>
        <v>0</v>
      </c>
      <c r="M29" s="48">
        <f>'BG Reels'!M9</f>
        <v>0</v>
      </c>
    </row>
    <row r="30" spans="2:32" x14ac:dyDescent="0.25">
      <c r="B30" s="20" t="str">
        <f t="shared" si="1"/>
        <v>K</v>
      </c>
      <c r="C30" s="129"/>
      <c r="D30" s="129"/>
      <c r="E30" s="129"/>
      <c r="F30" s="129"/>
      <c r="G30" s="130"/>
      <c r="H30" s="45"/>
      <c r="I30" s="12">
        <f>'BG Reels'!I10</f>
        <v>0</v>
      </c>
      <c r="J30" s="44">
        <f>'BG Reels'!J10</f>
        <v>0</v>
      </c>
      <c r="K30" s="44">
        <f>'BG Reels'!K10</f>
        <v>0</v>
      </c>
      <c r="L30" s="44">
        <f>'BG Reels'!L10</f>
        <v>0</v>
      </c>
      <c r="M30" s="48">
        <f>'BG Reels'!M10</f>
        <v>0</v>
      </c>
    </row>
    <row r="31" spans="2:32" x14ac:dyDescent="0.25">
      <c r="B31" s="20" t="str">
        <f t="shared" si="1"/>
        <v>Q</v>
      </c>
      <c r="C31" s="129"/>
      <c r="D31" s="129"/>
      <c r="E31" s="129"/>
      <c r="F31" s="129"/>
      <c r="G31" s="130"/>
      <c r="H31" s="45"/>
      <c r="I31" s="12">
        <f>'BG Reels'!I11</f>
        <v>0</v>
      </c>
      <c r="J31" s="44">
        <f>'BG Reels'!J11</f>
        <v>0</v>
      </c>
      <c r="K31" s="44">
        <f>'BG Reels'!K11</f>
        <v>0</v>
      </c>
      <c r="L31" s="44">
        <f>'BG Reels'!L11</f>
        <v>0</v>
      </c>
      <c r="M31" s="48">
        <f>'BG Reels'!M11</f>
        <v>0</v>
      </c>
    </row>
    <row r="32" spans="2:32" x14ac:dyDescent="0.25">
      <c r="B32" s="20" t="str">
        <f t="shared" si="1"/>
        <v>J</v>
      </c>
      <c r="C32" s="129"/>
      <c r="D32" s="129"/>
      <c r="E32" s="129"/>
      <c r="F32" s="129"/>
      <c r="G32" s="130"/>
      <c r="H32" s="45"/>
      <c r="I32" s="12">
        <f>'BG Reels'!I12</f>
        <v>0</v>
      </c>
      <c r="J32" s="44">
        <f>'BG Reels'!J12</f>
        <v>0</v>
      </c>
      <c r="K32" s="44">
        <f>'BG Reels'!K12</f>
        <v>0</v>
      </c>
      <c r="L32" s="44">
        <f>'BG Reels'!L12</f>
        <v>0</v>
      </c>
      <c r="M32" s="48">
        <f>'BG Reels'!M12</f>
        <v>0</v>
      </c>
    </row>
    <row r="33" spans="2:18" x14ac:dyDescent="0.25">
      <c r="B33" s="20">
        <f t="shared" si="1"/>
        <v>10</v>
      </c>
      <c r="C33" s="129"/>
      <c r="D33" s="129"/>
      <c r="E33" s="129"/>
      <c r="F33" s="129"/>
      <c r="G33" s="130"/>
      <c r="H33" s="45"/>
      <c r="I33" s="12">
        <f>'BG Reels'!I13</f>
        <v>0</v>
      </c>
      <c r="J33" s="44">
        <f>'BG Reels'!J13</f>
        <v>0</v>
      </c>
      <c r="K33" s="44">
        <f>'BG Reels'!K13</f>
        <v>0</v>
      </c>
      <c r="L33" s="44">
        <f>'BG Reels'!L13</f>
        <v>0</v>
      </c>
      <c r="M33" s="48">
        <f>'BG Reels'!M13</f>
        <v>0</v>
      </c>
    </row>
    <row r="34" spans="2:18" x14ac:dyDescent="0.25">
      <c r="B34" s="21">
        <f t="shared" si="1"/>
        <v>9</v>
      </c>
      <c r="C34" s="131"/>
      <c r="D34" s="131"/>
      <c r="E34" s="131"/>
      <c r="F34" s="131"/>
      <c r="G34" s="132"/>
      <c r="H34" s="45"/>
      <c r="I34" s="13">
        <f>'BG Reels'!I14</f>
        <v>0</v>
      </c>
      <c r="J34" s="49">
        <f>'BG Reels'!J14</f>
        <v>0</v>
      </c>
      <c r="K34" s="49">
        <f>'BG Reels'!K14</f>
        <v>0</v>
      </c>
      <c r="L34" s="49">
        <f>'BG Reels'!L14</f>
        <v>0</v>
      </c>
      <c r="M34" s="70">
        <f>'BG Reels'!M14</f>
        <v>0</v>
      </c>
    </row>
    <row r="35" spans="2:18" s="45" customFormat="1" x14ac:dyDescent="0.25">
      <c r="B35" s="21" t="str">
        <f t="shared" si="1"/>
        <v>FG</v>
      </c>
      <c r="C35" s="131"/>
      <c r="D35" s="131"/>
      <c r="E35" s="131"/>
      <c r="F35" s="131"/>
      <c r="G35" s="132"/>
      <c r="I35" s="44"/>
      <c r="J35" s="44"/>
      <c r="K35" s="44"/>
      <c r="L35" s="44"/>
      <c r="M35" s="44"/>
    </row>
    <row r="36" spans="2:18" s="45" customFormat="1" x14ac:dyDescent="0.25">
      <c r="I36" s="44"/>
      <c r="J36" s="44"/>
      <c r="K36" s="44"/>
      <c r="L36" s="44"/>
      <c r="M36" s="44"/>
    </row>
    <row r="37" spans="2:18" x14ac:dyDescent="0.25">
      <c r="B37" s="16" t="s">
        <v>17</v>
      </c>
      <c r="C37" s="17" t="s">
        <v>18</v>
      </c>
      <c r="D37" s="17" t="s">
        <v>19</v>
      </c>
      <c r="E37" s="17" t="s">
        <v>20</v>
      </c>
      <c r="F37" s="19" t="s">
        <v>21</v>
      </c>
      <c r="G37" s="45"/>
      <c r="H37" s="45"/>
      <c r="I37" s="16" t="s">
        <v>17</v>
      </c>
      <c r="J37" s="16" t="s">
        <v>1</v>
      </c>
      <c r="K37" s="17" t="s">
        <v>2</v>
      </c>
      <c r="L37" s="17" t="s">
        <v>3</v>
      </c>
      <c r="M37" s="17" t="s">
        <v>4</v>
      </c>
      <c r="N37" s="18" t="s">
        <v>5</v>
      </c>
      <c r="O37" s="17" t="s">
        <v>18</v>
      </c>
      <c r="P37" s="17" t="s">
        <v>19</v>
      </c>
      <c r="Q37" s="17" t="s">
        <v>20</v>
      </c>
      <c r="R37" s="19" t="s">
        <v>21</v>
      </c>
    </row>
    <row r="38" spans="2:18" x14ac:dyDescent="0.25">
      <c r="B38" s="12" t="str">
        <f t="shared" ref="B38:B48" si="2">B9 &amp; " x5"</f>
        <v>SYM1 x5</v>
      </c>
      <c r="C38" s="97"/>
      <c r="D38" s="25">
        <f>C38/$G$22</f>
        <v>0</v>
      </c>
      <c r="E38" s="26">
        <f>'Game Info'!AA6</f>
        <v>300</v>
      </c>
      <c r="F38" s="29">
        <f t="shared" ref="F38:F72" si="3">D38*E38/$G$2</f>
        <v>0</v>
      </c>
      <c r="G38" s="45"/>
      <c r="H38" s="45"/>
      <c r="I38" s="89" t="s">
        <v>40</v>
      </c>
      <c r="J38" s="91" t="s">
        <v>44</v>
      </c>
      <c r="K38" s="80" t="s">
        <v>44</v>
      </c>
      <c r="L38" s="80" t="s">
        <v>44</v>
      </c>
      <c r="M38" s="80" t="s">
        <v>44</v>
      </c>
      <c r="N38" s="81" t="s">
        <v>44</v>
      </c>
      <c r="O38" s="98"/>
      <c r="P38" s="49">
        <f>O38/$G$22</f>
        <v>0</v>
      </c>
      <c r="Q38" s="28">
        <f>'Game Info'!AA17</f>
        <v>20</v>
      </c>
      <c r="R38" s="31">
        <f>P38*Q38</f>
        <v>0</v>
      </c>
    </row>
    <row r="39" spans="2:18" x14ac:dyDescent="0.25">
      <c r="B39" s="12" t="str">
        <f t="shared" si="2"/>
        <v>SYM2 x5</v>
      </c>
      <c r="C39" s="97"/>
      <c r="D39" s="25">
        <f t="shared" ref="D39:D48" si="4">C39/$G$22</f>
        <v>0</v>
      </c>
      <c r="E39" s="26">
        <f>'Game Info'!AA7</f>
        <v>150</v>
      </c>
      <c r="F39" s="29">
        <f t="shared" si="3"/>
        <v>0</v>
      </c>
      <c r="G39" s="45"/>
      <c r="H39" s="45"/>
      <c r="I39" s="88" t="s">
        <v>41</v>
      </c>
      <c r="J39" s="90" t="s">
        <v>44</v>
      </c>
      <c r="K39" s="79" t="s">
        <v>44</v>
      </c>
      <c r="L39" s="79" t="s">
        <v>44</v>
      </c>
      <c r="M39" s="79" t="s">
        <v>44</v>
      </c>
      <c r="N39" s="78" t="s">
        <v>25</v>
      </c>
      <c r="O39" s="97"/>
      <c r="P39" s="44">
        <f t="shared" ref="P39:P63" si="5">O39/$G$22</f>
        <v>0</v>
      </c>
      <c r="Q39" s="26">
        <f>'Game Info'!Z17</f>
        <v>10</v>
      </c>
      <c r="R39" s="29">
        <f t="shared" ref="R39:R63" si="6">P39*Q39</f>
        <v>0</v>
      </c>
    </row>
    <row r="40" spans="2:18" x14ac:dyDescent="0.25">
      <c r="B40" s="12" t="str">
        <f t="shared" si="2"/>
        <v>SYM3 x5</v>
      </c>
      <c r="C40" s="97"/>
      <c r="D40" s="25">
        <f t="shared" si="4"/>
        <v>0</v>
      </c>
      <c r="E40" s="26">
        <f>'Game Info'!AA8</f>
        <v>150</v>
      </c>
      <c r="F40" s="29">
        <f t="shared" si="3"/>
        <v>0</v>
      </c>
      <c r="G40" s="45"/>
      <c r="H40" s="45"/>
      <c r="I40" s="88" t="s">
        <v>41</v>
      </c>
      <c r="J40" s="90" t="s">
        <v>44</v>
      </c>
      <c r="K40" s="79" t="s">
        <v>44</v>
      </c>
      <c r="L40" s="79" t="s">
        <v>44</v>
      </c>
      <c r="M40" s="79" t="s">
        <v>25</v>
      </c>
      <c r="N40" s="78" t="s">
        <v>44</v>
      </c>
      <c r="O40" s="97"/>
      <c r="P40" s="44">
        <f t="shared" si="5"/>
        <v>0</v>
      </c>
      <c r="Q40" s="26">
        <f>Q39</f>
        <v>10</v>
      </c>
      <c r="R40" s="29">
        <f t="shared" si="6"/>
        <v>0</v>
      </c>
    </row>
    <row r="41" spans="2:18" s="45" customFormat="1" x14ac:dyDescent="0.25">
      <c r="B41" s="12" t="str">
        <f t="shared" si="2"/>
        <v>SYM4 x5</v>
      </c>
      <c r="C41" s="97"/>
      <c r="D41" s="25">
        <f t="shared" si="4"/>
        <v>0</v>
      </c>
      <c r="E41" s="26">
        <f>'Game Info'!AA9</f>
        <v>120</v>
      </c>
      <c r="F41" s="29">
        <f t="shared" si="3"/>
        <v>0</v>
      </c>
      <c r="I41" s="88" t="s">
        <v>41</v>
      </c>
      <c r="J41" s="90" t="s">
        <v>44</v>
      </c>
      <c r="K41" s="79" t="s">
        <v>44</v>
      </c>
      <c r="L41" s="79" t="s">
        <v>25</v>
      </c>
      <c r="M41" s="79" t="s">
        <v>44</v>
      </c>
      <c r="N41" s="78" t="s">
        <v>44</v>
      </c>
      <c r="O41" s="97"/>
      <c r="P41" s="44">
        <f t="shared" si="5"/>
        <v>0</v>
      </c>
      <c r="Q41" s="26">
        <f t="shared" ref="Q41:Q43" si="7">Q40</f>
        <v>10</v>
      </c>
      <c r="R41" s="29">
        <f t="shared" si="6"/>
        <v>0</v>
      </c>
    </row>
    <row r="42" spans="2:18" s="45" customFormat="1" x14ac:dyDescent="0.25">
      <c r="B42" s="12" t="str">
        <f t="shared" si="2"/>
        <v>SYM5 x5</v>
      </c>
      <c r="C42" s="97"/>
      <c r="D42" s="25">
        <f t="shared" si="4"/>
        <v>0</v>
      </c>
      <c r="E42" s="26">
        <f>'Game Info'!AA10</f>
        <v>120</v>
      </c>
      <c r="F42" s="29">
        <f t="shared" si="3"/>
        <v>0</v>
      </c>
      <c r="I42" s="88" t="s">
        <v>41</v>
      </c>
      <c r="J42" s="90" t="s">
        <v>44</v>
      </c>
      <c r="K42" s="79" t="s">
        <v>25</v>
      </c>
      <c r="L42" s="79" t="s">
        <v>44</v>
      </c>
      <c r="M42" s="79" t="s">
        <v>44</v>
      </c>
      <c r="N42" s="78" t="s">
        <v>44</v>
      </c>
      <c r="O42" s="97"/>
      <c r="P42" s="44">
        <f t="shared" si="5"/>
        <v>0</v>
      </c>
      <c r="Q42" s="26">
        <f t="shared" si="7"/>
        <v>10</v>
      </c>
      <c r="R42" s="29">
        <f t="shared" si="6"/>
        <v>0</v>
      </c>
    </row>
    <row r="43" spans="2:18" x14ac:dyDescent="0.25">
      <c r="B43" s="12" t="str">
        <f t="shared" si="2"/>
        <v>A x5</v>
      </c>
      <c r="C43" s="97"/>
      <c r="D43" s="25">
        <f t="shared" si="4"/>
        <v>0</v>
      </c>
      <c r="E43" s="26">
        <f>'Game Info'!AA11</f>
        <v>100</v>
      </c>
      <c r="F43" s="29">
        <f t="shared" si="3"/>
        <v>0</v>
      </c>
      <c r="G43" s="45"/>
      <c r="H43" s="45"/>
      <c r="I43" s="89" t="s">
        <v>41</v>
      </c>
      <c r="J43" s="91" t="s">
        <v>25</v>
      </c>
      <c r="K43" s="80" t="s">
        <v>44</v>
      </c>
      <c r="L43" s="80" t="s">
        <v>44</v>
      </c>
      <c r="M43" s="80" t="s">
        <v>44</v>
      </c>
      <c r="N43" s="81" t="s">
        <v>44</v>
      </c>
      <c r="O43" s="98"/>
      <c r="P43" s="49">
        <f t="shared" si="5"/>
        <v>0</v>
      </c>
      <c r="Q43" s="28">
        <f t="shared" si="7"/>
        <v>10</v>
      </c>
      <c r="R43" s="31">
        <f t="shared" si="6"/>
        <v>0</v>
      </c>
    </row>
    <row r="44" spans="2:18" x14ac:dyDescent="0.25">
      <c r="B44" s="12" t="str">
        <f t="shared" si="2"/>
        <v>K x5</v>
      </c>
      <c r="C44" s="97"/>
      <c r="D44" s="25">
        <f t="shared" si="4"/>
        <v>0</v>
      </c>
      <c r="E44" s="26">
        <f>'Game Info'!AA12</f>
        <v>100</v>
      </c>
      <c r="F44" s="29">
        <f t="shared" si="3"/>
        <v>0</v>
      </c>
      <c r="G44" s="45"/>
      <c r="H44" s="45"/>
      <c r="I44" s="88" t="s">
        <v>42</v>
      </c>
      <c r="J44" s="90" t="s">
        <v>44</v>
      </c>
      <c r="K44" s="79" t="s">
        <v>44</v>
      </c>
      <c r="L44" s="79" t="s">
        <v>44</v>
      </c>
      <c r="M44" s="79" t="s">
        <v>25</v>
      </c>
      <c r="N44" s="78" t="s">
        <v>25</v>
      </c>
      <c r="O44" s="97"/>
      <c r="P44" s="44">
        <f t="shared" si="5"/>
        <v>0</v>
      </c>
      <c r="Q44" s="26">
        <f>'Game Info'!Y17</f>
        <v>2</v>
      </c>
      <c r="R44" s="29">
        <f t="shared" si="6"/>
        <v>0</v>
      </c>
    </row>
    <row r="45" spans="2:18" x14ac:dyDescent="0.25">
      <c r="B45" s="12" t="str">
        <f t="shared" si="2"/>
        <v>Q x5</v>
      </c>
      <c r="C45" s="97"/>
      <c r="D45" s="25">
        <f t="shared" si="4"/>
        <v>0</v>
      </c>
      <c r="E45" s="26">
        <f>'Game Info'!AA13</f>
        <v>100</v>
      </c>
      <c r="F45" s="29">
        <f t="shared" si="3"/>
        <v>0</v>
      </c>
      <c r="G45" s="45"/>
      <c r="H45" s="45"/>
      <c r="I45" s="88" t="s">
        <v>42</v>
      </c>
      <c r="J45" s="90" t="s">
        <v>44</v>
      </c>
      <c r="K45" s="79" t="s">
        <v>44</v>
      </c>
      <c r="L45" s="79" t="s">
        <v>25</v>
      </c>
      <c r="M45" s="79" t="s">
        <v>44</v>
      </c>
      <c r="N45" s="78" t="s">
        <v>25</v>
      </c>
      <c r="O45" s="97"/>
      <c r="P45" s="44">
        <f t="shared" si="5"/>
        <v>0</v>
      </c>
      <c r="Q45" s="26">
        <f>Q44</f>
        <v>2</v>
      </c>
      <c r="R45" s="29">
        <f t="shared" si="6"/>
        <v>0</v>
      </c>
    </row>
    <row r="46" spans="2:18" x14ac:dyDescent="0.25">
      <c r="B46" s="12" t="str">
        <f t="shared" si="2"/>
        <v>J x5</v>
      </c>
      <c r="C46" s="97"/>
      <c r="D46" s="25">
        <f t="shared" si="4"/>
        <v>0</v>
      </c>
      <c r="E46" s="26">
        <f>'Game Info'!AA14</f>
        <v>100</v>
      </c>
      <c r="F46" s="29">
        <f t="shared" si="3"/>
        <v>0</v>
      </c>
      <c r="G46" s="45"/>
      <c r="H46" s="45"/>
      <c r="I46" s="88" t="s">
        <v>42</v>
      </c>
      <c r="J46" s="90" t="s">
        <v>44</v>
      </c>
      <c r="K46" s="79" t="s">
        <v>25</v>
      </c>
      <c r="L46" s="79" t="s">
        <v>44</v>
      </c>
      <c r="M46" s="79" t="s">
        <v>44</v>
      </c>
      <c r="N46" s="78" t="s">
        <v>25</v>
      </c>
      <c r="O46" s="97"/>
      <c r="P46" s="44">
        <f t="shared" si="5"/>
        <v>0</v>
      </c>
      <c r="Q46" s="26">
        <f t="shared" ref="Q46:Q63" si="8">Q45</f>
        <v>2</v>
      </c>
      <c r="R46" s="29">
        <f t="shared" si="6"/>
        <v>0</v>
      </c>
    </row>
    <row r="47" spans="2:18" x14ac:dyDescent="0.25">
      <c r="B47" s="12" t="str">
        <f t="shared" si="2"/>
        <v>10 x5</v>
      </c>
      <c r="C47" s="97"/>
      <c r="D47" s="25">
        <f t="shared" si="4"/>
        <v>0</v>
      </c>
      <c r="E47" s="26">
        <f>'Game Info'!AA15</f>
        <v>100</v>
      </c>
      <c r="F47" s="29">
        <f t="shared" si="3"/>
        <v>0</v>
      </c>
      <c r="G47" s="45"/>
      <c r="H47" s="45"/>
      <c r="I47" s="88" t="s">
        <v>42</v>
      </c>
      <c r="J47" s="90" t="s">
        <v>25</v>
      </c>
      <c r="K47" s="79" t="s">
        <v>44</v>
      </c>
      <c r="L47" s="79" t="s">
        <v>44</v>
      </c>
      <c r="M47" s="79" t="s">
        <v>44</v>
      </c>
      <c r="N47" s="78" t="s">
        <v>25</v>
      </c>
      <c r="O47" s="97"/>
      <c r="P47" s="44">
        <f t="shared" si="5"/>
        <v>0</v>
      </c>
      <c r="Q47" s="26">
        <f t="shared" si="8"/>
        <v>2</v>
      </c>
      <c r="R47" s="29">
        <f t="shared" si="6"/>
        <v>0</v>
      </c>
    </row>
    <row r="48" spans="2:18" x14ac:dyDescent="0.25">
      <c r="B48" s="13" t="str">
        <f t="shared" si="2"/>
        <v>9 x5</v>
      </c>
      <c r="C48" s="98"/>
      <c r="D48" s="27">
        <f t="shared" si="4"/>
        <v>0</v>
      </c>
      <c r="E48" s="28">
        <f>'Game Info'!AA16</f>
        <v>100</v>
      </c>
      <c r="F48" s="31">
        <f t="shared" si="3"/>
        <v>0</v>
      </c>
      <c r="G48" s="45"/>
      <c r="H48" s="45"/>
      <c r="I48" s="88" t="s">
        <v>42</v>
      </c>
      <c r="J48" s="90" t="s">
        <v>44</v>
      </c>
      <c r="K48" s="79" t="s">
        <v>44</v>
      </c>
      <c r="L48" s="79" t="s">
        <v>25</v>
      </c>
      <c r="M48" s="79" t="s">
        <v>25</v>
      </c>
      <c r="N48" s="78" t="s">
        <v>44</v>
      </c>
      <c r="O48" s="97"/>
      <c r="P48" s="44">
        <f t="shared" si="5"/>
        <v>0</v>
      </c>
      <c r="Q48" s="26">
        <f t="shared" si="8"/>
        <v>2</v>
      </c>
      <c r="R48" s="29">
        <f t="shared" si="6"/>
        <v>0</v>
      </c>
    </row>
    <row r="49" spans="2:18" x14ac:dyDescent="0.25">
      <c r="B49" s="12" t="str">
        <f t="shared" ref="B49:B59" si="9">B9 &amp; " x4"</f>
        <v>SYM1 x4</v>
      </c>
      <c r="C49" s="97"/>
      <c r="D49" s="25">
        <f t="shared" ref="D49:D72" si="10">C49/$G$22</f>
        <v>0</v>
      </c>
      <c r="E49" s="26">
        <f>'Game Info'!Z6</f>
        <v>100</v>
      </c>
      <c r="F49" s="29">
        <f t="shared" si="3"/>
        <v>0</v>
      </c>
      <c r="G49" s="45"/>
      <c r="H49" s="45"/>
      <c r="I49" s="88" t="s">
        <v>42</v>
      </c>
      <c r="J49" s="90" t="s">
        <v>44</v>
      </c>
      <c r="K49" s="79" t="s">
        <v>25</v>
      </c>
      <c r="L49" s="79" t="s">
        <v>44</v>
      </c>
      <c r="M49" s="79" t="s">
        <v>25</v>
      </c>
      <c r="N49" s="78" t="s">
        <v>44</v>
      </c>
      <c r="O49" s="97"/>
      <c r="P49" s="44">
        <f t="shared" si="5"/>
        <v>0</v>
      </c>
      <c r="Q49" s="26">
        <f t="shared" si="8"/>
        <v>2</v>
      </c>
      <c r="R49" s="29">
        <f t="shared" si="6"/>
        <v>0</v>
      </c>
    </row>
    <row r="50" spans="2:18" x14ac:dyDescent="0.25">
      <c r="B50" s="12" t="str">
        <f t="shared" si="9"/>
        <v>SYM2 x4</v>
      </c>
      <c r="C50" s="97"/>
      <c r="D50" s="25">
        <f t="shared" si="10"/>
        <v>0</v>
      </c>
      <c r="E50" s="26">
        <f>'Game Info'!Z7</f>
        <v>100</v>
      </c>
      <c r="F50" s="29">
        <f t="shared" si="3"/>
        <v>0</v>
      </c>
      <c r="G50" s="45"/>
      <c r="H50" s="45"/>
      <c r="I50" s="88" t="s">
        <v>42</v>
      </c>
      <c r="J50" s="90" t="s">
        <v>25</v>
      </c>
      <c r="K50" s="79" t="s">
        <v>44</v>
      </c>
      <c r="L50" s="79" t="s">
        <v>44</v>
      </c>
      <c r="M50" s="79" t="s">
        <v>25</v>
      </c>
      <c r="N50" s="78" t="s">
        <v>44</v>
      </c>
      <c r="O50" s="97"/>
      <c r="P50" s="44">
        <f t="shared" si="5"/>
        <v>0</v>
      </c>
      <c r="Q50" s="26">
        <f t="shared" si="8"/>
        <v>2</v>
      </c>
      <c r="R50" s="29">
        <f t="shared" si="6"/>
        <v>0</v>
      </c>
    </row>
    <row r="51" spans="2:18" x14ac:dyDescent="0.25">
      <c r="B51" s="12" t="str">
        <f t="shared" si="9"/>
        <v>SYM3 x4</v>
      </c>
      <c r="C51" s="97"/>
      <c r="D51" s="25">
        <f t="shared" si="10"/>
        <v>0</v>
      </c>
      <c r="E51" s="26">
        <f>'Game Info'!Z8</f>
        <v>100</v>
      </c>
      <c r="F51" s="29">
        <f t="shared" si="3"/>
        <v>0</v>
      </c>
      <c r="G51" s="45"/>
      <c r="H51" s="45"/>
      <c r="I51" s="88" t="s">
        <v>42</v>
      </c>
      <c r="J51" s="90" t="s">
        <v>44</v>
      </c>
      <c r="K51" s="79" t="s">
        <v>25</v>
      </c>
      <c r="L51" s="79" t="s">
        <v>25</v>
      </c>
      <c r="M51" s="79" t="s">
        <v>44</v>
      </c>
      <c r="N51" s="78" t="s">
        <v>44</v>
      </c>
      <c r="O51" s="97"/>
      <c r="P51" s="44">
        <f t="shared" si="5"/>
        <v>0</v>
      </c>
      <c r="Q51" s="26">
        <f t="shared" si="8"/>
        <v>2</v>
      </c>
      <c r="R51" s="29">
        <f t="shared" si="6"/>
        <v>0</v>
      </c>
    </row>
    <row r="52" spans="2:18" s="45" customFormat="1" x14ac:dyDescent="0.25">
      <c r="B52" s="12" t="str">
        <f t="shared" si="9"/>
        <v>SYM4 x4</v>
      </c>
      <c r="C52" s="97"/>
      <c r="D52" s="25">
        <f t="shared" si="10"/>
        <v>0</v>
      </c>
      <c r="E52" s="26">
        <f>'Game Info'!Z9</f>
        <v>80</v>
      </c>
      <c r="F52" s="29">
        <f t="shared" si="3"/>
        <v>0</v>
      </c>
      <c r="I52" s="88" t="s">
        <v>42</v>
      </c>
      <c r="J52" s="90" t="s">
        <v>25</v>
      </c>
      <c r="K52" s="79" t="s">
        <v>44</v>
      </c>
      <c r="L52" s="79" t="s">
        <v>25</v>
      </c>
      <c r="M52" s="79" t="s">
        <v>44</v>
      </c>
      <c r="N52" s="78" t="s">
        <v>44</v>
      </c>
      <c r="O52" s="97"/>
      <c r="P52" s="44">
        <f t="shared" si="5"/>
        <v>0</v>
      </c>
      <c r="Q52" s="26">
        <f t="shared" si="8"/>
        <v>2</v>
      </c>
      <c r="R52" s="29">
        <f t="shared" si="6"/>
        <v>0</v>
      </c>
    </row>
    <row r="53" spans="2:18" s="45" customFormat="1" x14ac:dyDescent="0.25">
      <c r="B53" s="12" t="str">
        <f t="shared" si="9"/>
        <v>SYM5 x4</v>
      </c>
      <c r="C53" s="97"/>
      <c r="D53" s="25">
        <f t="shared" si="10"/>
        <v>0</v>
      </c>
      <c r="E53" s="26">
        <f>'Game Info'!Z10</f>
        <v>80</v>
      </c>
      <c r="F53" s="29">
        <f t="shared" si="3"/>
        <v>0</v>
      </c>
      <c r="I53" s="89" t="s">
        <v>42</v>
      </c>
      <c r="J53" s="91" t="s">
        <v>25</v>
      </c>
      <c r="K53" s="80" t="s">
        <v>25</v>
      </c>
      <c r="L53" s="80" t="s">
        <v>44</v>
      </c>
      <c r="M53" s="80" t="s">
        <v>44</v>
      </c>
      <c r="N53" s="81" t="s">
        <v>44</v>
      </c>
      <c r="O53" s="98"/>
      <c r="P53" s="49">
        <f t="shared" si="5"/>
        <v>0</v>
      </c>
      <c r="Q53" s="28">
        <f t="shared" si="8"/>
        <v>2</v>
      </c>
      <c r="R53" s="31">
        <f t="shared" si="6"/>
        <v>0</v>
      </c>
    </row>
    <row r="54" spans="2:18" x14ac:dyDescent="0.25">
      <c r="B54" s="12" t="str">
        <f t="shared" si="9"/>
        <v>A x4</v>
      </c>
      <c r="C54" s="97"/>
      <c r="D54" s="25">
        <f t="shared" si="10"/>
        <v>0</v>
      </c>
      <c r="E54" s="26">
        <f>'Game Info'!Z11</f>
        <v>50</v>
      </c>
      <c r="F54" s="29">
        <f t="shared" si="3"/>
        <v>0</v>
      </c>
      <c r="G54" s="45"/>
      <c r="H54" s="45"/>
      <c r="I54" s="88" t="s">
        <v>43</v>
      </c>
      <c r="J54" s="90" t="s">
        <v>25</v>
      </c>
      <c r="K54" s="79" t="s">
        <v>25</v>
      </c>
      <c r="L54" s="79" t="s">
        <v>25</v>
      </c>
      <c r="M54" s="79" t="s">
        <v>44</v>
      </c>
      <c r="N54" s="78" t="s">
        <v>44</v>
      </c>
      <c r="O54" s="97"/>
      <c r="P54" s="44">
        <f t="shared" si="5"/>
        <v>0</v>
      </c>
      <c r="Q54" s="26">
        <v>0</v>
      </c>
      <c r="R54" s="29">
        <f t="shared" si="6"/>
        <v>0</v>
      </c>
    </row>
    <row r="55" spans="2:18" x14ac:dyDescent="0.25">
      <c r="B55" s="12" t="str">
        <f t="shared" si="9"/>
        <v>K x4</v>
      </c>
      <c r="C55" s="97"/>
      <c r="D55" s="25">
        <f t="shared" si="10"/>
        <v>0</v>
      </c>
      <c r="E55" s="26">
        <f>'Game Info'!Z12</f>
        <v>50</v>
      </c>
      <c r="F55" s="29">
        <f t="shared" si="3"/>
        <v>0</v>
      </c>
      <c r="G55" s="45"/>
      <c r="H55" s="45"/>
      <c r="I55" s="88" t="s">
        <v>43</v>
      </c>
      <c r="J55" s="90" t="s">
        <v>25</v>
      </c>
      <c r="K55" s="79" t="s">
        <v>25</v>
      </c>
      <c r="L55" s="79" t="s">
        <v>44</v>
      </c>
      <c r="M55" s="79" t="s">
        <v>25</v>
      </c>
      <c r="N55" s="78" t="s">
        <v>44</v>
      </c>
      <c r="O55" s="97"/>
      <c r="P55" s="44">
        <f t="shared" si="5"/>
        <v>0</v>
      </c>
      <c r="Q55" s="26">
        <f t="shared" si="8"/>
        <v>0</v>
      </c>
      <c r="R55" s="29">
        <f t="shared" si="6"/>
        <v>0</v>
      </c>
    </row>
    <row r="56" spans="2:18" x14ac:dyDescent="0.25">
      <c r="B56" s="12" t="str">
        <f t="shared" si="9"/>
        <v>Q x4</v>
      </c>
      <c r="C56" s="97"/>
      <c r="D56" s="25">
        <f t="shared" si="10"/>
        <v>0</v>
      </c>
      <c r="E56" s="26">
        <f>'Game Info'!Z13</f>
        <v>20</v>
      </c>
      <c r="F56" s="29">
        <f t="shared" si="3"/>
        <v>0</v>
      </c>
      <c r="G56" s="45"/>
      <c r="H56" s="45"/>
      <c r="I56" s="88" t="s">
        <v>43</v>
      </c>
      <c r="J56" s="90" t="s">
        <v>25</v>
      </c>
      <c r="K56" s="79" t="s">
        <v>25</v>
      </c>
      <c r="L56" s="79" t="s">
        <v>44</v>
      </c>
      <c r="M56" s="79" t="s">
        <v>44</v>
      </c>
      <c r="N56" s="78" t="s">
        <v>25</v>
      </c>
      <c r="O56" s="97"/>
      <c r="P56" s="44">
        <f t="shared" si="5"/>
        <v>0</v>
      </c>
      <c r="Q56" s="26">
        <f t="shared" si="8"/>
        <v>0</v>
      </c>
      <c r="R56" s="29">
        <f t="shared" si="6"/>
        <v>0</v>
      </c>
    </row>
    <row r="57" spans="2:18" x14ac:dyDescent="0.25">
      <c r="B57" s="12" t="str">
        <f t="shared" si="9"/>
        <v>J x4</v>
      </c>
      <c r="C57" s="97"/>
      <c r="D57" s="25">
        <f t="shared" si="10"/>
        <v>0</v>
      </c>
      <c r="E57" s="26">
        <f>'Game Info'!Z14</f>
        <v>20</v>
      </c>
      <c r="F57" s="29">
        <f t="shared" si="3"/>
        <v>0</v>
      </c>
      <c r="G57" s="45"/>
      <c r="H57" s="45"/>
      <c r="I57" s="88" t="s">
        <v>43</v>
      </c>
      <c r="J57" s="90" t="s">
        <v>25</v>
      </c>
      <c r="K57" s="79" t="s">
        <v>44</v>
      </c>
      <c r="L57" s="79" t="s">
        <v>25</v>
      </c>
      <c r="M57" s="79" t="s">
        <v>25</v>
      </c>
      <c r="N57" s="78" t="s">
        <v>44</v>
      </c>
      <c r="O57" s="97"/>
      <c r="P57" s="44">
        <f t="shared" si="5"/>
        <v>0</v>
      </c>
      <c r="Q57" s="26">
        <f t="shared" si="8"/>
        <v>0</v>
      </c>
      <c r="R57" s="29">
        <f t="shared" si="6"/>
        <v>0</v>
      </c>
    </row>
    <row r="58" spans="2:18" x14ac:dyDescent="0.25">
      <c r="B58" s="12" t="str">
        <f t="shared" si="9"/>
        <v>10 x4</v>
      </c>
      <c r="C58" s="97"/>
      <c r="D58" s="25">
        <f t="shared" si="10"/>
        <v>0</v>
      </c>
      <c r="E58" s="26">
        <f>'Game Info'!Z15</f>
        <v>10</v>
      </c>
      <c r="F58" s="29">
        <f t="shared" si="3"/>
        <v>0</v>
      </c>
      <c r="G58" s="45"/>
      <c r="H58" s="45"/>
      <c r="I58" s="88" t="s">
        <v>43</v>
      </c>
      <c r="J58" s="90" t="s">
        <v>25</v>
      </c>
      <c r="K58" s="79" t="s">
        <v>44</v>
      </c>
      <c r="L58" s="79" t="s">
        <v>25</v>
      </c>
      <c r="M58" s="79" t="s">
        <v>44</v>
      </c>
      <c r="N58" s="78" t="s">
        <v>25</v>
      </c>
      <c r="O58" s="97"/>
      <c r="P58" s="44">
        <f t="shared" si="5"/>
        <v>0</v>
      </c>
      <c r="Q58" s="26">
        <f t="shared" si="8"/>
        <v>0</v>
      </c>
      <c r="R58" s="29">
        <f t="shared" si="6"/>
        <v>0</v>
      </c>
    </row>
    <row r="59" spans="2:18" x14ac:dyDescent="0.25">
      <c r="B59" s="13" t="str">
        <f t="shared" si="9"/>
        <v>9 x4</v>
      </c>
      <c r="C59" s="98"/>
      <c r="D59" s="27">
        <f t="shared" si="10"/>
        <v>0</v>
      </c>
      <c r="E59" s="28">
        <f>'Game Info'!Z16</f>
        <v>10</v>
      </c>
      <c r="F59" s="31">
        <f t="shared" si="3"/>
        <v>0</v>
      </c>
      <c r="G59" s="45"/>
      <c r="H59" s="45"/>
      <c r="I59" s="88" t="s">
        <v>43</v>
      </c>
      <c r="J59" s="90" t="s">
        <v>25</v>
      </c>
      <c r="K59" s="79" t="s">
        <v>44</v>
      </c>
      <c r="L59" s="79" t="s">
        <v>44</v>
      </c>
      <c r="M59" s="79" t="s">
        <v>25</v>
      </c>
      <c r="N59" s="78" t="s">
        <v>25</v>
      </c>
      <c r="O59" s="97"/>
      <c r="P59" s="44">
        <f t="shared" si="5"/>
        <v>0</v>
      </c>
      <c r="Q59" s="26">
        <f t="shared" si="8"/>
        <v>0</v>
      </c>
      <c r="R59" s="29">
        <f t="shared" si="6"/>
        <v>0</v>
      </c>
    </row>
    <row r="60" spans="2:18" x14ac:dyDescent="0.25">
      <c r="B60" s="11" t="str">
        <f t="shared" ref="B60:B70" si="11">B9 &amp; " x3"</f>
        <v>SYM1 x3</v>
      </c>
      <c r="C60" s="99"/>
      <c r="D60" s="23">
        <f t="shared" si="10"/>
        <v>0</v>
      </c>
      <c r="E60" s="24">
        <f>'Game Info'!Y6</f>
        <v>50</v>
      </c>
      <c r="F60" s="30">
        <f t="shared" si="3"/>
        <v>0</v>
      </c>
      <c r="G60" s="45"/>
      <c r="H60" s="45"/>
      <c r="I60" s="88" t="s">
        <v>43</v>
      </c>
      <c r="J60" s="90" t="s">
        <v>44</v>
      </c>
      <c r="K60" s="79" t="s">
        <v>25</v>
      </c>
      <c r="L60" s="79" t="s">
        <v>25</v>
      </c>
      <c r="M60" s="79" t="s">
        <v>25</v>
      </c>
      <c r="N60" s="78" t="s">
        <v>44</v>
      </c>
      <c r="O60" s="97"/>
      <c r="P60" s="44">
        <f t="shared" si="5"/>
        <v>0</v>
      </c>
      <c r="Q60" s="26">
        <f t="shared" si="8"/>
        <v>0</v>
      </c>
      <c r="R60" s="29">
        <f t="shared" si="6"/>
        <v>0</v>
      </c>
    </row>
    <row r="61" spans="2:18" x14ac:dyDescent="0.25">
      <c r="B61" s="12" t="str">
        <f t="shared" si="11"/>
        <v>SYM2 x3</v>
      </c>
      <c r="C61" s="97"/>
      <c r="D61" s="25">
        <f t="shared" si="10"/>
        <v>0</v>
      </c>
      <c r="E61" s="26">
        <f>'Game Info'!Y7</f>
        <v>50</v>
      </c>
      <c r="F61" s="29">
        <f t="shared" si="3"/>
        <v>0</v>
      </c>
      <c r="G61" s="45"/>
      <c r="H61" s="45"/>
      <c r="I61" s="88" t="s">
        <v>43</v>
      </c>
      <c r="J61" s="90" t="s">
        <v>44</v>
      </c>
      <c r="K61" s="79" t="s">
        <v>25</v>
      </c>
      <c r="L61" s="79" t="s">
        <v>25</v>
      </c>
      <c r="M61" s="79" t="s">
        <v>44</v>
      </c>
      <c r="N61" s="78" t="s">
        <v>25</v>
      </c>
      <c r="O61" s="97"/>
      <c r="P61" s="44">
        <f t="shared" si="5"/>
        <v>0</v>
      </c>
      <c r="Q61" s="26">
        <f t="shared" si="8"/>
        <v>0</v>
      </c>
      <c r="R61" s="29">
        <f t="shared" si="6"/>
        <v>0</v>
      </c>
    </row>
    <row r="62" spans="2:18" x14ac:dyDescent="0.25">
      <c r="B62" s="12" t="str">
        <f t="shared" si="11"/>
        <v>SYM3 x3</v>
      </c>
      <c r="C62" s="97"/>
      <c r="D62" s="25">
        <f t="shared" si="10"/>
        <v>0</v>
      </c>
      <c r="E62" s="26">
        <f>'Game Info'!Y8</f>
        <v>50</v>
      </c>
      <c r="F62" s="29">
        <f t="shared" si="3"/>
        <v>0</v>
      </c>
      <c r="G62" s="45"/>
      <c r="H62" s="45"/>
      <c r="I62" s="88" t="s">
        <v>43</v>
      </c>
      <c r="J62" s="90" t="s">
        <v>44</v>
      </c>
      <c r="K62" s="79" t="s">
        <v>25</v>
      </c>
      <c r="L62" s="79" t="s">
        <v>44</v>
      </c>
      <c r="M62" s="79" t="s">
        <v>25</v>
      </c>
      <c r="N62" s="78" t="s">
        <v>25</v>
      </c>
      <c r="O62" s="97"/>
      <c r="P62" s="44">
        <f t="shared" si="5"/>
        <v>0</v>
      </c>
      <c r="Q62" s="26">
        <f t="shared" si="8"/>
        <v>0</v>
      </c>
      <c r="R62" s="29">
        <f t="shared" si="6"/>
        <v>0</v>
      </c>
    </row>
    <row r="63" spans="2:18" s="45" customFormat="1" x14ac:dyDescent="0.25">
      <c r="B63" s="12" t="str">
        <f t="shared" si="11"/>
        <v>SYM4 x3</v>
      </c>
      <c r="C63" s="97"/>
      <c r="D63" s="25">
        <f t="shared" si="10"/>
        <v>0</v>
      </c>
      <c r="E63" s="26">
        <f>'Game Info'!Y9</f>
        <v>20</v>
      </c>
      <c r="F63" s="29">
        <f t="shared" si="3"/>
        <v>0</v>
      </c>
      <c r="I63" s="89" t="s">
        <v>43</v>
      </c>
      <c r="J63" s="91" t="s">
        <v>44</v>
      </c>
      <c r="K63" s="80" t="s">
        <v>44</v>
      </c>
      <c r="L63" s="80" t="s">
        <v>25</v>
      </c>
      <c r="M63" s="80" t="s">
        <v>25</v>
      </c>
      <c r="N63" s="81" t="s">
        <v>25</v>
      </c>
      <c r="O63" s="98"/>
      <c r="P63" s="49">
        <f t="shared" si="5"/>
        <v>0</v>
      </c>
      <c r="Q63" s="28">
        <f t="shared" si="8"/>
        <v>0</v>
      </c>
      <c r="R63" s="31">
        <f t="shared" si="6"/>
        <v>0</v>
      </c>
    </row>
    <row r="64" spans="2:18" s="45" customFormat="1" x14ac:dyDescent="0.25">
      <c r="B64" s="12" t="str">
        <f t="shared" si="11"/>
        <v>SYM5 x3</v>
      </c>
      <c r="C64" s="97"/>
      <c r="D64" s="25">
        <f t="shared" si="10"/>
        <v>0</v>
      </c>
      <c r="E64" s="26">
        <f>'Game Info'!Y10</f>
        <v>20</v>
      </c>
      <c r="F64" s="29">
        <f t="shared" si="3"/>
        <v>0</v>
      </c>
      <c r="I64" s="84"/>
      <c r="L64" s="77"/>
      <c r="M64" s="41"/>
    </row>
    <row r="65" spans="2:13" x14ac:dyDescent="0.25">
      <c r="B65" s="12" t="str">
        <f t="shared" si="11"/>
        <v>A x3</v>
      </c>
      <c r="C65" s="97"/>
      <c r="D65" s="25">
        <f t="shared" si="10"/>
        <v>0</v>
      </c>
      <c r="E65" s="26">
        <f>'Game Info'!Y11</f>
        <v>10</v>
      </c>
      <c r="F65" s="29">
        <f t="shared" si="3"/>
        <v>0</v>
      </c>
      <c r="G65" s="45"/>
      <c r="H65" s="45"/>
      <c r="I65" s="84"/>
      <c r="J65" s="45"/>
      <c r="K65" s="45"/>
      <c r="L65" s="77"/>
      <c r="M65" s="41"/>
    </row>
    <row r="66" spans="2:13" x14ac:dyDescent="0.25">
      <c r="B66" s="12" t="str">
        <f t="shared" si="11"/>
        <v>K x3</v>
      </c>
      <c r="C66" s="97"/>
      <c r="D66" s="25">
        <f t="shared" si="10"/>
        <v>0</v>
      </c>
      <c r="E66" s="26">
        <f>'Game Info'!Y12</f>
        <v>10</v>
      </c>
      <c r="F66" s="29">
        <f t="shared" si="3"/>
        <v>0</v>
      </c>
      <c r="G66" s="45"/>
      <c r="H66" s="45"/>
      <c r="I66" s="84"/>
      <c r="J66" s="45"/>
      <c r="K66" s="45"/>
      <c r="L66" s="77"/>
      <c r="M66" s="41"/>
    </row>
    <row r="67" spans="2:13" x14ac:dyDescent="0.25">
      <c r="B67" s="12" t="str">
        <f t="shared" si="11"/>
        <v>Q x3</v>
      </c>
      <c r="C67" s="97"/>
      <c r="D67" s="25">
        <f t="shared" si="10"/>
        <v>0</v>
      </c>
      <c r="E67" s="26">
        <f>'Game Info'!Y13</f>
        <v>5</v>
      </c>
      <c r="F67" s="29">
        <f t="shared" si="3"/>
        <v>0</v>
      </c>
      <c r="G67" s="45"/>
      <c r="H67" s="45"/>
      <c r="I67" s="84"/>
      <c r="J67" s="45"/>
      <c r="K67" s="45"/>
      <c r="L67" s="77"/>
      <c r="M67" s="41"/>
    </row>
    <row r="68" spans="2:13" x14ac:dyDescent="0.25">
      <c r="B68" s="12" t="str">
        <f t="shared" si="11"/>
        <v>J x3</v>
      </c>
      <c r="C68" s="97"/>
      <c r="D68" s="25">
        <f t="shared" si="10"/>
        <v>0</v>
      </c>
      <c r="E68" s="26">
        <f>'Game Info'!Y14</f>
        <v>5</v>
      </c>
      <c r="F68" s="29">
        <f t="shared" si="3"/>
        <v>0</v>
      </c>
      <c r="G68" s="45"/>
      <c r="H68" s="45"/>
      <c r="I68" s="84"/>
      <c r="J68" s="45"/>
      <c r="K68" s="45"/>
      <c r="L68" s="77"/>
      <c r="M68" s="41"/>
    </row>
    <row r="69" spans="2:13" x14ac:dyDescent="0.25">
      <c r="B69" s="12" t="str">
        <f t="shared" si="11"/>
        <v>10 x3</v>
      </c>
      <c r="C69" s="97"/>
      <c r="D69" s="25">
        <f t="shared" si="10"/>
        <v>0</v>
      </c>
      <c r="E69" s="26">
        <f>'Game Info'!Y15</f>
        <v>5</v>
      </c>
      <c r="F69" s="29">
        <f t="shared" si="3"/>
        <v>0</v>
      </c>
      <c r="G69" s="45"/>
      <c r="H69" s="45"/>
      <c r="I69" s="84"/>
      <c r="J69" s="45"/>
      <c r="K69" s="45"/>
      <c r="L69" s="77"/>
      <c r="M69" s="41"/>
    </row>
    <row r="70" spans="2:13" x14ac:dyDescent="0.25">
      <c r="B70" s="13" t="str">
        <f t="shared" si="11"/>
        <v>9 x3</v>
      </c>
      <c r="C70" s="98"/>
      <c r="D70" s="27">
        <f t="shared" si="10"/>
        <v>0</v>
      </c>
      <c r="E70" s="28">
        <f>'Game Info'!Y16</f>
        <v>5</v>
      </c>
      <c r="F70" s="31">
        <f t="shared" si="3"/>
        <v>0</v>
      </c>
      <c r="G70" s="45"/>
      <c r="H70" s="45"/>
      <c r="I70" s="84"/>
      <c r="J70" s="45"/>
      <c r="K70" s="45"/>
      <c r="L70" s="77"/>
      <c r="M70" s="41"/>
    </row>
    <row r="71" spans="2:13" s="45" customFormat="1" x14ac:dyDescent="0.25">
      <c r="B71" s="11" t="str">
        <f>B9 &amp; " x2"</f>
        <v>SYM1 x2</v>
      </c>
      <c r="C71" s="97"/>
      <c r="D71" s="25">
        <f t="shared" si="10"/>
        <v>0</v>
      </c>
      <c r="E71" s="26">
        <f>'Game Info'!X6</f>
        <v>10</v>
      </c>
      <c r="F71" s="29">
        <f t="shared" si="3"/>
        <v>0</v>
      </c>
      <c r="I71" s="84"/>
      <c r="L71" s="77"/>
      <c r="M71" s="41"/>
    </row>
    <row r="72" spans="2:13" s="45" customFormat="1" x14ac:dyDescent="0.25">
      <c r="B72" s="13" t="str">
        <f>B19 &amp; " x2"</f>
        <v>9 x2</v>
      </c>
      <c r="C72" s="98"/>
      <c r="D72" s="27">
        <f t="shared" si="10"/>
        <v>0</v>
      </c>
      <c r="E72" s="28">
        <f>'Game Info'!X16</f>
        <v>2</v>
      </c>
      <c r="F72" s="31">
        <f t="shared" si="3"/>
        <v>0</v>
      </c>
      <c r="I72" s="84"/>
      <c r="L72" s="77"/>
      <c r="M72" s="41"/>
    </row>
    <row r="73" spans="2:13" x14ac:dyDescent="0.25">
      <c r="B73" s="45"/>
      <c r="C73" s="45"/>
      <c r="D73" s="45"/>
      <c r="E73" s="45"/>
      <c r="F73" s="45"/>
      <c r="G73" s="45"/>
      <c r="H73" s="45"/>
      <c r="I73" s="45"/>
      <c r="J73" s="45"/>
      <c r="K73" s="45"/>
      <c r="L73" s="45"/>
      <c r="M73" s="45"/>
    </row>
    <row r="74" spans="2:13" x14ac:dyDescent="0.25">
      <c r="B74" s="45"/>
      <c r="C74" s="45"/>
      <c r="D74" s="45"/>
      <c r="E74" s="45"/>
      <c r="F74" s="45"/>
      <c r="G74" s="45"/>
      <c r="H74" s="45"/>
      <c r="I74" s="45"/>
      <c r="J74" s="45"/>
      <c r="K74" s="45"/>
      <c r="L74" s="45"/>
      <c r="M74" s="45"/>
    </row>
    <row r="75" spans="2:13" x14ac:dyDescent="0.25">
      <c r="B75" s="45"/>
      <c r="C75" s="45"/>
      <c r="D75" s="45"/>
      <c r="E75" s="45"/>
      <c r="F75" s="45"/>
      <c r="G75" s="45"/>
      <c r="H75" s="45"/>
      <c r="I75" s="45"/>
      <c r="J75" s="45"/>
      <c r="K75" s="45"/>
      <c r="L75" s="45"/>
      <c r="M75" s="45"/>
    </row>
    <row r="76" spans="2:13" x14ac:dyDescent="0.25">
      <c r="B76" s="45"/>
      <c r="C76" s="45"/>
      <c r="D76" s="45"/>
      <c r="E76" s="45"/>
      <c r="F76" s="45"/>
      <c r="G76" s="45"/>
      <c r="H76" s="45"/>
      <c r="I76" s="45"/>
      <c r="J76" s="45"/>
      <c r="K76" s="45"/>
      <c r="L76" s="45"/>
      <c r="M76" s="45"/>
    </row>
    <row r="77" spans="2:13" x14ac:dyDescent="0.25">
      <c r="B77" s="45"/>
      <c r="C77" s="45"/>
      <c r="D77" s="45"/>
      <c r="E77" s="45"/>
      <c r="F77" s="45"/>
      <c r="G77" s="45"/>
      <c r="H77" s="45"/>
      <c r="I77" s="45"/>
      <c r="J77" s="45"/>
      <c r="K77" s="45"/>
      <c r="L77" s="45"/>
      <c r="M77" s="45"/>
    </row>
    <row r="78" spans="2:13" x14ac:dyDescent="0.25">
      <c r="B78" s="45"/>
      <c r="C78" s="45"/>
      <c r="D78" s="45"/>
      <c r="E78" s="45"/>
      <c r="F78" s="45"/>
      <c r="G78" s="45"/>
      <c r="H78" s="45"/>
      <c r="I78" s="45"/>
      <c r="J78" s="45"/>
      <c r="K78" s="45"/>
      <c r="L78" s="45"/>
      <c r="M78" s="45"/>
    </row>
    <row r="79" spans="2:13" x14ac:dyDescent="0.25">
      <c r="B79" s="45"/>
      <c r="C79" s="45"/>
      <c r="D79" s="45"/>
      <c r="E79" s="45"/>
      <c r="F79" s="45"/>
      <c r="G79" s="45"/>
      <c r="H79" s="45"/>
      <c r="I79" s="45"/>
      <c r="J79" s="45"/>
      <c r="K79" s="45"/>
      <c r="L79" s="45"/>
      <c r="M79" s="45"/>
    </row>
  </sheetData>
  <phoneticPr fontId="6" type="noConversion"/>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C24A3-8E5C-42ED-8144-18EF5E6B6337}">
  <dimension ref="B2:R72"/>
  <sheetViews>
    <sheetView tabSelected="1" zoomScaleNormal="100" workbookViewId="0">
      <selection activeCell="B7" sqref="B7"/>
    </sheetView>
  </sheetViews>
  <sheetFormatPr defaultColWidth="8.85546875" defaultRowHeight="15" x14ac:dyDescent="0.25"/>
  <cols>
    <col min="1" max="1" width="4" style="45" customWidth="1"/>
    <col min="2" max="7" width="12.42578125" style="45" customWidth="1"/>
    <col min="8" max="14" width="12.140625" style="45" customWidth="1"/>
    <col min="15" max="20" width="12.42578125" style="45" customWidth="1"/>
    <col min="21" max="21" width="12.140625" style="45" customWidth="1"/>
    <col min="22" max="26" width="12.42578125" style="45" customWidth="1"/>
    <col min="27" max="28" width="8.85546875" style="45"/>
    <col min="29" max="30" width="11.7109375" style="45" bestFit="1" customWidth="1"/>
    <col min="31" max="16384" width="8.85546875" style="45"/>
  </cols>
  <sheetData>
    <row r="2" spans="2:12" x14ac:dyDescent="0.25">
      <c r="B2" s="77" t="s">
        <v>45</v>
      </c>
      <c r="C2" s="115"/>
      <c r="G2" s="45" t="s">
        <v>46</v>
      </c>
      <c r="I2" s="16" t="s">
        <v>48</v>
      </c>
      <c r="J2" s="18" t="s">
        <v>29</v>
      </c>
      <c r="K2" s="17" t="s">
        <v>49</v>
      </c>
      <c r="L2" s="18" t="s">
        <v>47</v>
      </c>
    </row>
    <row r="3" spans="2:12" x14ac:dyDescent="0.25">
      <c r="B3" s="45" t="s">
        <v>46</v>
      </c>
      <c r="C3" s="114"/>
      <c r="F3" s="45" t="s">
        <v>48</v>
      </c>
      <c r="G3" s="114"/>
      <c r="I3" s="102"/>
      <c r="J3" s="103"/>
      <c r="K3" s="56">
        <f>'Game Info'!AD6</f>
        <v>20</v>
      </c>
      <c r="L3" s="112">
        <f>'Game Info'!AE6</f>
        <v>20</v>
      </c>
    </row>
    <row r="4" spans="2:12" x14ac:dyDescent="0.25">
      <c r="B4" s="45" t="s">
        <v>28</v>
      </c>
      <c r="C4" s="116"/>
      <c r="F4" s="45" t="s">
        <v>29</v>
      </c>
      <c r="G4" s="114"/>
      <c r="I4" s="102"/>
      <c r="J4" s="103"/>
      <c r="K4" s="56">
        <f>'Game Info'!AD7</f>
        <v>15</v>
      </c>
      <c r="L4" s="112">
        <f>'Game Info'!AE7</f>
        <v>15</v>
      </c>
    </row>
    <row r="5" spans="2:12" x14ac:dyDescent="0.25">
      <c r="I5" s="102"/>
      <c r="J5" s="103"/>
      <c r="K5" s="56">
        <f>'Game Info'!AD8</f>
        <v>8</v>
      </c>
      <c r="L5" s="112">
        <f>'Game Info'!AE8</f>
        <v>8</v>
      </c>
    </row>
    <row r="6" spans="2:12" x14ac:dyDescent="0.25">
      <c r="C6" s="134"/>
      <c r="D6" s="134"/>
      <c r="E6" s="134"/>
      <c r="F6" s="134"/>
      <c r="G6" s="134"/>
      <c r="I6" s="109"/>
      <c r="J6" s="105"/>
      <c r="K6" s="58" t="str">
        <f>'Game Info'!AD9</f>
        <v>--</v>
      </c>
      <c r="L6" s="113">
        <f>'Game Info'!AE9</f>
        <v>5</v>
      </c>
    </row>
    <row r="7" spans="2:12" x14ac:dyDescent="0.25">
      <c r="B7" s="19" t="s">
        <v>11</v>
      </c>
      <c r="C7" s="17" t="s">
        <v>1</v>
      </c>
      <c r="D7" s="17" t="s">
        <v>2</v>
      </c>
      <c r="E7" s="17" t="s">
        <v>3</v>
      </c>
      <c r="F7" s="17" t="s">
        <v>4</v>
      </c>
      <c r="G7" s="18" t="s">
        <v>5</v>
      </c>
      <c r="I7" s="110"/>
      <c r="J7" s="111"/>
    </row>
    <row r="8" spans="2:12" x14ac:dyDescent="0.25">
      <c r="B8" s="20" t="s">
        <v>30</v>
      </c>
      <c r="C8" s="44">
        <f>'FG Reels'!B3</f>
        <v>0</v>
      </c>
      <c r="D8" s="44">
        <f>'FG Reels'!C3</f>
        <v>3</v>
      </c>
      <c r="E8" s="44">
        <f>'FG Reels'!D3</f>
        <v>3</v>
      </c>
      <c r="F8" s="44">
        <f>'FG Reels'!E3</f>
        <v>2</v>
      </c>
      <c r="G8" s="48">
        <f>'FG Reels'!F3</f>
        <v>0</v>
      </c>
    </row>
    <row r="9" spans="2:12" x14ac:dyDescent="0.25">
      <c r="B9" s="20" t="s">
        <v>33</v>
      </c>
      <c r="C9" s="44">
        <f>'FG Reels'!B4</f>
        <v>8</v>
      </c>
      <c r="D9" s="44">
        <f>'FG Reels'!C4</f>
        <v>5</v>
      </c>
      <c r="E9" s="44">
        <f>'FG Reels'!D4</f>
        <v>12</v>
      </c>
      <c r="F9" s="44">
        <f>'FG Reels'!E4</f>
        <v>8</v>
      </c>
      <c r="G9" s="48">
        <f>'FG Reels'!F4</f>
        <v>17</v>
      </c>
    </row>
    <row r="10" spans="2:12" x14ac:dyDescent="0.25">
      <c r="B10" s="20" t="s">
        <v>34</v>
      </c>
      <c r="C10" s="44">
        <f>'FG Reels'!B5</f>
        <v>12</v>
      </c>
      <c r="D10" s="44">
        <f>'FG Reels'!C5</f>
        <v>12</v>
      </c>
      <c r="E10" s="44">
        <f>'FG Reels'!D5</f>
        <v>4</v>
      </c>
      <c r="F10" s="44">
        <f>'FG Reels'!E5</f>
        <v>9</v>
      </c>
      <c r="G10" s="48">
        <f>'FG Reels'!F5</f>
        <v>8</v>
      </c>
    </row>
    <row r="11" spans="2:12" x14ac:dyDescent="0.25">
      <c r="B11" s="20" t="s">
        <v>35</v>
      </c>
      <c r="C11" s="44">
        <f>'FG Reels'!B6</f>
        <v>14</v>
      </c>
      <c r="D11" s="44">
        <f>'FG Reels'!C6</f>
        <v>6</v>
      </c>
      <c r="E11" s="44">
        <f>'FG Reels'!D6</f>
        <v>11</v>
      </c>
      <c r="F11" s="44">
        <f>'FG Reels'!E6</f>
        <v>7</v>
      </c>
      <c r="G11" s="48">
        <f>'FG Reels'!F6</f>
        <v>15</v>
      </c>
    </row>
    <row r="12" spans="2:12" x14ac:dyDescent="0.25">
      <c r="B12" s="20" t="s">
        <v>36</v>
      </c>
      <c r="C12" s="44">
        <f>'FG Reels'!B7</f>
        <v>6</v>
      </c>
      <c r="D12" s="44">
        <f>'FG Reels'!C7</f>
        <v>10</v>
      </c>
      <c r="E12" s="44">
        <f>'FG Reels'!D7</f>
        <v>11</v>
      </c>
      <c r="F12" s="44">
        <f>'FG Reels'!E7</f>
        <v>10</v>
      </c>
      <c r="G12" s="48">
        <f>'FG Reels'!F7</f>
        <v>8</v>
      </c>
    </row>
    <row r="13" spans="2:12" x14ac:dyDescent="0.25">
      <c r="B13" s="20" t="s">
        <v>37</v>
      </c>
      <c r="C13" s="44">
        <f>'FG Reels'!B8</f>
        <v>6</v>
      </c>
      <c r="D13" s="44">
        <f>'FG Reels'!C8</f>
        <v>8</v>
      </c>
      <c r="E13" s="44">
        <f>'FG Reels'!D8</f>
        <v>10</v>
      </c>
      <c r="F13" s="44">
        <f>'FG Reels'!E8</f>
        <v>9</v>
      </c>
      <c r="G13" s="48">
        <f>'FG Reels'!F8</f>
        <v>5</v>
      </c>
    </row>
    <row r="14" spans="2:12" x14ac:dyDescent="0.25">
      <c r="B14" s="20" t="s">
        <v>22</v>
      </c>
      <c r="C14" s="44">
        <f>'FG Reels'!B9</f>
        <v>8</v>
      </c>
      <c r="D14" s="44">
        <f>'FG Reels'!C9</f>
        <v>8</v>
      </c>
      <c r="E14" s="44">
        <f>'FG Reels'!D9</f>
        <v>6</v>
      </c>
      <c r="F14" s="44">
        <f>'FG Reels'!E9</f>
        <v>5</v>
      </c>
      <c r="G14" s="48">
        <f>'FG Reels'!F9</f>
        <v>7</v>
      </c>
    </row>
    <row r="15" spans="2:12" x14ac:dyDescent="0.25">
      <c r="B15" s="20" t="s">
        <v>6</v>
      </c>
      <c r="C15" s="44">
        <f>'FG Reels'!B10</f>
        <v>7</v>
      </c>
      <c r="D15" s="44">
        <f>'FG Reels'!C10</f>
        <v>13</v>
      </c>
      <c r="E15" s="44">
        <f>'FG Reels'!D10</f>
        <v>9</v>
      </c>
      <c r="F15" s="44">
        <f>'FG Reels'!E10</f>
        <v>6</v>
      </c>
      <c r="G15" s="48">
        <f>'FG Reels'!F10</f>
        <v>15</v>
      </c>
    </row>
    <row r="16" spans="2:12" x14ac:dyDescent="0.25">
      <c r="B16" s="20" t="s">
        <v>8</v>
      </c>
      <c r="C16" s="44">
        <f>'FG Reels'!B11</f>
        <v>11</v>
      </c>
      <c r="D16" s="44">
        <f>'FG Reels'!C11</f>
        <v>10</v>
      </c>
      <c r="E16" s="44">
        <f>'FG Reels'!D11</f>
        <v>16</v>
      </c>
      <c r="F16" s="44">
        <f>'FG Reels'!E11</f>
        <v>9</v>
      </c>
      <c r="G16" s="48">
        <f>'FG Reels'!F11</f>
        <v>14</v>
      </c>
    </row>
    <row r="17" spans="2:13" x14ac:dyDescent="0.25">
      <c r="B17" s="20" t="s">
        <v>7</v>
      </c>
      <c r="C17" s="44">
        <f>'FG Reels'!B12</f>
        <v>8</v>
      </c>
      <c r="D17" s="44">
        <f>'FG Reels'!C12</f>
        <v>13</v>
      </c>
      <c r="E17" s="44">
        <f>'FG Reels'!D12</f>
        <v>9</v>
      </c>
      <c r="F17" s="44">
        <f>'FG Reels'!E12</f>
        <v>6</v>
      </c>
      <c r="G17" s="48">
        <f>'FG Reels'!F12</f>
        <v>9</v>
      </c>
    </row>
    <row r="18" spans="2:13" x14ac:dyDescent="0.25">
      <c r="B18" s="20">
        <v>10</v>
      </c>
      <c r="C18" s="44">
        <f>'FG Reels'!B13</f>
        <v>15</v>
      </c>
      <c r="D18" s="44">
        <f>'FG Reels'!C13</f>
        <v>7</v>
      </c>
      <c r="E18" s="44">
        <f>'FG Reels'!D13</f>
        <v>13</v>
      </c>
      <c r="F18" s="44">
        <f>'FG Reels'!E13</f>
        <v>6</v>
      </c>
      <c r="G18" s="48">
        <f>'FG Reels'!F13</f>
        <v>10</v>
      </c>
    </row>
    <row r="19" spans="2:13" x14ac:dyDescent="0.25">
      <c r="B19" s="20">
        <v>9</v>
      </c>
      <c r="C19" s="44">
        <f>'FG Reels'!B14</f>
        <v>9</v>
      </c>
      <c r="D19" s="44">
        <f>'FG Reels'!C14</f>
        <v>4</v>
      </c>
      <c r="E19" s="44">
        <f>'FG Reels'!D14</f>
        <v>3</v>
      </c>
      <c r="F19" s="44">
        <f>'FG Reels'!E14</f>
        <v>8</v>
      </c>
      <c r="G19" s="48">
        <f>'FG Reels'!F14</f>
        <v>4</v>
      </c>
    </row>
    <row r="20" spans="2:13" x14ac:dyDescent="0.25">
      <c r="B20" s="20" t="s">
        <v>29</v>
      </c>
      <c r="C20" s="44">
        <f>'FG Reels'!B15</f>
        <v>3</v>
      </c>
      <c r="D20" s="44">
        <f>'FG Reels'!C15</f>
        <v>3</v>
      </c>
      <c r="E20" s="44">
        <f>'FG Reels'!D15</f>
        <v>3</v>
      </c>
      <c r="F20" s="44">
        <f>'FG Reels'!E15</f>
        <v>1</v>
      </c>
      <c r="G20" s="48">
        <f>'FG Reels'!F15</f>
        <v>1</v>
      </c>
    </row>
    <row r="21" spans="2:13" x14ac:dyDescent="0.25">
      <c r="B21" s="51" t="s">
        <v>10</v>
      </c>
      <c r="C21" s="15">
        <f>SUM(C8:C20)</f>
        <v>107</v>
      </c>
      <c r="D21" s="15">
        <f t="shared" ref="D21:F21" si="0">SUM(D8:D20)</f>
        <v>102</v>
      </c>
      <c r="E21" s="15">
        <f t="shared" si="0"/>
        <v>110</v>
      </c>
      <c r="F21" s="15">
        <f t="shared" si="0"/>
        <v>86</v>
      </c>
      <c r="G21" s="46">
        <f>SUM(G8:G20)</f>
        <v>113</v>
      </c>
    </row>
    <row r="22" spans="2:13" x14ac:dyDescent="0.25">
      <c r="F22" s="14" t="s">
        <v>12</v>
      </c>
      <c r="G22" s="46">
        <f>PRODUCT(C21:G21)</f>
        <v>11666847720</v>
      </c>
    </row>
    <row r="23" spans="2:13" x14ac:dyDescent="0.25">
      <c r="I23" s="71" t="s">
        <v>26</v>
      </c>
      <c r="J23"/>
      <c r="K23"/>
      <c r="L23"/>
      <c r="M23"/>
    </row>
    <row r="24" spans="2:13" x14ac:dyDescent="0.25">
      <c r="B24" s="22" t="str">
        <f>B9</f>
        <v>SYM1</v>
      </c>
      <c r="C24" s="127"/>
      <c r="D24" s="127"/>
      <c r="E24" s="127"/>
      <c r="F24" s="127"/>
      <c r="G24" s="128"/>
      <c r="I24" s="11">
        <f>'FG Reels'!I4</f>
        <v>0</v>
      </c>
      <c r="J24" s="47">
        <f>'FG Reels'!J4</f>
        <v>0</v>
      </c>
      <c r="K24" s="47">
        <f>'FG Reels'!K4</f>
        <v>0</v>
      </c>
      <c r="L24" s="47">
        <f>'FG Reels'!L4</f>
        <v>0</v>
      </c>
      <c r="M24" s="69">
        <f>'FG Reels'!M4</f>
        <v>0</v>
      </c>
    </row>
    <row r="25" spans="2:13" x14ac:dyDescent="0.25">
      <c r="B25" s="20" t="str">
        <f>B10</f>
        <v>SYM2</v>
      </c>
      <c r="C25" s="129"/>
      <c r="D25" s="129"/>
      <c r="E25" s="129"/>
      <c r="F25" s="129"/>
      <c r="G25" s="130"/>
      <c r="I25" s="12">
        <f>'FG Reels'!I5</f>
        <v>0</v>
      </c>
      <c r="J25" s="44">
        <f>'FG Reels'!J5</f>
        <v>0</v>
      </c>
      <c r="K25" s="44">
        <f>'FG Reels'!K5</f>
        <v>0</v>
      </c>
      <c r="L25" s="44">
        <f>'FG Reels'!L5</f>
        <v>0</v>
      </c>
      <c r="M25" s="48">
        <f>'FG Reels'!M5</f>
        <v>0</v>
      </c>
    </row>
    <row r="26" spans="2:13" x14ac:dyDescent="0.25">
      <c r="B26" s="20" t="str">
        <f>B11</f>
        <v>SYM3</v>
      </c>
      <c r="C26" s="129"/>
      <c r="D26" s="129"/>
      <c r="E26" s="129"/>
      <c r="F26" s="129"/>
      <c r="G26" s="130"/>
      <c r="I26" s="12">
        <f>'FG Reels'!I6</f>
        <v>0</v>
      </c>
      <c r="J26" s="44">
        <f>'FG Reels'!J6</f>
        <v>0</v>
      </c>
      <c r="K26" s="44">
        <f>'FG Reels'!K6</f>
        <v>0</v>
      </c>
      <c r="L26" s="44">
        <f>'FG Reels'!L6</f>
        <v>0</v>
      </c>
      <c r="M26" s="48">
        <f>'FG Reels'!M6</f>
        <v>0</v>
      </c>
    </row>
    <row r="27" spans="2:13" x14ac:dyDescent="0.25">
      <c r="B27" s="20" t="str">
        <f t="shared" ref="B27:B35" si="1">B12</f>
        <v>SYM4</v>
      </c>
      <c r="C27" s="129"/>
      <c r="D27" s="129"/>
      <c r="E27" s="129"/>
      <c r="F27" s="129"/>
      <c r="G27" s="130"/>
      <c r="I27" s="12">
        <f>'FG Reels'!I7</f>
        <v>0</v>
      </c>
      <c r="J27" s="44">
        <f>'FG Reels'!J7</f>
        <v>0</v>
      </c>
      <c r="K27" s="44">
        <f>'FG Reels'!K7</f>
        <v>0</v>
      </c>
      <c r="L27" s="44">
        <f>'FG Reels'!L7</f>
        <v>0</v>
      </c>
      <c r="M27" s="48">
        <f>'FG Reels'!M7</f>
        <v>0</v>
      </c>
    </row>
    <row r="28" spans="2:13" x14ac:dyDescent="0.25">
      <c r="B28" s="20" t="str">
        <f t="shared" si="1"/>
        <v>SYM5</v>
      </c>
      <c r="C28" s="129"/>
      <c r="D28" s="129"/>
      <c r="E28" s="129"/>
      <c r="F28" s="129"/>
      <c r="G28" s="130"/>
      <c r="I28" s="12">
        <f>'FG Reels'!I8</f>
        <v>0</v>
      </c>
      <c r="J28" s="44">
        <f>'FG Reels'!J8</f>
        <v>0</v>
      </c>
      <c r="K28" s="44">
        <f>'FG Reels'!K8</f>
        <v>0</v>
      </c>
      <c r="L28" s="44">
        <f>'FG Reels'!L8</f>
        <v>0</v>
      </c>
      <c r="M28" s="48">
        <f>'FG Reels'!M8</f>
        <v>0</v>
      </c>
    </row>
    <row r="29" spans="2:13" x14ac:dyDescent="0.25">
      <c r="B29" s="20" t="str">
        <f t="shared" si="1"/>
        <v>A</v>
      </c>
      <c r="C29" s="129"/>
      <c r="D29" s="129"/>
      <c r="E29" s="129"/>
      <c r="F29" s="129"/>
      <c r="G29" s="130"/>
      <c r="I29" s="12">
        <f>'FG Reels'!I9</f>
        <v>0</v>
      </c>
      <c r="J29" s="44">
        <f>'FG Reels'!J9</f>
        <v>0</v>
      </c>
      <c r="K29" s="44">
        <f>'FG Reels'!K9</f>
        <v>0</v>
      </c>
      <c r="L29" s="44">
        <f>'FG Reels'!L9</f>
        <v>0</v>
      </c>
      <c r="M29" s="48">
        <f>'FG Reels'!M9</f>
        <v>0</v>
      </c>
    </row>
    <row r="30" spans="2:13" x14ac:dyDescent="0.25">
      <c r="B30" s="20" t="str">
        <f t="shared" si="1"/>
        <v>K</v>
      </c>
      <c r="C30" s="129"/>
      <c r="D30" s="129"/>
      <c r="E30" s="129"/>
      <c r="F30" s="129"/>
      <c r="G30" s="130"/>
      <c r="I30" s="12">
        <f>'FG Reels'!I10</f>
        <v>0</v>
      </c>
      <c r="J30" s="44">
        <f>'FG Reels'!J10</f>
        <v>0</v>
      </c>
      <c r="K30" s="44">
        <f>'FG Reels'!K10</f>
        <v>0</v>
      </c>
      <c r="L30" s="44">
        <f>'FG Reels'!L10</f>
        <v>0</v>
      </c>
      <c r="M30" s="48">
        <f>'FG Reels'!M10</f>
        <v>0</v>
      </c>
    </row>
    <row r="31" spans="2:13" x14ac:dyDescent="0.25">
      <c r="B31" s="20" t="str">
        <f t="shared" si="1"/>
        <v>Q</v>
      </c>
      <c r="C31" s="129"/>
      <c r="D31" s="129"/>
      <c r="E31" s="129"/>
      <c r="F31" s="129"/>
      <c r="G31" s="130"/>
      <c r="I31" s="12">
        <f>'FG Reels'!I11</f>
        <v>0</v>
      </c>
      <c r="J31" s="44">
        <f>'FG Reels'!J11</f>
        <v>0</v>
      </c>
      <c r="K31" s="44">
        <f>'FG Reels'!K11</f>
        <v>0</v>
      </c>
      <c r="L31" s="44">
        <f>'FG Reels'!L11</f>
        <v>0</v>
      </c>
      <c r="M31" s="48">
        <f>'FG Reels'!M11</f>
        <v>0</v>
      </c>
    </row>
    <row r="32" spans="2:13" x14ac:dyDescent="0.25">
      <c r="B32" s="20" t="str">
        <f t="shared" si="1"/>
        <v>J</v>
      </c>
      <c r="C32" s="129"/>
      <c r="D32" s="129"/>
      <c r="E32" s="129"/>
      <c r="F32" s="129"/>
      <c r="G32" s="130"/>
      <c r="I32" s="12">
        <f>'FG Reels'!I12</f>
        <v>0</v>
      </c>
      <c r="J32" s="44">
        <f>'FG Reels'!J12</f>
        <v>0</v>
      </c>
      <c r="K32" s="44">
        <f>'FG Reels'!K12</f>
        <v>0</v>
      </c>
      <c r="L32" s="44">
        <f>'FG Reels'!L12</f>
        <v>0</v>
      </c>
      <c r="M32" s="48">
        <f>'FG Reels'!M12</f>
        <v>0</v>
      </c>
    </row>
    <row r="33" spans="2:18" x14ac:dyDescent="0.25">
      <c r="B33" s="20">
        <f t="shared" si="1"/>
        <v>10</v>
      </c>
      <c r="C33" s="129"/>
      <c r="D33" s="129"/>
      <c r="E33" s="129"/>
      <c r="F33" s="129"/>
      <c r="G33" s="130"/>
      <c r="I33" s="12">
        <f>'FG Reels'!I13</f>
        <v>0</v>
      </c>
      <c r="J33" s="44">
        <f>'FG Reels'!J13</f>
        <v>0</v>
      </c>
      <c r="K33" s="44">
        <f>'FG Reels'!K13</f>
        <v>0</v>
      </c>
      <c r="L33" s="44">
        <f>'FG Reels'!L13</f>
        <v>0</v>
      </c>
      <c r="M33" s="48">
        <f>'FG Reels'!M13</f>
        <v>0</v>
      </c>
    </row>
    <row r="34" spans="2:18" x14ac:dyDescent="0.25">
      <c r="B34" s="21">
        <f t="shared" si="1"/>
        <v>9</v>
      </c>
      <c r="C34" s="131"/>
      <c r="D34" s="131"/>
      <c r="E34" s="131"/>
      <c r="F34" s="131"/>
      <c r="G34" s="132"/>
      <c r="I34" s="13">
        <f>'FG Reels'!I14</f>
        <v>0</v>
      </c>
      <c r="J34" s="49">
        <f>'FG Reels'!J14</f>
        <v>0</v>
      </c>
      <c r="K34" s="49">
        <f>'FG Reels'!K14</f>
        <v>0</v>
      </c>
      <c r="L34" s="49">
        <f>'FG Reels'!L14</f>
        <v>0</v>
      </c>
      <c r="M34" s="70">
        <f>'FG Reels'!M14</f>
        <v>0</v>
      </c>
    </row>
    <row r="35" spans="2:18" x14ac:dyDescent="0.25">
      <c r="B35" s="21" t="str">
        <f t="shared" si="1"/>
        <v>FG</v>
      </c>
      <c r="C35" s="131"/>
      <c r="D35" s="131"/>
      <c r="E35" s="131"/>
      <c r="F35" s="131"/>
      <c r="G35" s="132"/>
      <c r="I35" s="44"/>
      <c r="J35" s="44"/>
      <c r="K35" s="44"/>
      <c r="L35" s="44"/>
      <c r="M35" s="44"/>
    </row>
    <row r="36" spans="2:18" x14ac:dyDescent="0.25">
      <c r="I36" s="44"/>
      <c r="J36" s="44"/>
      <c r="K36" s="44"/>
      <c r="L36" s="44"/>
      <c r="M36" s="44"/>
    </row>
    <row r="37" spans="2:18" x14ac:dyDescent="0.25">
      <c r="B37" s="16" t="s">
        <v>17</v>
      </c>
      <c r="C37" s="17" t="s">
        <v>18</v>
      </c>
      <c r="D37" s="17" t="s">
        <v>19</v>
      </c>
      <c r="E37" s="17" t="s">
        <v>20</v>
      </c>
      <c r="F37" s="19" t="s">
        <v>21</v>
      </c>
      <c r="I37" s="16" t="s">
        <v>17</v>
      </c>
      <c r="J37" s="16" t="s">
        <v>1</v>
      </c>
      <c r="K37" s="17" t="s">
        <v>2</v>
      </c>
      <c r="L37" s="17" t="s">
        <v>3</v>
      </c>
      <c r="M37" s="17" t="s">
        <v>4</v>
      </c>
      <c r="N37" s="18" t="s">
        <v>5</v>
      </c>
      <c r="O37" s="17" t="s">
        <v>18</v>
      </c>
      <c r="P37" s="17" t="s">
        <v>19</v>
      </c>
      <c r="Q37" s="17" t="s">
        <v>20</v>
      </c>
      <c r="R37" s="19" t="s">
        <v>21</v>
      </c>
    </row>
    <row r="38" spans="2:18" x14ac:dyDescent="0.25">
      <c r="B38" s="12" t="str">
        <f t="shared" ref="B38:B48" si="2">B9 &amp; " x5"</f>
        <v>SYM1 x5</v>
      </c>
      <c r="C38" s="97"/>
      <c r="D38" s="25">
        <f>C38/$G$22</f>
        <v>0</v>
      </c>
      <c r="E38" s="26">
        <f>'Game Info'!AA6</f>
        <v>300</v>
      </c>
      <c r="F38" s="29">
        <f>D38*E38/BG!$G$2</f>
        <v>0</v>
      </c>
      <c r="I38" s="89" t="s">
        <v>40</v>
      </c>
      <c r="J38" s="91" t="s">
        <v>44</v>
      </c>
      <c r="K38" s="80" t="s">
        <v>44</v>
      </c>
      <c r="L38" s="80" t="s">
        <v>44</v>
      </c>
      <c r="M38" s="80" t="s">
        <v>44</v>
      </c>
      <c r="N38" s="81" t="s">
        <v>44</v>
      </c>
      <c r="O38" s="98"/>
      <c r="P38" s="49">
        <f>O38/$G$22</f>
        <v>0</v>
      </c>
      <c r="Q38" s="28">
        <f>'Game Info'!AA17</f>
        <v>20</v>
      </c>
      <c r="R38" s="31">
        <f>P38*Q38</f>
        <v>0</v>
      </c>
    </row>
    <row r="39" spans="2:18" x14ac:dyDescent="0.25">
      <c r="B39" s="12" t="str">
        <f t="shared" si="2"/>
        <v>SYM2 x5</v>
      </c>
      <c r="C39" s="97"/>
      <c r="D39" s="25">
        <f t="shared" ref="D39:D72" si="3">C39/$G$22</f>
        <v>0</v>
      </c>
      <c r="E39" s="26">
        <f>'Game Info'!AA7</f>
        <v>150</v>
      </c>
      <c r="F39" s="29">
        <f>D39*E39/BG!$G$2</f>
        <v>0</v>
      </c>
      <c r="I39" s="88" t="s">
        <v>41</v>
      </c>
      <c r="J39" s="90" t="s">
        <v>44</v>
      </c>
      <c r="K39" s="79" t="s">
        <v>44</v>
      </c>
      <c r="L39" s="79" t="s">
        <v>44</v>
      </c>
      <c r="M39" s="79" t="s">
        <v>44</v>
      </c>
      <c r="N39" s="78" t="s">
        <v>25</v>
      </c>
      <c r="O39" s="97"/>
      <c r="P39" s="44">
        <f t="shared" ref="P39:P63" si="4">O39/$G$22</f>
        <v>0</v>
      </c>
      <c r="Q39" s="26">
        <f>'Game Info'!Z17</f>
        <v>10</v>
      </c>
      <c r="R39" s="29">
        <f t="shared" ref="R39:R63" si="5">P39*Q39</f>
        <v>0</v>
      </c>
    </row>
    <row r="40" spans="2:18" x14ac:dyDescent="0.25">
      <c r="B40" s="12" t="str">
        <f t="shared" si="2"/>
        <v>SYM3 x5</v>
      </c>
      <c r="C40" s="97"/>
      <c r="D40" s="25">
        <f t="shared" si="3"/>
        <v>0</v>
      </c>
      <c r="E40" s="26">
        <f>'Game Info'!AA8</f>
        <v>150</v>
      </c>
      <c r="F40" s="29">
        <f>D40*E40/BG!$G$2</f>
        <v>0</v>
      </c>
      <c r="I40" s="88" t="s">
        <v>41</v>
      </c>
      <c r="J40" s="90" t="s">
        <v>44</v>
      </c>
      <c r="K40" s="79" t="s">
        <v>44</v>
      </c>
      <c r="L40" s="79" t="s">
        <v>44</v>
      </c>
      <c r="M40" s="79" t="s">
        <v>25</v>
      </c>
      <c r="N40" s="78" t="s">
        <v>44</v>
      </c>
      <c r="O40" s="97"/>
      <c r="P40" s="44">
        <f t="shared" si="4"/>
        <v>0</v>
      </c>
      <c r="Q40" s="26">
        <f>Q39</f>
        <v>10</v>
      </c>
      <c r="R40" s="29">
        <f t="shared" si="5"/>
        <v>0</v>
      </c>
    </row>
    <row r="41" spans="2:18" x14ac:dyDescent="0.25">
      <c r="B41" s="12" t="str">
        <f t="shared" si="2"/>
        <v>SYM4 x5</v>
      </c>
      <c r="C41" s="97"/>
      <c r="D41" s="25">
        <f t="shared" si="3"/>
        <v>0</v>
      </c>
      <c r="E41" s="26">
        <f>'Game Info'!AA9</f>
        <v>120</v>
      </c>
      <c r="F41" s="29">
        <f>D41*E41/BG!$G$2</f>
        <v>0</v>
      </c>
      <c r="I41" s="88" t="s">
        <v>41</v>
      </c>
      <c r="J41" s="90" t="s">
        <v>44</v>
      </c>
      <c r="K41" s="79" t="s">
        <v>44</v>
      </c>
      <c r="L41" s="79" t="s">
        <v>25</v>
      </c>
      <c r="M41" s="79" t="s">
        <v>44</v>
      </c>
      <c r="N41" s="78" t="s">
        <v>44</v>
      </c>
      <c r="O41" s="97"/>
      <c r="P41" s="44">
        <f t="shared" si="4"/>
        <v>0</v>
      </c>
      <c r="Q41" s="26">
        <f t="shared" ref="Q41:Q43" si="6">Q40</f>
        <v>10</v>
      </c>
      <c r="R41" s="29">
        <f t="shared" si="5"/>
        <v>0</v>
      </c>
    </row>
    <row r="42" spans="2:18" x14ac:dyDescent="0.25">
      <c r="B42" s="12" t="str">
        <f t="shared" si="2"/>
        <v>SYM5 x5</v>
      </c>
      <c r="C42" s="97"/>
      <c r="D42" s="25">
        <f t="shared" si="3"/>
        <v>0</v>
      </c>
      <c r="E42" s="26">
        <f>'Game Info'!AA10</f>
        <v>120</v>
      </c>
      <c r="F42" s="29">
        <f>D42*E42/BG!$G$2</f>
        <v>0</v>
      </c>
      <c r="I42" s="88" t="s">
        <v>41</v>
      </c>
      <c r="J42" s="90" t="s">
        <v>44</v>
      </c>
      <c r="K42" s="79" t="s">
        <v>25</v>
      </c>
      <c r="L42" s="79" t="s">
        <v>44</v>
      </c>
      <c r="M42" s="79" t="s">
        <v>44</v>
      </c>
      <c r="N42" s="78" t="s">
        <v>44</v>
      </c>
      <c r="O42" s="97"/>
      <c r="P42" s="44">
        <f t="shared" si="4"/>
        <v>0</v>
      </c>
      <c r="Q42" s="26">
        <f t="shared" si="6"/>
        <v>10</v>
      </c>
      <c r="R42" s="29">
        <f t="shared" si="5"/>
        <v>0</v>
      </c>
    </row>
    <row r="43" spans="2:18" x14ac:dyDescent="0.25">
      <c r="B43" s="12" t="str">
        <f t="shared" si="2"/>
        <v>A x5</v>
      </c>
      <c r="C43" s="97"/>
      <c r="D43" s="25">
        <f t="shared" si="3"/>
        <v>0</v>
      </c>
      <c r="E43" s="26">
        <f>'Game Info'!AA11</f>
        <v>100</v>
      </c>
      <c r="F43" s="29">
        <f>D43*E43/BG!$G$2</f>
        <v>0</v>
      </c>
      <c r="I43" s="89" t="s">
        <v>41</v>
      </c>
      <c r="J43" s="91" t="s">
        <v>25</v>
      </c>
      <c r="K43" s="80" t="s">
        <v>44</v>
      </c>
      <c r="L43" s="80" t="s">
        <v>44</v>
      </c>
      <c r="M43" s="80" t="s">
        <v>44</v>
      </c>
      <c r="N43" s="81" t="s">
        <v>44</v>
      </c>
      <c r="O43" s="98"/>
      <c r="P43" s="49">
        <f t="shared" si="4"/>
        <v>0</v>
      </c>
      <c r="Q43" s="28">
        <f t="shared" si="6"/>
        <v>10</v>
      </c>
      <c r="R43" s="31">
        <f t="shared" si="5"/>
        <v>0</v>
      </c>
    </row>
    <row r="44" spans="2:18" x14ac:dyDescent="0.25">
      <c r="B44" s="12" t="str">
        <f t="shared" si="2"/>
        <v>K x5</v>
      </c>
      <c r="C44" s="97"/>
      <c r="D44" s="25">
        <f t="shared" si="3"/>
        <v>0</v>
      </c>
      <c r="E44" s="26">
        <f>'Game Info'!AA12</f>
        <v>100</v>
      </c>
      <c r="F44" s="29">
        <f>D44*E44/BG!$G$2</f>
        <v>0</v>
      </c>
      <c r="I44" s="88" t="s">
        <v>42</v>
      </c>
      <c r="J44" s="90" t="s">
        <v>44</v>
      </c>
      <c r="K44" s="79" t="s">
        <v>44</v>
      </c>
      <c r="L44" s="79" t="s">
        <v>44</v>
      </c>
      <c r="M44" s="79" t="s">
        <v>25</v>
      </c>
      <c r="N44" s="78" t="s">
        <v>25</v>
      </c>
      <c r="O44" s="97"/>
      <c r="P44" s="44">
        <f t="shared" si="4"/>
        <v>0</v>
      </c>
      <c r="Q44" s="26">
        <f>'Game Info'!Y17</f>
        <v>2</v>
      </c>
      <c r="R44" s="29">
        <f t="shared" si="5"/>
        <v>0</v>
      </c>
    </row>
    <row r="45" spans="2:18" x14ac:dyDescent="0.25">
      <c r="B45" s="12" t="str">
        <f t="shared" si="2"/>
        <v>Q x5</v>
      </c>
      <c r="C45" s="97"/>
      <c r="D45" s="25">
        <f t="shared" si="3"/>
        <v>0</v>
      </c>
      <c r="E45" s="26">
        <f>'Game Info'!AA13</f>
        <v>100</v>
      </c>
      <c r="F45" s="29">
        <f>D45*E45/BG!$G$2</f>
        <v>0</v>
      </c>
      <c r="I45" s="88" t="s">
        <v>42</v>
      </c>
      <c r="J45" s="90" t="s">
        <v>44</v>
      </c>
      <c r="K45" s="79" t="s">
        <v>44</v>
      </c>
      <c r="L45" s="79" t="s">
        <v>25</v>
      </c>
      <c r="M45" s="79" t="s">
        <v>44</v>
      </c>
      <c r="N45" s="78" t="s">
        <v>25</v>
      </c>
      <c r="O45" s="97"/>
      <c r="P45" s="44">
        <f t="shared" si="4"/>
        <v>0</v>
      </c>
      <c r="Q45" s="26">
        <f>Q44</f>
        <v>2</v>
      </c>
      <c r="R45" s="29">
        <f t="shared" si="5"/>
        <v>0</v>
      </c>
    </row>
    <row r="46" spans="2:18" x14ac:dyDescent="0.25">
      <c r="B46" s="12" t="str">
        <f t="shared" si="2"/>
        <v>J x5</v>
      </c>
      <c r="C46" s="97"/>
      <c r="D46" s="25">
        <f t="shared" si="3"/>
        <v>0</v>
      </c>
      <c r="E46" s="26">
        <f>'Game Info'!AA14</f>
        <v>100</v>
      </c>
      <c r="F46" s="29">
        <f>D46*E46/BG!$G$2</f>
        <v>0</v>
      </c>
      <c r="I46" s="88" t="s">
        <v>42</v>
      </c>
      <c r="J46" s="90" t="s">
        <v>44</v>
      </c>
      <c r="K46" s="79" t="s">
        <v>25</v>
      </c>
      <c r="L46" s="79" t="s">
        <v>44</v>
      </c>
      <c r="M46" s="79" t="s">
        <v>44</v>
      </c>
      <c r="N46" s="78" t="s">
        <v>25</v>
      </c>
      <c r="O46" s="97"/>
      <c r="P46" s="44">
        <f t="shared" si="4"/>
        <v>0</v>
      </c>
      <c r="Q46" s="26">
        <f t="shared" ref="Q46:Q63" si="7">Q45</f>
        <v>2</v>
      </c>
      <c r="R46" s="29">
        <f t="shared" si="5"/>
        <v>0</v>
      </c>
    </row>
    <row r="47" spans="2:18" x14ac:dyDescent="0.25">
      <c r="B47" s="12" t="str">
        <f t="shared" si="2"/>
        <v>10 x5</v>
      </c>
      <c r="C47" s="97"/>
      <c r="D47" s="25">
        <f t="shared" si="3"/>
        <v>0</v>
      </c>
      <c r="E47" s="26">
        <f>'Game Info'!AA15</f>
        <v>100</v>
      </c>
      <c r="F47" s="29">
        <f>D47*E47/BG!$G$2</f>
        <v>0</v>
      </c>
      <c r="I47" s="88" t="s">
        <v>42</v>
      </c>
      <c r="J47" s="90" t="s">
        <v>25</v>
      </c>
      <c r="K47" s="79" t="s">
        <v>44</v>
      </c>
      <c r="L47" s="79" t="s">
        <v>44</v>
      </c>
      <c r="M47" s="79" t="s">
        <v>44</v>
      </c>
      <c r="N47" s="78" t="s">
        <v>25</v>
      </c>
      <c r="O47" s="97"/>
      <c r="P47" s="44">
        <f t="shared" si="4"/>
        <v>0</v>
      </c>
      <c r="Q47" s="26">
        <f t="shared" si="7"/>
        <v>2</v>
      </c>
      <c r="R47" s="29">
        <f t="shared" si="5"/>
        <v>0</v>
      </c>
    </row>
    <row r="48" spans="2:18" x14ac:dyDescent="0.25">
      <c r="B48" s="13" t="str">
        <f t="shared" si="2"/>
        <v>9 x5</v>
      </c>
      <c r="C48" s="98"/>
      <c r="D48" s="27">
        <f t="shared" si="3"/>
        <v>0</v>
      </c>
      <c r="E48" s="28">
        <f>'Game Info'!AA16</f>
        <v>100</v>
      </c>
      <c r="F48" s="31">
        <f>D48*E48/BG!$G$2</f>
        <v>0</v>
      </c>
      <c r="I48" s="88" t="s">
        <v>42</v>
      </c>
      <c r="J48" s="90" t="s">
        <v>44</v>
      </c>
      <c r="K48" s="79" t="s">
        <v>44</v>
      </c>
      <c r="L48" s="79" t="s">
        <v>25</v>
      </c>
      <c r="M48" s="79" t="s">
        <v>25</v>
      </c>
      <c r="N48" s="78" t="s">
        <v>44</v>
      </c>
      <c r="O48" s="97"/>
      <c r="P48" s="44">
        <f t="shared" si="4"/>
        <v>0</v>
      </c>
      <c r="Q48" s="26">
        <f t="shared" si="7"/>
        <v>2</v>
      </c>
      <c r="R48" s="29">
        <f t="shared" si="5"/>
        <v>0</v>
      </c>
    </row>
    <row r="49" spans="2:18" x14ac:dyDescent="0.25">
      <c r="B49" s="12" t="str">
        <f t="shared" ref="B49:B59" si="8">B9 &amp; " x4"</f>
        <v>SYM1 x4</v>
      </c>
      <c r="C49" s="97"/>
      <c r="D49" s="25">
        <f t="shared" si="3"/>
        <v>0</v>
      </c>
      <c r="E49" s="26">
        <f>'Game Info'!Z6</f>
        <v>100</v>
      </c>
      <c r="F49" s="29">
        <f>D49*E49/BG!$G$2</f>
        <v>0</v>
      </c>
      <c r="I49" s="88" t="s">
        <v>42</v>
      </c>
      <c r="J49" s="90" t="s">
        <v>44</v>
      </c>
      <c r="K49" s="79" t="s">
        <v>25</v>
      </c>
      <c r="L49" s="79" t="s">
        <v>44</v>
      </c>
      <c r="M49" s="79" t="s">
        <v>25</v>
      </c>
      <c r="N49" s="78" t="s">
        <v>44</v>
      </c>
      <c r="O49" s="97"/>
      <c r="P49" s="44">
        <f t="shared" si="4"/>
        <v>0</v>
      </c>
      <c r="Q49" s="26">
        <f t="shared" si="7"/>
        <v>2</v>
      </c>
      <c r="R49" s="29">
        <f t="shared" si="5"/>
        <v>0</v>
      </c>
    </row>
    <row r="50" spans="2:18" x14ac:dyDescent="0.25">
      <c r="B50" s="12" t="str">
        <f t="shared" si="8"/>
        <v>SYM2 x4</v>
      </c>
      <c r="C50" s="97"/>
      <c r="D50" s="25">
        <f t="shared" si="3"/>
        <v>0</v>
      </c>
      <c r="E50" s="26">
        <f>'Game Info'!Z7</f>
        <v>100</v>
      </c>
      <c r="F50" s="29">
        <f>D50*E50/BG!$G$2</f>
        <v>0</v>
      </c>
      <c r="I50" s="88" t="s">
        <v>42</v>
      </c>
      <c r="J50" s="90" t="s">
        <v>25</v>
      </c>
      <c r="K50" s="79" t="s">
        <v>44</v>
      </c>
      <c r="L50" s="79" t="s">
        <v>44</v>
      </c>
      <c r="M50" s="79" t="s">
        <v>25</v>
      </c>
      <c r="N50" s="78" t="s">
        <v>44</v>
      </c>
      <c r="O50" s="97"/>
      <c r="P50" s="44">
        <f t="shared" si="4"/>
        <v>0</v>
      </c>
      <c r="Q50" s="26">
        <f t="shared" si="7"/>
        <v>2</v>
      </c>
      <c r="R50" s="29">
        <f t="shared" si="5"/>
        <v>0</v>
      </c>
    </row>
    <row r="51" spans="2:18" x14ac:dyDescent="0.25">
      <c r="B51" s="12" t="str">
        <f t="shared" si="8"/>
        <v>SYM3 x4</v>
      </c>
      <c r="C51" s="97"/>
      <c r="D51" s="25">
        <f t="shared" si="3"/>
        <v>0</v>
      </c>
      <c r="E51" s="26">
        <f>'Game Info'!Z8</f>
        <v>100</v>
      </c>
      <c r="F51" s="29">
        <f>D51*E51/BG!$G$2</f>
        <v>0</v>
      </c>
      <c r="I51" s="88" t="s">
        <v>42</v>
      </c>
      <c r="J51" s="90" t="s">
        <v>44</v>
      </c>
      <c r="K51" s="79" t="s">
        <v>25</v>
      </c>
      <c r="L51" s="79" t="s">
        <v>25</v>
      </c>
      <c r="M51" s="79" t="s">
        <v>44</v>
      </c>
      <c r="N51" s="78" t="s">
        <v>44</v>
      </c>
      <c r="O51" s="97"/>
      <c r="P51" s="44">
        <f t="shared" si="4"/>
        <v>0</v>
      </c>
      <c r="Q51" s="26">
        <f t="shared" si="7"/>
        <v>2</v>
      </c>
      <c r="R51" s="29">
        <f t="shared" si="5"/>
        <v>0</v>
      </c>
    </row>
    <row r="52" spans="2:18" x14ac:dyDescent="0.25">
      <c r="B52" s="12" t="str">
        <f t="shared" si="8"/>
        <v>SYM4 x4</v>
      </c>
      <c r="C52" s="97"/>
      <c r="D52" s="25">
        <f t="shared" si="3"/>
        <v>0</v>
      </c>
      <c r="E52" s="26">
        <f>'Game Info'!Z9</f>
        <v>80</v>
      </c>
      <c r="F52" s="29">
        <f>D52*E52/BG!$G$2</f>
        <v>0</v>
      </c>
      <c r="I52" s="88" t="s">
        <v>42</v>
      </c>
      <c r="J52" s="90" t="s">
        <v>25</v>
      </c>
      <c r="K52" s="79" t="s">
        <v>44</v>
      </c>
      <c r="L52" s="79" t="s">
        <v>25</v>
      </c>
      <c r="M52" s="79" t="s">
        <v>44</v>
      </c>
      <c r="N52" s="78" t="s">
        <v>44</v>
      </c>
      <c r="O52" s="97"/>
      <c r="P52" s="44">
        <f t="shared" si="4"/>
        <v>0</v>
      </c>
      <c r="Q52" s="26">
        <f t="shared" si="7"/>
        <v>2</v>
      </c>
      <c r="R52" s="29">
        <f t="shared" si="5"/>
        <v>0</v>
      </c>
    </row>
    <row r="53" spans="2:18" x14ac:dyDescent="0.25">
      <c r="B53" s="12" t="str">
        <f t="shared" si="8"/>
        <v>SYM5 x4</v>
      </c>
      <c r="C53" s="97"/>
      <c r="D53" s="25">
        <f t="shared" si="3"/>
        <v>0</v>
      </c>
      <c r="E53" s="26">
        <f>'Game Info'!Z10</f>
        <v>80</v>
      </c>
      <c r="F53" s="29">
        <f>D53*E53/BG!$G$2</f>
        <v>0</v>
      </c>
      <c r="I53" s="89" t="s">
        <v>42</v>
      </c>
      <c r="J53" s="91" t="s">
        <v>25</v>
      </c>
      <c r="K53" s="80" t="s">
        <v>25</v>
      </c>
      <c r="L53" s="80" t="s">
        <v>44</v>
      </c>
      <c r="M53" s="80" t="s">
        <v>44</v>
      </c>
      <c r="N53" s="81" t="s">
        <v>44</v>
      </c>
      <c r="O53" s="98"/>
      <c r="P53" s="49">
        <f t="shared" si="4"/>
        <v>0</v>
      </c>
      <c r="Q53" s="28">
        <f t="shared" si="7"/>
        <v>2</v>
      </c>
      <c r="R53" s="31">
        <f t="shared" si="5"/>
        <v>0</v>
      </c>
    </row>
    <row r="54" spans="2:18" x14ac:dyDescent="0.25">
      <c r="B54" s="12" t="str">
        <f t="shared" si="8"/>
        <v>A x4</v>
      </c>
      <c r="C54" s="97"/>
      <c r="D54" s="25">
        <f t="shared" si="3"/>
        <v>0</v>
      </c>
      <c r="E54" s="26">
        <f>'Game Info'!Z11</f>
        <v>50</v>
      </c>
      <c r="F54" s="29">
        <f>D54*E54/BG!$G$2</f>
        <v>0</v>
      </c>
      <c r="I54" s="88" t="s">
        <v>43</v>
      </c>
      <c r="J54" s="90" t="s">
        <v>25</v>
      </c>
      <c r="K54" s="79" t="s">
        <v>25</v>
      </c>
      <c r="L54" s="79" t="s">
        <v>25</v>
      </c>
      <c r="M54" s="79" t="s">
        <v>44</v>
      </c>
      <c r="N54" s="78" t="s">
        <v>44</v>
      </c>
      <c r="O54" s="97"/>
      <c r="P54" s="44">
        <f t="shared" si="4"/>
        <v>0</v>
      </c>
      <c r="Q54" s="26">
        <v>0</v>
      </c>
      <c r="R54" s="29">
        <f t="shared" si="5"/>
        <v>0</v>
      </c>
    </row>
    <row r="55" spans="2:18" x14ac:dyDescent="0.25">
      <c r="B55" s="12" t="str">
        <f t="shared" si="8"/>
        <v>K x4</v>
      </c>
      <c r="C55" s="97"/>
      <c r="D55" s="25">
        <f t="shared" si="3"/>
        <v>0</v>
      </c>
      <c r="E55" s="26">
        <f>'Game Info'!Z12</f>
        <v>50</v>
      </c>
      <c r="F55" s="29">
        <f>D55*E55/BG!$G$2</f>
        <v>0</v>
      </c>
      <c r="I55" s="88" t="s">
        <v>43</v>
      </c>
      <c r="J55" s="90" t="s">
        <v>25</v>
      </c>
      <c r="K55" s="79" t="s">
        <v>25</v>
      </c>
      <c r="L55" s="79" t="s">
        <v>44</v>
      </c>
      <c r="M55" s="79" t="s">
        <v>25</v>
      </c>
      <c r="N55" s="78" t="s">
        <v>44</v>
      </c>
      <c r="O55" s="97"/>
      <c r="P55" s="44">
        <f t="shared" si="4"/>
        <v>0</v>
      </c>
      <c r="Q55" s="26">
        <f t="shared" si="7"/>
        <v>0</v>
      </c>
      <c r="R55" s="29">
        <f t="shared" si="5"/>
        <v>0</v>
      </c>
    </row>
    <row r="56" spans="2:18" x14ac:dyDescent="0.25">
      <c r="B56" s="12" t="str">
        <f t="shared" si="8"/>
        <v>Q x4</v>
      </c>
      <c r="C56" s="97"/>
      <c r="D56" s="25">
        <f t="shared" si="3"/>
        <v>0</v>
      </c>
      <c r="E56" s="26">
        <f>'Game Info'!Z13</f>
        <v>20</v>
      </c>
      <c r="F56" s="29">
        <f>D56*E56/BG!$G$2</f>
        <v>0</v>
      </c>
      <c r="I56" s="88" t="s">
        <v>43</v>
      </c>
      <c r="J56" s="90" t="s">
        <v>25</v>
      </c>
      <c r="K56" s="79" t="s">
        <v>25</v>
      </c>
      <c r="L56" s="79" t="s">
        <v>44</v>
      </c>
      <c r="M56" s="79" t="s">
        <v>44</v>
      </c>
      <c r="N56" s="78" t="s">
        <v>25</v>
      </c>
      <c r="O56" s="97"/>
      <c r="P56" s="44">
        <f t="shared" si="4"/>
        <v>0</v>
      </c>
      <c r="Q56" s="26">
        <f t="shared" si="7"/>
        <v>0</v>
      </c>
      <c r="R56" s="29">
        <f t="shared" si="5"/>
        <v>0</v>
      </c>
    </row>
    <row r="57" spans="2:18" x14ac:dyDescent="0.25">
      <c r="B57" s="12" t="str">
        <f t="shared" si="8"/>
        <v>J x4</v>
      </c>
      <c r="C57" s="97"/>
      <c r="D57" s="25">
        <f t="shared" si="3"/>
        <v>0</v>
      </c>
      <c r="E57" s="26">
        <f>'Game Info'!Z14</f>
        <v>20</v>
      </c>
      <c r="F57" s="29">
        <f>D57*E57/BG!$G$2</f>
        <v>0</v>
      </c>
      <c r="I57" s="88" t="s">
        <v>43</v>
      </c>
      <c r="J57" s="90" t="s">
        <v>25</v>
      </c>
      <c r="K57" s="79" t="s">
        <v>44</v>
      </c>
      <c r="L57" s="79" t="s">
        <v>25</v>
      </c>
      <c r="M57" s="79" t="s">
        <v>25</v>
      </c>
      <c r="N57" s="78" t="s">
        <v>44</v>
      </c>
      <c r="O57" s="97"/>
      <c r="P57" s="44">
        <f t="shared" si="4"/>
        <v>0</v>
      </c>
      <c r="Q57" s="26">
        <f t="shared" si="7"/>
        <v>0</v>
      </c>
      <c r="R57" s="29">
        <f t="shared" si="5"/>
        <v>0</v>
      </c>
    </row>
    <row r="58" spans="2:18" x14ac:dyDescent="0.25">
      <c r="B58" s="12" t="str">
        <f t="shared" si="8"/>
        <v>10 x4</v>
      </c>
      <c r="C58" s="97"/>
      <c r="D58" s="25">
        <f t="shared" si="3"/>
        <v>0</v>
      </c>
      <c r="E58" s="26">
        <f>'Game Info'!Z15</f>
        <v>10</v>
      </c>
      <c r="F58" s="29">
        <f>D58*E58/BG!$G$2</f>
        <v>0</v>
      </c>
      <c r="I58" s="88" t="s">
        <v>43</v>
      </c>
      <c r="J58" s="90" t="s">
        <v>25</v>
      </c>
      <c r="K58" s="79" t="s">
        <v>44</v>
      </c>
      <c r="L58" s="79" t="s">
        <v>25</v>
      </c>
      <c r="M58" s="79" t="s">
        <v>44</v>
      </c>
      <c r="N58" s="78" t="s">
        <v>25</v>
      </c>
      <c r="O58" s="97"/>
      <c r="P58" s="44">
        <f t="shared" si="4"/>
        <v>0</v>
      </c>
      <c r="Q58" s="26">
        <f t="shared" si="7"/>
        <v>0</v>
      </c>
      <c r="R58" s="29">
        <f t="shared" si="5"/>
        <v>0</v>
      </c>
    </row>
    <row r="59" spans="2:18" x14ac:dyDescent="0.25">
      <c r="B59" s="13" t="str">
        <f t="shared" si="8"/>
        <v>9 x4</v>
      </c>
      <c r="C59" s="98"/>
      <c r="D59" s="27">
        <f t="shared" si="3"/>
        <v>0</v>
      </c>
      <c r="E59" s="28">
        <f>'Game Info'!Z16</f>
        <v>10</v>
      </c>
      <c r="F59" s="31">
        <f>D59*E59/BG!$G$2</f>
        <v>0</v>
      </c>
      <c r="I59" s="88" t="s">
        <v>43</v>
      </c>
      <c r="J59" s="90" t="s">
        <v>25</v>
      </c>
      <c r="K59" s="79" t="s">
        <v>44</v>
      </c>
      <c r="L59" s="79" t="s">
        <v>44</v>
      </c>
      <c r="M59" s="79" t="s">
        <v>25</v>
      </c>
      <c r="N59" s="78" t="s">
        <v>25</v>
      </c>
      <c r="O59" s="97"/>
      <c r="P59" s="44">
        <f t="shared" si="4"/>
        <v>0</v>
      </c>
      <c r="Q59" s="26">
        <f t="shared" si="7"/>
        <v>0</v>
      </c>
      <c r="R59" s="29">
        <f t="shared" si="5"/>
        <v>0</v>
      </c>
    </row>
    <row r="60" spans="2:18" x14ac:dyDescent="0.25">
      <c r="B60" s="11" t="str">
        <f t="shared" ref="B60:B70" si="9">B9 &amp; " x3"</f>
        <v>SYM1 x3</v>
      </c>
      <c r="C60" s="99"/>
      <c r="D60" s="23">
        <f t="shared" si="3"/>
        <v>0</v>
      </c>
      <c r="E60" s="24">
        <f>'Game Info'!Y6</f>
        <v>50</v>
      </c>
      <c r="F60" s="30">
        <f>D60*E60/BG!$G$2</f>
        <v>0</v>
      </c>
      <c r="I60" s="88" t="s">
        <v>43</v>
      </c>
      <c r="J60" s="90" t="s">
        <v>44</v>
      </c>
      <c r="K60" s="79" t="s">
        <v>25</v>
      </c>
      <c r="L60" s="79" t="s">
        <v>25</v>
      </c>
      <c r="M60" s="79" t="s">
        <v>25</v>
      </c>
      <c r="N60" s="78" t="s">
        <v>44</v>
      </c>
      <c r="O60" s="97"/>
      <c r="P60" s="44">
        <f t="shared" si="4"/>
        <v>0</v>
      </c>
      <c r="Q60" s="26">
        <f t="shared" si="7"/>
        <v>0</v>
      </c>
      <c r="R60" s="29">
        <f t="shared" si="5"/>
        <v>0</v>
      </c>
    </row>
    <row r="61" spans="2:18" x14ac:dyDescent="0.25">
      <c r="B61" s="12" t="str">
        <f t="shared" si="9"/>
        <v>SYM2 x3</v>
      </c>
      <c r="C61" s="97"/>
      <c r="D61" s="25">
        <f t="shared" si="3"/>
        <v>0</v>
      </c>
      <c r="E61" s="26">
        <f>'Game Info'!Y7</f>
        <v>50</v>
      </c>
      <c r="F61" s="29">
        <f>D61*E61/BG!$G$2</f>
        <v>0</v>
      </c>
      <c r="I61" s="88" t="s">
        <v>43</v>
      </c>
      <c r="J61" s="90" t="s">
        <v>44</v>
      </c>
      <c r="K61" s="79" t="s">
        <v>25</v>
      </c>
      <c r="L61" s="79" t="s">
        <v>25</v>
      </c>
      <c r="M61" s="79" t="s">
        <v>44</v>
      </c>
      <c r="N61" s="78" t="s">
        <v>25</v>
      </c>
      <c r="O61" s="97"/>
      <c r="P61" s="44">
        <f t="shared" si="4"/>
        <v>0</v>
      </c>
      <c r="Q61" s="26">
        <f t="shared" si="7"/>
        <v>0</v>
      </c>
      <c r="R61" s="29">
        <f t="shared" si="5"/>
        <v>0</v>
      </c>
    </row>
    <row r="62" spans="2:18" x14ac:dyDescent="0.25">
      <c r="B62" s="12" t="str">
        <f t="shared" si="9"/>
        <v>SYM3 x3</v>
      </c>
      <c r="C62" s="97"/>
      <c r="D62" s="25">
        <f t="shared" si="3"/>
        <v>0</v>
      </c>
      <c r="E62" s="26">
        <f>'Game Info'!Y8</f>
        <v>50</v>
      </c>
      <c r="F62" s="29">
        <f>D62*E62/BG!$G$2</f>
        <v>0</v>
      </c>
      <c r="I62" s="88" t="s">
        <v>43</v>
      </c>
      <c r="J62" s="90" t="s">
        <v>44</v>
      </c>
      <c r="K62" s="79" t="s">
        <v>25</v>
      </c>
      <c r="L62" s="79" t="s">
        <v>44</v>
      </c>
      <c r="M62" s="79" t="s">
        <v>25</v>
      </c>
      <c r="N62" s="78" t="s">
        <v>25</v>
      </c>
      <c r="O62" s="97"/>
      <c r="P62" s="44">
        <f t="shared" si="4"/>
        <v>0</v>
      </c>
      <c r="Q62" s="26">
        <f t="shared" si="7"/>
        <v>0</v>
      </c>
      <c r="R62" s="29">
        <f t="shared" si="5"/>
        <v>0</v>
      </c>
    </row>
    <row r="63" spans="2:18" x14ac:dyDescent="0.25">
      <c r="B63" s="12" t="str">
        <f t="shared" si="9"/>
        <v>SYM4 x3</v>
      </c>
      <c r="C63" s="97"/>
      <c r="D63" s="25">
        <f t="shared" si="3"/>
        <v>0</v>
      </c>
      <c r="E63" s="26">
        <f>'Game Info'!Y9</f>
        <v>20</v>
      </c>
      <c r="F63" s="29">
        <f>D63*E63/BG!$G$2</f>
        <v>0</v>
      </c>
      <c r="I63" s="89" t="s">
        <v>43</v>
      </c>
      <c r="J63" s="91" t="s">
        <v>44</v>
      </c>
      <c r="K63" s="80" t="s">
        <v>44</v>
      </c>
      <c r="L63" s="80" t="s">
        <v>25</v>
      </c>
      <c r="M63" s="80" t="s">
        <v>25</v>
      </c>
      <c r="N63" s="81" t="s">
        <v>25</v>
      </c>
      <c r="O63" s="98"/>
      <c r="P63" s="49">
        <f t="shared" si="4"/>
        <v>0</v>
      </c>
      <c r="Q63" s="28">
        <f t="shared" si="7"/>
        <v>0</v>
      </c>
      <c r="R63" s="31">
        <f t="shared" si="5"/>
        <v>0</v>
      </c>
    </row>
    <row r="64" spans="2:18" x14ac:dyDescent="0.25">
      <c r="B64" s="12" t="str">
        <f t="shared" si="9"/>
        <v>SYM5 x3</v>
      </c>
      <c r="C64" s="97"/>
      <c r="D64" s="25">
        <f t="shared" si="3"/>
        <v>0</v>
      </c>
      <c r="E64" s="26">
        <f>'Game Info'!Y10</f>
        <v>20</v>
      </c>
      <c r="F64" s="29">
        <f>D64*E64/BG!$G$2</f>
        <v>0</v>
      </c>
      <c r="I64" s="84"/>
      <c r="L64" s="77"/>
      <c r="M64" s="41"/>
    </row>
    <row r="65" spans="2:13" x14ac:dyDescent="0.25">
      <c r="B65" s="12" t="str">
        <f t="shared" si="9"/>
        <v>A x3</v>
      </c>
      <c r="C65" s="97"/>
      <c r="D65" s="25">
        <f t="shared" si="3"/>
        <v>0</v>
      </c>
      <c r="E65" s="26">
        <f>'Game Info'!Y11</f>
        <v>10</v>
      </c>
      <c r="F65" s="29">
        <f>D65*E65/BG!$G$2</f>
        <v>0</v>
      </c>
      <c r="I65" s="84"/>
      <c r="L65" s="77"/>
      <c r="M65" s="41"/>
    </row>
    <row r="66" spans="2:13" x14ac:dyDescent="0.25">
      <c r="B66" s="12" t="str">
        <f t="shared" si="9"/>
        <v>K x3</v>
      </c>
      <c r="C66" s="97"/>
      <c r="D66" s="25">
        <f t="shared" si="3"/>
        <v>0</v>
      </c>
      <c r="E66" s="26">
        <f>'Game Info'!Y12</f>
        <v>10</v>
      </c>
      <c r="F66" s="29">
        <f>D66*E66/BG!$G$2</f>
        <v>0</v>
      </c>
      <c r="I66" s="84"/>
      <c r="L66" s="77"/>
      <c r="M66" s="41"/>
    </row>
    <row r="67" spans="2:13" x14ac:dyDescent="0.25">
      <c r="B67" s="12" t="str">
        <f t="shared" si="9"/>
        <v>Q x3</v>
      </c>
      <c r="C67" s="97"/>
      <c r="D67" s="25">
        <f t="shared" si="3"/>
        <v>0</v>
      </c>
      <c r="E67" s="26">
        <f>'Game Info'!Y13</f>
        <v>5</v>
      </c>
      <c r="F67" s="29">
        <f>D67*E67/BG!$G$2</f>
        <v>0</v>
      </c>
      <c r="I67" s="84"/>
      <c r="L67" s="77"/>
      <c r="M67" s="41"/>
    </row>
    <row r="68" spans="2:13" x14ac:dyDescent="0.25">
      <c r="B68" s="12" t="str">
        <f t="shared" si="9"/>
        <v>J x3</v>
      </c>
      <c r="C68" s="97"/>
      <c r="D68" s="25">
        <f t="shared" si="3"/>
        <v>0</v>
      </c>
      <c r="E68" s="26">
        <f>'Game Info'!Y14</f>
        <v>5</v>
      </c>
      <c r="F68" s="29">
        <f>D68*E68/BG!$G$2</f>
        <v>0</v>
      </c>
      <c r="I68" s="84"/>
      <c r="L68" s="77"/>
      <c r="M68" s="41"/>
    </row>
    <row r="69" spans="2:13" x14ac:dyDescent="0.25">
      <c r="B69" s="12" t="str">
        <f t="shared" si="9"/>
        <v>10 x3</v>
      </c>
      <c r="C69" s="97"/>
      <c r="D69" s="25">
        <f t="shared" si="3"/>
        <v>0</v>
      </c>
      <c r="E69" s="26">
        <f>'Game Info'!Y15</f>
        <v>5</v>
      </c>
      <c r="F69" s="29">
        <f>D69*E69/BG!$G$2</f>
        <v>0</v>
      </c>
      <c r="I69" s="84"/>
      <c r="L69" s="77"/>
      <c r="M69" s="41"/>
    </row>
    <row r="70" spans="2:13" x14ac:dyDescent="0.25">
      <c r="B70" s="13" t="str">
        <f t="shared" si="9"/>
        <v>9 x3</v>
      </c>
      <c r="C70" s="98"/>
      <c r="D70" s="27">
        <f t="shared" si="3"/>
        <v>0</v>
      </c>
      <c r="E70" s="28">
        <f>'Game Info'!Y16</f>
        <v>5</v>
      </c>
      <c r="F70" s="31">
        <f>D70*E70/BG!$G$2</f>
        <v>0</v>
      </c>
      <c r="I70" s="84"/>
      <c r="L70" s="77"/>
      <c r="M70" s="41"/>
    </row>
    <row r="71" spans="2:13" x14ac:dyDescent="0.25">
      <c r="B71" s="11" t="str">
        <f>B9 &amp; " x2"</f>
        <v>SYM1 x2</v>
      </c>
      <c r="C71" s="97"/>
      <c r="D71" s="25">
        <f t="shared" si="3"/>
        <v>0</v>
      </c>
      <c r="E71" s="26">
        <f>'Game Info'!X6</f>
        <v>10</v>
      </c>
      <c r="F71" s="29">
        <f>D71*E71/BG!$G$2</f>
        <v>0</v>
      </c>
      <c r="I71" s="84"/>
      <c r="L71" s="77"/>
      <c r="M71" s="41"/>
    </row>
    <row r="72" spans="2:13" x14ac:dyDescent="0.25">
      <c r="B72" s="13" t="str">
        <f>B19 &amp; " x2"</f>
        <v>9 x2</v>
      </c>
      <c r="C72" s="98"/>
      <c r="D72" s="27">
        <f t="shared" si="3"/>
        <v>0</v>
      </c>
      <c r="E72" s="28">
        <f>'Game Info'!X16</f>
        <v>2</v>
      </c>
      <c r="F72" s="31">
        <f>D72*E72/BG!$G$2</f>
        <v>0</v>
      </c>
      <c r="I72" s="84"/>
      <c r="L72" s="77"/>
      <c r="M72" s="41"/>
    </row>
  </sheetData>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E8E46-937B-4E7B-8FB5-127B25D0DE22}">
  <dimension ref="A2:BT172"/>
  <sheetViews>
    <sheetView zoomScale="85" zoomScaleNormal="85" workbookViewId="0">
      <selection activeCell="A19" sqref="A19"/>
    </sheetView>
  </sheetViews>
  <sheetFormatPr defaultColWidth="8.85546875" defaultRowHeight="15" x14ac:dyDescent="0.25"/>
  <cols>
    <col min="1" max="6" width="9.140625" style="50"/>
  </cols>
  <sheetData>
    <row r="2" spans="1:13" x14ac:dyDescent="0.25">
      <c r="A2" s="19" t="s">
        <v>11</v>
      </c>
      <c r="B2" s="33" t="s">
        <v>1</v>
      </c>
      <c r="C2" s="33" t="s">
        <v>2</v>
      </c>
      <c r="D2" s="33" t="s">
        <v>3</v>
      </c>
      <c r="E2" s="33" t="s">
        <v>4</v>
      </c>
      <c r="F2" s="34" t="s">
        <v>5</v>
      </c>
    </row>
    <row r="3" spans="1:13" x14ac:dyDescent="0.25">
      <c r="A3" s="20" t="s">
        <v>39</v>
      </c>
      <c r="B3" s="39">
        <f t="shared" ref="B3:F15" si="0">COUNTIF(B$23:B$172,$A3)</f>
        <v>0</v>
      </c>
      <c r="C3" s="39">
        <f t="shared" si="0"/>
        <v>1</v>
      </c>
      <c r="D3" s="39">
        <f t="shared" si="0"/>
        <v>2</v>
      </c>
      <c r="E3" s="39">
        <f t="shared" si="0"/>
        <v>2</v>
      </c>
      <c r="F3" s="61">
        <f t="shared" si="0"/>
        <v>0</v>
      </c>
      <c r="H3" s="71" t="s">
        <v>26</v>
      </c>
    </row>
    <row r="4" spans="1:13" x14ac:dyDescent="0.25">
      <c r="A4" s="20" t="s">
        <v>33</v>
      </c>
      <c r="B4" s="39">
        <f t="shared" si="0"/>
        <v>6</v>
      </c>
      <c r="C4" s="39">
        <f t="shared" si="0"/>
        <v>4</v>
      </c>
      <c r="D4" s="39">
        <f t="shared" si="0"/>
        <v>10</v>
      </c>
      <c r="E4" s="39">
        <f t="shared" si="0"/>
        <v>8</v>
      </c>
      <c r="F4" s="61">
        <f t="shared" si="0"/>
        <v>17</v>
      </c>
      <c r="H4" s="22" t="s">
        <v>33</v>
      </c>
      <c r="I4" s="100"/>
      <c r="J4" s="99"/>
      <c r="K4" s="99"/>
      <c r="L4" s="99"/>
      <c r="M4" s="101"/>
    </row>
    <row r="5" spans="1:13" x14ac:dyDescent="0.25">
      <c r="A5" s="20" t="s">
        <v>34</v>
      </c>
      <c r="B5" s="39">
        <f t="shared" si="0"/>
        <v>12</v>
      </c>
      <c r="C5" s="39">
        <f t="shared" si="0"/>
        <v>13</v>
      </c>
      <c r="D5" s="39">
        <f t="shared" si="0"/>
        <v>6</v>
      </c>
      <c r="E5" s="39">
        <f t="shared" si="0"/>
        <v>9</v>
      </c>
      <c r="F5" s="61">
        <f t="shared" si="0"/>
        <v>8</v>
      </c>
      <c r="H5" s="20" t="s">
        <v>34</v>
      </c>
      <c r="I5" s="102"/>
      <c r="J5" s="97"/>
      <c r="K5" s="97"/>
      <c r="L5" s="97"/>
      <c r="M5" s="103"/>
    </row>
    <row r="6" spans="1:13" x14ac:dyDescent="0.25">
      <c r="A6" s="20" t="s">
        <v>35</v>
      </c>
      <c r="B6" s="39">
        <f t="shared" si="0"/>
        <v>14</v>
      </c>
      <c r="C6" s="39">
        <f t="shared" si="0"/>
        <v>6</v>
      </c>
      <c r="D6" s="39">
        <f t="shared" si="0"/>
        <v>11</v>
      </c>
      <c r="E6" s="39">
        <f t="shared" si="0"/>
        <v>7</v>
      </c>
      <c r="F6" s="61">
        <f t="shared" si="0"/>
        <v>15</v>
      </c>
      <c r="H6" s="20" t="s">
        <v>35</v>
      </c>
      <c r="I6" s="102"/>
      <c r="J6" s="97"/>
      <c r="K6" s="97"/>
      <c r="L6" s="97"/>
      <c r="M6" s="103"/>
    </row>
    <row r="7" spans="1:13" x14ac:dyDescent="0.25">
      <c r="A7" s="20" t="s">
        <v>36</v>
      </c>
      <c r="B7" s="39">
        <f t="shared" si="0"/>
        <v>6</v>
      </c>
      <c r="C7" s="39">
        <f t="shared" si="0"/>
        <v>10</v>
      </c>
      <c r="D7" s="39">
        <f t="shared" si="0"/>
        <v>11</v>
      </c>
      <c r="E7" s="39">
        <f t="shared" si="0"/>
        <v>10</v>
      </c>
      <c r="F7" s="61">
        <f t="shared" si="0"/>
        <v>8</v>
      </c>
      <c r="H7" s="20" t="s">
        <v>36</v>
      </c>
      <c r="I7" s="102"/>
      <c r="J7" s="97"/>
      <c r="K7" s="97"/>
      <c r="L7" s="97"/>
      <c r="M7" s="103"/>
    </row>
    <row r="8" spans="1:13" x14ac:dyDescent="0.25">
      <c r="A8" s="20" t="s">
        <v>37</v>
      </c>
      <c r="B8" s="39">
        <f t="shared" si="0"/>
        <v>6</v>
      </c>
      <c r="C8" s="39">
        <f t="shared" si="0"/>
        <v>8</v>
      </c>
      <c r="D8" s="39">
        <f t="shared" si="0"/>
        <v>10</v>
      </c>
      <c r="E8" s="39">
        <f t="shared" si="0"/>
        <v>9</v>
      </c>
      <c r="F8" s="61">
        <f t="shared" si="0"/>
        <v>5</v>
      </c>
      <c r="H8" s="20" t="s">
        <v>37</v>
      </c>
      <c r="I8" s="102"/>
      <c r="J8" s="97"/>
      <c r="K8" s="97"/>
      <c r="L8" s="97"/>
      <c r="M8" s="103"/>
    </row>
    <row r="9" spans="1:13" x14ac:dyDescent="0.25">
      <c r="A9" s="20" t="s">
        <v>22</v>
      </c>
      <c r="B9" s="39">
        <f t="shared" si="0"/>
        <v>8</v>
      </c>
      <c r="C9" s="39">
        <f t="shared" si="0"/>
        <v>8</v>
      </c>
      <c r="D9" s="39">
        <f t="shared" si="0"/>
        <v>6</v>
      </c>
      <c r="E9" s="39">
        <f t="shared" si="0"/>
        <v>5</v>
      </c>
      <c r="F9" s="61">
        <f t="shared" si="0"/>
        <v>7</v>
      </c>
      <c r="H9" s="20" t="s">
        <v>22</v>
      </c>
      <c r="I9" s="102"/>
      <c r="J9" s="97"/>
      <c r="K9" s="97"/>
      <c r="L9" s="97"/>
      <c r="M9" s="103"/>
    </row>
    <row r="10" spans="1:13" x14ac:dyDescent="0.25">
      <c r="A10" s="20" t="s">
        <v>6</v>
      </c>
      <c r="B10" s="39">
        <f t="shared" si="0"/>
        <v>7</v>
      </c>
      <c r="C10" s="39">
        <f t="shared" si="0"/>
        <v>13</v>
      </c>
      <c r="D10" s="39">
        <f t="shared" si="0"/>
        <v>9</v>
      </c>
      <c r="E10" s="39">
        <f t="shared" si="0"/>
        <v>6</v>
      </c>
      <c r="F10" s="61">
        <f t="shared" si="0"/>
        <v>15</v>
      </c>
      <c r="H10" s="20" t="s">
        <v>6</v>
      </c>
      <c r="I10" s="102"/>
      <c r="J10" s="97"/>
      <c r="K10" s="97"/>
      <c r="L10" s="97"/>
      <c r="M10" s="103"/>
    </row>
    <row r="11" spans="1:13" x14ac:dyDescent="0.25">
      <c r="A11" s="20" t="s">
        <v>8</v>
      </c>
      <c r="B11" s="39">
        <f t="shared" si="0"/>
        <v>11</v>
      </c>
      <c r="C11" s="39">
        <f t="shared" si="0"/>
        <v>10</v>
      </c>
      <c r="D11" s="39">
        <f t="shared" si="0"/>
        <v>16</v>
      </c>
      <c r="E11" s="39">
        <f t="shared" si="0"/>
        <v>9</v>
      </c>
      <c r="F11" s="61">
        <f t="shared" si="0"/>
        <v>14</v>
      </c>
      <c r="H11" s="20" t="s">
        <v>8</v>
      </c>
      <c r="I11" s="102"/>
      <c r="J11" s="97"/>
      <c r="K11" s="97"/>
      <c r="L11" s="97"/>
      <c r="M11" s="103"/>
    </row>
    <row r="12" spans="1:13" x14ac:dyDescent="0.25">
      <c r="A12" s="20" t="s">
        <v>7</v>
      </c>
      <c r="B12" s="39">
        <f t="shared" si="0"/>
        <v>8</v>
      </c>
      <c r="C12" s="39">
        <f t="shared" si="0"/>
        <v>13</v>
      </c>
      <c r="D12" s="39">
        <f t="shared" si="0"/>
        <v>10</v>
      </c>
      <c r="E12" s="39">
        <f t="shared" si="0"/>
        <v>6</v>
      </c>
      <c r="F12" s="61">
        <f t="shared" si="0"/>
        <v>9</v>
      </c>
      <c r="H12" s="20" t="s">
        <v>7</v>
      </c>
      <c r="I12" s="102"/>
      <c r="J12" s="97"/>
      <c r="K12" s="97"/>
      <c r="L12" s="97"/>
      <c r="M12" s="103"/>
    </row>
    <row r="13" spans="1:13" x14ac:dyDescent="0.25">
      <c r="A13" s="20">
        <v>10</v>
      </c>
      <c r="B13" s="39">
        <f t="shared" si="0"/>
        <v>16</v>
      </c>
      <c r="C13" s="39">
        <f t="shared" si="0"/>
        <v>7</v>
      </c>
      <c r="D13" s="39">
        <f t="shared" si="0"/>
        <v>12</v>
      </c>
      <c r="E13" s="39">
        <f t="shared" si="0"/>
        <v>6</v>
      </c>
      <c r="F13" s="61">
        <f t="shared" si="0"/>
        <v>10</v>
      </c>
      <c r="H13" s="20">
        <v>10</v>
      </c>
      <c r="I13" s="102"/>
      <c r="J13" s="97"/>
      <c r="K13" s="97"/>
      <c r="L13" s="97"/>
      <c r="M13" s="103"/>
    </row>
    <row r="14" spans="1:13" x14ac:dyDescent="0.25">
      <c r="A14" s="20">
        <v>9</v>
      </c>
      <c r="B14" s="39">
        <f t="shared" si="0"/>
        <v>9</v>
      </c>
      <c r="C14" s="39">
        <f t="shared" si="0"/>
        <v>5</v>
      </c>
      <c r="D14" s="39">
        <f t="shared" si="0"/>
        <v>3</v>
      </c>
      <c r="E14" s="39">
        <f t="shared" si="0"/>
        <v>8</v>
      </c>
      <c r="F14" s="61">
        <f t="shared" si="0"/>
        <v>4</v>
      </c>
      <c r="H14" s="21">
        <v>9</v>
      </c>
      <c r="I14" s="104"/>
      <c r="J14" s="98"/>
      <c r="K14" s="98"/>
      <c r="L14" s="98"/>
      <c r="M14" s="105"/>
    </row>
    <row r="15" spans="1:13" x14ac:dyDescent="0.25">
      <c r="A15" s="20" t="s">
        <v>29</v>
      </c>
      <c r="B15" s="39">
        <f t="shared" si="0"/>
        <v>4</v>
      </c>
      <c r="C15" s="39">
        <f t="shared" si="0"/>
        <v>4</v>
      </c>
      <c r="D15" s="39">
        <f t="shared" si="0"/>
        <v>4</v>
      </c>
      <c r="E15" s="39">
        <f t="shared" si="0"/>
        <v>1</v>
      </c>
      <c r="F15" s="61">
        <f t="shared" si="0"/>
        <v>1</v>
      </c>
    </row>
    <row r="16" spans="1:13" x14ac:dyDescent="0.25">
      <c r="A16" s="51" t="s">
        <v>10</v>
      </c>
      <c r="B16" s="6">
        <f>SUM(B3:B15)</f>
        <v>107</v>
      </c>
      <c r="C16" s="6">
        <f t="shared" ref="C16:F16" si="1">SUM(C3:C15)</f>
        <v>102</v>
      </c>
      <c r="D16" s="6">
        <f t="shared" si="1"/>
        <v>110</v>
      </c>
      <c r="E16" s="6">
        <f t="shared" si="1"/>
        <v>86</v>
      </c>
      <c r="F16" s="62">
        <f t="shared" si="1"/>
        <v>113</v>
      </c>
    </row>
    <row r="17" spans="1:72" x14ac:dyDescent="0.25">
      <c r="A17" s="44"/>
    </row>
    <row r="18" spans="1:72" x14ac:dyDescent="0.25">
      <c r="A18" s="35" t="s">
        <v>23</v>
      </c>
    </row>
    <row r="19" spans="1:72" x14ac:dyDescent="0.25">
      <c r="A19" s="32" t="s">
        <v>0</v>
      </c>
      <c r="B19" s="33" t="s">
        <v>1</v>
      </c>
      <c r="C19" s="33" t="s">
        <v>2</v>
      </c>
      <c r="D19" s="33" t="s">
        <v>3</v>
      </c>
      <c r="E19" s="33" t="s">
        <v>4</v>
      </c>
      <c r="F19" s="34" t="s">
        <v>5</v>
      </c>
    </row>
    <row r="20" spans="1:72" x14ac:dyDescent="0.25">
      <c r="A20" s="66">
        <v>-3</v>
      </c>
      <c r="B20" s="60" t="str">
        <f ca="1">OFFSET(B23,B16+$A20,)</f>
        <v>Q</v>
      </c>
      <c r="C20" s="60" t="str">
        <f t="shared" ref="C20:F20" ca="1" si="2">OFFSET(C23,C16+$A20,)</f>
        <v>SYM3</v>
      </c>
      <c r="D20" s="60">
        <f t="shared" ca="1" si="2"/>
        <v>10</v>
      </c>
      <c r="E20" s="60" t="str">
        <f t="shared" ca="1" si="2"/>
        <v>SYM4</v>
      </c>
      <c r="F20" s="63" t="str">
        <f t="shared" ca="1" si="2"/>
        <v>Q</v>
      </c>
    </row>
    <row r="21" spans="1:72" s="59" customFormat="1" x14ac:dyDescent="0.25">
      <c r="A21" s="66">
        <v>-2</v>
      </c>
      <c r="B21" s="60">
        <f ca="1">OFFSET(B23,B16+$A21,)</f>
        <v>10</v>
      </c>
      <c r="C21" s="60" t="str">
        <f t="shared" ref="C21:F21" ca="1" si="3">OFFSET(C23,C16+$A21,)</f>
        <v>A</v>
      </c>
      <c r="D21" s="60" t="str">
        <f t="shared" ca="1" si="3"/>
        <v>SYM4</v>
      </c>
      <c r="E21" s="60">
        <f t="shared" ca="1" si="3"/>
        <v>9</v>
      </c>
      <c r="F21" s="63" t="str">
        <f t="shared" ca="1" si="3"/>
        <v>SYM4</v>
      </c>
      <c r="H21" s="68" t="str">
        <f>$A$4</f>
        <v>SYM1</v>
      </c>
      <c r="I21"/>
      <c r="N21" s="68" t="str">
        <f>$A$5</f>
        <v>SYM2</v>
      </c>
      <c r="O21"/>
      <c r="T21" s="68" t="str">
        <f>$A$6</f>
        <v>SYM3</v>
      </c>
      <c r="U21"/>
      <c r="Z21" s="68" t="str">
        <f>$A$7</f>
        <v>SYM4</v>
      </c>
      <c r="AA21"/>
      <c r="AF21" s="68" t="str">
        <f>$A$8</f>
        <v>SYM5</v>
      </c>
      <c r="AG21"/>
      <c r="AL21" s="68" t="str">
        <f>$A$9</f>
        <v>A</v>
      </c>
      <c r="AM21"/>
      <c r="AR21" s="68" t="str">
        <f>$A$10</f>
        <v>K</v>
      </c>
      <c r="AS21"/>
      <c r="AX21" s="68" t="str">
        <f>$A$11</f>
        <v>Q</v>
      </c>
      <c r="AY21"/>
      <c r="BD21" s="68" t="str">
        <f>$A$12</f>
        <v>J</v>
      </c>
      <c r="BE21"/>
      <c r="BJ21" s="68">
        <f>$A$13</f>
        <v>10</v>
      </c>
      <c r="BK21"/>
      <c r="BP21" s="68">
        <f>$A$14</f>
        <v>9</v>
      </c>
      <c r="BQ21"/>
    </row>
    <row r="22" spans="1:72" s="59" customFormat="1" x14ac:dyDescent="0.25">
      <c r="A22" s="67">
        <v>-1</v>
      </c>
      <c r="B22" s="64" t="str">
        <f ca="1">OFFSET(B23,B16+$A22,)</f>
        <v>SYM2</v>
      </c>
      <c r="C22" s="64" t="str">
        <f t="shared" ref="C22:F22" ca="1" si="4">OFFSET(C23,C16+$A22,)</f>
        <v>SYM4</v>
      </c>
      <c r="D22" s="64" t="str">
        <f t="shared" ca="1" si="4"/>
        <v>Q</v>
      </c>
      <c r="E22" s="64" t="str">
        <f t="shared" ca="1" si="4"/>
        <v>SYM1</v>
      </c>
      <c r="F22" s="65" t="str">
        <f t="shared" ca="1" si="4"/>
        <v>J</v>
      </c>
      <c r="I22"/>
      <c r="O22"/>
      <c r="U22"/>
      <c r="AA22"/>
      <c r="AG22"/>
      <c r="AM22"/>
      <c r="AS22"/>
      <c r="AY22"/>
      <c r="BE22"/>
      <c r="BK22"/>
      <c r="BQ22"/>
    </row>
    <row r="23" spans="1:72" x14ac:dyDescent="0.25">
      <c r="A23" s="4">
        <v>1</v>
      </c>
      <c r="B23" s="54">
        <f>IF('Game Info'!J6="","",'Game Info'!J6)</f>
        <v>10</v>
      </c>
      <c r="C23" s="54" t="str">
        <f>IF('Game Info'!K6="","",'Game Info'!K6)</f>
        <v>SYM4</v>
      </c>
      <c r="D23" s="54" t="str">
        <f>IF('Game Info'!L6="","",'Game Info'!L6)</f>
        <v>SYM1</v>
      </c>
      <c r="E23" s="54">
        <f>IF('Game Info'!M6="","",'Game Info'!M6)</f>
        <v>10</v>
      </c>
      <c r="F23" s="55">
        <f>IF('Game Info'!N6="","",'Game Info'!N6)</f>
        <v>10</v>
      </c>
      <c r="H23" s="11">
        <f ca="1">IF($B23="","",COUNTIF($B20:$B23,H$21)+COUNTIF($B20:$B23,$A$3))</f>
        <v>0</v>
      </c>
      <c r="I23" s="47">
        <f ca="1">IF($C23="","",COUNTIF($C20:$C23,H$21)+COUNTIF($C20:$C23,$A$3))</f>
        <v>0</v>
      </c>
      <c r="J23" s="47">
        <f ca="1">IF($D23="","",COUNTIF($D20:$D23,H$21)+COUNTIF($D20:$D23,$A$3))</f>
        <v>1</v>
      </c>
      <c r="K23" s="47">
        <f ca="1">IF($E23="","",COUNTIF($E20:$E23,H$21)+COUNTIF($E20:$E23,$A$3))</f>
        <v>1</v>
      </c>
      <c r="L23" s="69">
        <f ca="1">IF($F23="","",COUNTIF($F20:$F23,H$21)+COUNTIF($F20:$F23,$A$3))</f>
        <v>0</v>
      </c>
      <c r="N23" s="11">
        <f ca="1">IF($B23="","",COUNTIF($B20:$B23,N$21)+COUNTIF($B20:$B23,$A$3))</f>
        <v>1</v>
      </c>
      <c r="O23" s="47">
        <f ca="1">IF($C23="","",COUNTIF($C20:$C23,N$21)+COUNTIF($C20:$C23,$A$3))</f>
        <v>0</v>
      </c>
      <c r="P23" s="47">
        <f ca="1">IF($D23="","",COUNTIF($D20:$D23,N$21)+COUNTIF($D20:$D23,$A$3))</f>
        <v>0</v>
      </c>
      <c r="Q23" s="47">
        <f ca="1">IF($E23="","",COUNTIF($E20:$E23,N$21)+COUNTIF($E20:$E23,$A$3))</f>
        <v>0</v>
      </c>
      <c r="R23" s="69">
        <f ca="1">IF($F23="","",COUNTIF($F20:$F23,N$21)+COUNTIF($F20:$F23,$A$3))</f>
        <v>0</v>
      </c>
      <c r="T23" s="11">
        <f ca="1">IF($B23="","",COUNTIF($B20:$B23,T$21)+COUNTIF($B20:$B23,$A$3))</f>
        <v>0</v>
      </c>
      <c r="U23" s="47">
        <f ca="1">IF($C23="","",COUNTIF($C20:$C23,T$21)+COUNTIF($C20:$C23,$A$3))</f>
        <v>1</v>
      </c>
      <c r="V23" s="47">
        <f ca="1">IF($D23="","",COUNTIF($D20:$D23,T$21)+COUNTIF($D20:$D23,$A$3))</f>
        <v>0</v>
      </c>
      <c r="W23" s="47">
        <f ca="1">IF($E23="","",COUNTIF($E20:$E23,T$21)+COUNTIF($E20:$E23,$A$3))</f>
        <v>0</v>
      </c>
      <c r="X23" s="69">
        <f ca="1">IF($F23="","",COUNTIF($F20:$F23,T$21)+COUNTIF($F20:$F23,$A$3))</f>
        <v>0</v>
      </c>
      <c r="Z23" s="11">
        <f ca="1">IF($B23="","",COUNTIF($B20:$B23,Z$21)+COUNTIF($B20:$B23,$A$3))</f>
        <v>0</v>
      </c>
      <c r="AA23" s="47">
        <f ca="1">IF($C23="","",COUNTIF($C20:$C23,Z$21)+COUNTIF($C20:$C23,$A$3))</f>
        <v>2</v>
      </c>
      <c r="AB23" s="47">
        <f ca="1">IF($D23="","",COUNTIF($D20:$D23,Z$21)+COUNTIF($D20:$D23,$A$3))</f>
        <v>1</v>
      </c>
      <c r="AC23" s="47">
        <f ca="1">IF($E23="","",COUNTIF($E20:$E23,Z$21)+COUNTIF($E20:$E23,$A$3))</f>
        <v>1</v>
      </c>
      <c r="AD23" s="69">
        <f ca="1">IF($F23="","",COUNTIF($F20:$F23,Z$21)+COUNTIF($F20:$F23,$A$3))</f>
        <v>1</v>
      </c>
      <c r="AF23" s="11">
        <f ca="1">IF($B23="","",COUNTIF($B20:$B23,AF$21)+COUNTIF($B20:$B23,$A$3))</f>
        <v>0</v>
      </c>
      <c r="AG23" s="47">
        <f ca="1">IF($C23="","",COUNTIF($C20:$C23,AF$21)+COUNTIF($C20:$C23,$A$3))</f>
        <v>0</v>
      </c>
      <c r="AH23" s="47">
        <f ca="1">IF($D23="","",COUNTIF($D20:$D23,AF$21)+COUNTIF($D20:$D23,$A$3))</f>
        <v>0</v>
      </c>
      <c r="AI23" s="47">
        <f ca="1">IF($E23="","",COUNTIF($E20:$E23,AF$21)+COUNTIF($E20:$E23,$A$3))</f>
        <v>0</v>
      </c>
      <c r="AJ23" s="69">
        <f ca="1">IF($F23="","",COUNTIF($F20:$F23,AF$21)+COUNTIF($F20:$F23,$A$3))</f>
        <v>0</v>
      </c>
      <c r="AL23" s="11">
        <f ca="1">IF($B23="","",COUNTIF($B20:$B23,AL$21)+COUNTIF($B20:$B23,$A$3))</f>
        <v>0</v>
      </c>
      <c r="AM23" s="47">
        <f ca="1">IF($C23="","",COUNTIF($C20:$C23,AL$21)+COUNTIF($C20:$C23,$A$3))</f>
        <v>1</v>
      </c>
      <c r="AN23" s="47">
        <f ca="1">IF($D23="","",COUNTIF($D20:$D23,AL$21)+COUNTIF($D20:$D23,$A$3))</f>
        <v>0</v>
      </c>
      <c r="AO23" s="47">
        <f ca="1">IF($E23="","",COUNTIF($E20:$E23,AL$21)+COUNTIF($E20:$E23,$A$3))</f>
        <v>0</v>
      </c>
      <c r="AP23" s="69">
        <f ca="1">IF($F23="","",COUNTIF($F20:$F23,AL$21)+COUNTIF($F20:$F23,$A$3))</f>
        <v>0</v>
      </c>
      <c r="AR23" s="11">
        <f ca="1">IF($B23="","",COUNTIF($B20:$B23,AR$21)+COUNTIF($B20:$B23,$A$3))</f>
        <v>0</v>
      </c>
      <c r="AS23" s="47">
        <f ca="1">IF($C23="","",COUNTIF($C20:$C23,AR$21)+COUNTIF($C20:$C23,$A$3))</f>
        <v>0</v>
      </c>
      <c r="AT23" s="47">
        <f ca="1">IF($D23="","",COUNTIF($D20:$D23,AR$21)+COUNTIF($D20:$D23,$A$3))</f>
        <v>0</v>
      </c>
      <c r="AU23" s="47">
        <f ca="1">IF($E23="","",COUNTIF($E20:$E23,AR$21)+COUNTIF($E20:$E23,$A$3))</f>
        <v>0</v>
      </c>
      <c r="AV23" s="69">
        <f ca="1">IF($F23="","",COUNTIF($F20:$F23,AR$21)+COUNTIF($F20:$F23,$A$3))</f>
        <v>0</v>
      </c>
      <c r="AX23" s="11">
        <f ca="1">IF($B23="","",COUNTIF($B20:$B23,AX$21)+COUNTIF($B20:$B23,$A$3))</f>
        <v>1</v>
      </c>
      <c r="AY23" s="47">
        <f ca="1">IF($C23="","",COUNTIF($C20:$C23,AX$21)+COUNTIF($C20:$C23,$A$3))</f>
        <v>0</v>
      </c>
      <c r="AZ23" s="47">
        <f ca="1">IF($D23="","",COUNTIF($D20:$D23,AX$21)+COUNTIF($D20:$D23,$A$3))</f>
        <v>1</v>
      </c>
      <c r="BA23" s="47">
        <f ca="1">IF($E23="","",COUNTIF($E20:$E23,AX$21)+COUNTIF($E20:$E23,$A$3))</f>
        <v>0</v>
      </c>
      <c r="BB23" s="69">
        <f ca="1">IF($F23="","",COUNTIF($F20:$F23,AX$21)+COUNTIF($F20:$F23,$A$3))</f>
        <v>1</v>
      </c>
      <c r="BD23" s="11">
        <f ca="1">IF($B23="","",COUNTIF($B20:$B23,BD$21)+COUNTIF($B20:$B23,$A$3))</f>
        <v>0</v>
      </c>
      <c r="BE23" s="47">
        <f ca="1">IF($C23="","",COUNTIF($C20:$C23,BD$21)+COUNTIF($C20:$C23,$A$3))</f>
        <v>0</v>
      </c>
      <c r="BF23" s="47">
        <f ca="1">IF($D23="","",COUNTIF($D20:$D23,BD$21)+COUNTIF($D20:$D23,$A$3))</f>
        <v>0</v>
      </c>
      <c r="BG23" s="47">
        <f ca="1">IF($E23="","",COUNTIF($E20:$E23,BD$21)+COUNTIF($E20:$E23,$A$3))</f>
        <v>0</v>
      </c>
      <c r="BH23" s="69">
        <f ca="1">IF($F23="","",COUNTIF($F20:$F23,BD$21)+COUNTIF($F20:$F23,$A$3))</f>
        <v>1</v>
      </c>
      <c r="BJ23" s="11">
        <f ca="1">IF($B23="","",COUNTIF($B20:$B23,BJ$21)+COUNTIF($B20:$B23,$A$3))</f>
        <v>2</v>
      </c>
      <c r="BK23" s="47">
        <f ca="1">IF($C23="","",COUNTIF($C20:$C23,BJ$21)+COUNTIF($C20:$C23,$A$3))</f>
        <v>0</v>
      </c>
      <c r="BL23" s="47">
        <f ca="1">IF($D23="","",COUNTIF($D20:$D23,BJ$21)+COUNTIF($D20:$D23,$A$3))</f>
        <v>1</v>
      </c>
      <c r="BM23" s="47">
        <f ca="1">IF($E23="","",COUNTIF($E20:$E23,BJ$21)+COUNTIF($E20:$E23,$A$3))</f>
        <v>1</v>
      </c>
      <c r="BN23" s="69">
        <f ca="1">IF($F23="","",COUNTIF($F20:$F23,BJ$21)+COUNTIF($F20:$F23,$A$3))</f>
        <v>1</v>
      </c>
      <c r="BP23" s="11">
        <f ca="1">IF($B23="","",COUNTIF($B20:$B23,BP$21)+COUNTIF($B20:$B23,$A$3))</f>
        <v>0</v>
      </c>
      <c r="BQ23" s="47">
        <f ca="1">IF($C23="","",COUNTIF($C20:$C23,BP$21)+COUNTIF($C20:$C23,$A$3))</f>
        <v>0</v>
      </c>
      <c r="BR23" s="47">
        <f ca="1">IF($D23="","",COUNTIF($D20:$D23,BP$21)+COUNTIF($D20:$D23,$A$3))</f>
        <v>0</v>
      </c>
      <c r="BS23" s="47">
        <f ca="1">IF($E23="","",COUNTIF($E20:$E23,BP$21)+COUNTIF($E20:$E23,$A$3))</f>
        <v>1</v>
      </c>
      <c r="BT23" s="69">
        <f ca="1">IF($F23="","",COUNTIF($F20:$F23,BP$21)+COUNTIF($F20:$F23,$A$3))</f>
        <v>0</v>
      </c>
    </row>
    <row r="24" spans="1:72" x14ac:dyDescent="0.25">
      <c r="A24" s="4">
        <v>2</v>
      </c>
      <c r="B24" s="54" t="str">
        <f>IF('Game Info'!J7="","",'Game Info'!J7)</f>
        <v>SYM3</v>
      </c>
      <c r="C24" s="54">
        <f>IF('Game Info'!K7="","",'Game Info'!K7)</f>
        <v>9</v>
      </c>
      <c r="D24" s="54" t="str">
        <f>IF('Game Info'!L7="","",'Game Info'!L7)</f>
        <v>K</v>
      </c>
      <c r="E24" s="54" t="str">
        <f>IF('Game Info'!M7="","",'Game Info'!M7)</f>
        <v>SYM3</v>
      </c>
      <c r="F24" s="55" t="str">
        <f>IF('Game Info'!N7="","",'Game Info'!N7)</f>
        <v>SYM5</v>
      </c>
      <c r="H24" s="12">
        <f t="shared" ref="H24:H87" ca="1" si="5">IF($B24="","",COUNTIF($B21:$B24,H$21)+COUNTIF($B21:$B24,$A$3))</f>
        <v>0</v>
      </c>
      <c r="I24" s="44">
        <f t="shared" ref="I24:I87" ca="1" si="6">IF($C24="","",COUNTIF($C21:$C24,H$21)+COUNTIF($C21:$C24,$A$3))</f>
        <v>0</v>
      </c>
      <c r="J24" s="44">
        <f t="shared" ref="J24:J87" ca="1" si="7">IF($D24="","",COUNTIF($D21:$D24,H$21)+COUNTIF($D21:$D24,$A$3))</f>
        <v>1</v>
      </c>
      <c r="K24" s="44">
        <f t="shared" ref="K24:K87" ca="1" si="8">IF($E24="","",COUNTIF($E21:$E24,H$21)+COUNTIF($E21:$E24,$A$3))</f>
        <v>1</v>
      </c>
      <c r="L24" s="48">
        <f t="shared" ref="L24:L87" ca="1" si="9">IF($F24="","",COUNTIF($F21:$F24,H$21)+COUNTIF($F21:$F24,$A$3))</f>
        <v>0</v>
      </c>
      <c r="N24" s="12">
        <f t="shared" ref="N24:N87" ca="1" si="10">IF($B24="","",COUNTIF($B21:$B24,N$21)+COUNTIF($B21:$B24,$A$3))</f>
        <v>1</v>
      </c>
      <c r="O24" s="44">
        <f t="shared" ref="O24:O87" ca="1" si="11">IF($C24="","",COUNTIF($C21:$C24,N$21)+COUNTIF($C21:$C24,$A$3))</f>
        <v>0</v>
      </c>
      <c r="P24" s="44">
        <f t="shared" ref="P24:P87" ca="1" si="12">IF($D24="","",COUNTIF($D21:$D24,N$21)+COUNTIF($D21:$D24,$A$3))</f>
        <v>0</v>
      </c>
      <c r="Q24" s="44">
        <f t="shared" ref="Q24:Q87" ca="1" si="13">IF($E24="","",COUNTIF($E21:$E24,N$21)+COUNTIF($E21:$E24,$A$3))</f>
        <v>0</v>
      </c>
      <c r="R24" s="48">
        <f t="shared" ref="R24:R87" ca="1" si="14">IF($F24="","",COUNTIF($F21:$F24,N$21)+COUNTIF($F21:$F24,$A$3))</f>
        <v>0</v>
      </c>
      <c r="T24" s="12">
        <f t="shared" ref="T24:T87" ca="1" si="15">IF($B24="","",COUNTIF($B21:$B24,T$21)+COUNTIF($B21:$B24,$A$3))</f>
        <v>1</v>
      </c>
      <c r="U24" s="44">
        <f t="shared" ref="U24:U87" ca="1" si="16">IF($C24="","",COUNTIF($C21:$C24,T$21)+COUNTIF($C21:$C24,$A$3))</f>
        <v>0</v>
      </c>
      <c r="V24" s="44">
        <f t="shared" ref="V24:V87" ca="1" si="17">IF($D24="","",COUNTIF($D21:$D24,T$21)+COUNTIF($D21:$D24,$A$3))</f>
        <v>0</v>
      </c>
      <c r="W24" s="44">
        <f t="shared" ref="W24:W87" ca="1" si="18">IF($E24="","",COUNTIF($E21:$E24,T$21)+COUNTIF($E21:$E24,$A$3))</f>
        <v>1</v>
      </c>
      <c r="X24" s="48">
        <f t="shared" ref="X24:X87" ca="1" si="19">IF($F24="","",COUNTIF($F21:$F24,T$21)+COUNTIF($F21:$F24,$A$3))</f>
        <v>0</v>
      </c>
      <c r="Z24" s="12">
        <f t="shared" ref="Z24:Z87" ca="1" si="20">IF($B24="","",COUNTIF($B21:$B24,Z$21)+COUNTIF($B21:$B24,$A$3))</f>
        <v>0</v>
      </c>
      <c r="AA24" s="44">
        <f t="shared" ref="AA24:AA87" ca="1" si="21">IF($C24="","",COUNTIF($C21:$C24,Z$21)+COUNTIF($C21:$C24,$A$3))</f>
        <v>2</v>
      </c>
      <c r="AB24" s="44">
        <f t="shared" ref="AB24:AB87" ca="1" si="22">IF($D24="","",COUNTIF($D21:$D24,Z$21)+COUNTIF($D21:$D24,$A$3))</f>
        <v>1</v>
      </c>
      <c r="AC24" s="44">
        <f t="shared" ref="AC24:AC87" ca="1" si="23">IF($E24="","",COUNTIF($E21:$E24,Z$21)+COUNTIF($E21:$E24,$A$3))</f>
        <v>0</v>
      </c>
      <c r="AD24" s="48">
        <f t="shared" ref="AD24:AD87" ca="1" si="24">IF($F24="","",COUNTIF($F21:$F24,Z$21)+COUNTIF($F21:$F24,$A$3))</f>
        <v>1</v>
      </c>
      <c r="AF24" s="12">
        <f t="shared" ref="AF24:AF87" ca="1" si="25">IF($B24="","",COUNTIF($B21:$B24,AF$21)+COUNTIF($B21:$B24,$A$3))</f>
        <v>0</v>
      </c>
      <c r="AG24" s="44">
        <f t="shared" ref="AG24:AG87" ca="1" si="26">IF($C24="","",COUNTIF($C21:$C24,AF$21)+COUNTIF($C21:$C24,$A$3))</f>
        <v>0</v>
      </c>
      <c r="AH24" s="44">
        <f t="shared" ref="AH24:AH87" ca="1" si="27">IF($D24="","",COUNTIF($D21:$D24,AF$21)+COUNTIF($D21:$D24,$A$3))</f>
        <v>0</v>
      </c>
      <c r="AI24" s="44">
        <f t="shared" ref="AI24:AI87" ca="1" si="28">IF($E24="","",COUNTIF($E21:$E24,AF$21)+COUNTIF($E21:$E24,$A$3))</f>
        <v>0</v>
      </c>
      <c r="AJ24" s="48">
        <f t="shared" ref="AJ24:AJ87" ca="1" si="29">IF($F24="","",COUNTIF($F21:$F24,AF$21)+COUNTIF($F21:$F24,$A$3))</f>
        <v>1</v>
      </c>
      <c r="AL24" s="12">
        <f t="shared" ref="AL24:AL87" ca="1" si="30">IF($B24="","",COUNTIF($B21:$B24,AL$21)+COUNTIF($B21:$B24,$A$3))</f>
        <v>0</v>
      </c>
      <c r="AM24" s="44">
        <f t="shared" ref="AM24:AM87" ca="1" si="31">IF($C24="","",COUNTIF($C21:$C24,AL$21)+COUNTIF($C21:$C24,$A$3))</f>
        <v>1</v>
      </c>
      <c r="AN24" s="44">
        <f t="shared" ref="AN24:AN87" ca="1" si="32">IF($D24="","",COUNTIF($D21:$D24,AL$21)+COUNTIF($D21:$D24,$A$3))</f>
        <v>0</v>
      </c>
      <c r="AO24" s="44">
        <f t="shared" ref="AO24:AO87" ca="1" si="33">IF($E24="","",COUNTIF($E21:$E24,AL$21)+COUNTIF($E21:$E24,$A$3))</f>
        <v>0</v>
      </c>
      <c r="AP24" s="48">
        <f t="shared" ref="AP24:AP87" ca="1" si="34">IF($F24="","",COUNTIF($F21:$F24,AL$21)+COUNTIF($F21:$F24,$A$3))</f>
        <v>0</v>
      </c>
      <c r="AR24" s="12">
        <f t="shared" ref="AR24:AR87" ca="1" si="35">IF($B24="","",COUNTIF($B21:$B24,AR$21)+COUNTIF($B21:$B24,$A$3))</f>
        <v>0</v>
      </c>
      <c r="AS24" s="44">
        <f t="shared" ref="AS24:AS87" ca="1" si="36">IF($C24="","",COUNTIF($C21:$C24,AR$21)+COUNTIF($C21:$C24,$A$3))</f>
        <v>0</v>
      </c>
      <c r="AT24" s="44">
        <f t="shared" ref="AT24:AT87" ca="1" si="37">IF($D24="","",COUNTIF($D21:$D24,AR$21)+COUNTIF($D21:$D24,$A$3))</f>
        <v>1</v>
      </c>
      <c r="AU24" s="44">
        <f t="shared" ref="AU24:AU87" ca="1" si="38">IF($E24="","",COUNTIF($E21:$E24,AR$21)+COUNTIF($E21:$E24,$A$3))</f>
        <v>0</v>
      </c>
      <c r="AV24" s="48">
        <f t="shared" ref="AV24:AV87" ca="1" si="39">IF($F24="","",COUNTIF($F21:$F24,AR$21)+COUNTIF($F21:$F24,$A$3))</f>
        <v>0</v>
      </c>
      <c r="AX24" s="12">
        <f t="shared" ref="AX24:AX87" ca="1" si="40">IF($B24="","",COUNTIF($B21:$B24,AX$21)+COUNTIF($B21:$B24,$A$3))</f>
        <v>0</v>
      </c>
      <c r="AY24" s="44">
        <f t="shared" ref="AY24:AY87" ca="1" si="41">IF($C24="","",COUNTIF($C21:$C24,AX$21)+COUNTIF($C21:$C24,$A$3))</f>
        <v>0</v>
      </c>
      <c r="AZ24" s="44">
        <f t="shared" ref="AZ24:AZ87" ca="1" si="42">IF($D24="","",COUNTIF($D21:$D24,AX$21)+COUNTIF($D21:$D24,$A$3))</f>
        <v>1</v>
      </c>
      <c r="BA24" s="44">
        <f t="shared" ref="BA24:BA87" ca="1" si="43">IF($E24="","",COUNTIF($E21:$E24,AX$21)+COUNTIF($E21:$E24,$A$3))</f>
        <v>0</v>
      </c>
      <c r="BB24" s="48">
        <f t="shared" ref="BB24:BB87" ca="1" si="44">IF($F24="","",COUNTIF($F21:$F24,AX$21)+COUNTIF($F21:$F24,$A$3))</f>
        <v>0</v>
      </c>
      <c r="BD24" s="12">
        <f t="shared" ref="BD24:BD87" ca="1" si="45">IF($B24="","",COUNTIF($B21:$B24,BD$21)+COUNTIF($B21:$B24,$A$3))</f>
        <v>0</v>
      </c>
      <c r="BE24" s="44">
        <f t="shared" ref="BE24:BE87" ca="1" si="46">IF($C24="","",COUNTIF($C21:$C24,BD$21)+COUNTIF($C21:$C24,$A$3))</f>
        <v>0</v>
      </c>
      <c r="BF24" s="44">
        <f t="shared" ref="BF24:BF87" ca="1" si="47">IF($D24="","",COUNTIF($D21:$D24,BD$21)+COUNTIF($D21:$D24,$A$3))</f>
        <v>0</v>
      </c>
      <c r="BG24" s="44">
        <f t="shared" ref="BG24:BG87" ca="1" si="48">IF($E24="","",COUNTIF($E21:$E24,BD$21)+COUNTIF($E21:$E24,$A$3))</f>
        <v>0</v>
      </c>
      <c r="BH24" s="48">
        <f t="shared" ref="BH24:BH87" ca="1" si="49">IF($F24="","",COUNTIF($F21:$F24,BD$21)+COUNTIF($F21:$F24,$A$3))</f>
        <v>1</v>
      </c>
      <c r="BJ24" s="12">
        <f t="shared" ref="BJ24:BJ87" ca="1" si="50">IF($B24="","",COUNTIF($B21:$B24,BJ$21)+COUNTIF($B21:$B24,$A$3))</f>
        <v>2</v>
      </c>
      <c r="BK24" s="44">
        <f t="shared" ref="BK24:BK87" ca="1" si="51">IF($C24="","",COUNTIF($C21:$C24,BJ$21)+COUNTIF($C21:$C24,$A$3))</f>
        <v>0</v>
      </c>
      <c r="BL24" s="44">
        <f t="shared" ref="BL24:BL87" ca="1" si="52">IF($D24="","",COUNTIF($D21:$D24,BJ$21)+COUNTIF($D21:$D24,$A$3))</f>
        <v>0</v>
      </c>
      <c r="BM24" s="44">
        <f t="shared" ref="BM24:BM87" ca="1" si="53">IF($E24="","",COUNTIF($E21:$E24,BJ$21)+COUNTIF($E21:$E24,$A$3))</f>
        <v>1</v>
      </c>
      <c r="BN24" s="48">
        <f t="shared" ref="BN24:BN87" ca="1" si="54">IF($F24="","",COUNTIF($F21:$F24,BJ$21)+COUNTIF($F21:$F24,$A$3))</f>
        <v>1</v>
      </c>
      <c r="BP24" s="12">
        <f t="shared" ref="BP24:BP87" ca="1" si="55">IF($B24="","",COUNTIF($B21:$B24,BP$21)+COUNTIF($B21:$B24,$A$3))</f>
        <v>0</v>
      </c>
      <c r="BQ24" s="44">
        <f t="shared" ref="BQ24:BQ87" ca="1" si="56">IF($C24="","",COUNTIF($C21:$C24,BP$21)+COUNTIF($C21:$C24,$A$3))</f>
        <v>1</v>
      </c>
      <c r="BR24" s="44">
        <f t="shared" ref="BR24:BR87" ca="1" si="57">IF($D24="","",COUNTIF($D21:$D24,BP$21)+COUNTIF($D21:$D24,$A$3))</f>
        <v>0</v>
      </c>
      <c r="BS24" s="44">
        <f t="shared" ref="BS24:BS87" ca="1" si="58">IF($E24="","",COUNTIF($E21:$E24,BP$21)+COUNTIF($E21:$E24,$A$3))</f>
        <v>1</v>
      </c>
      <c r="BT24" s="48">
        <f t="shared" ref="BT24:BT87" ca="1" si="59">IF($F24="","",COUNTIF($F21:$F24,BP$21)+COUNTIF($F21:$F24,$A$3))</f>
        <v>0</v>
      </c>
    </row>
    <row r="25" spans="1:72" x14ac:dyDescent="0.25">
      <c r="A25" s="4">
        <v>3</v>
      </c>
      <c r="B25" s="54">
        <f>IF('Game Info'!J8="","",'Game Info'!J8)</f>
        <v>9</v>
      </c>
      <c r="C25" s="54" t="str">
        <f>IF('Game Info'!K8="","",'Game Info'!K8)</f>
        <v>SYM2</v>
      </c>
      <c r="D25" s="54">
        <f>IF('Game Info'!L8="","",'Game Info'!L8)</f>
        <v>10</v>
      </c>
      <c r="E25" s="54" t="str">
        <f>IF('Game Info'!M8="","",'Game Info'!M8)</f>
        <v>J</v>
      </c>
      <c r="F25" s="55" t="str">
        <f>IF('Game Info'!N8="","",'Game Info'!N8)</f>
        <v>Q</v>
      </c>
      <c r="H25" s="12">
        <f t="shared" ca="1" si="5"/>
        <v>0</v>
      </c>
      <c r="I25" s="44">
        <f t="shared" ca="1" si="6"/>
        <v>0</v>
      </c>
      <c r="J25" s="44">
        <f t="shared" ca="1" si="7"/>
        <v>1</v>
      </c>
      <c r="K25" s="44">
        <f t="shared" ca="1" si="8"/>
        <v>1</v>
      </c>
      <c r="L25" s="48">
        <f t="shared" ca="1" si="9"/>
        <v>0</v>
      </c>
      <c r="N25" s="12">
        <f t="shared" ca="1" si="10"/>
        <v>1</v>
      </c>
      <c r="O25" s="44">
        <f t="shared" ca="1" si="11"/>
        <v>1</v>
      </c>
      <c r="P25" s="44">
        <f t="shared" ca="1" si="12"/>
        <v>0</v>
      </c>
      <c r="Q25" s="44">
        <f t="shared" ca="1" si="13"/>
        <v>0</v>
      </c>
      <c r="R25" s="48">
        <f t="shared" ca="1" si="14"/>
        <v>0</v>
      </c>
      <c r="T25" s="12">
        <f t="shared" ca="1" si="15"/>
        <v>1</v>
      </c>
      <c r="U25" s="44">
        <f t="shared" ca="1" si="16"/>
        <v>0</v>
      </c>
      <c r="V25" s="44">
        <f t="shared" ca="1" si="17"/>
        <v>0</v>
      </c>
      <c r="W25" s="44">
        <f t="shared" ca="1" si="18"/>
        <v>1</v>
      </c>
      <c r="X25" s="48">
        <f t="shared" ca="1" si="19"/>
        <v>0</v>
      </c>
      <c r="Z25" s="12">
        <f t="shared" ca="1" si="20"/>
        <v>0</v>
      </c>
      <c r="AA25" s="44">
        <f t="shared" ca="1" si="21"/>
        <v>2</v>
      </c>
      <c r="AB25" s="44">
        <f t="shared" ca="1" si="22"/>
        <v>0</v>
      </c>
      <c r="AC25" s="44">
        <f t="shared" ca="1" si="23"/>
        <v>0</v>
      </c>
      <c r="AD25" s="48">
        <f t="shared" ca="1" si="24"/>
        <v>0</v>
      </c>
      <c r="AF25" s="12">
        <f t="shared" ca="1" si="25"/>
        <v>0</v>
      </c>
      <c r="AG25" s="44">
        <f t="shared" ca="1" si="26"/>
        <v>0</v>
      </c>
      <c r="AH25" s="44">
        <f t="shared" ca="1" si="27"/>
        <v>0</v>
      </c>
      <c r="AI25" s="44">
        <f t="shared" ca="1" si="28"/>
        <v>0</v>
      </c>
      <c r="AJ25" s="48">
        <f t="shared" ca="1" si="29"/>
        <v>1</v>
      </c>
      <c r="AL25" s="12">
        <f t="shared" ca="1" si="30"/>
        <v>0</v>
      </c>
      <c r="AM25" s="44">
        <f t="shared" ca="1" si="31"/>
        <v>0</v>
      </c>
      <c r="AN25" s="44">
        <f t="shared" ca="1" si="32"/>
        <v>0</v>
      </c>
      <c r="AO25" s="44">
        <f t="shared" ca="1" si="33"/>
        <v>0</v>
      </c>
      <c r="AP25" s="48">
        <f t="shared" ca="1" si="34"/>
        <v>0</v>
      </c>
      <c r="AR25" s="12">
        <f t="shared" ca="1" si="35"/>
        <v>0</v>
      </c>
      <c r="AS25" s="44">
        <f t="shared" ca="1" si="36"/>
        <v>0</v>
      </c>
      <c r="AT25" s="44">
        <f t="shared" ca="1" si="37"/>
        <v>1</v>
      </c>
      <c r="AU25" s="44">
        <f t="shared" ca="1" si="38"/>
        <v>0</v>
      </c>
      <c r="AV25" s="48">
        <f t="shared" ca="1" si="39"/>
        <v>0</v>
      </c>
      <c r="AX25" s="12">
        <f t="shared" ca="1" si="40"/>
        <v>0</v>
      </c>
      <c r="AY25" s="44">
        <f t="shared" ca="1" si="41"/>
        <v>0</v>
      </c>
      <c r="AZ25" s="44">
        <f t="shared" ca="1" si="42"/>
        <v>1</v>
      </c>
      <c r="BA25" s="44">
        <f t="shared" ca="1" si="43"/>
        <v>0</v>
      </c>
      <c r="BB25" s="48">
        <f t="shared" ca="1" si="44"/>
        <v>1</v>
      </c>
      <c r="BD25" s="12">
        <f t="shared" ca="1" si="45"/>
        <v>0</v>
      </c>
      <c r="BE25" s="44">
        <f t="shared" ca="1" si="46"/>
        <v>0</v>
      </c>
      <c r="BF25" s="44">
        <f t="shared" ca="1" si="47"/>
        <v>0</v>
      </c>
      <c r="BG25" s="44">
        <f t="shared" ca="1" si="48"/>
        <v>1</v>
      </c>
      <c r="BH25" s="48">
        <f t="shared" ca="1" si="49"/>
        <v>1</v>
      </c>
      <c r="BJ25" s="12">
        <f t="shared" ca="1" si="50"/>
        <v>1</v>
      </c>
      <c r="BK25" s="44">
        <f t="shared" ca="1" si="51"/>
        <v>0</v>
      </c>
      <c r="BL25" s="44">
        <f t="shared" ca="1" si="52"/>
        <v>1</v>
      </c>
      <c r="BM25" s="44">
        <f t="shared" ca="1" si="53"/>
        <v>1</v>
      </c>
      <c r="BN25" s="48">
        <f t="shared" ca="1" si="54"/>
        <v>1</v>
      </c>
      <c r="BP25" s="12">
        <f t="shared" ca="1" si="55"/>
        <v>1</v>
      </c>
      <c r="BQ25" s="44">
        <f t="shared" ca="1" si="56"/>
        <v>1</v>
      </c>
      <c r="BR25" s="44">
        <f t="shared" ca="1" si="57"/>
        <v>0</v>
      </c>
      <c r="BS25" s="44">
        <f t="shared" ca="1" si="58"/>
        <v>0</v>
      </c>
      <c r="BT25" s="48">
        <f t="shared" ca="1" si="59"/>
        <v>0</v>
      </c>
    </row>
    <row r="26" spans="1:72" x14ac:dyDescent="0.25">
      <c r="A26" s="4">
        <v>4</v>
      </c>
      <c r="B26" s="54" t="str">
        <f>IF('Game Info'!J9="","",'Game Info'!J9)</f>
        <v>SYM2</v>
      </c>
      <c r="C26" s="54" t="str">
        <f>IF('Game Info'!K9="","",'Game Info'!K9)</f>
        <v>J</v>
      </c>
      <c r="D26" s="54" t="str">
        <f>IF('Game Info'!L9="","",'Game Info'!L9)</f>
        <v>Q</v>
      </c>
      <c r="E26" s="54" t="str">
        <f>IF('Game Info'!M9="","",'Game Info'!M9)</f>
        <v>SYM2</v>
      </c>
      <c r="F26" s="55" t="str">
        <f>IF('Game Info'!N9="","",'Game Info'!N9)</f>
        <v>K</v>
      </c>
      <c r="H26" s="12">
        <f t="shared" si="5"/>
        <v>0</v>
      </c>
      <c r="I26" s="44">
        <f t="shared" si="6"/>
        <v>0</v>
      </c>
      <c r="J26" s="44">
        <f t="shared" si="7"/>
        <v>1</v>
      </c>
      <c r="K26" s="44">
        <f t="shared" si="8"/>
        <v>0</v>
      </c>
      <c r="L26" s="48">
        <f t="shared" si="9"/>
        <v>0</v>
      </c>
      <c r="N26" s="12">
        <f t="shared" si="10"/>
        <v>1</v>
      </c>
      <c r="O26" s="44">
        <f t="shared" si="11"/>
        <v>1</v>
      </c>
      <c r="P26" s="44">
        <f t="shared" si="12"/>
        <v>0</v>
      </c>
      <c r="Q26" s="44">
        <f t="shared" si="13"/>
        <v>1</v>
      </c>
      <c r="R26" s="48">
        <f t="shared" si="14"/>
        <v>0</v>
      </c>
      <c r="T26" s="12">
        <f t="shared" si="15"/>
        <v>1</v>
      </c>
      <c r="U26" s="44">
        <f t="shared" si="16"/>
        <v>0</v>
      </c>
      <c r="V26" s="44">
        <f t="shared" si="17"/>
        <v>0</v>
      </c>
      <c r="W26" s="44">
        <f t="shared" si="18"/>
        <v>1</v>
      </c>
      <c r="X26" s="48">
        <f t="shared" si="19"/>
        <v>0</v>
      </c>
      <c r="Z26" s="12">
        <f t="shared" si="20"/>
        <v>0</v>
      </c>
      <c r="AA26" s="44">
        <f t="shared" si="21"/>
        <v>1</v>
      </c>
      <c r="AB26" s="44">
        <f t="shared" si="22"/>
        <v>0</v>
      </c>
      <c r="AC26" s="44">
        <f t="shared" si="23"/>
        <v>0</v>
      </c>
      <c r="AD26" s="48">
        <f t="shared" si="24"/>
        <v>0</v>
      </c>
      <c r="AF26" s="12">
        <f t="shared" si="25"/>
        <v>0</v>
      </c>
      <c r="AG26" s="44">
        <f t="shared" si="26"/>
        <v>0</v>
      </c>
      <c r="AH26" s="44">
        <f t="shared" si="27"/>
        <v>0</v>
      </c>
      <c r="AI26" s="44">
        <f t="shared" si="28"/>
        <v>0</v>
      </c>
      <c r="AJ26" s="48">
        <f t="shared" si="29"/>
        <v>1</v>
      </c>
      <c r="AL26" s="12">
        <f t="shared" si="30"/>
        <v>0</v>
      </c>
      <c r="AM26" s="44">
        <f t="shared" si="31"/>
        <v>0</v>
      </c>
      <c r="AN26" s="44">
        <f t="shared" si="32"/>
        <v>0</v>
      </c>
      <c r="AO26" s="44">
        <f t="shared" si="33"/>
        <v>0</v>
      </c>
      <c r="AP26" s="48">
        <f t="shared" si="34"/>
        <v>0</v>
      </c>
      <c r="AR26" s="12">
        <f t="shared" si="35"/>
        <v>0</v>
      </c>
      <c r="AS26" s="44">
        <f t="shared" si="36"/>
        <v>0</v>
      </c>
      <c r="AT26" s="44">
        <f t="shared" si="37"/>
        <v>1</v>
      </c>
      <c r="AU26" s="44">
        <f t="shared" si="38"/>
        <v>0</v>
      </c>
      <c r="AV26" s="48">
        <f t="shared" si="39"/>
        <v>1</v>
      </c>
      <c r="AX26" s="12">
        <f t="shared" si="40"/>
        <v>0</v>
      </c>
      <c r="AY26" s="44">
        <f t="shared" si="41"/>
        <v>0</v>
      </c>
      <c r="AZ26" s="44">
        <f t="shared" si="42"/>
        <v>1</v>
      </c>
      <c r="BA26" s="44">
        <f t="shared" si="43"/>
        <v>0</v>
      </c>
      <c r="BB26" s="48">
        <f t="shared" si="44"/>
        <v>1</v>
      </c>
      <c r="BD26" s="12">
        <f t="shared" si="45"/>
        <v>0</v>
      </c>
      <c r="BE26" s="44">
        <f t="shared" si="46"/>
        <v>1</v>
      </c>
      <c r="BF26" s="44">
        <f t="shared" si="47"/>
        <v>0</v>
      </c>
      <c r="BG26" s="44">
        <f t="shared" si="48"/>
        <v>1</v>
      </c>
      <c r="BH26" s="48">
        <f t="shared" si="49"/>
        <v>0</v>
      </c>
      <c r="BJ26" s="12">
        <f t="shared" si="50"/>
        <v>1</v>
      </c>
      <c r="BK26" s="44">
        <f t="shared" si="51"/>
        <v>0</v>
      </c>
      <c r="BL26" s="44">
        <f t="shared" si="52"/>
        <v>1</v>
      </c>
      <c r="BM26" s="44">
        <f t="shared" si="53"/>
        <v>1</v>
      </c>
      <c r="BN26" s="48">
        <f t="shared" si="54"/>
        <v>1</v>
      </c>
      <c r="BP26" s="12">
        <f t="shared" si="55"/>
        <v>1</v>
      </c>
      <c r="BQ26" s="44">
        <f t="shared" si="56"/>
        <v>1</v>
      </c>
      <c r="BR26" s="44">
        <f t="shared" si="57"/>
        <v>0</v>
      </c>
      <c r="BS26" s="44">
        <f t="shared" si="58"/>
        <v>0</v>
      </c>
      <c r="BT26" s="48">
        <f t="shared" si="59"/>
        <v>0</v>
      </c>
    </row>
    <row r="27" spans="1:72" x14ac:dyDescent="0.25">
      <c r="A27" s="4">
        <v>5</v>
      </c>
      <c r="B27" s="54" t="str">
        <f>IF('Game Info'!J10="","",'Game Info'!J10)</f>
        <v>Q</v>
      </c>
      <c r="C27" s="54" t="str">
        <f>IF('Game Info'!K10="","",'Game Info'!K10)</f>
        <v>K</v>
      </c>
      <c r="D27" s="54" t="str">
        <f>IF('Game Info'!L10="","",'Game Info'!L10)</f>
        <v>SYM5</v>
      </c>
      <c r="E27" s="54" t="str">
        <f>IF('Game Info'!M10="","",'Game Info'!M10)</f>
        <v>SYM2</v>
      </c>
      <c r="F27" s="55" t="str">
        <f>IF('Game Info'!N10="","",'Game Info'!N10)</f>
        <v>J</v>
      </c>
      <c r="H27" s="12">
        <f t="shared" si="5"/>
        <v>0</v>
      </c>
      <c r="I27" s="44">
        <f t="shared" si="6"/>
        <v>0</v>
      </c>
      <c r="J27" s="44">
        <f t="shared" si="7"/>
        <v>0</v>
      </c>
      <c r="K27" s="44">
        <f t="shared" si="8"/>
        <v>0</v>
      </c>
      <c r="L27" s="48">
        <f t="shared" si="9"/>
        <v>0</v>
      </c>
      <c r="N27" s="12">
        <f t="shared" si="10"/>
        <v>1</v>
      </c>
      <c r="O27" s="44">
        <f t="shared" si="11"/>
        <v>1</v>
      </c>
      <c r="P27" s="44">
        <f t="shared" si="12"/>
        <v>0</v>
      </c>
      <c r="Q27" s="44">
        <f t="shared" si="13"/>
        <v>2</v>
      </c>
      <c r="R27" s="48">
        <f t="shared" si="14"/>
        <v>0</v>
      </c>
      <c r="T27" s="12">
        <f t="shared" si="15"/>
        <v>1</v>
      </c>
      <c r="U27" s="44">
        <f t="shared" si="16"/>
        <v>0</v>
      </c>
      <c r="V27" s="44">
        <f t="shared" si="17"/>
        <v>0</v>
      </c>
      <c r="W27" s="44">
        <f t="shared" si="18"/>
        <v>1</v>
      </c>
      <c r="X27" s="48">
        <f t="shared" si="19"/>
        <v>0</v>
      </c>
      <c r="Z27" s="12">
        <f t="shared" si="20"/>
        <v>0</v>
      </c>
      <c r="AA27" s="44">
        <f t="shared" si="21"/>
        <v>0</v>
      </c>
      <c r="AB27" s="44">
        <f t="shared" si="22"/>
        <v>0</v>
      </c>
      <c r="AC27" s="44">
        <f t="shared" si="23"/>
        <v>0</v>
      </c>
      <c r="AD27" s="48">
        <f t="shared" si="24"/>
        <v>0</v>
      </c>
      <c r="AF27" s="12">
        <f t="shared" si="25"/>
        <v>0</v>
      </c>
      <c r="AG27" s="44">
        <f t="shared" si="26"/>
        <v>0</v>
      </c>
      <c r="AH27" s="44">
        <f t="shared" si="27"/>
        <v>1</v>
      </c>
      <c r="AI27" s="44">
        <f t="shared" si="28"/>
        <v>0</v>
      </c>
      <c r="AJ27" s="48">
        <f t="shared" si="29"/>
        <v>1</v>
      </c>
      <c r="AL27" s="12">
        <f t="shared" si="30"/>
        <v>0</v>
      </c>
      <c r="AM27" s="44">
        <f t="shared" si="31"/>
        <v>0</v>
      </c>
      <c r="AN27" s="44">
        <f t="shared" si="32"/>
        <v>0</v>
      </c>
      <c r="AO27" s="44">
        <f t="shared" si="33"/>
        <v>0</v>
      </c>
      <c r="AP27" s="48">
        <f t="shared" si="34"/>
        <v>0</v>
      </c>
      <c r="AR27" s="12">
        <f t="shared" si="35"/>
        <v>0</v>
      </c>
      <c r="AS27" s="44">
        <f t="shared" si="36"/>
        <v>1</v>
      </c>
      <c r="AT27" s="44">
        <f t="shared" si="37"/>
        <v>1</v>
      </c>
      <c r="AU27" s="44">
        <f t="shared" si="38"/>
        <v>0</v>
      </c>
      <c r="AV27" s="48">
        <f t="shared" si="39"/>
        <v>1</v>
      </c>
      <c r="AX27" s="12">
        <f t="shared" si="40"/>
        <v>1</v>
      </c>
      <c r="AY27" s="44">
        <f t="shared" si="41"/>
        <v>0</v>
      </c>
      <c r="AZ27" s="44">
        <f t="shared" si="42"/>
        <v>1</v>
      </c>
      <c r="BA27" s="44">
        <f t="shared" si="43"/>
        <v>0</v>
      </c>
      <c r="BB27" s="48">
        <f t="shared" si="44"/>
        <v>1</v>
      </c>
      <c r="BD27" s="12">
        <f t="shared" si="45"/>
        <v>0</v>
      </c>
      <c r="BE27" s="44">
        <f t="shared" si="46"/>
        <v>1</v>
      </c>
      <c r="BF27" s="44">
        <f t="shared" si="47"/>
        <v>0</v>
      </c>
      <c r="BG27" s="44">
        <f t="shared" si="48"/>
        <v>1</v>
      </c>
      <c r="BH27" s="48">
        <f t="shared" si="49"/>
        <v>1</v>
      </c>
      <c r="BJ27" s="12">
        <f t="shared" si="50"/>
        <v>0</v>
      </c>
      <c r="BK27" s="44">
        <f t="shared" si="51"/>
        <v>0</v>
      </c>
      <c r="BL27" s="44">
        <f t="shared" si="52"/>
        <v>1</v>
      </c>
      <c r="BM27" s="44">
        <f t="shared" si="53"/>
        <v>0</v>
      </c>
      <c r="BN27" s="48">
        <f t="shared" si="54"/>
        <v>0</v>
      </c>
      <c r="BP27" s="12">
        <f t="shared" si="55"/>
        <v>1</v>
      </c>
      <c r="BQ27" s="44">
        <f t="shared" si="56"/>
        <v>1</v>
      </c>
      <c r="BR27" s="44">
        <f t="shared" si="57"/>
        <v>0</v>
      </c>
      <c r="BS27" s="44">
        <f t="shared" si="58"/>
        <v>0</v>
      </c>
      <c r="BT27" s="48">
        <f t="shared" si="59"/>
        <v>0</v>
      </c>
    </row>
    <row r="28" spans="1:72" x14ac:dyDescent="0.25">
      <c r="A28" s="4">
        <v>6</v>
      </c>
      <c r="B28" s="54">
        <f>IF('Game Info'!J11="","",'Game Info'!J11)</f>
        <v>10</v>
      </c>
      <c r="C28" s="54" t="str">
        <f>IF('Game Info'!K11="","",'Game Info'!K11)</f>
        <v>SYM1</v>
      </c>
      <c r="D28" s="54" t="str">
        <f>IF('Game Info'!L11="","",'Game Info'!L11)</f>
        <v>J</v>
      </c>
      <c r="E28" s="54" t="str">
        <f>IF('Game Info'!M11="","",'Game Info'!M11)</f>
        <v>SYM2</v>
      </c>
      <c r="F28" s="55" t="str">
        <f>IF('Game Info'!N11="","",'Game Info'!N11)</f>
        <v>SYM3</v>
      </c>
      <c r="H28" s="12">
        <f t="shared" si="5"/>
        <v>0</v>
      </c>
      <c r="I28" s="44">
        <f t="shared" si="6"/>
        <v>1</v>
      </c>
      <c r="J28" s="44">
        <f t="shared" si="7"/>
        <v>0</v>
      </c>
      <c r="K28" s="44">
        <f t="shared" si="8"/>
        <v>0</v>
      </c>
      <c r="L28" s="48">
        <f t="shared" si="9"/>
        <v>0</v>
      </c>
      <c r="N28" s="12">
        <f t="shared" si="10"/>
        <v>1</v>
      </c>
      <c r="O28" s="44">
        <f t="shared" si="11"/>
        <v>1</v>
      </c>
      <c r="P28" s="44">
        <f t="shared" si="12"/>
        <v>0</v>
      </c>
      <c r="Q28" s="44">
        <f t="shared" si="13"/>
        <v>3</v>
      </c>
      <c r="R28" s="48">
        <f t="shared" si="14"/>
        <v>0</v>
      </c>
      <c r="T28" s="12">
        <f t="shared" si="15"/>
        <v>0</v>
      </c>
      <c r="U28" s="44">
        <f t="shared" si="16"/>
        <v>0</v>
      </c>
      <c r="V28" s="44">
        <f t="shared" si="17"/>
        <v>0</v>
      </c>
      <c r="W28" s="44">
        <f t="shared" si="18"/>
        <v>0</v>
      </c>
      <c r="X28" s="48">
        <f t="shared" si="19"/>
        <v>1</v>
      </c>
      <c r="Z28" s="12">
        <f t="shared" si="20"/>
        <v>0</v>
      </c>
      <c r="AA28" s="44">
        <f t="shared" si="21"/>
        <v>0</v>
      </c>
      <c r="AB28" s="44">
        <f t="shared" si="22"/>
        <v>0</v>
      </c>
      <c r="AC28" s="44">
        <f t="shared" si="23"/>
        <v>0</v>
      </c>
      <c r="AD28" s="48">
        <f t="shared" si="24"/>
        <v>0</v>
      </c>
      <c r="AF28" s="12">
        <f t="shared" si="25"/>
        <v>0</v>
      </c>
      <c r="AG28" s="44">
        <f t="shared" si="26"/>
        <v>0</v>
      </c>
      <c r="AH28" s="44">
        <f t="shared" si="27"/>
        <v>1</v>
      </c>
      <c r="AI28" s="44">
        <f t="shared" si="28"/>
        <v>0</v>
      </c>
      <c r="AJ28" s="48">
        <f t="shared" si="29"/>
        <v>0</v>
      </c>
      <c r="AL28" s="12">
        <f t="shared" si="30"/>
        <v>0</v>
      </c>
      <c r="AM28" s="44">
        <f t="shared" si="31"/>
        <v>0</v>
      </c>
      <c r="AN28" s="44">
        <f t="shared" si="32"/>
        <v>0</v>
      </c>
      <c r="AO28" s="44">
        <f t="shared" si="33"/>
        <v>0</v>
      </c>
      <c r="AP28" s="48">
        <f t="shared" si="34"/>
        <v>0</v>
      </c>
      <c r="AR28" s="12">
        <f t="shared" si="35"/>
        <v>0</v>
      </c>
      <c r="AS28" s="44">
        <f t="shared" si="36"/>
        <v>1</v>
      </c>
      <c r="AT28" s="44">
        <f t="shared" si="37"/>
        <v>0</v>
      </c>
      <c r="AU28" s="44">
        <f t="shared" si="38"/>
        <v>0</v>
      </c>
      <c r="AV28" s="48">
        <f t="shared" si="39"/>
        <v>1</v>
      </c>
      <c r="AX28" s="12">
        <f t="shared" si="40"/>
        <v>1</v>
      </c>
      <c r="AY28" s="44">
        <f t="shared" si="41"/>
        <v>0</v>
      </c>
      <c r="AZ28" s="44">
        <f t="shared" si="42"/>
        <v>1</v>
      </c>
      <c r="BA28" s="44">
        <f t="shared" si="43"/>
        <v>0</v>
      </c>
      <c r="BB28" s="48">
        <f t="shared" si="44"/>
        <v>1</v>
      </c>
      <c r="BD28" s="12">
        <f t="shared" si="45"/>
        <v>0</v>
      </c>
      <c r="BE28" s="44">
        <f t="shared" si="46"/>
        <v>1</v>
      </c>
      <c r="BF28" s="44">
        <f t="shared" si="47"/>
        <v>1</v>
      </c>
      <c r="BG28" s="44">
        <f t="shared" si="48"/>
        <v>1</v>
      </c>
      <c r="BH28" s="48">
        <f t="shared" si="49"/>
        <v>1</v>
      </c>
      <c r="BJ28" s="12">
        <f t="shared" si="50"/>
        <v>1</v>
      </c>
      <c r="BK28" s="44">
        <f t="shared" si="51"/>
        <v>0</v>
      </c>
      <c r="BL28" s="44">
        <f t="shared" si="52"/>
        <v>1</v>
      </c>
      <c r="BM28" s="44">
        <f t="shared" si="53"/>
        <v>0</v>
      </c>
      <c r="BN28" s="48">
        <f t="shared" si="54"/>
        <v>0</v>
      </c>
      <c r="BP28" s="12">
        <f t="shared" si="55"/>
        <v>1</v>
      </c>
      <c r="BQ28" s="44">
        <f t="shared" si="56"/>
        <v>0</v>
      </c>
      <c r="BR28" s="44">
        <f t="shared" si="57"/>
        <v>0</v>
      </c>
      <c r="BS28" s="44">
        <f t="shared" si="58"/>
        <v>0</v>
      </c>
      <c r="BT28" s="48">
        <f t="shared" si="59"/>
        <v>0</v>
      </c>
    </row>
    <row r="29" spans="1:72" x14ac:dyDescent="0.25">
      <c r="A29" s="4">
        <v>7</v>
      </c>
      <c r="B29" s="54" t="str">
        <f>IF('Game Info'!J12="","",'Game Info'!J12)</f>
        <v>SYM1</v>
      </c>
      <c r="C29" s="54" t="str">
        <f>IF('Game Info'!K12="","",'Game Info'!K12)</f>
        <v>A</v>
      </c>
      <c r="D29" s="54" t="str">
        <f>IF('Game Info'!L12="","",'Game Info'!L12)</f>
        <v>WILD</v>
      </c>
      <c r="E29" s="54">
        <f>IF('Game Info'!M12="","",'Game Info'!M12)</f>
        <v>9</v>
      </c>
      <c r="F29" s="55">
        <f>IF('Game Info'!N12="","",'Game Info'!N12)</f>
        <v>9</v>
      </c>
      <c r="H29" s="12">
        <f>IF($B29="","",COUNTIF($B26:$B29,H$21)+COUNTIF($B26:$B29,$A$3))</f>
        <v>1</v>
      </c>
      <c r="I29" s="44">
        <f t="shared" si="6"/>
        <v>1</v>
      </c>
      <c r="J29" s="44">
        <f t="shared" si="7"/>
        <v>1</v>
      </c>
      <c r="K29" s="44">
        <f t="shared" si="8"/>
        <v>0</v>
      </c>
      <c r="L29" s="48">
        <f t="shared" si="9"/>
        <v>0</v>
      </c>
      <c r="N29" s="12">
        <f t="shared" si="10"/>
        <v>1</v>
      </c>
      <c r="O29" s="44">
        <f t="shared" si="11"/>
        <v>0</v>
      </c>
      <c r="P29" s="44">
        <f t="shared" si="12"/>
        <v>1</v>
      </c>
      <c r="Q29" s="44">
        <f t="shared" si="13"/>
        <v>3</v>
      </c>
      <c r="R29" s="48">
        <f t="shared" si="14"/>
        <v>0</v>
      </c>
      <c r="T29" s="12">
        <f t="shared" si="15"/>
        <v>0</v>
      </c>
      <c r="U29" s="44">
        <f t="shared" si="16"/>
        <v>0</v>
      </c>
      <c r="V29" s="44">
        <f t="shared" si="17"/>
        <v>1</v>
      </c>
      <c r="W29" s="44">
        <f t="shared" si="18"/>
        <v>0</v>
      </c>
      <c r="X29" s="48">
        <f t="shared" si="19"/>
        <v>1</v>
      </c>
      <c r="Z29" s="12">
        <f t="shared" si="20"/>
        <v>0</v>
      </c>
      <c r="AA29" s="44">
        <f t="shared" si="21"/>
        <v>0</v>
      </c>
      <c r="AB29" s="44">
        <f t="shared" si="22"/>
        <v>1</v>
      </c>
      <c r="AC29" s="44">
        <f t="shared" si="23"/>
        <v>0</v>
      </c>
      <c r="AD29" s="48">
        <f t="shared" si="24"/>
        <v>0</v>
      </c>
      <c r="AF29" s="12">
        <f t="shared" si="25"/>
        <v>0</v>
      </c>
      <c r="AG29" s="44">
        <f t="shared" si="26"/>
        <v>0</v>
      </c>
      <c r="AH29" s="44">
        <f t="shared" si="27"/>
        <v>2</v>
      </c>
      <c r="AI29" s="44">
        <f t="shared" si="28"/>
        <v>0</v>
      </c>
      <c r="AJ29" s="48">
        <f t="shared" si="29"/>
        <v>0</v>
      </c>
      <c r="AL29" s="12">
        <f t="shared" si="30"/>
        <v>0</v>
      </c>
      <c r="AM29" s="44">
        <f t="shared" si="31"/>
        <v>1</v>
      </c>
      <c r="AN29" s="44">
        <f t="shared" si="32"/>
        <v>1</v>
      </c>
      <c r="AO29" s="44">
        <f t="shared" si="33"/>
        <v>0</v>
      </c>
      <c r="AP29" s="48">
        <f t="shared" si="34"/>
        <v>0</v>
      </c>
      <c r="AR29" s="12">
        <f t="shared" si="35"/>
        <v>0</v>
      </c>
      <c r="AS29" s="44">
        <f t="shared" si="36"/>
        <v>1</v>
      </c>
      <c r="AT29" s="44">
        <f t="shared" si="37"/>
        <v>1</v>
      </c>
      <c r="AU29" s="44">
        <f t="shared" si="38"/>
        <v>0</v>
      </c>
      <c r="AV29" s="48">
        <f t="shared" si="39"/>
        <v>1</v>
      </c>
      <c r="AX29" s="12">
        <f t="shared" si="40"/>
        <v>1</v>
      </c>
      <c r="AY29" s="44">
        <f t="shared" si="41"/>
        <v>0</v>
      </c>
      <c r="AZ29" s="44">
        <f t="shared" si="42"/>
        <v>2</v>
      </c>
      <c r="BA29" s="44">
        <f t="shared" si="43"/>
        <v>0</v>
      </c>
      <c r="BB29" s="48">
        <f t="shared" si="44"/>
        <v>0</v>
      </c>
      <c r="BD29" s="12">
        <f t="shared" si="45"/>
        <v>0</v>
      </c>
      <c r="BE29" s="44">
        <f t="shared" si="46"/>
        <v>1</v>
      </c>
      <c r="BF29" s="44">
        <f t="shared" si="47"/>
        <v>2</v>
      </c>
      <c r="BG29" s="44">
        <f t="shared" si="48"/>
        <v>0</v>
      </c>
      <c r="BH29" s="48">
        <f t="shared" si="49"/>
        <v>1</v>
      </c>
      <c r="BJ29" s="12">
        <f t="shared" si="50"/>
        <v>1</v>
      </c>
      <c r="BK29" s="44">
        <f t="shared" si="51"/>
        <v>0</v>
      </c>
      <c r="BL29" s="44">
        <f t="shared" si="52"/>
        <v>1</v>
      </c>
      <c r="BM29" s="44">
        <f t="shared" si="53"/>
        <v>0</v>
      </c>
      <c r="BN29" s="48">
        <f t="shared" si="54"/>
        <v>0</v>
      </c>
      <c r="BP29" s="12">
        <f t="shared" si="55"/>
        <v>0</v>
      </c>
      <c r="BQ29" s="44">
        <f t="shared" si="56"/>
        <v>0</v>
      </c>
      <c r="BR29" s="44">
        <f t="shared" si="57"/>
        <v>1</v>
      </c>
      <c r="BS29" s="44">
        <f t="shared" si="58"/>
        <v>1</v>
      </c>
      <c r="BT29" s="48">
        <f t="shared" si="59"/>
        <v>1</v>
      </c>
    </row>
    <row r="30" spans="1:72" x14ac:dyDescent="0.25">
      <c r="A30" s="4">
        <v>8</v>
      </c>
      <c r="B30" s="54" t="str">
        <f>IF('Game Info'!J13="","",'Game Info'!J13)</f>
        <v>SYM5</v>
      </c>
      <c r="C30" s="54" t="str">
        <f>IF('Game Info'!K13="","",'Game Info'!K13)</f>
        <v>SYM3</v>
      </c>
      <c r="D30" s="54" t="str">
        <f>IF('Game Info'!L13="","",'Game Info'!L13)</f>
        <v>Q</v>
      </c>
      <c r="E30" s="54" t="str">
        <f>IF('Game Info'!M13="","",'Game Info'!M13)</f>
        <v>Q</v>
      </c>
      <c r="F30" s="55" t="str">
        <f>IF('Game Info'!N13="","",'Game Info'!N13)</f>
        <v>SYM1</v>
      </c>
      <c r="H30" s="12">
        <f t="shared" si="5"/>
        <v>1</v>
      </c>
      <c r="I30" s="44">
        <f t="shared" si="6"/>
        <v>1</v>
      </c>
      <c r="J30" s="44">
        <f t="shared" si="7"/>
        <v>1</v>
      </c>
      <c r="K30" s="44">
        <f t="shared" si="8"/>
        <v>0</v>
      </c>
      <c r="L30" s="48">
        <f t="shared" si="9"/>
        <v>1</v>
      </c>
      <c r="N30" s="12">
        <f t="shared" si="10"/>
        <v>0</v>
      </c>
      <c r="O30" s="44">
        <f t="shared" si="11"/>
        <v>0</v>
      </c>
      <c r="P30" s="44">
        <f t="shared" si="12"/>
        <v>1</v>
      </c>
      <c r="Q30" s="44">
        <f t="shared" si="13"/>
        <v>2</v>
      </c>
      <c r="R30" s="48">
        <f t="shared" si="14"/>
        <v>0</v>
      </c>
      <c r="T30" s="12">
        <f t="shared" si="15"/>
        <v>0</v>
      </c>
      <c r="U30" s="44">
        <f t="shared" si="16"/>
        <v>1</v>
      </c>
      <c r="V30" s="44">
        <f t="shared" si="17"/>
        <v>1</v>
      </c>
      <c r="W30" s="44">
        <f t="shared" si="18"/>
        <v>0</v>
      </c>
      <c r="X30" s="48">
        <f t="shared" si="19"/>
        <v>1</v>
      </c>
      <c r="Z30" s="12">
        <f t="shared" si="20"/>
        <v>0</v>
      </c>
      <c r="AA30" s="44">
        <f t="shared" si="21"/>
        <v>0</v>
      </c>
      <c r="AB30" s="44">
        <f t="shared" si="22"/>
        <v>1</v>
      </c>
      <c r="AC30" s="44">
        <f t="shared" si="23"/>
        <v>0</v>
      </c>
      <c r="AD30" s="48">
        <f t="shared" si="24"/>
        <v>0</v>
      </c>
      <c r="AF30" s="12">
        <f t="shared" si="25"/>
        <v>1</v>
      </c>
      <c r="AG30" s="44">
        <f t="shared" si="26"/>
        <v>0</v>
      </c>
      <c r="AH30" s="44">
        <f t="shared" si="27"/>
        <v>2</v>
      </c>
      <c r="AI30" s="44">
        <f t="shared" si="28"/>
        <v>0</v>
      </c>
      <c r="AJ30" s="48">
        <f t="shared" si="29"/>
        <v>0</v>
      </c>
      <c r="AL30" s="12">
        <f t="shared" si="30"/>
        <v>0</v>
      </c>
      <c r="AM30" s="44">
        <f t="shared" si="31"/>
        <v>1</v>
      </c>
      <c r="AN30" s="44">
        <f t="shared" si="32"/>
        <v>1</v>
      </c>
      <c r="AO30" s="44">
        <f t="shared" si="33"/>
        <v>0</v>
      </c>
      <c r="AP30" s="48">
        <f t="shared" si="34"/>
        <v>0</v>
      </c>
      <c r="AR30" s="12">
        <f t="shared" si="35"/>
        <v>0</v>
      </c>
      <c r="AS30" s="44">
        <f t="shared" si="36"/>
        <v>1</v>
      </c>
      <c r="AT30" s="44">
        <f t="shared" si="37"/>
        <v>1</v>
      </c>
      <c r="AU30" s="44">
        <f t="shared" si="38"/>
        <v>0</v>
      </c>
      <c r="AV30" s="48">
        <f t="shared" si="39"/>
        <v>0</v>
      </c>
      <c r="AX30" s="12">
        <f t="shared" si="40"/>
        <v>1</v>
      </c>
      <c r="AY30" s="44">
        <f t="shared" si="41"/>
        <v>0</v>
      </c>
      <c r="AZ30" s="44">
        <f t="shared" si="42"/>
        <v>2</v>
      </c>
      <c r="BA30" s="44">
        <f t="shared" si="43"/>
        <v>1</v>
      </c>
      <c r="BB30" s="48">
        <f t="shared" si="44"/>
        <v>0</v>
      </c>
      <c r="BD30" s="12">
        <f t="shared" si="45"/>
        <v>0</v>
      </c>
      <c r="BE30" s="44">
        <f t="shared" si="46"/>
        <v>0</v>
      </c>
      <c r="BF30" s="44">
        <f t="shared" si="47"/>
        <v>2</v>
      </c>
      <c r="BG30" s="44">
        <f t="shared" si="48"/>
        <v>0</v>
      </c>
      <c r="BH30" s="48">
        <f t="shared" si="49"/>
        <v>1</v>
      </c>
      <c r="BJ30" s="12">
        <f t="shared" si="50"/>
        <v>1</v>
      </c>
      <c r="BK30" s="44">
        <f t="shared" si="51"/>
        <v>0</v>
      </c>
      <c r="BL30" s="44">
        <f t="shared" si="52"/>
        <v>1</v>
      </c>
      <c r="BM30" s="44">
        <f t="shared" si="53"/>
        <v>0</v>
      </c>
      <c r="BN30" s="48">
        <f t="shared" si="54"/>
        <v>0</v>
      </c>
      <c r="BP30" s="12">
        <f t="shared" si="55"/>
        <v>0</v>
      </c>
      <c r="BQ30" s="44">
        <f t="shared" si="56"/>
        <v>0</v>
      </c>
      <c r="BR30" s="44">
        <f t="shared" si="57"/>
        <v>1</v>
      </c>
      <c r="BS30" s="44">
        <f t="shared" si="58"/>
        <v>1</v>
      </c>
      <c r="BT30" s="48">
        <f t="shared" si="59"/>
        <v>1</v>
      </c>
    </row>
    <row r="31" spans="1:72" x14ac:dyDescent="0.25">
      <c r="A31" s="4">
        <v>9</v>
      </c>
      <c r="B31" s="54" t="str">
        <f>IF('Game Info'!J14="","",'Game Info'!J14)</f>
        <v>FG</v>
      </c>
      <c r="C31" s="54">
        <f>IF('Game Info'!K14="","",'Game Info'!K14)</f>
        <v>10</v>
      </c>
      <c r="D31" s="54" t="str">
        <f>IF('Game Info'!L14="","",'Game Info'!L14)</f>
        <v>SYM5</v>
      </c>
      <c r="E31" s="54" t="str">
        <f>IF('Game Info'!M14="","",'Game Info'!M14)</f>
        <v>SYM5</v>
      </c>
      <c r="F31" s="55" t="str">
        <f>IF('Game Info'!N14="","",'Game Info'!N14)</f>
        <v>Q</v>
      </c>
      <c r="H31" s="12">
        <f>IF($B31="","",COUNTIF($B28:$B31,H$21)+COUNTIF($B28:$B31,$A$3))</f>
        <v>1</v>
      </c>
      <c r="I31" s="44">
        <f t="shared" si="6"/>
        <v>1</v>
      </c>
      <c r="J31" s="44">
        <f t="shared" si="7"/>
        <v>1</v>
      </c>
      <c r="K31" s="44">
        <f t="shared" si="8"/>
        <v>0</v>
      </c>
      <c r="L31" s="48">
        <f t="shared" si="9"/>
        <v>1</v>
      </c>
      <c r="N31" s="12">
        <f t="shared" si="10"/>
        <v>0</v>
      </c>
      <c r="O31" s="44">
        <f t="shared" si="11"/>
        <v>0</v>
      </c>
      <c r="P31" s="44">
        <f t="shared" si="12"/>
        <v>1</v>
      </c>
      <c r="Q31" s="44">
        <f t="shared" si="13"/>
        <v>1</v>
      </c>
      <c r="R31" s="48">
        <f t="shared" si="14"/>
        <v>0</v>
      </c>
      <c r="T31" s="12">
        <f t="shared" si="15"/>
        <v>0</v>
      </c>
      <c r="U31" s="44">
        <f t="shared" si="16"/>
        <v>1</v>
      </c>
      <c r="V31" s="44">
        <f t="shared" si="17"/>
        <v>1</v>
      </c>
      <c r="W31" s="44">
        <f t="shared" si="18"/>
        <v>0</v>
      </c>
      <c r="X31" s="48">
        <f t="shared" si="19"/>
        <v>1</v>
      </c>
      <c r="Z31" s="12">
        <f t="shared" si="20"/>
        <v>0</v>
      </c>
      <c r="AA31" s="44">
        <f t="shared" si="21"/>
        <v>0</v>
      </c>
      <c r="AB31" s="44">
        <f t="shared" si="22"/>
        <v>1</v>
      </c>
      <c r="AC31" s="44">
        <f t="shared" si="23"/>
        <v>0</v>
      </c>
      <c r="AD31" s="48">
        <f t="shared" si="24"/>
        <v>0</v>
      </c>
      <c r="AF31" s="12">
        <f t="shared" si="25"/>
        <v>1</v>
      </c>
      <c r="AG31" s="44">
        <f t="shared" si="26"/>
        <v>0</v>
      </c>
      <c r="AH31" s="44">
        <f t="shared" si="27"/>
        <v>2</v>
      </c>
      <c r="AI31" s="44">
        <f t="shared" si="28"/>
        <v>1</v>
      </c>
      <c r="AJ31" s="48">
        <f t="shared" si="29"/>
        <v>0</v>
      </c>
      <c r="AL31" s="12">
        <f t="shared" si="30"/>
        <v>0</v>
      </c>
      <c r="AM31" s="44">
        <f t="shared" si="31"/>
        <v>1</v>
      </c>
      <c r="AN31" s="44">
        <f t="shared" si="32"/>
        <v>1</v>
      </c>
      <c r="AO31" s="44">
        <f t="shared" si="33"/>
        <v>0</v>
      </c>
      <c r="AP31" s="48">
        <f t="shared" si="34"/>
        <v>0</v>
      </c>
      <c r="AR31" s="12">
        <f t="shared" si="35"/>
        <v>0</v>
      </c>
      <c r="AS31" s="44">
        <f t="shared" si="36"/>
        <v>0</v>
      </c>
      <c r="AT31" s="44">
        <f t="shared" si="37"/>
        <v>1</v>
      </c>
      <c r="AU31" s="44">
        <f t="shared" si="38"/>
        <v>0</v>
      </c>
      <c r="AV31" s="48">
        <f t="shared" si="39"/>
        <v>0</v>
      </c>
      <c r="AX31" s="12">
        <f t="shared" si="40"/>
        <v>0</v>
      </c>
      <c r="AY31" s="44">
        <f t="shared" si="41"/>
        <v>0</v>
      </c>
      <c r="AZ31" s="44">
        <f t="shared" si="42"/>
        <v>2</v>
      </c>
      <c r="BA31" s="44">
        <f t="shared" si="43"/>
        <v>1</v>
      </c>
      <c r="BB31" s="48">
        <f t="shared" si="44"/>
        <v>1</v>
      </c>
      <c r="BD31" s="12">
        <f t="shared" si="45"/>
        <v>0</v>
      </c>
      <c r="BE31" s="44">
        <f t="shared" si="46"/>
        <v>0</v>
      </c>
      <c r="BF31" s="44">
        <f t="shared" si="47"/>
        <v>2</v>
      </c>
      <c r="BG31" s="44">
        <f t="shared" si="48"/>
        <v>0</v>
      </c>
      <c r="BH31" s="48">
        <f t="shared" si="49"/>
        <v>0</v>
      </c>
      <c r="BJ31" s="12">
        <f t="shared" si="50"/>
        <v>1</v>
      </c>
      <c r="BK31" s="44">
        <f t="shared" si="51"/>
        <v>1</v>
      </c>
      <c r="BL31" s="44">
        <f t="shared" si="52"/>
        <v>1</v>
      </c>
      <c r="BM31" s="44">
        <f t="shared" si="53"/>
        <v>0</v>
      </c>
      <c r="BN31" s="48">
        <f t="shared" si="54"/>
        <v>0</v>
      </c>
      <c r="BP31" s="12">
        <f t="shared" si="55"/>
        <v>0</v>
      </c>
      <c r="BQ31" s="44">
        <f t="shared" si="56"/>
        <v>0</v>
      </c>
      <c r="BR31" s="44">
        <f t="shared" si="57"/>
        <v>1</v>
      </c>
      <c r="BS31" s="44">
        <f t="shared" si="58"/>
        <v>1</v>
      </c>
      <c r="BT31" s="48">
        <f t="shared" si="59"/>
        <v>1</v>
      </c>
    </row>
    <row r="32" spans="1:72" x14ac:dyDescent="0.25">
      <c r="A32" s="4">
        <v>10</v>
      </c>
      <c r="B32" s="54" t="str">
        <f>IF('Game Info'!J15="","",'Game Info'!J15)</f>
        <v>A</v>
      </c>
      <c r="C32" s="54" t="str">
        <f>IF('Game Info'!K15="","",'Game Info'!K15)</f>
        <v>SYM4</v>
      </c>
      <c r="D32" s="54" t="str">
        <f>IF('Game Info'!L15="","",'Game Info'!L15)</f>
        <v>K</v>
      </c>
      <c r="E32" s="54">
        <f>IF('Game Info'!M15="","",'Game Info'!M15)</f>
        <v>9</v>
      </c>
      <c r="F32" s="55">
        <f>IF('Game Info'!N15="","",'Game Info'!N15)</f>
        <v>9</v>
      </c>
      <c r="H32" s="12">
        <f t="shared" si="5"/>
        <v>1</v>
      </c>
      <c r="I32" s="44">
        <f t="shared" si="6"/>
        <v>0</v>
      </c>
      <c r="J32" s="44">
        <f t="shared" si="7"/>
        <v>1</v>
      </c>
      <c r="K32" s="44">
        <f t="shared" si="8"/>
        <v>0</v>
      </c>
      <c r="L32" s="48">
        <f t="shared" si="9"/>
        <v>1</v>
      </c>
      <c r="N32" s="12">
        <f t="shared" si="10"/>
        <v>0</v>
      </c>
      <c r="O32" s="44">
        <f t="shared" si="11"/>
        <v>0</v>
      </c>
      <c r="P32" s="44">
        <f t="shared" si="12"/>
        <v>1</v>
      </c>
      <c r="Q32" s="44">
        <f t="shared" si="13"/>
        <v>0</v>
      </c>
      <c r="R32" s="48">
        <f t="shared" si="14"/>
        <v>0</v>
      </c>
      <c r="T32" s="12">
        <f t="shared" si="15"/>
        <v>0</v>
      </c>
      <c r="U32" s="44">
        <f t="shared" si="16"/>
        <v>1</v>
      </c>
      <c r="V32" s="44">
        <f t="shared" si="17"/>
        <v>1</v>
      </c>
      <c r="W32" s="44">
        <f t="shared" si="18"/>
        <v>0</v>
      </c>
      <c r="X32" s="48">
        <f t="shared" si="19"/>
        <v>0</v>
      </c>
      <c r="Z32" s="12">
        <f t="shared" si="20"/>
        <v>0</v>
      </c>
      <c r="AA32" s="44">
        <f t="shared" si="21"/>
        <v>1</v>
      </c>
      <c r="AB32" s="44">
        <f t="shared" si="22"/>
        <v>1</v>
      </c>
      <c r="AC32" s="44">
        <f t="shared" si="23"/>
        <v>0</v>
      </c>
      <c r="AD32" s="48">
        <f t="shared" si="24"/>
        <v>0</v>
      </c>
      <c r="AF32" s="12">
        <f t="shared" si="25"/>
        <v>1</v>
      </c>
      <c r="AG32" s="44">
        <f t="shared" si="26"/>
        <v>0</v>
      </c>
      <c r="AH32" s="44">
        <f t="shared" si="27"/>
        <v>2</v>
      </c>
      <c r="AI32" s="44">
        <f t="shared" si="28"/>
        <v>1</v>
      </c>
      <c r="AJ32" s="48">
        <f t="shared" si="29"/>
        <v>0</v>
      </c>
      <c r="AL32" s="12">
        <f t="shared" si="30"/>
        <v>1</v>
      </c>
      <c r="AM32" s="44">
        <f t="shared" si="31"/>
        <v>1</v>
      </c>
      <c r="AN32" s="44">
        <f t="shared" si="32"/>
        <v>1</v>
      </c>
      <c r="AO32" s="44">
        <f t="shared" si="33"/>
        <v>0</v>
      </c>
      <c r="AP32" s="48">
        <f t="shared" si="34"/>
        <v>0</v>
      </c>
      <c r="AR32" s="12">
        <f t="shared" si="35"/>
        <v>0</v>
      </c>
      <c r="AS32" s="44">
        <f t="shared" si="36"/>
        <v>0</v>
      </c>
      <c r="AT32" s="44">
        <f t="shared" si="37"/>
        <v>2</v>
      </c>
      <c r="AU32" s="44">
        <f t="shared" si="38"/>
        <v>0</v>
      </c>
      <c r="AV32" s="48">
        <f t="shared" si="39"/>
        <v>0</v>
      </c>
      <c r="AX32" s="12">
        <f t="shared" si="40"/>
        <v>0</v>
      </c>
      <c r="AY32" s="44">
        <f t="shared" si="41"/>
        <v>0</v>
      </c>
      <c r="AZ32" s="44">
        <f t="shared" si="42"/>
        <v>2</v>
      </c>
      <c r="BA32" s="44">
        <f t="shared" si="43"/>
        <v>1</v>
      </c>
      <c r="BB32" s="48">
        <f t="shared" si="44"/>
        <v>1</v>
      </c>
      <c r="BD32" s="12">
        <f t="shared" si="45"/>
        <v>0</v>
      </c>
      <c r="BE32" s="44">
        <f t="shared" si="46"/>
        <v>0</v>
      </c>
      <c r="BF32" s="44">
        <f t="shared" si="47"/>
        <v>1</v>
      </c>
      <c r="BG32" s="44">
        <f t="shared" si="48"/>
        <v>0</v>
      </c>
      <c r="BH32" s="48">
        <f t="shared" si="49"/>
        <v>0</v>
      </c>
      <c r="BJ32" s="12">
        <f t="shared" si="50"/>
        <v>0</v>
      </c>
      <c r="BK32" s="44">
        <f t="shared" si="51"/>
        <v>1</v>
      </c>
      <c r="BL32" s="44">
        <f t="shared" si="52"/>
        <v>1</v>
      </c>
      <c r="BM32" s="44">
        <f t="shared" si="53"/>
        <v>0</v>
      </c>
      <c r="BN32" s="48">
        <f t="shared" si="54"/>
        <v>0</v>
      </c>
      <c r="BP32" s="12">
        <f t="shared" si="55"/>
        <v>0</v>
      </c>
      <c r="BQ32" s="44">
        <f t="shared" si="56"/>
        <v>0</v>
      </c>
      <c r="BR32" s="44">
        <f t="shared" si="57"/>
        <v>1</v>
      </c>
      <c r="BS32" s="44">
        <f t="shared" si="58"/>
        <v>2</v>
      </c>
      <c r="BT32" s="48">
        <f t="shared" si="59"/>
        <v>2</v>
      </c>
    </row>
    <row r="33" spans="1:72" x14ac:dyDescent="0.25">
      <c r="A33" s="4">
        <v>11</v>
      </c>
      <c r="B33" s="54" t="str">
        <f>IF('Game Info'!J16="","",'Game Info'!J16)</f>
        <v>K</v>
      </c>
      <c r="C33" s="54" t="str">
        <f>IF('Game Info'!K16="","",'Game Info'!K16)</f>
        <v>K</v>
      </c>
      <c r="D33" s="54" t="str">
        <f>IF('Game Info'!L16="","",'Game Info'!L16)</f>
        <v>FG</v>
      </c>
      <c r="E33" s="54" t="str">
        <f>IF('Game Info'!M16="","",'Game Info'!M16)</f>
        <v>WILD</v>
      </c>
      <c r="F33" s="55" t="str">
        <f>IF('Game Info'!N16="","",'Game Info'!N16)</f>
        <v>SYM2</v>
      </c>
      <c r="H33" s="12">
        <f t="shared" si="5"/>
        <v>0</v>
      </c>
      <c r="I33" s="44">
        <f t="shared" si="6"/>
        <v>0</v>
      </c>
      <c r="J33" s="44">
        <f t="shared" si="7"/>
        <v>0</v>
      </c>
      <c r="K33" s="44">
        <f t="shared" si="8"/>
        <v>1</v>
      </c>
      <c r="L33" s="48">
        <f t="shared" si="9"/>
        <v>1</v>
      </c>
      <c r="N33" s="12">
        <f t="shared" si="10"/>
        <v>0</v>
      </c>
      <c r="O33" s="44">
        <f t="shared" si="11"/>
        <v>0</v>
      </c>
      <c r="P33" s="44">
        <f t="shared" si="12"/>
        <v>0</v>
      </c>
      <c r="Q33" s="44">
        <f t="shared" si="13"/>
        <v>1</v>
      </c>
      <c r="R33" s="48">
        <f t="shared" si="14"/>
        <v>1</v>
      </c>
      <c r="T33" s="12">
        <f t="shared" si="15"/>
        <v>0</v>
      </c>
      <c r="U33" s="44">
        <f t="shared" si="16"/>
        <v>1</v>
      </c>
      <c r="V33" s="44">
        <f t="shared" si="17"/>
        <v>0</v>
      </c>
      <c r="W33" s="44">
        <f t="shared" si="18"/>
        <v>1</v>
      </c>
      <c r="X33" s="48">
        <f t="shared" si="19"/>
        <v>0</v>
      </c>
      <c r="Z33" s="12">
        <f t="shared" si="20"/>
        <v>0</v>
      </c>
      <c r="AA33" s="44">
        <f t="shared" si="21"/>
        <v>1</v>
      </c>
      <c r="AB33" s="44">
        <f t="shared" si="22"/>
        <v>0</v>
      </c>
      <c r="AC33" s="44">
        <f t="shared" si="23"/>
        <v>1</v>
      </c>
      <c r="AD33" s="48">
        <f t="shared" si="24"/>
        <v>0</v>
      </c>
      <c r="AF33" s="12">
        <f t="shared" si="25"/>
        <v>1</v>
      </c>
      <c r="AG33" s="44">
        <f t="shared" si="26"/>
        <v>0</v>
      </c>
      <c r="AH33" s="44">
        <f t="shared" si="27"/>
        <v>1</v>
      </c>
      <c r="AI33" s="44">
        <f t="shared" si="28"/>
        <v>2</v>
      </c>
      <c r="AJ33" s="48">
        <f t="shared" si="29"/>
        <v>0</v>
      </c>
      <c r="AL33" s="12">
        <f t="shared" si="30"/>
        <v>1</v>
      </c>
      <c r="AM33" s="44">
        <f t="shared" si="31"/>
        <v>0</v>
      </c>
      <c r="AN33" s="44">
        <f t="shared" si="32"/>
        <v>0</v>
      </c>
      <c r="AO33" s="44">
        <f t="shared" si="33"/>
        <v>1</v>
      </c>
      <c r="AP33" s="48">
        <f t="shared" si="34"/>
        <v>0</v>
      </c>
      <c r="AR33" s="12">
        <f t="shared" si="35"/>
        <v>1</v>
      </c>
      <c r="AS33" s="44">
        <f t="shared" si="36"/>
        <v>1</v>
      </c>
      <c r="AT33" s="44">
        <f t="shared" si="37"/>
        <v>1</v>
      </c>
      <c r="AU33" s="44">
        <f t="shared" si="38"/>
        <v>1</v>
      </c>
      <c r="AV33" s="48">
        <f t="shared" si="39"/>
        <v>0</v>
      </c>
      <c r="AX33" s="12">
        <f t="shared" si="40"/>
        <v>0</v>
      </c>
      <c r="AY33" s="44">
        <f t="shared" si="41"/>
        <v>0</v>
      </c>
      <c r="AZ33" s="44">
        <f t="shared" si="42"/>
        <v>1</v>
      </c>
      <c r="BA33" s="44">
        <f t="shared" si="43"/>
        <v>2</v>
      </c>
      <c r="BB33" s="48">
        <f t="shared" si="44"/>
        <v>1</v>
      </c>
      <c r="BD33" s="12">
        <f t="shared" si="45"/>
        <v>0</v>
      </c>
      <c r="BE33" s="44">
        <f t="shared" si="46"/>
        <v>0</v>
      </c>
      <c r="BF33" s="44">
        <f t="shared" si="47"/>
        <v>0</v>
      </c>
      <c r="BG33" s="44">
        <f t="shared" si="48"/>
        <v>1</v>
      </c>
      <c r="BH33" s="48">
        <f t="shared" si="49"/>
        <v>0</v>
      </c>
      <c r="BJ33" s="12">
        <f t="shared" si="50"/>
        <v>0</v>
      </c>
      <c r="BK33" s="44">
        <f t="shared" si="51"/>
        <v>1</v>
      </c>
      <c r="BL33" s="44">
        <f t="shared" si="52"/>
        <v>0</v>
      </c>
      <c r="BM33" s="44">
        <f t="shared" si="53"/>
        <v>1</v>
      </c>
      <c r="BN33" s="48">
        <f t="shared" si="54"/>
        <v>0</v>
      </c>
      <c r="BP33" s="12">
        <f t="shared" si="55"/>
        <v>0</v>
      </c>
      <c r="BQ33" s="44">
        <f t="shared" si="56"/>
        <v>0</v>
      </c>
      <c r="BR33" s="44">
        <f t="shared" si="57"/>
        <v>0</v>
      </c>
      <c r="BS33" s="44">
        <f t="shared" si="58"/>
        <v>2</v>
      </c>
      <c r="BT33" s="48">
        <f t="shared" si="59"/>
        <v>1</v>
      </c>
    </row>
    <row r="34" spans="1:72" x14ac:dyDescent="0.25">
      <c r="A34" s="4">
        <v>12</v>
      </c>
      <c r="B34" s="54" t="str">
        <f>IF('Game Info'!J17="","",'Game Info'!J17)</f>
        <v>SYM4</v>
      </c>
      <c r="C34" s="54" t="str">
        <f>IF('Game Info'!K17="","",'Game Info'!K17)</f>
        <v>SYM3</v>
      </c>
      <c r="D34" s="54">
        <f>IF('Game Info'!L17="","",'Game Info'!L17)</f>
        <v>10</v>
      </c>
      <c r="E34" s="54" t="str">
        <f>IF('Game Info'!M17="","",'Game Info'!M17)</f>
        <v>A</v>
      </c>
      <c r="F34" s="55" t="str">
        <f>IF('Game Info'!N17="","",'Game Info'!N17)</f>
        <v>J</v>
      </c>
      <c r="H34" s="12">
        <f t="shared" si="5"/>
        <v>0</v>
      </c>
      <c r="I34" s="44">
        <f t="shared" si="6"/>
        <v>0</v>
      </c>
      <c r="J34" s="44">
        <f t="shared" si="7"/>
        <v>0</v>
      </c>
      <c r="K34" s="44">
        <f>IF($E34="","",COUNTIF($E31:$E34,H$21)+COUNTIF($E31:$E34,$A$3))</f>
        <v>1</v>
      </c>
      <c r="L34" s="48">
        <f t="shared" si="9"/>
        <v>0</v>
      </c>
      <c r="N34" s="12">
        <f t="shared" si="10"/>
        <v>0</v>
      </c>
      <c r="O34" s="44">
        <f t="shared" si="11"/>
        <v>0</v>
      </c>
      <c r="P34" s="44">
        <f t="shared" si="12"/>
        <v>0</v>
      </c>
      <c r="Q34" s="44">
        <f t="shared" si="13"/>
        <v>1</v>
      </c>
      <c r="R34" s="48">
        <f t="shared" si="14"/>
        <v>1</v>
      </c>
      <c r="T34" s="12">
        <f t="shared" si="15"/>
        <v>0</v>
      </c>
      <c r="U34" s="44">
        <f t="shared" si="16"/>
        <v>1</v>
      </c>
      <c r="V34" s="44">
        <f t="shared" si="17"/>
        <v>0</v>
      </c>
      <c r="W34" s="44">
        <f t="shared" si="18"/>
        <v>1</v>
      </c>
      <c r="X34" s="48">
        <f t="shared" si="19"/>
        <v>0</v>
      </c>
      <c r="Z34" s="12">
        <f t="shared" si="20"/>
        <v>1</v>
      </c>
      <c r="AA34" s="44">
        <f t="shared" si="21"/>
        <v>1</v>
      </c>
      <c r="AB34" s="44">
        <f t="shared" si="22"/>
        <v>0</v>
      </c>
      <c r="AC34" s="44">
        <f t="shared" si="23"/>
        <v>1</v>
      </c>
      <c r="AD34" s="48">
        <f t="shared" si="24"/>
        <v>0</v>
      </c>
      <c r="AF34" s="12">
        <f t="shared" si="25"/>
        <v>0</v>
      </c>
      <c r="AG34" s="44">
        <f t="shared" si="26"/>
        <v>0</v>
      </c>
      <c r="AH34" s="44">
        <f t="shared" si="27"/>
        <v>1</v>
      </c>
      <c r="AI34" s="44">
        <f t="shared" si="28"/>
        <v>2</v>
      </c>
      <c r="AJ34" s="48">
        <f t="shared" si="29"/>
        <v>0</v>
      </c>
      <c r="AL34" s="12">
        <f t="shared" si="30"/>
        <v>1</v>
      </c>
      <c r="AM34" s="44">
        <f t="shared" si="31"/>
        <v>0</v>
      </c>
      <c r="AN34" s="44">
        <f t="shared" si="32"/>
        <v>0</v>
      </c>
      <c r="AO34" s="44">
        <f t="shared" si="33"/>
        <v>2</v>
      </c>
      <c r="AP34" s="48">
        <f t="shared" si="34"/>
        <v>0</v>
      </c>
      <c r="AR34" s="12">
        <f t="shared" si="35"/>
        <v>1</v>
      </c>
      <c r="AS34" s="44">
        <f t="shared" si="36"/>
        <v>1</v>
      </c>
      <c r="AT34" s="44">
        <f t="shared" si="37"/>
        <v>1</v>
      </c>
      <c r="AU34" s="44">
        <f t="shared" si="38"/>
        <v>1</v>
      </c>
      <c r="AV34" s="48">
        <f t="shared" si="39"/>
        <v>0</v>
      </c>
      <c r="AX34" s="12">
        <f t="shared" si="40"/>
        <v>0</v>
      </c>
      <c r="AY34" s="44">
        <f t="shared" si="41"/>
        <v>0</v>
      </c>
      <c r="AZ34" s="44">
        <f t="shared" si="42"/>
        <v>0</v>
      </c>
      <c r="BA34" s="44">
        <f t="shared" si="43"/>
        <v>1</v>
      </c>
      <c r="BB34" s="48">
        <f t="shared" si="44"/>
        <v>1</v>
      </c>
      <c r="BD34" s="12">
        <f t="shared" si="45"/>
        <v>0</v>
      </c>
      <c r="BE34" s="44">
        <f t="shared" si="46"/>
        <v>0</v>
      </c>
      <c r="BF34" s="44">
        <f t="shared" si="47"/>
        <v>0</v>
      </c>
      <c r="BG34" s="44">
        <f t="shared" si="48"/>
        <v>1</v>
      </c>
      <c r="BH34" s="48">
        <f t="shared" si="49"/>
        <v>1</v>
      </c>
      <c r="BJ34" s="12">
        <f t="shared" si="50"/>
        <v>0</v>
      </c>
      <c r="BK34" s="44">
        <f t="shared" si="51"/>
        <v>1</v>
      </c>
      <c r="BL34" s="44">
        <f t="shared" si="52"/>
        <v>1</v>
      </c>
      <c r="BM34" s="44">
        <f t="shared" si="53"/>
        <v>1</v>
      </c>
      <c r="BN34" s="48">
        <f t="shared" si="54"/>
        <v>0</v>
      </c>
      <c r="BP34" s="12">
        <f t="shared" si="55"/>
        <v>0</v>
      </c>
      <c r="BQ34" s="44">
        <f t="shared" si="56"/>
        <v>0</v>
      </c>
      <c r="BR34" s="44">
        <f t="shared" si="57"/>
        <v>0</v>
      </c>
      <c r="BS34" s="44">
        <f t="shared" si="58"/>
        <v>2</v>
      </c>
      <c r="BT34" s="48">
        <f t="shared" si="59"/>
        <v>1</v>
      </c>
    </row>
    <row r="35" spans="1:72" x14ac:dyDescent="0.25">
      <c r="A35" s="4">
        <v>13</v>
      </c>
      <c r="B35" s="54">
        <f>IF('Game Info'!J18="","",'Game Info'!J18)</f>
        <v>9</v>
      </c>
      <c r="C35" s="54" t="str">
        <f>IF('Game Info'!K18="","",'Game Info'!K18)</f>
        <v>A</v>
      </c>
      <c r="D35" s="54" t="str">
        <f>IF('Game Info'!L18="","",'Game Info'!L18)</f>
        <v>Q</v>
      </c>
      <c r="E35" s="54" t="str">
        <f>IF('Game Info'!M18="","",'Game Info'!M18)</f>
        <v>SYM2</v>
      </c>
      <c r="F35" s="55" t="str">
        <f>IF('Game Info'!N18="","",'Game Info'!N18)</f>
        <v>SYM3</v>
      </c>
      <c r="H35" s="12">
        <f t="shared" si="5"/>
        <v>0</v>
      </c>
      <c r="I35" s="44">
        <f t="shared" si="6"/>
        <v>0</v>
      </c>
      <c r="J35" s="44">
        <f t="shared" si="7"/>
        <v>0</v>
      </c>
      <c r="K35" s="44">
        <f>IF($E35="","",COUNTIF($E32:$E35,H$21)+COUNTIF($E32:$E35,$A$3))</f>
        <v>1</v>
      </c>
      <c r="L35" s="48">
        <f t="shared" si="9"/>
        <v>0</v>
      </c>
      <c r="N35" s="12">
        <f t="shared" si="10"/>
        <v>0</v>
      </c>
      <c r="O35" s="44">
        <f t="shared" si="11"/>
        <v>0</v>
      </c>
      <c r="P35" s="44">
        <f t="shared" si="12"/>
        <v>0</v>
      </c>
      <c r="Q35" s="44">
        <f t="shared" si="13"/>
        <v>2</v>
      </c>
      <c r="R35" s="48">
        <f t="shared" si="14"/>
        <v>1</v>
      </c>
      <c r="T35" s="12">
        <f t="shared" si="15"/>
        <v>0</v>
      </c>
      <c r="U35" s="44">
        <f t="shared" si="16"/>
        <v>1</v>
      </c>
      <c r="V35" s="44">
        <f t="shared" si="17"/>
        <v>0</v>
      </c>
      <c r="W35" s="44">
        <f t="shared" si="18"/>
        <v>1</v>
      </c>
      <c r="X35" s="48">
        <f t="shared" si="19"/>
        <v>1</v>
      </c>
      <c r="Z35" s="12">
        <f t="shared" si="20"/>
        <v>1</v>
      </c>
      <c r="AA35" s="44">
        <f t="shared" si="21"/>
        <v>1</v>
      </c>
      <c r="AB35" s="44">
        <f t="shared" si="22"/>
        <v>0</v>
      </c>
      <c r="AC35" s="44">
        <f t="shared" si="23"/>
        <v>1</v>
      </c>
      <c r="AD35" s="48">
        <f t="shared" si="24"/>
        <v>0</v>
      </c>
      <c r="AF35" s="12">
        <f t="shared" si="25"/>
        <v>0</v>
      </c>
      <c r="AG35" s="44">
        <f t="shared" si="26"/>
        <v>0</v>
      </c>
      <c r="AH35" s="44">
        <f t="shared" si="27"/>
        <v>0</v>
      </c>
      <c r="AI35" s="44">
        <f t="shared" si="28"/>
        <v>1</v>
      </c>
      <c r="AJ35" s="48">
        <f t="shared" si="29"/>
        <v>0</v>
      </c>
      <c r="AL35" s="12">
        <f t="shared" si="30"/>
        <v>1</v>
      </c>
      <c r="AM35" s="44">
        <f t="shared" si="31"/>
        <v>1</v>
      </c>
      <c r="AN35" s="44">
        <f t="shared" si="32"/>
        <v>0</v>
      </c>
      <c r="AO35" s="44">
        <f t="shared" si="33"/>
        <v>2</v>
      </c>
      <c r="AP35" s="48">
        <f t="shared" si="34"/>
        <v>0</v>
      </c>
      <c r="AR35" s="12">
        <f t="shared" si="35"/>
        <v>1</v>
      </c>
      <c r="AS35" s="44">
        <f t="shared" si="36"/>
        <v>1</v>
      </c>
      <c r="AT35" s="44">
        <f t="shared" si="37"/>
        <v>1</v>
      </c>
      <c r="AU35" s="44">
        <f t="shared" si="38"/>
        <v>1</v>
      </c>
      <c r="AV35" s="48">
        <f t="shared" si="39"/>
        <v>0</v>
      </c>
      <c r="AX35" s="12">
        <f t="shared" si="40"/>
        <v>0</v>
      </c>
      <c r="AY35" s="44">
        <f t="shared" si="41"/>
        <v>0</v>
      </c>
      <c r="AZ35" s="44">
        <f t="shared" si="42"/>
        <v>1</v>
      </c>
      <c r="BA35" s="44">
        <f t="shared" si="43"/>
        <v>1</v>
      </c>
      <c r="BB35" s="48">
        <f t="shared" si="44"/>
        <v>0</v>
      </c>
      <c r="BD35" s="12">
        <f t="shared" si="45"/>
        <v>0</v>
      </c>
      <c r="BE35" s="44">
        <f t="shared" si="46"/>
        <v>0</v>
      </c>
      <c r="BF35" s="44">
        <f t="shared" si="47"/>
        <v>0</v>
      </c>
      <c r="BG35" s="44">
        <f t="shared" si="48"/>
        <v>1</v>
      </c>
      <c r="BH35" s="48">
        <f t="shared" si="49"/>
        <v>1</v>
      </c>
      <c r="BJ35" s="12">
        <f t="shared" si="50"/>
        <v>0</v>
      </c>
      <c r="BK35" s="44">
        <f t="shared" si="51"/>
        <v>0</v>
      </c>
      <c r="BL35" s="44">
        <f t="shared" si="52"/>
        <v>1</v>
      </c>
      <c r="BM35" s="44">
        <f t="shared" si="53"/>
        <v>1</v>
      </c>
      <c r="BN35" s="48">
        <f t="shared" si="54"/>
        <v>0</v>
      </c>
      <c r="BP35" s="12">
        <f t="shared" si="55"/>
        <v>1</v>
      </c>
      <c r="BQ35" s="44">
        <f t="shared" si="56"/>
        <v>0</v>
      </c>
      <c r="BR35" s="44">
        <f t="shared" si="57"/>
        <v>0</v>
      </c>
      <c r="BS35" s="44">
        <f t="shared" si="58"/>
        <v>2</v>
      </c>
      <c r="BT35" s="48">
        <f t="shared" si="59"/>
        <v>1</v>
      </c>
    </row>
    <row r="36" spans="1:72" x14ac:dyDescent="0.25">
      <c r="A36" s="4">
        <v>14</v>
      </c>
      <c r="B36" s="54" t="str">
        <f>IF('Game Info'!J19="","",'Game Info'!J19)</f>
        <v>J</v>
      </c>
      <c r="C36" s="54" t="str">
        <f>IF('Game Info'!K19="","",'Game Info'!K19)</f>
        <v>WILD</v>
      </c>
      <c r="D36" s="54" t="str">
        <f>IF('Game Info'!L19="","",'Game Info'!L19)</f>
        <v>SYM3</v>
      </c>
      <c r="E36" s="54" t="str">
        <f>IF('Game Info'!M19="","",'Game Info'!M19)</f>
        <v>K</v>
      </c>
      <c r="F36" s="55" t="str">
        <f>IF('Game Info'!N19="","",'Game Info'!N19)</f>
        <v>Q</v>
      </c>
      <c r="H36" s="12">
        <f t="shared" si="5"/>
        <v>0</v>
      </c>
      <c r="I36" s="44">
        <f t="shared" si="6"/>
        <v>1</v>
      </c>
      <c r="J36" s="44">
        <f t="shared" si="7"/>
        <v>0</v>
      </c>
      <c r="K36" s="44">
        <f t="shared" si="8"/>
        <v>1</v>
      </c>
      <c r="L36" s="48">
        <f t="shared" si="9"/>
        <v>0</v>
      </c>
      <c r="N36" s="12">
        <f t="shared" si="10"/>
        <v>0</v>
      </c>
      <c r="O36" s="44">
        <f t="shared" si="11"/>
        <v>1</v>
      </c>
      <c r="P36" s="44">
        <f t="shared" si="12"/>
        <v>0</v>
      </c>
      <c r="Q36" s="44">
        <f t="shared" si="13"/>
        <v>2</v>
      </c>
      <c r="R36" s="48">
        <f t="shared" si="14"/>
        <v>1</v>
      </c>
      <c r="T36" s="12">
        <f t="shared" si="15"/>
        <v>0</v>
      </c>
      <c r="U36" s="44">
        <f t="shared" si="16"/>
        <v>2</v>
      </c>
      <c r="V36" s="44">
        <f t="shared" si="17"/>
        <v>1</v>
      </c>
      <c r="W36" s="44">
        <f t="shared" si="18"/>
        <v>1</v>
      </c>
      <c r="X36" s="48">
        <f t="shared" si="19"/>
        <v>1</v>
      </c>
      <c r="Z36" s="12">
        <f t="shared" si="20"/>
        <v>1</v>
      </c>
      <c r="AA36" s="44">
        <f t="shared" si="21"/>
        <v>1</v>
      </c>
      <c r="AB36" s="44">
        <f t="shared" si="22"/>
        <v>0</v>
      </c>
      <c r="AC36" s="44">
        <f t="shared" si="23"/>
        <v>1</v>
      </c>
      <c r="AD36" s="48">
        <f t="shared" si="24"/>
        <v>0</v>
      </c>
      <c r="AF36" s="12">
        <f t="shared" si="25"/>
        <v>0</v>
      </c>
      <c r="AG36" s="44">
        <f t="shared" si="26"/>
        <v>1</v>
      </c>
      <c r="AH36" s="44">
        <f t="shared" si="27"/>
        <v>0</v>
      </c>
      <c r="AI36" s="44">
        <f t="shared" si="28"/>
        <v>1</v>
      </c>
      <c r="AJ36" s="48">
        <f t="shared" si="29"/>
        <v>0</v>
      </c>
      <c r="AL36" s="12">
        <f t="shared" si="30"/>
        <v>0</v>
      </c>
      <c r="AM36" s="44">
        <f t="shared" si="31"/>
        <v>2</v>
      </c>
      <c r="AN36" s="44">
        <f t="shared" si="32"/>
        <v>0</v>
      </c>
      <c r="AO36" s="44">
        <f t="shared" si="33"/>
        <v>2</v>
      </c>
      <c r="AP36" s="48">
        <f t="shared" si="34"/>
        <v>0</v>
      </c>
      <c r="AR36" s="12">
        <f t="shared" si="35"/>
        <v>1</v>
      </c>
      <c r="AS36" s="44">
        <f t="shared" si="36"/>
        <v>2</v>
      </c>
      <c r="AT36" s="44">
        <f t="shared" si="37"/>
        <v>0</v>
      </c>
      <c r="AU36" s="44">
        <f t="shared" si="38"/>
        <v>2</v>
      </c>
      <c r="AV36" s="48">
        <f t="shared" si="39"/>
        <v>0</v>
      </c>
      <c r="AX36" s="12">
        <f t="shared" si="40"/>
        <v>0</v>
      </c>
      <c r="AY36" s="44">
        <f t="shared" si="41"/>
        <v>1</v>
      </c>
      <c r="AZ36" s="44">
        <f t="shared" si="42"/>
        <v>1</v>
      </c>
      <c r="BA36" s="44">
        <f t="shared" si="43"/>
        <v>1</v>
      </c>
      <c r="BB36" s="48">
        <f t="shared" si="44"/>
        <v>1</v>
      </c>
      <c r="BD36" s="12">
        <f t="shared" si="45"/>
        <v>1</v>
      </c>
      <c r="BE36" s="44">
        <f t="shared" si="46"/>
        <v>1</v>
      </c>
      <c r="BF36" s="44">
        <f t="shared" si="47"/>
        <v>0</v>
      </c>
      <c r="BG36" s="44">
        <f t="shared" si="48"/>
        <v>1</v>
      </c>
      <c r="BH36" s="48">
        <f t="shared" si="49"/>
        <v>1</v>
      </c>
      <c r="BJ36" s="12">
        <f t="shared" si="50"/>
        <v>0</v>
      </c>
      <c r="BK36" s="44">
        <f t="shared" si="51"/>
        <v>1</v>
      </c>
      <c r="BL36" s="44">
        <f t="shared" si="52"/>
        <v>1</v>
      </c>
      <c r="BM36" s="44">
        <f t="shared" si="53"/>
        <v>1</v>
      </c>
      <c r="BN36" s="48">
        <f t="shared" si="54"/>
        <v>0</v>
      </c>
      <c r="BP36" s="12">
        <f t="shared" si="55"/>
        <v>1</v>
      </c>
      <c r="BQ36" s="44">
        <f t="shared" si="56"/>
        <v>1</v>
      </c>
      <c r="BR36" s="44">
        <f t="shared" si="57"/>
        <v>0</v>
      </c>
      <c r="BS36" s="44">
        <f t="shared" si="58"/>
        <v>1</v>
      </c>
      <c r="BT36" s="48">
        <f t="shared" si="59"/>
        <v>0</v>
      </c>
    </row>
    <row r="37" spans="1:72" x14ac:dyDescent="0.25">
      <c r="A37" s="4">
        <v>15</v>
      </c>
      <c r="B37" s="54" t="str">
        <f>IF('Game Info'!J20="","",'Game Info'!J20)</f>
        <v>A</v>
      </c>
      <c r="C37" s="54" t="str">
        <f>IF('Game Info'!K20="","",'Game Info'!K20)</f>
        <v>K</v>
      </c>
      <c r="D37" s="54" t="str">
        <f>IF('Game Info'!L20="","",'Game Info'!L20)</f>
        <v>A</v>
      </c>
      <c r="E37" s="54" t="str">
        <f>IF('Game Info'!M20="","",'Game Info'!M20)</f>
        <v>SYM4</v>
      </c>
      <c r="F37" s="55" t="str">
        <f>IF('Game Info'!N20="","",'Game Info'!N20)</f>
        <v>SYM1</v>
      </c>
      <c r="H37" s="12">
        <f t="shared" si="5"/>
        <v>0</v>
      </c>
      <c r="I37" s="44">
        <f t="shared" si="6"/>
        <v>1</v>
      </c>
      <c r="J37" s="44">
        <f t="shared" si="7"/>
        <v>0</v>
      </c>
      <c r="K37" s="44">
        <f t="shared" si="8"/>
        <v>0</v>
      </c>
      <c r="L37" s="48">
        <f t="shared" si="9"/>
        <v>1</v>
      </c>
      <c r="N37" s="12">
        <f t="shared" si="10"/>
        <v>0</v>
      </c>
      <c r="O37" s="44">
        <f t="shared" si="11"/>
        <v>1</v>
      </c>
      <c r="P37" s="44">
        <f t="shared" si="12"/>
        <v>0</v>
      </c>
      <c r="Q37" s="44">
        <f t="shared" si="13"/>
        <v>1</v>
      </c>
      <c r="R37" s="48">
        <f t="shared" si="14"/>
        <v>0</v>
      </c>
      <c r="T37" s="12">
        <f t="shared" si="15"/>
        <v>0</v>
      </c>
      <c r="U37" s="44">
        <f t="shared" si="16"/>
        <v>2</v>
      </c>
      <c r="V37" s="44">
        <f t="shared" si="17"/>
        <v>1</v>
      </c>
      <c r="W37" s="44">
        <f t="shared" si="18"/>
        <v>0</v>
      </c>
      <c r="X37" s="48">
        <f t="shared" si="19"/>
        <v>1</v>
      </c>
      <c r="Z37" s="12">
        <f t="shared" si="20"/>
        <v>1</v>
      </c>
      <c r="AA37" s="44">
        <f t="shared" si="21"/>
        <v>1</v>
      </c>
      <c r="AB37" s="44">
        <f t="shared" si="22"/>
        <v>0</v>
      </c>
      <c r="AC37" s="44">
        <f t="shared" si="23"/>
        <v>1</v>
      </c>
      <c r="AD37" s="48">
        <f t="shared" si="24"/>
        <v>0</v>
      </c>
      <c r="AF37" s="12">
        <f t="shared" si="25"/>
        <v>0</v>
      </c>
      <c r="AG37" s="44">
        <f t="shared" si="26"/>
        <v>1</v>
      </c>
      <c r="AH37" s="44">
        <f t="shared" si="27"/>
        <v>0</v>
      </c>
      <c r="AI37" s="44">
        <f t="shared" si="28"/>
        <v>0</v>
      </c>
      <c r="AJ37" s="48">
        <f t="shared" si="29"/>
        <v>0</v>
      </c>
      <c r="AL37" s="12">
        <f t="shared" si="30"/>
        <v>1</v>
      </c>
      <c r="AM37" s="44">
        <f t="shared" si="31"/>
        <v>2</v>
      </c>
      <c r="AN37" s="44">
        <f t="shared" si="32"/>
        <v>1</v>
      </c>
      <c r="AO37" s="44">
        <f t="shared" si="33"/>
        <v>1</v>
      </c>
      <c r="AP37" s="48">
        <f t="shared" si="34"/>
        <v>0</v>
      </c>
      <c r="AR37" s="12">
        <f t="shared" si="35"/>
        <v>0</v>
      </c>
      <c r="AS37" s="44">
        <f t="shared" si="36"/>
        <v>2</v>
      </c>
      <c r="AT37" s="44">
        <f t="shared" si="37"/>
        <v>0</v>
      </c>
      <c r="AU37" s="44">
        <f t="shared" si="38"/>
        <v>1</v>
      </c>
      <c r="AV37" s="48">
        <f t="shared" si="39"/>
        <v>0</v>
      </c>
      <c r="AX37" s="12">
        <f t="shared" si="40"/>
        <v>0</v>
      </c>
      <c r="AY37" s="44">
        <f t="shared" si="41"/>
        <v>1</v>
      </c>
      <c r="AZ37" s="44">
        <f t="shared" si="42"/>
        <v>1</v>
      </c>
      <c r="BA37" s="44">
        <f t="shared" si="43"/>
        <v>0</v>
      </c>
      <c r="BB37" s="48">
        <f t="shared" si="44"/>
        <v>1</v>
      </c>
      <c r="BD37" s="12">
        <f t="shared" si="45"/>
        <v>1</v>
      </c>
      <c r="BE37" s="44">
        <f t="shared" si="46"/>
        <v>1</v>
      </c>
      <c r="BF37" s="44">
        <f t="shared" si="47"/>
        <v>0</v>
      </c>
      <c r="BG37" s="44">
        <f t="shared" si="48"/>
        <v>0</v>
      </c>
      <c r="BH37" s="48">
        <f t="shared" si="49"/>
        <v>1</v>
      </c>
      <c r="BJ37" s="12">
        <f t="shared" si="50"/>
        <v>0</v>
      </c>
      <c r="BK37" s="44">
        <f t="shared" si="51"/>
        <v>1</v>
      </c>
      <c r="BL37" s="44">
        <f t="shared" si="52"/>
        <v>1</v>
      </c>
      <c r="BM37" s="44">
        <f t="shared" si="53"/>
        <v>0</v>
      </c>
      <c r="BN37" s="48">
        <f t="shared" si="54"/>
        <v>0</v>
      </c>
      <c r="BP37" s="12">
        <f t="shared" si="55"/>
        <v>1</v>
      </c>
      <c r="BQ37" s="44">
        <f t="shared" si="56"/>
        <v>1</v>
      </c>
      <c r="BR37" s="44">
        <f t="shared" si="57"/>
        <v>0</v>
      </c>
      <c r="BS37" s="44">
        <f t="shared" si="58"/>
        <v>0</v>
      </c>
      <c r="BT37" s="48">
        <f t="shared" si="59"/>
        <v>0</v>
      </c>
    </row>
    <row r="38" spans="1:72" x14ac:dyDescent="0.25">
      <c r="A38" s="4">
        <v>16</v>
      </c>
      <c r="B38" s="54" t="str">
        <f>IF('Game Info'!J21="","",'Game Info'!J21)</f>
        <v>SYM5</v>
      </c>
      <c r="C38" s="54" t="str">
        <f>IF('Game Info'!K21="","",'Game Info'!K21)</f>
        <v>SYM1</v>
      </c>
      <c r="D38" s="54" t="str">
        <f>IF('Game Info'!L21="","",'Game Info'!L21)</f>
        <v>SYM4</v>
      </c>
      <c r="E38" s="54" t="str">
        <f>IF('Game Info'!M21="","",'Game Info'!M21)</f>
        <v>J</v>
      </c>
      <c r="F38" s="55" t="str">
        <f>IF('Game Info'!N21="","",'Game Info'!N21)</f>
        <v>K</v>
      </c>
      <c r="H38" s="12">
        <f t="shared" si="5"/>
        <v>0</v>
      </c>
      <c r="I38" s="44">
        <f t="shared" si="6"/>
        <v>2</v>
      </c>
      <c r="J38" s="44">
        <f t="shared" si="7"/>
        <v>0</v>
      </c>
      <c r="K38" s="44">
        <f t="shared" si="8"/>
        <v>0</v>
      </c>
      <c r="L38" s="48">
        <f t="shared" si="9"/>
        <v>1</v>
      </c>
      <c r="N38" s="12">
        <f t="shared" si="10"/>
        <v>0</v>
      </c>
      <c r="O38" s="44">
        <f t="shared" si="11"/>
        <v>1</v>
      </c>
      <c r="P38" s="44">
        <f t="shared" si="12"/>
        <v>0</v>
      </c>
      <c r="Q38" s="44">
        <f t="shared" si="13"/>
        <v>1</v>
      </c>
      <c r="R38" s="48">
        <f t="shared" si="14"/>
        <v>0</v>
      </c>
      <c r="T38" s="12">
        <f t="shared" si="15"/>
        <v>0</v>
      </c>
      <c r="U38" s="44">
        <f t="shared" si="16"/>
        <v>1</v>
      </c>
      <c r="V38" s="44">
        <f t="shared" si="17"/>
        <v>1</v>
      </c>
      <c r="W38" s="44">
        <f t="shared" si="18"/>
        <v>0</v>
      </c>
      <c r="X38" s="48">
        <f t="shared" si="19"/>
        <v>1</v>
      </c>
      <c r="Z38" s="12">
        <f t="shared" si="20"/>
        <v>0</v>
      </c>
      <c r="AA38" s="44">
        <f t="shared" si="21"/>
        <v>1</v>
      </c>
      <c r="AB38" s="44">
        <f t="shared" si="22"/>
        <v>1</v>
      </c>
      <c r="AC38" s="44">
        <f t="shared" si="23"/>
        <v>1</v>
      </c>
      <c r="AD38" s="48">
        <f t="shared" si="24"/>
        <v>0</v>
      </c>
      <c r="AF38" s="12">
        <f t="shared" si="25"/>
        <v>1</v>
      </c>
      <c r="AG38" s="44">
        <f t="shared" si="26"/>
        <v>1</v>
      </c>
      <c r="AH38" s="44">
        <f t="shared" si="27"/>
        <v>0</v>
      </c>
      <c r="AI38" s="44">
        <f t="shared" si="28"/>
        <v>0</v>
      </c>
      <c r="AJ38" s="48">
        <f t="shared" si="29"/>
        <v>0</v>
      </c>
      <c r="AL38" s="12">
        <f t="shared" si="30"/>
        <v>1</v>
      </c>
      <c r="AM38" s="44">
        <f t="shared" si="31"/>
        <v>2</v>
      </c>
      <c r="AN38" s="44">
        <f t="shared" si="32"/>
        <v>1</v>
      </c>
      <c r="AO38" s="44">
        <f t="shared" si="33"/>
        <v>0</v>
      </c>
      <c r="AP38" s="48">
        <f t="shared" si="34"/>
        <v>0</v>
      </c>
      <c r="AR38" s="12">
        <f t="shared" si="35"/>
        <v>0</v>
      </c>
      <c r="AS38" s="44">
        <f t="shared" si="36"/>
        <v>2</v>
      </c>
      <c r="AT38" s="44">
        <f t="shared" si="37"/>
        <v>0</v>
      </c>
      <c r="AU38" s="44">
        <f t="shared" si="38"/>
        <v>1</v>
      </c>
      <c r="AV38" s="48">
        <f t="shared" si="39"/>
        <v>1</v>
      </c>
      <c r="AX38" s="12">
        <f t="shared" si="40"/>
        <v>0</v>
      </c>
      <c r="AY38" s="44">
        <f t="shared" si="41"/>
        <v>1</v>
      </c>
      <c r="AZ38" s="44">
        <f t="shared" si="42"/>
        <v>1</v>
      </c>
      <c r="BA38" s="44">
        <f t="shared" si="43"/>
        <v>0</v>
      </c>
      <c r="BB38" s="48">
        <f t="shared" si="44"/>
        <v>1</v>
      </c>
      <c r="BD38" s="12">
        <f t="shared" si="45"/>
        <v>1</v>
      </c>
      <c r="BE38" s="44">
        <f t="shared" si="46"/>
        <v>1</v>
      </c>
      <c r="BF38" s="44">
        <f t="shared" si="47"/>
        <v>0</v>
      </c>
      <c r="BG38" s="44">
        <f t="shared" si="48"/>
        <v>1</v>
      </c>
      <c r="BH38" s="48">
        <f t="shared" si="49"/>
        <v>0</v>
      </c>
      <c r="BJ38" s="12">
        <f t="shared" si="50"/>
        <v>0</v>
      </c>
      <c r="BK38" s="44">
        <f t="shared" si="51"/>
        <v>1</v>
      </c>
      <c r="BL38" s="44">
        <f t="shared" si="52"/>
        <v>0</v>
      </c>
      <c r="BM38" s="44">
        <f t="shared" si="53"/>
        <v>0</v>
      </c>
      <c r="BN38" s="48">
        <f t="shared" si="54"/>
        <v>0</v>
      </c>
      <c r="BP38" s="12">
        <f t="shared" si="55"/>
        <v>1</v>
      </c>
      <c r="BQ38" s="44">
        <f t="shared" si="56"/>
        <v>1</v>
      </c>
      <c r="BR38" s="44">
        <f t="shared" si="57"/>
        <v>0</v>
      </c>
      <c r="BS38" s="44">
        <f t="shared" si="58"/>
        <v>0</v>
      </c>
      <c r="BT38" s="48">
        <f t="shared" si="59"/>
        <v>0</v>
      </c>
    </row>
    <row r="39" spans="1:72" x14ac:dyDescent="0.25">
      <c r="A39" s="4">
        <v>17</v>
      </c>
      <c r="B39" s="54" t="str">
        <f>IF('Game Info'!J22="","",'Game Info'!J22)</f>
        <v>SYM5</v>
      </c>
      <c r="C39" s="54" t="str">
        <f>IF('Game Info'!K22="","",'Game Info'!K22)</f>
        <v>Q</v>
      </c>
      <c r="D39" s="54" t="str">
        <f>IF('Game Info'!L22="","",'Game Info'!L22)</f>
        <v>SYM4</v>
      </c>
      <c r="E39" s="54" t="str">
        <f>IF('Game Info'!M22="","",'Game Info'!M22)</f>
        <v>SYM1</v>
      </c>
      <c r="F39" s="55" t="str">
        <f>IF('Game Info'!N22="","",'Game Info'!N22)</f>
        <v>Q</v>
      </c>
      <c r="H39" s="12">
        <f t="shared" si="5"/>
        <v>0</v>
      </c>
      <c r="I39" s="44">
        <f t="shared" si="6"/>
        <v>2</v>
      </c>
      <c r="J39" s="44">
        <f t="shared" si="7"/>
        <v>0</v>
      </c>
      <c r="K39" s="44">
        <f t="shared" si="8"/>
        <v>1</v>
      </c>
      <c r="L39" s="48">
        <f t="shared" si="9"/>
        <v>1</v>
      </c>
      <c r="N39" s="12">
        <f t="shared" si="10"/>
        <v>0</v>
      </c>
      <c r="O39" s="44">
        <f t="shared" si="11"/>
        <v>1</v>
      </c>
      <c r="P39" s="44">
        <f t="shared" si="12"/>
        <v>0</v>
      </c>
      <c r="Q39" s="44">
        <f t="shared" si="13"/>
        <v>0</v>
      </c>
      <c r="R39" s="48">
        <f t="shared" si="14"/>
        <v>0</v>
      </c>
      <c r="T39" s="12">
        <f t="shared" si="15"/>
        <v>0</v>
      </c>
      <c r="U39" s="44">
        <f t="shared" si="16"/>
        <v>1</v>
      </c>
      <c r="V39" s="44">
        <f t="shared" si="17"/>
        <v>1</v>
      </c>
      <c r="W39" s="44">
        <f t="shared" si="18"/>
        <v>0</v>
      </c>
      <c r="X39" s="48">
        <f t="shared" si="19"/>
        <v>0</v>
      </c>
      <c r="Z39" s="12">
        <f t="shared" si="20"/>
        <v>0</v>
      </c>
      <c r="AA39" s="44">
        <f t="shared" si="21"/>
        <v>1</v>
      </c>
      <c r="AB39" s="44">
        <f t="shared" si="22"/>
        <v>2</v>
      </c>
      <c r="AC39" s="44">
        <f t="shared" si="23"/>
        <v>1</v>
      </c>
      <c r="AD39" s="48">
        <f t="shared" si="24"/>
        <v>0</v>
      </c>
      <c r="AF39" s="12">
        <f t="shared" si="25"/>
        <v>2</v>
      </c>
      <c r="AG39" s="44">
        <f t="shared" si="26"/>
        <v>1</v>
      </c>
      <c r="AH39" s="44">
        <f t="shared" si="27"/>
        <v>0</v>
      </c>
      <c r="AI39" s="44">
        <f t="shared" si="28"/>
        <v>0</v>
      </c>
      <c r="AJ39" s="48">
        <f t="shared" si="29"/>
        <v>0</v>
      </c>
      <c r="AL39" s="12">
        <f t="shared" si="30"/>
        <v>1</v>
      </c>
      <c r="AM39" s="44">
        <f t="shared" si="31"/>
        <v>1</v>
      </c>
      <c r="AN39" s="44">
        <f t="shared" si="32"/>
        <v>1</v>
      </c>
      <c r="AO39" s="44">
        <f t="shared" si="33"/>
        <v>0</v>
      </c>
      <c r="AP39" s="48">
        <f t="shared" si="34"/>
        <v>0</v>
      </c>
      <c r="AR39" s="12">
        <f t="shared" si="35"/>
        <v>0</v>
      </c>
      <c r="AS39" s="44">
        <f t="shared" si="36"/>
        <v>2</v>
      </c>
      <c r="AT39" s="44">
        <f t="shared" si="37"/>
        <v>0</v>
      </c>
      <c r="AU39" s="44">
        <f t="shared" si="38"/>
        <v>1</v>
      </c>
      <c r="AV39" s="48">
        <f t="shared" si="39"/>
        <v>1</v>
      </c>
      <c r="AX39" s="12">
        <f t="shared" si="40"/>
        <v>0</v>
      </c>
      <c r="AY39" s="44">
        <f t="shared" si="41"/>
        <v>2</v>
      </c>
      <c r="AZ39" s="44">
        <f t="shared" si="42"/>
        <v>0</v>
      </c>
      <c r="BA39" s="44">
        <f t="shared" si="43"/>
        <v>0</v>
      </c>
      <c r="BB39" s="48">
        <f t="shared" si="44"/>
        <v>2</v>
      </c>
      <c r="BD39" s="12">
        <f t="shared" si="45"/>
        <v>1</v>
      </c>
      <c r="BE39" s="44">
        <f t="shared" si="46"/>
        <v>1</v>
      </c>
      <c r="BF39" s="44">
        <f t="shared" si="47"/>
        <v>0</v>
      </c>
      <c r="BG39" s="44">
        <f t="shared" si="48"/>
        <v>1</v>
      </c>
      <c r="BH39" s="48">
        <f t="shared" si="49"/>
        <v>0</v>
      </c>
      <c r="BJ39" s="12">
        <f t="shared" si="50"/>
        <v>0</v>
      </c>
      <c r="BK39" s="44">
        <f t="shared" si="51"/>
        <v>1</v>
      </c>
      <c r="BL39" s="44">
        <f t="shared" si="52"/>
        <v>0</v>
      </c>
      <c r="BM39" s="44">
        <f t="shared" si="53"/>
        <v>0</v>
      </c>
      <c r="BN39" s="48">
        <f t="shared" si="54"/>
        <v>0</v>
      </c>
      <c r="BP39" s="12">
        <f t="shared" si="55"/>
        <v>0</v>
      </c>
      <c r="BQ39" s="44">
        <f t="shared" si="56"/>
        <v>1</v>
      </c>
      <c r="BR39" s="44">
        <f t="shared" si="57"/>
        <v>0</v>
      </c>
      <c r="BS39" s="44">
        <f t="shared" si="58"/>
        <v>0</v>
      </c>
      <c r="BT39" s="48">
        <f t="shared" si="59"/>
        <v>0</v>
      </c>
    </row>
    <row r="40" spans="1:72" x14ac:dyDescent="0.25">
      <c r="A40" s="4">
        <v>18</v>
      </c>
      <c r="B40" s="54" t="str">
        <f>IF('Game Info'!J23="","",'Game Info'!J23)</f>
        <v>SYM5</v>
      </c>
      <c r="C40" s="54">
        <f>IF('Game Info'!K23="","",'Game Info'!K23)</f>
        <v>10</v>
      </c>
      <c r="D40" s="54" t="str">
        <f>IF('Game Info'!L23="","",'Game Info'!L23)</f>
        <v>SYM4</v>
      </c>
      <c r="E40" s="54" t="str">
        <f>IF('Game Info'!M23="","",'Game Info'!M23)</f>
        <v>SYM1</v>
      </c>
      <c r="F40" s="55" t="str">
        <f>IF('Game Info'!N23="","",'Game Info'!N23)</f>
        <v>SYM4</v>
      </c>
      <c r="H40" s="12">
        <f t="shared" si="5"/>
        <v>0</v>
      </c>
      <c r="I40" s="44">
        <f t="shared" si="6"/>
        <v>1</v>
      </c>
      <c r="J40" s="44">
        <f t="shared" si="7"/>
        <v>0</v>
      </c>
      <c r="K40" s="44">
        <f t="shared" si="8"/>
        <v>2</v>
      </c>
      <c r="L40" s="48">
        <f t="shared" si="9"/>
        <v>1</v>
      </c>
      <c r="N40" s="12">
        <f t="shared" si="10"/>
        <v>0</v>
      </c>
      <c r="O40" s="44">
        <f t="shared" si="11"/>
        <v>0</v>
      </c>
      <c r="P40" s="44">
        <f t="shared" si="12"/>
        <v>0</v>
      </c>
      <c r="Q40" s="44">
        <f t="shared" si="13"/>
        <v>0</v>
      </c>
      <c r="R40" s="48">
        <f t="shared" si="14"/>
        <v>0</v>
      </c>
      <c r="T40" s="12">
        <f t="shared" si="15"/>
        <v>0</v>
      </c>
      <c r="U40" s="44">
        <f t="shared" si="16"/>
        <v>0</v>
      </c>
      <c r="V40" s="44">
        <f t="shared" si="17"/>
        <v>0</v>
      </c>
      <c r="W40" s="44">
        <f t="shared" si="18"/>
        <v>0</v>
      </c>
      <c r="X40" s="48">
        <f t="shared" si="19"/>
        <v>0</v>
      </c>
      <c r="Z40" s="12">
        <f t="shared" si="20"/>
        <v>0</v>
      </c>
      <c r="AA40" s="44">
        <f t="shared" si="21"/>
        <v>0</v>
      </c>
      <c r="AB40" s="44">
        <f t="shared" si="22"/>
        <v>3</v>
      </c>
      <c r="AC40" s="44">
        <f t="shared" si="23"/>
        <v>1</v>
      </c>
      <c r="AD40" s="48">
        <f t="shared" si="24"/>
        <v>1</v>
      </c>
      <c r="AF40" s="12">
        <f t="shared" si="25"/>
        <v>3</v>
      </c>
      <c r="AG40" s="44">
        <f t="shared" si="26"/>
        <v>0</v>
      </c>
      <c r="AH40" s="44">
        <f t="shared" si="27"/>
        <v>0</v>
      </c>
      <c r="AI40" s="44">
        <f t="shared" si="28"/>
        <v>0</v>
      </c>
      <c r="AJ40" s="48">
        <f t="shared" si="29"/>
        <v>0</v>
      </c>
      <c r="AL40" s="12">
        <f t="shared" si="30"/>
        <v>1</v>
      </c>
      <c r="AM40" s="44">
        <f t="shared" si="31"/>
        <v>0</v>
      </c>
      <c r="AN40" s="44">
        <f t="shared" si="32"/>
        <v>1</v>
      </c>
      <c r="AO40" s="44">
        <f t="shared" si="33"/>
        <v>0</v>
      </c>
      <c r="AP40" s="48">
        <f t="shared" si="34"/>
        <v>0</v>
      </c>
      <c r="AR40" s="12">
        <f t="shared" si="35"/>
        <v>0</v>
      </c>
      <c r="AS40" s="44">
        <f t="shared" si="36"/>
        <v>1</v>
      </c>
      <c r="AT40" s="44">
        <f t="shared" si="37"/>
        <v>0</v>
      </c>
      <c r="AU40" s="44">
        <f t="shared" si="38"/>
        <v>0</v>
      </c>
      <c r="AV40" s="48">
        <f t="shared" si="39"/>
        <v>1</v>
      </c>
      <c r="AX40" s="12">
        <f t="shared" si="40"/>
        <v>0</v>
      </c>
      <c r="AY40" s="44">
        <f t="shared" si="41"/>
        <v>1</v>
      </c>
      <c r="AZ40" s="44">
        <f t="shared" si="42"/>
        <v>0</v>
      </c>
      <c r="BA40" s="44">
        <f t="shared" si="43"/>
        <v>0</v>
      </c>
      <c r="BB40" s="48">
        <f t="shared" si="44"/>
        <v>1</v>
      </c>
      <c r="BD40" s="12">
        <f t="shared" si="45"/>
        <v>0</v>
      </c>
      <c r="BE40" s="44">
        <f t="shared" si="46"/>
        <v>0</v>
      </c>
      <c r="BF40" s="44">
        <f t="shared" si="47"/>
        <v>0</v>
      </c>
      <c r="BG40" s="44">
        <f t="shared" si="48"/>
        <v>1</v>
      </c>
      <c r="BH40" s="48">
        <f t="shared" si="49"/>
        <v>0</v>
      </c>
      <c r="BJ40" s="12">
        <f t="shared" si="50"/>
        <v>0</v>
      </c>
      <c r="BK40" s="44">
        <f t="shared" si="51"/>
        <v>1</v>
      </c>
      <c r="BL40" s="44">
        <f t="shared" si="52"/>
        <v>0</v>
      </c>
      <c r="BM40" s="44">
        <f t="shared" si="53"/>
        <v>0</v>
      </c>
      <c r="BN40" s="48">
        <f t="shared" si="54"/>
        <v>0</v>
      </c>
      <c r="BP40" s="12">
        <f t="shared" si="55"/>
        <v>0</v>
      </c>
      <c r="BQ40" s="44">
        <f t="shared" si="56"/>
        <v>0</v>
      </c>
      <c r="BR40" s="44">
        <f t="shared" si="57"/>
        <v>0</v>
      </c>
      <c r="BS40" s="44">
        <f t="shared" si="58"/>
        <v>0</v>
      </c>
      <c r="BT40" s="48">
        <f t="shared" si="59"/>
        <v>0</v>
      </c>
    </row>
    <row r="41" spans="1:72" x14ac:dyDescent="0.25">
      <c r="A41" s="4">
        <v>19</v>
      </c>
      <c r="B41" s="54" t="str">
        <f>IF('Game Info'!J24="","",'Game Info'!J24)</f>
        <v>Q</v>
      </c>
      <c r="C41" s="54" t="str">
        <f>IF('Game Info'!K24="","",'Game Info'!K24)</f>
        <v>K</v>
      </c>
      <c r="D41" s="54" t="str">
        <f>IF('Game Info'!L24="","",'Game Info'!L24)</f>
        <v>J</v>
      </c>
      <c r="E41" s="54" t="str">
        <f>IF('Game Info'!M24="","",'Game Info'!M24)</f>
        <v>SYM1</v>
      </c>
      <c r="F41" s="55" t="str">
        <f>IF('Game Info'!N24="","",'Game Info'!N24)</f>
        <v>K</v>
      </c>
      <c r="H41" s="12">
        <f t="shared" si="5"/>
        <v>0</v>
      </c>
      <c r="I41" s="44">
        <f t="shared" si="6"/>
        <v>1</v>
      </c>
      <c r="J41" s="44">
        <f t="shared" si="7"/>
        <v>0</v>
      </c>
      <c r="K41" s="44">
        <f t="shared" si="8"/>
        <v>3</v>
      </c>
      <c r="L41" s="48">
        <f t="shared" si="9"/>
        <v>0</v>
      </c>
      <c r="N41" s="12">
        <f t="shared" si="10"/>
        <v>0</v>
      </c>
      <c r="O41" s="44">
        <f t="shared" si="11"/>
        <v>0</v>
      </c>
      <c r="P41" s="44">
        <f t="shared" si="12"/>
        <v>0</v>
      </c>
      <c r="Q41" s="44">
        <f t="shared" si="13"/>
        <v>0</v>
      </c>
      <c r="R41" s="48">
        <f t="shared" si="14"/>
        <v>0</v>
      </c>
      <c r="T41" s="12">
        <f t="shared" si="15"/>
        <v>0</v>
      </c>
      <c r="U41" s="44">
        <f t="shared" si="16"/>
        <v>0</v>
      </c>
      <c r="V41" s="44">
        <f t="shared" si="17"/>
        <v>0</v>
      </c>
      <c r="W41" s="44">
        <f t="shared" si="18"/>
        <v>0</v>
      </c>
      <c r="X41" s="48">
        <f t="shared" si="19"/>
        <v>0</v>
      </c>
      <c r="Z41" s="12">
        <f t="shared" si="20"/>
        <v>0</v>
      </c>
      <c r="AA41" s="44">
        <f t="shared" si="21"/>
        <v>0</v>
      </c>
      <c r="AB41" s="44">
        <f t="shared" si="22"/>
        <v>3</v>
      </c>
      <c r="AC41" s="44">
        <f t="shared" si="23"/>
        <v>0</v>
      </c>
      <c r="AD41" s="48">
        <f t="shared" si="24"/>
        <v>1</v>
      </c>
      <c r="AF41" s="12">
        <f t="shared" si="25"/>
        <v>3</v>
      </c>
      <c r="AG41" s="44">
        <f t="shared" si="26"/>
        <v>0</v>
      </c>
      <c r="AH41" s="44">
        <f t="shared" si="27"/>
        <v>0</v>
      </c>
      <c r="AI41" s="44">
        <f t="shared" si="28"/>
        <v>0</v>
      </c>
      <c r="AJ41" s="48">
        <f t="shared" si="29"/>
        <v>0</v>
      </c>
      <c r="AL41" s="12">
        <f t="shared" si="30"/>
        <v>0</v>
      </c>
      <c r="AM41" s="44">
        <f t="shared" si="31"/>
        <v>0</v>
      </c>
      <c r="AN41" s="44">
        <f t="shared" si="32"/>
        <v>0</v>
      </c>
      <c r="AO41" s="44">
        <f t="shared" si="33"/>
        <v>0</v>
      </c>
      <c r="AP41" s="48">
        <f t="shared" si="34"/>
        <v>0</v>
      </c>
      <c r="AR41" s="12">
        <f t="shared" si="35"/>
        <v>0</v>
      </c>
      <c r="AS41" s="44">
        <f t="shared" si="36"/>
        <v>1</v>
      </c>
      <c r="AT41" s="44">
        <f t="shared" si="37"/>
        <v>0</v>
      </c>
      <c r="AU41" s="44">
        <f t="shared" si="38"/>
        <v>0</v>
      </c>
      <c r="AV41" s="48">
        <f t="shared" si="39"/>
        <v>2</v>
      </c>
      <c r="AX41" s="12">
        <f t="shared" si="40"/>
        <v>1</v>
      </c>
      <c r="AY41" s="44">
        <f t="shared" si="41"/>
        <v>1</v>
      </c>
      <c r="AZ41" s="44">
        <f t="shared" si="42"/>
        <v>0</v>
      </c>
      <c r="BA41" s="44">
        <f t="shared" si="43"/>
        <v>0</v>
      </c>
      <c r="BB41" s="48">
        <f t="shared" si="44"/>
        <v>1</v>
      </c>
      <c r="BD41" s="12">
        <f t="shared" si="45"/>
        <v>0</v>
      </c>
      <c r="BE41" s="44">
        <f t="shared" si="46"/>
        <v>0</v>
      </c>
      <c r="BF41" s="44">
        <f t="shared" si="47"/>
        <v>1</v>
      </c>
      <c r="BG41" s="44">
        <f t="shared" si="48"/>
        <v>1</v>
      </c>
      <c r="BH41" s="48">
        <f t="shared" si="49"/>
        <v>0</v>
      </c>
      <c r="BJ41" s="12">
        <f t="shared" si="50"/>
        <v>0</v>
      </c>
      <c r="BK41" s="44">
        <f t="shared" si="51"/>
        <v>1</v>
      </c>
      <c r="BL41" s="44">
        <f t="shared" si="52"/>
        <v>0</v>
      </c>
      <c r="BM41" s="44">
        <f t="shared" si="53"/>
        <v>0</v>
      </c>
      <c r="BN41" s="48">
        <f t="shared" si="54"/>
        <v>0</v>
      </c>
      <c r="BP41" s="12">
        <f t="shared" si="55"/>
        <v>0</v>
      </c>
      <c r="BQ41" s="44">
        <f t="shared" si="56"/>
        <v>0</v>
      </c>
      <c r="BR41" s="44">
        <f t="shared" si="57"/>
        <v>0</v>
      </c>
      <c r="BS41" s="44">
        <f t="shared" si="58"/>
        <v>0</v>
      </c>
      <c r="BT41" s="48">
        <f t="shared" si="59"/>
        <v>0</v>
      </c>
    </row>
    <row r="42" spans="1:72" x14ac:dyDescent="0.25">
      <c r="A42" s="4">
        <v>20</v>
      </c>
      <c r="B42" s="54">
        <f>IF('Game Info'!J25="","",'Game Info'!J25)</f>
        <v>10</v>
      </c>
      <c r="C42" s="54" t="str">
        <f>IF('Game Info'!K25="","",'Game Info'!K25)</f>
        <v>SYM4</v>
      </c>
      <c r="D42" s="54" t="str">
        <f>IF('Game Info'!L25="","",'Game Info'!L25)</f>
        <v>FG</v>
      </c>
      <c r="E42" s="54" t="str">
        <f>IF('Game Info'!M25="","",'Game Info'!M25)</f>
        <v>J</v>
      </c>
      <c r="F42" s="55" t="str">
        <f>IF('Game Info'!N25="","",'Game Info'!N25)</f>
        <v>SYM1</v>
      </c>
      <c r="H42" s="12">
        <f t="shared" si="5"/>
        <v>0</v>
      </c>
      <c r="I42" s="44">
        <f t="shared" si="6"/>
        <v>0</v>
      </c>
      <c r="J42" s="44">
        <f t="shared" si="7"/>
        <v>0</v>
      </c>
      <c r="K42" s="44">
        <f t="shared" si="8"/>
        <v>3</v>
      </c>
      <c r="L42" s="48">
        <f t="shared" si="9"/>
        <v>1</v>
      </c>
      <c r="N42" s="12">
        <f t="shared" si="10"/>
        <v>0</v>
      </c>
      <c r="O42" s="44">
        <f t="shared" si="11"/>
        <v>0</v>
      </c>
      <c r="P42" s="44">
        <f t="shared" si="12"/>
        <v>0</v>
      </c>
      <c r="Q42" s="44">
        <f t="shared" si="13"/>
        <v>0</v>
      </c>
      <c r="R42" s="48">
        <f t="shared" si="14"/>
        <v>0</v>
      </c>
      <c r="T42" s="12">
        <f t="shared" si="15"/>
        <v>0</v>
      </c>
      <c r="U42" s="44">
        <f t="shared" si="16"/>
        <v>0</v>
      </c>
      <c r="V42" s="44">
        <f t="shared" si="17"/>
        <v>0</v>
      </c>
      <c r="W42" s="44">
        <f t="shared" si="18"/>
        <v>0</v>
      </c>
      <c r="X42" s="48">
        <f t="shared" si="19"/>
        <v>0</v>
      </c>
      <c r="Z42" s="12">
        <f t="shared" si="20"/>
        <v>0</v>
      </c>
      <c r="AA42" s="44">
        <f t="shared" si="21"/>
        <v>1</v>
      </c>
      <c r="AB42" s="44">
        <f t="shared" si="22"/>
        <v>2</v>
      </c>
      <c r="AC42" s="44">
        <f t="shared" si="23"/>
        <v>0</v>
      </c>
      <c r="AD42" s="48">
        <f t="shared" si="24"/>
        <v>1</v>
      </c>
      <c r="AF42" s="12">
        <f t="shared" si="25"/>
        <v>2</v>
      </c>
      <c r="AG42" s="44">
        <f t="shared" si="26"/>
        <v>0</v>
      </c>
      <c r="AH42" s="44">
        <f t="shared" si="27"/>
        <v>0</v>
      </c>
      <c r="AI42" s="44">
        <f t="shared" si="28"/>
        <v>0</v>
      </c>
      <c r="AJ42" s="48">
        <f t="shared" si="29"/>
        <v>0</v>
      </c>
      <c r="AL42" s="12">
        <f t="shared" si="30"/>
        <v>0</v>
      </c>
      <c r="AM42" s="44">
        <f t="shared" si="31"/>
        <v>0</v>
      </c>
      <c r="AN42" s="44">
        <f t="shared" si="32"/>
        <v>0</v>
      </c>
      <c r="AO42" s="44">
        <f t="shared" si="33"/>
        <v>0</v>
      </c>
      <c r="AP42" s="48">
        <f t="shared" si="34"/>
        <v>0</v>
      </c>
      <c r="AR42" s="12">
        <f t="shared" si="35"/>
        <v>0</v>
      </c>
      <c r="AS42" s="44">
        <f t="shared" si="36"/>
        <v>1</v>
      </c>
      <c r="AT42" s="44">
        <f t="shared" si="37"/>
        <v>0</v>
      </c>
      <c r="AU42" s="44">
        <f t="shared" si="38"/>
        <v>0</v>
      </c>
      <c r="AV42" s="48">
        <f t="shared" si="39"/>
        <v>1</v>
      </c>
      <c r="AX42" s="12">
        <f t="shared" si="40"/>
        <v>1</v>
      </c>
      <c r="AY42" s="44">
        <f t="shared" si="41"/>
        <v>1</v>
      </c>
      <c r="AZ42" s="44">
        <f t="shared" si="42"/>
        <v>0</v>
      </c>
      <c r="BA42" s="44">
        <f t="shared" si="43"/>
        <v>0</v>
      </c>
      <c r="BB42" s="48">
        <f t="shared" si="44"/>
        <v>1</v>
      </c>
      <c r="BD42" s="12">
        <f t="shared" si="45"/>
        <v>0</v>
      </c>
      <c r="BE42" s="44">
        <f t="shared" si="46"/>
        <v>0</v>
      </c>
      <c r="BF42" s="44">
        <f t="shared" si="47"/>
        <v>1</v>
      </c>
      <c r="BG42" s="44">
        <f t="shared" si="48"/>
        <v>1</v>
      </c>
      <c r="BH42" s="48">
        <f t="shared" si="49"/>
        <v>0</v>
      </c>
      <c r="BJ42" s="12">
        <f t="shared" si="50"/>
        <v>1</v>
      </c>
      <c r="BK42" s="44">
        <f t="shared" si="51"/>
        <v>1</v>
      </c>
      <c r="BL42" s="44">
        <f t="shared" si="52"/>
        <v>0</v>
      </c>
      <c r="BM42" s="44">
        <f t="shared" si="53"/>
        <v>0</v>
      </c>
      <c r="BN42" s="48">
        <f t="shared" si="54"/>
        <v>0</v>
      </c>
      <c r="BP42" s="12">
        <f t="shared" si="55"/>
        <v>0</v>
      </c>
      <c r="BQ42" s="44">
        <f t="shared" si="56"/>
        <v>0</v>
      </c>
      <c r="BR42" s="44">
        <f t="shared" si="57"/>
        <v>0</v>
      </c>
      <c r="BS42" s="44">
        <f t="shared" si="58"/>
        <v>0</v>
      </c>
      <c r="BT42" s="48">
        <f t="shared" si="59"/>
        <v>0</v>
      </c>
    </row>
    <row r="43" spans="1:72" x14ac:dyDescent="0.25">
      <c r="A43" s="4">
        <v>21</v>
      </c>
      <c r="B43" s="54" t="str">
        <f>IF('Game Info'!J26="","",'Game Info'!J26)</f>
        <v>SYM5</v>
      </c>
      <c r="C43" s="54" t="str">
        <f>IF('Game Info'!K26="","",'Game Info'!K26)</f>
        <v>Q</v>
      </c>
      <c r="D43" s="54">
        <f>IF('Game Info'!L26="","",'Game Info'!L26)</f>
        <v>10</v>
      </c>
      <c r="E43" s="54" t="str">
        <f>IF('Game Info'!M26="","",'Game Info'!M26)</f>
        <v>SYM2</v>
      </c>
      <c r="F43" s="55">
        <f>IF('Game Info'!N26="","",'Game Info'!N26)</f>
        <v>10</v>
      </c>
      <c r="H43" s="12">
        <f t="shared" si="5"/>
        <v>0</v>
      </c>
      <c r="I43" s="44">
        <f t="shared" si="6"/>
        <v>0</v>
      </c>
      <c r="J43" s="44">
        <f t="shared" si="7"/>
        <v>0</v>
      </c>
      <c r="K43" s="44">
        <f t="shared" si="8"/>
        <v>2</v>
      </c>
      <c r="L43" s="48">
        <f t="shared" si="9"/>
        <v>1</v>
      </c>
      <c r="N43" s="12">
        <f t="shared" si="10"/>
        <v>0</v>
      </c>
      <c r="O43" s="44">
        <f t="shared" si="11"/>
        <v>0</v>
      </c>
      <c r="P43" s="44">
        <f t="shared" si="12"/>
        <v>0</v>
      </c>
      <c r="Q43" s="44">
        <f t="shared" si="13"/>
        <v>1</v>
      </c>
      <c r="R43" s="48">
        <f t="shared" si="14"/>
        <v>0</v>
      </c>
      <c r="T43" s="12">
        <f t="shared" si="15"/>
        <v>0</v>
      </c>
      <c r="U43" s="44">
        <f t="shared" si="16"/>
        <v>0</v>
      </c>
      <c r="V43" s="44">
        <f t="shared" si="17"/>
        <v>0</v>
      </c>
      <c r="W43" s="44">
        <f t="shared" si="18"/>
        <v>0</v>
      </c>
      <c r="X43" s="48">
        <f t="shared" si="19"/>
        <v>0</v>
      </c>
      <c r="Z43" s="12">
        <f t="shared" si="20"/>
        <v>0</v>
      </c>
      <c r="AA43" s="44">
        <f t="shared" si="21"/>
        <v>1</v>
      </c>
      <c r="AB43" s="44">
        <f t="shared" si="22"/>
        <v>1</v>
      </c>
      <c r="AC43" s="44">
        <f t="shared" si="23"/>
        <v>0</v>
      </c>
      <c r="AD43" s="48">
        <f t="shared" si="24"/>
        <v>1</v>
      </c>
      <c r="AF43" s="12">
        <f t="shared" si="25"/>
        <v>2</v>
      </c>
      <c r="AG43" s="44">
        <f t="shared" si="26"/>
        <v>0</v>
      </c>
      <c r="AH43" s="44">
        <f t="shared" si="27"/>
        <v>0</v>
      </c>
      <c r="AI43" s="44">
        <f t="shared" si="28"/>
        <v>0</v>
      </c>
      <c r="AJ43" s="48">
        <f t="shared" si="29"/>
        <v>0</v>
      </c>
      <c r="AL43" s="12">
        <f t="shared" si="30"/>
        <v>0</v>
      </c>
      <c r="AM43" s="44">
        <f t="shared" si="31"/>
        <v>0</v>
      </c>
      <c r="AN43" s="44">
        <f t="shared" si="32"/>
        <v>0</v>
      </c>
      <c r="AO43" s="44">
        <f t="shared" si="33"/>
        <v>0</v>
      </c>
      <c r="AP43" s="48">
        <f t="shared" si="34"/>
        <v>0</v>
      </c>
      <c r="AR43" s="12">
        <f t="shared" si="35"/>
        <v>0</v>
      </c>
      <c r="AS43" s="44">
        <f t="shared" si="36"/>
        <v>1</v>
      </c>
      <c r="AT43" s="44">
        <f t="shared" si="37"/>
        <v>0</v>
      </c>
      <c r="AU43" s="44">
        <f t="shared" si="38"/>
        <v>0</v>
      </c>
      <c r="AV43" s="48">
        <f t="shared" si="39"/>
        <v>1</v>
      </c>
      <c r="AX43" s="12">
        <f t="shared" si="40"/>
        <v>1</v>
      </c>
      <c r="AY43" s="44">
        <f t="shared" si="41"/>
        <v>1</v>
      </c>
      <c r="AZ43" s="44">
        <f t="shared" si="42"/>
        <v>0</v>
      </c>
      <c r="BA43" s="44">
        <f t="shared" si="43"/>
        <v>0</v>
      </c>
      <c r="BB43" s="48">
        <f t="shared" si="44"/>
        <v>0</v>
      </c>
      <c r="BD43" s="12">
        <f t="shared" si="45"/>
        <v>0</v>
      </c>
      <c r="BE43" s="44">
        <f t="shared" si="46"/>
        <v>0</v>
      </c>
      <c r="BF43" s="44">
        <f t="shared" si="47"/>
        <v>1</v>
      </c>
      <c r="BG43" s="44">
        <f t="shared" si="48"/>
        <v>1</v>
      </c>
      <c r="BH43" s="48">
        <f t="shared" si="49"/>
        <v>0</v>
      </c>
      <c r="BJ43" s="12">
        <f t="shared" si="50"/>
        <v>1</v>
      </c>
      <c r="BK43" s="44">
        <f t="shared" si="51"/>
        <v>1</v>
      </c>
      <c r="BL43" s="44">
        <f t="shared" si="52"/>
        <v>1</v>
      </c>
      <c r="BM43" s="44">
        <f t="shared" si="53"/>
        <v>0</v>
      </c>
      <c r="BN43" s="48">
        <f t="shared" si="54"/>
        <v>1</v>
      </c>
      <c r="BP43" s="12">
        <f t="shared" si="55"/>
        <v>0</v>
      </c>
      <c r="BQ43" s="44">
        <f t="shared" si="56"/>
        <v>0</v>
      </c>
      <c r="BR43" s="44">
        <f t="shared" si="57"/>
        <v>0</v>
      </c>
      <c r="BS43" s="44">
        <f t="shared" si="58"/>
        <v>0</v>
      </c>
      <c r="BT43" s="48">
        <f t="shared" si="59"/>
        <v>0</v>
      </c>
    </row>
    <row r="44" spans="1:72" x14ac:dyDescent="0.25">
      <c r="A44" s="4">
        <v>22</v>
      </c>
      <c r="B44" s="54" t="str">
        <f>IF('Game Info'!J27="","",'Game Info'!J27)</f>
        <v>Q</v>
      </c>
      <c r="C44" s="54" t="str">
        <f>IF('Game Info'!K27="","",'Game Info'!K27)</f>
        <v>SYM2</v>
      </c>
      <c r="D44" s="54" t="str">
        <f>IF('Game Info'!L27="","",'Game Info'!L27)</f>
        <v>SYM1</v>
      </c>
      <c r="E44" s="54" t="str">
        <f>IF('Game Info'!M27="","",'Game Info'!M27)</f>
        <v>K</v>
      </c>
      <c r="F44" s="55" t="str">
        <f>IF('Game Info'!N27="","",'Game Info'!N27)</f>
        <v>SYM3</v>
      </c>
      <c r="H44" s="12">
        <f t="shared" si="5"/>
        <v>0</v>
      </c>
      <c r="I44" s="44">
        <f t="shared" si="6"/>
        <v>0</v>
      </c>
      <c r="J44" s="44">
        <f t="shared" si="7"/>
        <v>1</v>
      </c>
      <c r="K44" s="44">
        <f t="shared" si="8"/>
        <v>1</v>
      </c>
      <c r="L44" s="48">
        <f t="shared" si="9"/>
        <v>1</v>
      </c>
      <c r="N44" s="12">
        <f t="shared" si="10"/>
        <v>0</v>
      </c>
      <c r="O44" s="44">
        <f t="shared" si="11"/>
        <v>1</v>
      </c>
      <c r="P44" s="44">
        <f t="shared" si="12"/>
        <v>0</v>
      </c>
      <c r="Q44" s="44">
        <f t="shared" si="13"/>
        <v>1</v>
      </c>
      <c r="R44" s="48">
        <f t="shared" si="14"/>
        <v>0</v>
      </c>
      <c r="T44" s="12">
        <f t="shared" si="15"/>
        <v>0</v>
      </c>
      <c r="U44" s="44">
        <f t="shared" si="16"/>
        <v>0</v>
      </c>
      <c r="V44" s="44">
        <f t="shared" si="17"/>
        <v>0</v>
      </c>
      <c r="W44" s="44">
        <f t="shared" si="18"/>
        <v>0</v>
      </c>
      <c r="X44" s="48">
        <f t="shared" si="19"/>
        <v>1</v>
      </c>
      <c r="Z44" s="12">
        <f t="shared" si="20"/>
        <v>0</v>
      </c>
      <c r="AA44" s="44">
        <f t="shared" si="21"/>
        <v>1</v>
      </c>
      <c r="AB44" s="44">
        <f t="shared" si="22"/>
        <v>0</v>
      </c>
      <c r="AC44" s="44">
        <f t="shared" si="23"/>
        <v>0</v>
      </c>
      <c r="AD44" s="48">
        <f t="shared" si="24"/>
        <v>0</v>
      </c>
      <c r="AF44" s="12">
        <f t="shared" si="25"/>
        <v>1</v>
      </c>
      <c r="AG44" s="44">
        <f t="shared" si="26"/>
        <v>0</v>
      </c>
      <c r="AH44" s="44">
        <f t="shared" si="27"/>
        <v>0</v>
      </c>
      <c r="AI44" s="44">
        <f t="shared" si="28"/>
        <v>0</v>
      </c>
      <c r="AJ44" s="48">
        <f t="shared" si="29"/>
        <v>0</v>
      </c>
      <c r="AL44" s="12">
        <f t="shared" si="30"/>
        <v>0</v>
      </c>
      <c r="AM44" s="44">
        <f t="shared" si="31"/>
        <v>0</v>
      </c>
      <c r="AN44" s="44">
        <f t="shared" si="32"/>
        <v>0</v>
      </c>
      <c r="AO44" s="44">
        <f t="shared" si="33"/>
        <v>0</v>
      </c>
      <c r="AP44" s="48">
        <f t="shared" si="34"/>
        <v>0</v>
      </c>
      <c r="AR44" s="12">
        <f t="shared" si="35"/>
        <v>0</v>
      </c>
      <c r="AS44" s="44">
        <f t="shared" si="36"/>
        <v>1</v>
      </c>
      <c r="AT44" s="44">
        <f t="shared" si="37"/>
        <v>0</v>
      </c>
      <c r="AU44" s="44">
        <f t="shared" si="38"/>
        <v>1</v>
      </c>
      <c r="AV44" s="48">
        <f t="shared" si="39"/>
        <v>1</v>
      </c>
      <c r="AX44" s="12">
        <f t="shared" si="40"/>
        <v>2</v>
      </c>
      <c r="AY44" s="44">
        <f t="shared" si="41"/>
        <v>1</v>
      </c>
      <c r="AZ44" s="44">
        <f t="shared" si="42"/>
        <v>0</v>
      </c>
      <c r="BA44" s="44">
        <f t="shared" si="43"/>
        <v>0</v>
      </c>
      <c r="BB44" s="48">
        <f t="shared" si="44"/>
        <v>0</v>
      </c>
      <c r="BD44" s="12">
        <f t="shared" si="45"/>
        <v>0</v>
      </c>
      <c r="BE44" s="44">
        <f t="shared" si="46"/>
        <v>0</v>
      </c>
      <c r="BF44" s="44">
        <f t="shared" si="47"/>
        <v>1</v>
      </c>
      <c r="BG44" s="44">
        <f t="shared" si="48"/>
        <v>1</v>
      </c>
      <c r="BH44" s="48">
        <f t="shared" si="49"/>
        <v>0</v>
      </c>
      <c r="BJ44" s="12">
        <f t="shared" si="50"/>
        <v>1</v>
      </c>
      <c r="BK44" s="44">
        <f t="shared" si="51"/>
        <v>0</v>
      </c>
      <c r="BL44" s="44">
        <f t="shared" si="52"/>
        <v>1</v>
      </c>
      <c r="BM44" s="44">
        <f t="shared" si="53"/>
        <v>0</v>
      </c>
      <c r="BN44" s="48">
        <f t="shared" si="54"/>
        <v>1</v>
      </c>
      <c r="BP44" s="12">
        <f t="shared" si="55"/>
        <v>0</v>
      </c>
      <c r="BQ44" s="44">
        <f t="shared" si="56"/>
        <v>0</v>
      </c>
      <c r="BR44" s="44">
        <f t="shared" si="57"/>
        <v>0</v>
      </c>
      <c r="BS44" s="44">
        <f t="shared" si="58"/>
        <v>0</v>
      </c>
      <c r="BT44" s="48">
        <f t="shared" si="59"/>
        <v>0</v>
      </c>
    </row>
    <row r="45" spans="1:72" x14ac:dyDescent="0.25">
      <c r="A45" s="4">
        <v>23</v>
      </c>
      <c r="B45" s="54" t="str">
        <f>IF('Game Info'!J28="","",'Game Info'!J28)</f>
        <v>SYM2</v>
      </c>
      <c r="C45" s="54" t="str">
        <f>IF('Game Info'!K28="","",'Game Info'!K28)</f>
        <v>A</v>
      </c>
      <c r="D45" s="54" t="str">
        <f>IF('Game Info'!L28="","",'Game Info'!L28)</f>
        <v>J</v>
      </c>
      <c r="E45" s="54" t="str">
        <f>IF('Game Info'!M28="","",'Game Info'!M28)</f>
        <v>SYM5</v>
      </c>
      <c r="F45" s="55" t="str">
        <f>IF('Game Info'!N28="","",'Game Info'!N28)</f>
        <v>Q</v>
      </c>
      <c r="H45" s="12">
        <f t="shared" si="5"/>
        <v>0</v>
      </c>
      <c r="I45" s="44">
        <f t="shared" si="6"/>
        <v>0</v>
      </c>
      <c r="J45" s="44">
        <f t="shared" si="7"/>
        <v>1</v>
      </c>
      <c r="K45" s="44">
        <f t="shared" si="8"/>
        <v>0</v>
      </c>
      <c r="L45" s="48">
        <f t="shared" si="9"/>
        <v>1</v>
      </c>
      <c r="N45" s="12">
        <f t="shared" si="10"/>
        <v>1</v>
      </c>
      <c r="O45" s="44">
        <f t="shared" si="11"/>
        <v>1</v>
      </c>
      <c r="P45" s="44">
        <f t="shared" si="12"/>
        <v>0</v>
      </c>
      <c r="Q45" s="44">
        <f t="shared" si="13"/>
        <v>1</v>
      </c>
      <c r="R45" s="48">
        <f t="shared" si="14"/>
        <v>0</v>
      </c>
      <c r="T45" s="12">
        <f t="shared" si="15"/>
        <v>0</v>
      </c>
      <c r="U45" s="44">
        <f t="shared" si="16"/>
        <v>0</v>
      </c>
      <c r="V45" s="44">
        <f t="shared" si="17"/>
        <v>0</v>
      </c>
      <c r="W45" s="44">
        <f t="shared" si="18"/>
        <v>0</v>
      </c>
      <c r="X45" s="48">
        <f t="shared" si="19"/>
        <v>1</v>
      </c>
      <c r="Z45" s="12">
        <f t="shared" si="20"/>
        <v>0</v>
      </c>
      <c r="AA45" s="44">
        <f t="shared" si="21"/>
        <v>1</v>
      </c>
      <c r="AB45" s="44">
        <f t="shared" si="22"/>
        <v>0</v>
      </c>
      <c r="AC45" s="44">
        <f t="shared" si="23"/>
        <v>0</v>
      </c>
      <c r="AD45" s="48">
        <f t="shared" si="24"/>
        <v>0</v>
      </c>
      <c r="AF45" s="12">
        <f t="shared" si="25"/>
        <v>1</v>
      </c>
      <c r="AG45" s="44">
        <f t="shared" si="26"/>
        <v>0</v>
      </c>
      <c r="AH45" s="44">
        <f t="shared" si="27"/>
        <v>0</v>
      </c>
      <c r="AI45" s="44">
        <f t="shared" si="28"/>
        <v>1</v>
      </c>
      <c r="AJ45" s="48">
        <f t="shared" si="29"/>
        <v>0</v>
      </c>
      <c r="AL45" s="12">
        <f t="shared" si="30"/>
        <v>0</v>
      </c>
      <c r="AM45" s="44">
        <f t="shared" si="31"/>
        <v>1</v>
      </c>
      <c r="AN45" s="44">
        <f t="shared" si="32"/>
        <v>0</v>
      </c>
      <c r="AO45" s="44">
        <f t="shared" si="33"/>
        <v>0</v>
      </c>
      <c r="AP45" s="48">
        <f t="shared" si="34"/>
        <v>0</v>
      </c>
      <c r="AR45" s="12">
        <f t="shared" si="35"/>
        <v>0</v>
      </c>
      <c r="AS45" s="44">
        <f t="shared" si="36"/>
        <v>0</v>
      </c>
      <c r="AT45" s="44">
        <f t="shared" si="37"/>
        <v>0</v>
      </c>
      <c r="AU45" s="44">
        <f t="shared" si="38"/>
        <v>1</v>
      </c>
      <c r="AV45" s="48">
        <f t="shared" si="39"/>
        <v>0</v>
      </c>
      <c r="AX45" s="12">
        <f t="shared" si="40"/>
        <v>1</v>
      </c>
      <c r="AY45" s="44">
        <f t="shared" si="41"/>
        <v>1</v>
      </c>
      <c r="AZ45" s="44">
        <f t="shared" si="42"/>
        <v>0</v>
      </c>
      <c r="BA45" s="44">
        <f t="shared" si="43"/>
        <v>0</v>
      </c>
      <c r="BB45" s="48">
        <f t="shared" si="44"/>
        <v>1</v>
      </c>
      <c r="BD45" s="12">
        <f t="shared" si="45"/>
        <v>0</v>
      </c>
      <c r="BE45" s="44">
        <f t="shared" si="46"/>
        <v>0</v>
      </c>
      <c r="BF45" s="44">
        <f t="shared" si="47"/>
        <v>1</v>
      </c>
      <c r="BG45" s="44">
        <f t="shared" si="48"/>
        <v>1</v>
      </c>
      <c r="BH45" s="48">
        <f t="shared" si="49"/>
        <v>0</v>
      </c>
      <c r="BJ45" s="12">
        <f t="shared" si="50"/>
        <v>1</v>
      </c>
      <c r="BK45" s="44">
        <f t="shared" si="51"/>
        <v>0</v>
      </c>
      <c r="BL45" s="44">
        <f t="shared" si="52"/>
        <v>1</v>
      </c>
      <c r="BM45" s="44">
        <f t="shared" si="53"/>
        <v>0</v>
      </c>
      <c r="BN45" s="48">
        <f t="shared" si="54"/>
        <v>1</v>
      </c>
      <c r="BP45" s="12">
        <f t="shared" si="55"/>
        <v>0</v>
      </c>
      <c r="BQ45" s="44">
        <f t="shared" si="56"/>
        <v>0</v>
      </c>
      <c r="BR45" s="44">
        <f t="shared" si="57"/>
        <v>0</v>
      </c>
      <c r="BS45" s="44">
        <f t="shared" si="58"/>
        <v>0</v>
      </c>
      <c r="BT45" s="48">
        <f t="shared" si="59"/>
        <v>0</v>
      </c>
    </row>
    <row r="46" spans="1:72" x14ac:dyDescent="0.25">
      <c r="A46" s="4">
        <v>24</v>
      </c>
      <c r="B46" s="54" t="str">
        <f>IF('Game Info'!J29="","",'Game Info'!J29)</f>
        <v>SYM3</v>
      </c>
      <c r="C46" s="54" t="str">
        <f>IF('Game Info'!K29="","",'Game Info'!K29)</f>
        <v>Q</v>
      </c>
      <c r="D46" s="54">
        <f>IF('Game Info'!L29="","",'Game Info'!L29)</f>
        <v>10</v>
      </c>
      <c r="E46" s="54">
        <f>IF('Game Info'!M29="","",'Game Info'!M29)</f>
        <v>9</v>
      </c>
      <c r="F46" s="55" t="str">
        <f>IF('Game Info'!N29="","",'Game Info'!N29)</f>
        <v>A</v>
      </c>
      <c r="H46" s="12">
        <f t="shared" si="5"/>
        <v>0</v>
      </c>
      <c r="I46" s="44">
        <f t="shared" si="6"/>
        <v>0</v>
      </c>
      <c r="J46" s="44">
        <f t="shared" si="7"/>
        <v>1</v>
      </c>
      <c r="K46" s="44">
        <f t="shared" si="8"/>
        <v>0</v>
      </c>
      <c r="L46" s="48">
        <f t="shared" si="9"/>
        <v>0</v>
      </c>
      <c r="N46" s="12">
        <f t="shared" si="10"/>
        <v>1</v>
      </c>
      <c r="O46" s="44">
        <f t="shared" si="11"/>
        <v>1</v>
      </c>
      <c r="P46" s="44">
        <f t="shared" si="12"/>
        <v>0</v>
      </c>
      <c r="Q46" s="44">
        <f t="shared" si="13"/>
        <v>1</v>
      </c>
      <c r="R46" s="48">
        <f t="shared" si="14"/>
        <v>0</v>
      </c>
      <c r="T46" s="12">
        <f t="shared" si="15"/>
        <v>1</v>
      </c>
      <c r="U46" s="44">
        <f t="shared" si="16"/>
        <v>0</v>
      </c>
      <c r="V46" s="44">
        <f t="shared" si="17"/>
        <v>0</v>
      </c>
      <c r="W46" s="44">
        <f t="shared" si="18"/>
        <v>0</v>
      </c>
      <c r="X46" s="48">
        <f t="shared" si="19"/>
        <v>1</v>
      </c>
      <c r="Z46" s="12">
        <f t="shared" si="20"/>
        <v>0</v>
      </c>
      <c r="AA46" s="44">
        <f t="shared" si="21"/>
        <v>0</v>
      </c>
      <c r="AB46" s="44">
        <f t="shared" si="22"/>
        <v>0</v>
      </c>
      <c r="AC46" s="44">
        <f t="shared" si="23"/>
        <v>0</v>
      </c>
      <c r="AD46" s="48">
        <f t="shared" si="24"/>
        <v>0</v>
      </c>
      <c r="AF46" s="12">
        <f t="shared" si="25"/>
        <v>1</v>
      </c>
      <c r="AG46" s="44">
        <f t="shared" si="26"/>
        <v>0</v>
      </c>
      <c r="AH46" s="44">
        <f t="shared" si="27"/>
        <v>0</v>
      </c>
      <c r="AI46" s="44">
        <f t="shared" si="28"/>
        <v>1</v>
      </c>
      <c r="AJ46" s="48">
        <f t="shared" si="29"/>
        <v>0</v>
      </c>
      <c r="AL46" s="12">
        <f t="shared" si="30"/>
        <v>0</v>
      </c>
      <c r="AM46" s="44">
        <f t="shared" si="31"/>
        <v>1</v>
      </c>
      <c r="AN46" s="44">
        <f t="shared" si="32"/>
        <v>0</v>
      </c>
      <c r="AO46" s="44">
        <f t="shared" si="33"/>
        <v>0</v>
      </c>
      <c r="AP46" s="48">
        <f t="shared" si="34"/>
        <v>1</v>
      </c>
      <c r="AR46" s="12">
        <f t="shared" si="35"/>
        <v>0</v>
      </c>
      <c r="AS46" s="44">
        <f t="shared" si="36"/>
        <v>0</v>
      </c>
      <c r="AT46" s="44">
        <f t="shared" si="37"/>
        <v>0</v>
      </c>
      <c r="AU46" s="44">
        <f t="shared" si="38"/>
        <v>1</v>
      </c>
      <c r="AV46" s="48">
        <f t="shared" si="39"/>
        <v>0</v>
      </c>
      <c r="AX46" s="12">
        <f t="shared" si="40"/>
        <v>1</v>
      </c>
      <c r="AY46" s="44">
        <f t="shared" si="41"/>
        <v>2</v>
      </c>
      <c r="AZ46" s="44">
        <f t="shared" si="42"/>
        <v>0</v>
      </c>
      <c r="BA46" s="44">
        <f t="shared" si="43"/>
        <v>0</v>
      </c>
      <c r="BB46" s="48">
        <f t="shared" si="44"/>
        <v>1</v>
      </c>
      <c r="BD46" s="12">
        <f t="shared" si="45"/>
        <v>0</v>
      </c>
      <c r="BE46" s="44">
        <f t="shared" si="46"/>
        <v>0</v>
      </c>
      <c r="BF46" s="44">
        <f t="shared" si="47"/>
        <v>1</v>
      </c>
      <c r="BG46" s="44">
        <f t="shared" si="48"/>
        <v>0</v>
      </c>
      <c r="BH46" s="48">
        <f t="shared" si="49"/>
        <v>0</v>
      </c>
      <c r="BJ46" s="12">
        <f t="shared" si="50"/>
        <v>0</v>
      </c>
      <c r="BK46" s="44">
        <f t="shared" si="51"/>
        <v>0</v>
      </c>
      <c r="BL46" s="44">
        <f t="shared" si="52"/>
        <v>2</v>
      </c>
      <c r="BM46" s="44">
        <f t="shared" si="53"/>
        <v>0</v>
      </c>
      <c r="BN46" s="48">
        <f t="shared" si="54"/>
        <v>1</v>
      </c>
      <c r="BP46" s="12">
        <f t="shared" si="55"/>
        <v>0</v>
      </c>
      <c r="BQ46" s="44">
        <f t="shared" si="56"/>
        <v>0</v>
      </c>
      <c r="BR46" s="44">
        <f t="shared" si="57"/>
        <v>0</v>
      </c>
      <c r="BS46" s="44">
        <f t="shared" si="58"/>
        <v>1</v>
      </c>
      <c r="BT46" s="48">
        <f t="shared" si="59"/>
        <v>0</v>
      </c>
    </row>
    <row r="47" spans="1:72" x14ac:dyDescent="0.25">
      <c r="A47" s="4">
        <v>25</v>
      </c>
      <c r="B47" s="54" t="str">
        <f>IF('Game Info'!J30="","",'Game Info'!J30)</f>
        <v>J</v>
      </c>
      <c r="C47" s="54" t="str">
        <f>IF('Game Info'!K30="","",'Game Info'!K30)</f>
        <v>SYM4</v>
      </c>
      <c r="D47" s="54" t="str">
        <f>IF('Game Info'!L30="","",'Game Info'!L30)</f>
        <v>Q</v>
      </c>
      <c r="E47" s="54" t="str">
        <f>IF('Game Info'!M30="","",'Game Info'!M30)</f>
        <v>SYM4</v>
      </c>
      <c r="F47" s="55" t="str">
        <f>IF('Game Info'!N30="","",'Game Info'!N30)</f>
        <v>SYM1</v>
      </c>
      <c r="H47" s="12">
        <f t="shared" si="5"/>
        <v>0</v>
      </c>
      <c r="I47" s="44">
        <f t="shared" si="6"/>
        <v>0</v>
      </c>
      <c r="J47" s="44">
        <f t="shared" si="7"/>
        <v>1</v>
      </c>
      <c r="K47" s="44">
        <f t="shared" si="8"/>
        <v>0</v>
      </c>
      <c r="L47" s="48">
        <f t="shared" si="9"/>
        <v>1</v>
      </c>
      <c r="N47" s="12">
        <f t="shared" si="10"/>
        <v>1</v>
      </c>
      <c r="O47" s="44">
        <f t="shared" si="11"/>
        <v>1</v>
      </c>
      <c r="P47" s="44">
        <f t="shared" si="12"/>
        <v>0</v>
      </c>
      <c r="Q47" s="44">
        <f t="shared" si="13"/>
        <v>0</v>
      </c>
      <c r="R47" s="48">
        <f t="shared" si="14"/>
        <v>0</v>
      </c>
      <c r="T47" s="12">
        <f t="shared" si="15"/>
        <v>1</v>
      </c>
      <c r="U47" s="44">
        <f t="shared" si="16"/>
        <v>0</v>
      </c>
      <c r="V47" s="44">
        <f t="shared" si="17"/>
        <v>0</v>
      </c>
      <c r="W47" s="44">
        <f t="shared" si="18"/>
        <v>0</v>
      </c>
      <c r="X47" s="48">
        <f t="shared" si="19"/>
        <v>1</v>
      </c>
      <c r="Z47" s="12">
        <f t="shared" si="20"/>
        <v>0</v>
      </c>
      <c r="AA47" s="44">
        <f t="shared" si="21"/>
        <v>1</v>
      </c>
      <c r="AB47" s="44">
        <f t="shared" si="22"/>
        <v>0</v>
      </c>
      <c r="AC47" s="44">
        <f t="shared" si="23"/>
        <v>1</v>
      </c>
      <c r="AD47" s="48">
        <f t="shared" si="24"/>
        <v>0</v>
      </c>
      <c r="AF47" s="12">
        <f t="shared" si="25"/>
        <v>0</v>
      </c>
      <c r="AG47" s="44">
        <f t="shared" si="26"/>
        <v>0</v>
      </c>
      <c r="AH47" s="44">
        <f t="shared" si="27"/>
        <v>0</v>
      </c>
      <c r="AI47" s="44">
        <f t="shared" si="28"/>
        <v>1</v>
      </c>
      <c r="AJ47" s="48">
        <f t="shared" si="29"/>
        <v>0</v>
      </c>
      <c r="AL47" s="12">
        <f t="shared" si="30"/>
        <v>0</v>
      </c>
      <c r="AM47" s="44">
        <f t="shared" si="31"/>
        <v>1</v>
      </c>
      <c r="AN47" s="44">
        <f t="shared" si="32"/>
        <v>0</v>
      </c>
      <c r="AO47" s="44">
        <f t="shared" si="33"/>
        <v>0</v>
      </c>
      <c r="AP47" s="48">
        <f t="shared" si="34"/>
        <v>1</v>
      </c>
      <c r="AR47" s="12">
        <f t="shared" si="35"/>
        <v>0</v>
      </c>
      <c r="AS47" s="44">
        <f t="shared" si="36"/>
        <v>0</v>
      </c>
      <c r="AT47" s="44">
        <f t="shared" si="37"/>
        <v>0</v>
      </c>
      <c r="AU47" s="44">
        <f t="shared" si="38"/>
        <v>1</v>
      </c>
      <c r="AV47" s="48">
        <f t="shared" si="39"/>
        <v>0</v>
      </c>
      <c r="AX47" s="12">
        <f t="shared" si="40"/>
        <v>1</v>
      </c>
      <c r="AY47" s="44">
        <f t="shared" si="41"/>
        <v>1</v>
      </c>
      <c r="AZ47" s="44">
        <f t="shared" si="42"/>
        <v>1</v>
      </c>
      <c r="BA47" s="44">
        <f t="shared" si="43"/>
        <v>0</v>
      </c>
      <c r="BB47" s="48">
        <f t="shared" si="44"/>
        <v>1</v>
      </c>
      <c r="BD47" s="12">
        <f t="shared" si="45"/>
        <v>1</v>
      </c>
      <c r="BE47" s="44">
        <f t="shared" si="46"/>
        <v>0</v>
      </c>
      <c r="BF47" s="44">
        <f t="shared" si="47"/>
        <v>1</v>
      </c>
      <c r="BG47" s="44">
        <f t="shared" si="48"/>
        <v>0</v>
      </c>
      <c r="BH47" s="48">
        <f t="shared" si="49"/>
        <v>0</v>
      </c>
      <c r="BJ47" s="12">
        <f t="shared" si="50"/>
        <v>0</v>
      </c>
      <c r="BK47" s="44">
        <f t="shared" si="51"/>
        <v>0</v>
      </c>
      <c r="BL47" s="44">
        <f t="shared" si="52"/>
        <v>1</v>
      </c>
      <c r="BM47" s="44">
        <f t="shared" si="53"/>
        <v>0</v>
      </c>
      <c r="BN47" s="48">
        <f t="shared" si="54"/>
        <v>0</v>
      </c>
      <c r="BP47" s="12">
        <f t="shared" si="55"/>
        <v>0</v>
      </c>
      <c r="BQ47" s="44">
        <f t="shared" si="56"/>
        <v>0</v>
      </c>
      <c r="BR47" s="44">
        <f t="shared" si="57"/>
        <v>0</v>
      </c>
      <c r="BS47" s="44">
        <f t="shared" si="58"/>
        <v>1</v>
      </c>
      <c r="BT47" s="48">
        <f t="shared" si="59"/>
        <v>0</v>
      </c>
    </row>
    <row r="48" spans="1:72" x14ac:dyDescent="0.25">
      <c r="A48" s="4">
        <v>26</v>
      </c>
      <c r="B48" s="54">
        <f>IF('Game Info'!J31="","",'Game Info'!J31)</f>
        <v>10</v>
      </c>
      <c r="C48" s="54" t="str">
        <f>IF('Game Info'!K31="","",'Game Info'!K31)</f>
        <v>J</v>
      </c>
      <c r="D48" s="54" t="str">
        <f>IF('Game Info'!L31="","",'Game Info'!L31)</f>
        <v>SYM1</v>
      </c>
      <c r="E48" s="54" t="str">
        <f>IF('Game Info'!M31="","",'Game Info'!M31)</f>
        <v>SYM2</v>
      </c>
      <c r="F48" s="55" t="str">
        <f>IF('Game Info'!N31="","",'Game Info'!N31)</f>
        <v>SYM1</v>
      </c>
      <c r="H48" s="12">
        <f t="shared" si="5"/>
        <v>0</v>
      </c>
      <c r="I48" s="44">
        <f t="shared" si="6"/>
        <v>0</v>
      </c>
      <c r="J48" s="44">
        <f t="shared" si="7"/>
        <v>1</v>
      </c>
      <c r="K48" s="44">
        <f t="shared" si="8"/>
        <v>0</v>
      </c>
      <c r="L48" s="48">
        <f t="shared" si="9"/>
        <v>2</v>
      </c>
      <c r="N48" s="12">
        <f t="shared" si="10"/>
        <v>1</v>
      </c>
      <c r="O48" s="44">
        <f t="shared" si="11"/>
        <v>0</v>
      </c>
      <c r="P48" s="44">
        <f t="shared" si="12"/>
        <v>0</v>
      </c>
      <c r="Q48" s="44">
        <f t="shared" si="13"/>
        <v>1</v>
      </c>
      <c r="R48" s="48">
        <f t="shared" si="14"/>
        <v>0</v>
      </c>
      <c r="T48" s="12">
        <f t="shared" si="15"/>
        <v>1</v>
      </c>
      <c r="U48" s="44">
        <f t="shared" si="16"/>
        <v>0</v>
      </c>
      <c r="V48" s="44">
        <f t="shared" si="17"/>
        <v>0</v>
      </c>
      <c r="W48" s="44">
        <f t="shared" si="18"/>
        <v>0</v>
      </c>
      <c r="X48" s="48">
        <f t="shared" si="19"/>
        <v>0</v>
      </c>
      <c r="Z48" s="12">
        <f t="shared" si="20"/>
        <v>0</v>
      </c>
      <c r="AA48" s="44">
        <f t="shared" si="21"/>
        <v>1</v>
      </c>
      <c r="AB48" s="44">
        <f t="shared" si="22"/>
        <v>0</v>
      </c>
      <c r="AC48" s="44">
        <f t="shared" si="23"/>
        <v>1</v>
      </c>
      <c r="AD48" s="48">
        <f t="shared" si="24"/>
        <v>0</v>
      </c>
      <c r="AF48" s="12">
        <f t="shared" si="25"/>
        <v>0</v>
      </c>
      <c r="AG48" s="44">
        <f t="shared" si="26"/>
        <v>0</v>
      </c>
      <c r="AH48" s="44">
        <f t="shared" si="27"/>
        <v>0</v>
      </c>
      <c r="AI48" s="44">
        <f t="shared" si="28"/>
        <v>1</v>
      </c>
      <c r="AJ48" s="48">
        <f t="shared" si="29"/>
        <v>0</v>
      </c>
      <c r="AL48" s="12">
        <f t="shared" si="30"/>
        <v>0</v>
      </c>
      <c r="AM48" s="44">
        <f t="shared" si="31"/>
        <v>1</v>
      </c>
      <c r="AN48" s="44">
        <f t="shared" si="32"/>
        <v>0</v>
      </c>
      <c r="AO48" s="44">
        <f t="shared" si="33"/>
        <v>0</v>
      </c>
      <c r="AP48" s="48">
        <f t="shared" si="34"/>
        <v>1</v>
      </c>
      <c r="AR48" s="12">
        <f t="shared" si="35"/>
        <v>0</v>
      </c>
      <c r="AS48" s="44">
        <f t="shared" si="36"/>
        <v>0</v>
      </c>
      <c r="AT48" s="44">
        <f t="shared" si="37"/>
        <v>0</v>
      </c>
      <c r="AU48" s="44">
        <f t="shared" si="38"/>
        <v>0</v>
      </c>
      <c r="AV48" s="48">
        <f t="shared" si="39"/>
        <v>0</v>
      </c>
      <c r="AX48" s="12">
        <f t="shared" si="40"/>
        <v>0</v>
      </c>
      <c r="AY48" s="44">
        <f t="shared" si="41"/>
        <v>1</v>
      </c>
      <c r="AZ48" s="44">
        <f t="shared" si="42"/>
        <v>1</v>
      </c>
      <c r="BA48" s="44">
        <f t="shared" si="43"/>
        <v>0</v>
      </c>
      <c r="BB48" s="48">
        <f t="shared" si="44"/>
        <v>1</v>
      </c>
      <c r="BD48" s="12">
        <f t="shared" si="45"/>
        <v>1</v>
      </c>
      <c r="BE48" s="44">
        <f t="shared" si="46"/>
        <v>1</v>
      </c>
      <c r="BF48" s="44">
        <f t="shared" si="47"/>
        <v>1</v>
      </c>
      <c r="BG48" s="44">
        <f t="shared" si="48"/>
        <v>0</v>
      </c>
      <c r="BH48" s="48">
        <f t="shared" si="49"/>
        <v>0</v>
      </c>
      <c r="BJ48" s="12">
        <f t="shared" si="50"/>
        <v>1</v>
      </c>
      <c r="BK48" s="44">
        <f t="shared" si="51"/>
        <v>0</v>
      </c>
      <c r="BL48" s="44">
        <f t="shared" si="52"/>
        <v>1</v>
      </c>
      <c r="BM48" s="44">
        <f t="shared" si="53"/>
        <v>0</v>
      </c>
      <c r="BN48" s="48">
        <f t="shared" si="54"/>
        <v>0</v>
      </c>
      <c r="BP48" s="12">
        <f t="shared" si="55"/>
        <v>0</v>
      </c>
      <c r="BQ48" s="44">
        <f t="shared" si="56"/>
        <v>0</v>
      </c>
      <c r="BR48" s="44">
        <f t="shared" si="57"/>
        <v>0</v>
      </c>
      <c r="BS48" s="44">
        <f t="shared" si="58"/>
        <v>1</v>
      </c>
      <c r="BT48" s="48">
        <f t="shared" si="59"/>
        <v>0</v>
      </c>
    </row>
    <row r="49" spans="1:72" x14ac:dyDescent="0.25">
      <c r="A49" s="4">
        <v>27</v>
      </c>
      <c r="B49" s="54" t="str">
        <f>IF('Game Info'!J32="","",'Game Info'!J32)</f>
        <v>A</v>
      </c>
      <c r="C49" s="54" t="str">
        <f>IF('Game Info'!K32="","",'Game Info'!K32)</f>
        <v>SYM1</v>
      </c>
      <c r="D49" s="54" t="str">
        <f>IF('Game Info'!L32="","",'Game Info'!L32)</f>
        <v>K</v>
      </c>
      <c r="E49" s="54" t="str">
        <f>IF('Game Info'!M32="","",'Game Info'!M32)</f>
        <v>J</v>
      </c>
      <c r="F49" s="55" t="str">
        <f>IF('Game Info'!N32="","",'Game Info'!N32)</f>
        <v>SYM1</v>
      </c>
      <c r="H49" s="12">
        <f t="shared" si="5"/>
        <v>0</v>
      </c>
      <c r="I49" s="44">
        <f t="shared" si="6"/>
        <v>1</v>
      </c>
      <c r="J49" s="44">
        <f t="shared" si="7"/>
        <v>1</v>
      </c>
      <c r="K49" s="44">
        <f t="shared" si="8"/>
        <v>0</v>
      </c>
      <c r="L49" s="48">
        <f t="shared" si="9"/>
        <v>3</v>
      </c>
      <c r="N49" s="12">
        <f t="shared" si="10"/>
        <v>0</v>
      </c>
      <c r="O49" s="44">
        <f t="shared" si="11"/>
        <v>0</v>
      </c>
      <c r="P49" s="44">
        <f t="shared" si="12"/>
        <v>0</v>
      </c>
      <c r="Q49" s="44">
        <f t="shared" si="13"/>
        <v>1</v>
      </c>
      <c r="R49" s="48">
        <f t="shared" si="14"/>
        <v>0</v>
      </c>
      <c r="T49" s="12">
        <f t="shared" si="15"/>
        <v>1</v>
      </c>
      <c r="U49" s="44">
        <f t="shared" si="16"/>
        <v>0</v>
      </c>
      <c r="V49" s="44">
        <f t="shared" si="17"/>
        <v>0</v>
      </c>
      <c r="W49" s="44">
        <f t="shared" si="18"/>
        <v>0</v>
      </c>
      <c r="X49" s="48">
        <f t="shared" si="19"/>
        <v>0</v>
      </c>
      <c r="Z49" s="12">
        <f t="shared" si="20"/>
        <v>0</v>
      </c>
      <c r="AA49" s="44">
        <f t="shared" si="21"/>
        <v>1</v>
      </c>
      <c r="AB49" s="44">
        <f t="shared" si="22"/>
        <v>0</v>
      </c>
      <c r="AC49" s="44">
        <f t="shared" si="23"/>
        <v>1</v>
      </c>
      <c r="AD49" s="48">
        <f t="shared" si="24"/>
        <v>0</v>
      </c>
      <c r="AF49" s="12">
        <f t="shared" si="25"/>
        <v>0</v>
      </c>
      <c r="AG49" s="44">
        <f t="shared" si="26"/>
        <v>0</v>
      </c>
      <c r="AH49" s="44">
        <f t="shared" si="27"/>
        <v>0</v>
      </c>
      <c r="AI49" s="44">
        <f t="shared" si="28"/>
        <v>0</v>
      </c>
      <c r="AJ49" s="48">
        <f t="shared" si="29"/>
        <v>0</v>
      </c>
      <c r="AL49" s="12">
        <f t="shared" si="30"/>
        <v>1</v>
      </c>
      <c r="AM49" s="44">
        <f t="shared" si="31"/>
        <v>0</v>
      </c>
      <c r="AN49" s="44">
        <f t="shared" si="32"/>
        <v>0</v>
      </c>
      <c r="AO49" s="44">
        <f t="shared" si="33"/>
        <v>0</v>
      </c>
      <c r="AP49" s="48">
        <f t="shared" si="34"/>
        <v>1</v>
      </c>
      <c r="AR49" s="12">
        <f t="shared" si="35"/>
        <v>0</v>
      </c>
      <c r="AS49" s="44">
        <f t="shared" si="36"/>
        <v>0</v>
      </c>
      <c r="AT49" s="44">
        <f t="shared" si="37"/>
        <v>1</v>
      </c>
      <c r="AU49" s="44">
        <f t="shared" si="38"/>
        <v>0</v>
      </c>
      <c r="AV49" s="48">
        <f t="shared" si="39"/>
        <v>0</v>
      </c>
      <c r="AX49" s="12">
        <f t="shared" si="40"/>
        <v>0</v>
      </c>
      <c r="AY49" s="44">
        <f t="shared" si="41"/>
        <v>1</v>
      </c>
      <c r="AZ49" s="44">
        <f t="shared" si="42"/>
        <v>1</v>
      </c>
      <c r="BA49" s="44">
        <f t="shared" si="43"/>
        <v>0</v>
      </c>
      <c r="BB49" s="48">
        <f t="shared" si="44"/>
        <v>0</v>
      </c>
      <c r="BD49" s="12">
        <f t="shared" si="45"/>
        <v>1</v>
      </c>
      <c r="BE49" s="44">
        <f t="shared" si="46"/>
        <v>1</v>
      </c>
      <c r="BF49" s="44">
        <f t="shared" si="47"/>
        <v>0</v>
      </c>
      <c r="BG49" s="44">
        <f t="shared" si="48"/>
        <v>1</v>
      </c>
      <c r="BH49" s="48">
        <f t="shared" si="49"/>
        <v>0</v>
      </c>
      <c r="BJ49" s="12">
        <f t="shared" si="50"/>
        <v>1</v>
      </c>
      <c r="BK49" s="44">
        <f t="shared" si="51"/>
        <v>0</v>
      </c>
      <c r="BL49" s="44">
        <f t="shared" si="52"/>
        <v>1</v>
      </c>
      <c r="BM49" s="44">
        <f t="shared" si="53"/>
        <v>0</v>
      </c>
      <c r="BN49" s="48">
        <f t="shared" si="54"/>
        <v>0</v>
      </c>
      <c r="BP49" s="12">
        <f t="shared" si="55"/>
        <v>0</v>
      </c>
      <c r="BQ49" s="44">
        <f t="shared" si="56"/>
        <v>0</v>
      </c>
      <c r="BR49" s="44">
        <f t="shared" si="57"/>
        <v>0</v>
      </c>
      <c r="BS49" s="44">
        <f t="shared" si="58"/>
        <v>1</v>
      </c>
      <c r="BT49" s="48">
        <f t="shared" si="59"/>
        <v>0</v>
      </c>
    </row>
    <row r="50" spans="1:72" x14ac:dyDescent="0.25">
      <c r="A50" s="4">
        <v>28</v>
      </c>
      <c r="B50" s="54" t="str">
        <f>IF('Game Info'!J33="","",'Game Info'!J33)</f>
        <v>SYM4</v>
      </c>
      <c r="C50" s="54" t="str">
        <f>IF('Game Info'!K33="","",'Game Info'!K33)</f>
        <v>K</v>
      </c>
      <c r="D50" s="54" t="str">
        <f>IF('Game Info'!L33="","",'Game Info'!L33)</f>
        <v>J</v>
      </c>
      <c r="E50" s="54" t="str">
        <f>IF('Game Info'!M33="","",'Game Info'!M33)</f>
        <v>A</v>
      </c>
      <c r="F50" s="55">
        <f>IF('Game Info'!N33="","",'Game Info'!N33)</f>
        <v>10</v>
      </c>
      <c r="H50" s="12">
        <f t="shared" si="5"/>
        <v>0</v>
      </c>
      <c r="I50" s="44">
        <f t="shared" si="6"/>
        <v>1</v>
      </c>
      <c r="J50" s="44">
        <f t="shared" si="7"/>
        <v>1</v>
      </c>
      <c r="K50" s="44">
        <f t="shared" si="8"/>
        <v>0</v>
      </c>
      <c r="L50" s="48">
        <f t="shared" si="9"/>
        <v>3</v>
      </c>
      <c r="N50" s="12">
        <f t="shared" si="10"/>
        <v>0</v>
      </c>
      <c r="O50" s="44">
        <f t="shared" si="11"/>
        <v>0</v>
      </c>
      <c r="P50" s="44">
        <f t="shared" si="12"/>
        <v>0</v>
      </c>
      <c r="Q50" s="44">
        <f t="shared" si="13"/>
        <v>1</v>
      </c>
      <c r="R50" s="48">
        <f t="shared" si="14"/>
        <v>0</v>
      </c>
      <c r="T50" s="12">
        <f t="shared" si="15"/>
        <v>0</v>
      </c>
      <c r="U50" s="44">
        <f t="shared" si="16"/>
        <v>0</v>
      </c>
      <c r="V50" s="44">
        <f t="shared" si="17"/>
        <v>0</v>
      </c>
      <c r="W50" s="44">
        <f t="shared" si="18"/>
        <v>0</v>
      </c>
      <c r="X50" s="48">
        <f t="shared" si="19"/>
        <v>0</v>
      </c>
      <c r="Z50" s="12">
        <f t="shared" si="20"/>
        <v>1</v>
      </c>
      <c r="AA50" s="44">
        <f t="shared" si="21"/>
        <v>1</v>
      </c>
      <c r="AB50" s="44">
        <f t="shared" si="22"/>
        <v>0</v>
      </c>
      <c r="AC50" s="44">
        <f t="shared" si="23"/>
        <v>1</v>
      </c>
      <c r="AD50" s="48">
        <f t="shared" si="24"/>
        <v>0</v>
      </c>
      <c r="AF50" s="12">
        <f t="shared" si="25"/>
        <v>0</v>
      </c>
      <c r="AG50" s="44">
        <f t="shared" si="26"/>
        <v>0</v>
      </c>
      <c r="AH50" s="44">
        <f t="shared" si="27"/>
        <v>0</v>
      </c>
      <c r="AI50" s="44">
        <f t="shared" si="28"/>
        <v>0</v>
      </c>
      <c r="AJ50" s="48">
        <f t="shared" si="29"/>
        <v>0</v>
      </c>
      <c r="AL50" s="12">
        <f t="shared" si="30"/>
        <v>1</v>
      </c>
      <c r="AM50" s="44">
        <f t="shared" si="31"/>
        <v>0</v>
      </c>
      <c r="AN50" s="44">
        <f t="shared" si="32"/>
        <v>0</v>
      </c>
      <c r="AO50" s="44">
        <f t="shared" si="33"/>
        <v>1</v>
      </c>
      <c r="AP50" s="48">
        <f t="shared" si="34"/>
        <v>0</v>
      </c>
      <c r="AR50" s="12">
        <f t="shared" si="35"/>
        <v>0</v>
      </c>
      <c r="AS50" s="44">
        <f t="shared" si="36"/>
        <v>1</v>
      </c>
      <c r="AT50" s="44">
        <f t="shared" si="37"/>
        <v>1</v>
      </c>
      <c r="AU50" s="44">
        <f t="shared" si="38"/>
        <v>0</v>
      </c>
      <c r="AV50" s="48">
        <f t="shared" si="39"/>
        <v>0</v>
      </c>
      <c r="AX50" s="12">
        <f t="shared" si="40"/>
        <v>0</v>
      </c>
      <c r="AY50" s="44">
        <f t="shared" si="41"/>
        <v>0</v>
      </c>
      <c r="AZ50" s="44">
        <f t="shared" si="42"/>
        <v>1</v>
      </c>
      <c r="BA50" s="44">
        <f t="shared" si="43"/>
        <v>0</v>
      </c>
      <c r="BB50" s="48">
        <f t="shared" si="44"/>
        <v>0</v>
      </c>
      <c r="BD50" s="12">
        <f t="shared" si="45"/>
        <v>1</v>
      </c>
      <c r="BE50" s="44">
        <f t="shared" si="46"/>
        <v>1</v>
      </c>
      <c r="BF50" s="44">
        <f t="shared" si="47"/>
        <v>1</v>
      </c>
      <c r="BG50" s="44">
        <f t="shared" si="48"/>
        <v>1</v>
      </c>
      <c r="BH50" s="48">
        <f t="shared" si="49"/>
        <v>0</v>
      </c>
      <c r="BJ50" s="12">
        <f t="shared" si="50"/>
        <v>1</v>
      </c>
      <c r="BK50" s="44">
        <f t="shared" si="51"/>
        <v>0</v>
      </c>
      <c r="BL50" s="44">
        <f t="shared" si="52"/>
        <v>0</v>
      </c>
      <c r="BM50" s="44">
        <f t="shared" si="53"/>
        <v>0</v>
      </c>
      <c r="BN50" s="48">
        <f t="shared" si="54"/>
        <v>1</v>
      </c>
      <c r="BP50" s="12">
        <f t="shared" si="55"/>
        <v>0</v>
      </c>
      <c r="BQ50" s="44">
        <f t="shared" si="56"/>
        <v>0</v>
      </c>
      <c r="BR50" s="44">
        <f t="shared" si="57"/>
        <v>0</v>
      </c>
      <c r="BS50" s="44">
        <f t="shared" si="58"/>
        <v>0</v>
      </c>
      <c r="BT50" s="48">
        <f t="shared" si="59"/>
        <v>0</v>
      </c>
    </row>
    <row r="51" spans="1:72" x14ac:dyDescent="0.25">
      <c r="A51" s="4">
        <v>29</v>
      </c>
      <c r="B51" s="54" t="str">
        <f>IF('Game Info'!J34="","",'Game Info'!J34)</f>
        <v>SYM4</v>
      </c>
      <c r="C51" s="54" t="str">
        <f>IF('Game Info'!K34="","",'Game Info'!K34)</f>
        <v>SYM2</v>
      </c>
      <c r="D51" s="54" t="str">
        <f>IF('Game Info'!L34="","",'Game Info'!L34)</f>
        <v>SYM3</v>
      </c>
      <c r="E51" s="54" t="str">
        <f>IF('Game Info'!M34="","",'Game Info'!M34)</f>
        <v>SYM4</v>
      </c>
      <c r="F51" s="55" t="str">
        <f>IF('Game Info'!N34="","",'Game Info'!N34)</f>
        <v>SYM3</v>
      </c>
      <c r="H51" s="12">
        <f t="shared" si="5"/>
        <v>0</v>
      </c>
      <c r="I51" s="44">
        <f t="shared" si="6"/>
        <v>1</v>
      </c>
      <c r="J51" s="44">
        <f t="shared" si="7"/>
        <v>1</v>
      </c>
      <c r="K51" s="44">
        <f t="shared" si="8"/>
        <v>0</v>
      </c>
      <c r="L51" s="48">
        <f t="shared" si="9"/>
        <v>2</v>
      </c>
      <c r="N51" s="12">
        <f t="shared" si="10"/>
        <v>0</v>
      </c>
      <c r="O51" s="44">
        <f t="shared" si="11"/>
        <v>1</v>
      </c>
      <c r="P51" s="44">
        <f t="shared" si="12"/>
        <v>0</v>
      </c>
      <c r="Q51" s="44">
        <f t="shared" si="13"/>
        <v>1</v>
      </c>
      <c r="R51" s="48">
        <f t="shared" si="14"/>
        <v>0</v>
      </c>
      <c r="T51" s="12">
        <f t="shared" si="15"/>
        <v>0</v>
      </c>
      <c r="U51" s="44">
        <f t="shared" si="16"/>
        <v>0</v>
      </c>
      <c r="V51" s="44">
        <f t="shared" si="17"/>
        <v>1</v>
      </c>
      <c r="W51" s="44">
        <f t="shared" si="18"/>
        <v>0</v>
      </c>
      <c r="X51" s="48">
        <f t="shared" si="19"/>
        <v>1</v>
      </c>
      <c r="Z51" s="12">
        <f t="shared" si="20"/>
        <v>2</v>
      </c>
      <c r="AA51" s="44">
        <f t="shared" si="21"/>
        <v>0</v>
      </c>
      <c r="AB51" s="44">
        <f t="shared" si="22"/>
        <v>0</v>
      </c>
      <c r="AC51" s="44">
        <f t="shared" si="23"/>
        <v>1</v>
      </c>
      <c r="AD51" s="48">
        <f t="shared" si="24"/>
        <v>0</v>
      </c>
      <c r="AF51" s="12">
        <f t="shared" si="25"/>
        <v>0</v>
      </c>
      <c r="AG51" s="44">
        <f t="shared" si="26"/>
        <v>0</v>
      </c>
      <c r="AH51" s="44">
        <f t="shared" si="27"/>
        <v>0</v>
      </c>
      <c r="AI51" s="44">
        <f t="shared" si="28"/>
        <v>0</v>
      </c>
      <c r="AJ51" s="48">
        <f t="shared" si="29"/>
        <v>0</v>
      </c>
      <c r="AL51" s="12">
        <f t="shared" si="30"/>
        <v>1</v>
      </c>
      <c r="AM51" s="44">
        <f t="shared" si="31"/>
        <v>0</v>
      </c>
      <c r="AN51" s="44">
        <f t="shared" si="32"/>
        <v>0</v>
      </c>
      <c r="AO51" s="44">
        <f t="shared" si="33"/>
        <v>1</v>
      </c>
      <c r="AP51" s="48">
        <f t="shared" si="34"/>
        <v>0</v>
      </c>
      <c r="AR51" s="12">
        <f t="shared" si="35"/>
        <v>0</v>
      </c>
      <c r="AS51" s="44">
        <f t="shared" si="36"/>
        <v>1</v>
      </c>
      <c r="AT51" s="44">
        <f t="shared" si="37"/>
        <v>1</v>
      </c>
      <c r="AU51" s="44">
        <f t="shared" si="38"/>
        <v>0</v>
      </c>
      <c r="AV51" s="48">
        <f t="shared" si="39"/>
        <v>0</v>
      </c>
      <c r="AX51" s="12">
        <f t="shared" si="40"/>
        <v>0</v>
      </c>
      <c r="AY51" s="44">
        <f t="shared" si="41"/>
        <v>0</v>
      </c>
      <c r="AZ51" s="44">
        <f t="shared" si="42"/>
        <v>0</v>
      </c>
      <c r="BA51" s="44">
        <f t="shared" si="43"/>
        <v>0</v>
      </c>
      <c r="BB51" s="48">
        <f t="shared" si="44"/>
        <v>0</v>
      </c>
      <c r="BD51" s="12">
        <f t="shared" si="45"/>
        <v>0</v>
      </c>
      <c r="BE51" s="44">
        <f t="shared" si="46"/>
        <v>1</v>
      </c>
      <c r="BF51" s="44">
        <f t="shared" si="47"/>
        <v>1</v>
      </c>
      <c r="BG51" s="44">
        <f t="shared" si="48"/>
        <v>1</v>
      </c>
      <c r="BH51" s="48">
        <f t="shared" si="49"/>
        <v>0</v>
      </c>
      <c r="BJ51" s="12">
        <f t="shared" si="50"/>
        <v>1</v>
      </c>
      <c r="BK51" s="44">
        <f t="shared" si="51"/>
        <v>0</v>
      </c>
      <c r="BL51" s="44">
        <f t="shared" si="52"/>
        <v>0</v>
      </c>
      <c r="BM51" s="44">
        <f t="shared" si="53"/>
        <v>0</v>
      </c>
      <c r="BN51" s="48">
        <f t="shared" si="54"/>
        <v>1</v>
      </c>
      <c r="BP51" s="12">
        <f t="shared" si="55"/>
        <v>0</v>
      </c>
      <c r="BQ51" s="44">
        <f t="shared" si="56"/>
        <v>0</v>
      </c>
      <c r="BR51" s="44">
        <f t="shared" si="57"/>
        <v>0</v>
      </c>
      <c r="BS51" s="44">
        <f t="shared" si="58"/>
        <v>0</v>
      </c>
      <c r="BT51" s="48">
        <f t="shared" si="59"/>
        <v>0</v>
      </c>
    </row>
    <row r="52" spans="1:72" x14ac:dyDescent="0.25">
      <c r="A52" s="4">
        <v>30</v>
      </c>
      <c r="B52" s="54">
        <f>IF('Game Info'!J35="","",'Game Info'!J35)</f>
        <v>9</v>
      </c>
      <c r="C52" s="54" t="str">
        <f>IF('Game Info'!K35="","",'Game Info'!K35)</f>
        <v>J</v>
      </c>
      <c r="D52" s="54" t="str">
        <f>IF('Game Info'!L35="","",'Game Info'!L35)</f>
        <v>SYM5</v>
      </c>
      <c r="E52" s="54" t="str">
        <f>IF('Game Info'!M35="","",'Game Info'!M35)</f>
        <v>Q</v>
      </c>
      <c r="F52" s="55" t="str">
        <f>IF('Game Info'!N35="","",'Game Info'!N35)</f>
        <v>Q</v>
      </c>
      <c r="H52" s="12">
        <f t="shared" si="5"/>
        <v>0</v>
      </c>
      <c r="I52" s="44">
        <f t="shared" si="6"/>
        <v>1</v>
      </c>
      <c r="J52" s="44">
        <f t="shared" si="7"/>
        <v>0</v>
      </c>
      <c r="K52" s="44">
        <f t="shared" si="8"/>
        <v>0</v>
      </c>
      <c r="L52" s="48">
        <f t="shared" si="9"/>
        <v>1</v>
      </c>
      <c r="N52" s="12">
        <f t="shared" si="10"/>
        <v>0</v>
      </c>
      <c r="O52" s="44">
        <f t="shared" si="11"/>
        <v>1</v>
      </c>
      <c r="P52" s="44">
        <f t="shared" si="12"/>
        <v>0</v>
      </c>
      <c r="Q52" s="44">
        <f t="shared" si="13"/>
        <v>0</v>
      </c>
      <c r="R52" s="48">
        <f t="shared" si="14"/>
        <v>0</v>
      </c>
      <c r="T52" s="12">
        <f t="shared" si="15"/>
        <v>0</v>
      </c>
      <c r="U52" s="44">
        <f t="shared" si="16"/>
        <v>0</v>
      </c>
      <c r="V52" s="44">
        <f t="shared" si="17"/>
        <v>1</v>
      </c>
      <c r="W52" s="44">
        <f t="shared" si="18"/>
        <v>0</v>
      </c>
      <c r="X52" s="48">
        <f t="shared" si="19"/>
        <v>1</v>
      </c>
      <c r="Z52" s="12">
        <f t="shared" si="20"/>
        <v>2</v>
      </c>
      <c r="AA52" s="44">
        <f t="shared" si="21"/>
        <v>0</v>
      </c>
      <c r="AB52" s="44">
        <f t="shared" si="22"/>
        <v>0</v>
      </c>
      <c r="AC52" s="44">
        <f t="shared" si="23"/>
        <v>1</v>
      </c>
      <c r="AD52" s="48">
        <f t="shared" si="24"/>
        <v>0</v>
      </c>
      <c r="AF52" s="12">
        <f t="shared" si="25"/>
        <v>0</v>
      </c>
      <c r="AG52" s="44">
        <f t="shared" si="26"/>
        <v>0</v>
      </c>
      <c r="AH52" s="44">
        <f t="shared" si="27"/>
        <v>1</v>
      </c>
      <c r="AI52" s="44">
        <f t="shared" si="28"/>
        <v>0</v>
      </c>
      <c r="AJ52" s="48">
        <f t="shared" si="29"/>
        <v>0</v>
      </c>
      <c r="AL52" s="12">
        <f t="shared" si="30"/>
        <v>1</v>
      </c>
      <c r="AM52" s="44">
        <f t="shared" si="31"/>
        <v>0</v>
      </c>
      <c r="AN52" s="44">
        <f t="shared" si="32"/>
        <v>0</v>
      </c>
      <c r="AO52" s="44">
        <f t="shared" si="33"/>
        <v>1</v>
      </c>
      <c r="AP52" s="48">
        <f t="shared" si="34"/>
        <v>0</v>
      </c>
      <c r="AR52" s="12">
        <f t="shared" si="35"/>
        <v>0</v>
      </c>
      <c r="AS52" s="44">
        <f t="shared" si="36"/>
        <v>1</v>
      </c>
      <c r="AT52" s="44">
        <f t="shared" si="37"/>
        <v>1</v>
      </c>
      <c r="AU52" s="44">
        <f t="shared" si="38"/>
        <v>0</v>
      </c>
      <c r="AV52" s="48">
        <f t="shared" si="39"/>
        <v>0</v>
      </c>
      <c r="AX52" s="12">
        <f t="shared" si="40"/>
        <v>0</v>
      </c>
      <c r="AY52" s="44">
        <f t="shared" si="41"/>
        <v>0</v>
      </c>
      <c r="AZ52" s="44">
        <f t="shared" si="42"/>
        <v>0</v>
      </c>
      <c r="BA52" s="44">
        <f t="shared" si="43"/>
        <v>1</v>
      </c>
      <c r="BB52" s="48">
        <f t="shared" si="44"/>
        <v>1</v>
      </c>
      <c r="BD52" s="12">
        <f t="shared" si="45"/>
        <v>0</v>
      </c>
      <c r="BE52" s="44">
        <f t="shared" si="46"/>
        <v>1</v>
      </c>
      <c r="BF52" s="44">
        <f t="shared" si="47"/>
        <v>1</v>
      </c>
      <c r="BG52" s="44">
        <f t="shared" si="48"/>
        <v>1</v>
      </c>
      <c r="BH52" s="48">
        <f t="shared" si="49"/>
        <v>0</v>
      </c>
      <c r="BJ52" s="12">
        <f t="shared" si="50"/>
        <v>0</v>
      </c>
      <c r="BK52" s="44">
        <f t="shared" si="51"/>
        <v>0</v>
      </c>
      <c r="BL52" s="44">
        <f t="shared" si="52"/>
        <v>0</v>
      </c>
      <c r="BM52" s="44">
        <f t="shared" si="53"/>
        <v>0</v>
      </c>
      <c r="BN52" s="48">
        <f t="shared" si="54"/>
        <v>1</v>
      </c>
      <c r="BP52" s="12">
        <f t="shared" si="55"/>
        <v>1</v>
      </c>
      <c r="BQ52" s="44">
        <f t="shared" si="56"/>
        <v>0</v>
      </c>
      <c r="BR52" s="44">
        <f t="shared" si="57"/>
        <v>0</v>
      </c>
      <c r="BS52" s="44">
        <f t="shared" si="58"/>
        <v>0</v>
      </c>
      <c r="BT52" s="48">
        <f t="shared" si="59"/>
        <v>0</v>
      </c>
    </row>
    <row r="53" spans="1:72" x14ac:dyDescent="0.25">
      <c r="A53" s="4">
        <v>31</v>
      </c>
      <c r="B53" s="54" t="str">
        <f>IF('Game Info'!J36="","",'Game Info'!J36)</f>
        <v>SYM2</v>
      </c>
      <c r="C53" s="54" t="str">
        <f>IF('Game Info'!K36="","",'Game Info'!K36)</f>
        <v>SYM5</v>
      </c>
      <c r="D53" s="54" t="str">
        <f>IF('Game Info'!L36="","",'Game Info'!L36)</f>
        <v>Q</v>
      </c>
      <c r="E53" s="54" t="str">
        <f>IF('Game Info'!M36="","",'Game Info'!M36)</f>
        <v>SYM2</v>
      </c>
      <c r="F53" s="55" t="str">
        <f>IF('Game Info'!N36="","",'Game Info'!N36)</f>
        <v>K</v>
      </c>
      <c r="H53" s="12">
        <f t="shared" si="5"/>
        <v>0</v>
      </c>
      <c r="I53" s="44">
        <f t="shared" si="6"/>
        <v>0</v>
      </c>
      <c r="J53" s="44">
        <f t="shared" si="7"/>
        <v>0</v>
      </c>
      <c r="K53" s="44">
        <f t="shared" si="8"/>
        <v>0</v>
      </c>
      <c r="L53" s="48">
        <f t="shared" si="9"/>
        <v>0</v>
      </c>
      <c r="N53" s="12">
        <f t="shared" si="10"/>
        <v>1</v>
      </c>
      <c r="O53" s="44">
        <f t="shared" si="11"/>
        <v>1</v>
      </c>
      <c r="P53" s="44">
        <f t="shared" si="12"/>
        <v>0</v>
      </c>
      <c r="Q53" s="44">
        <f t="shared" si="13"/>
        <v>1</v>
      </c>
      <c r="R53" s="48">
        <f t="shared" si="14"/>
        <v>0</v>
      </c>
      <c r="T53" s="12">
        <f t="shared" si="15"/>
        <v>0</v>
      </c>
      <c r="U53" s="44">
        <f t="shared" si="16"/>
        <v>0</v>
      </c>
      <c r="V53" s="44">
        <f t="shared" si="17"/>
        <v>1</v>
      </c>
      <c r="W53" s="44">
        <f t="shared" si="18"/>
        <v>0</v>
      </c>
      <c r="X53" s="48">
        <f t="shared" si="19"/>
        <v>1</v>
      </c>
      <c r="Z53" s="12">
        <f t="shared" si="20"/>
        <v>2</v>
      </c>
      <c r="AA53" s="44">
        <f t="shared" si="21"/>
        <v>0</v>
      </c>
      <c r="AB53" s="44">
        <f t="shared" si="22"/>
        <v>0</v>
      </c>
      <c r="AC53" s="44">
        <f t="shared" si="23"/>
        <v>1</v>
      </c>
      <c r="AD53" s="48">
        <f t="shared" si="24"/>
        <v>0</v>
      </c>
      <c r="AF53" s="12">
        <f t="shared" si="25"/>
        <v>0</v>
      </c>
      <c r="AG53" s="44">
        <f t="shared" si="26"/>
        <v>1</v>
      </c>
      <c r="AH53" s="44">
        <f t="shared" si="27"/>
        <v>1</v>
      </c>
      <c r="AI53" s="44">
        <f t="shared" si="28"/>
        <v>0</v>
      </c>
      <c r="AJ53" s="48">
        <f t="shared" si="29"/>
        <v>0</v>
      </c>
      <c r="AL53" s="12">
        <f t="shared" si="30"/>
        <v>0</v>
      </c>
      <c r="AM53" s="44">
        <f t="shared" si="31"/>
        <v>0</v>
      </c>
      <c r="AN53" s="44">
        <f t="shared" si="32"/>
        <v>0</v>
      </c>
      <c r="AO53" s="44">
        <f t="shared" si="33"/>
        <v>1</v>
      </c>
      <c r="AP53" s="48">
        <f t="shared" si="34"/>
        <v>0</v>
      </c>
      <c r="AR53" s="12">
        <f t="shared" si="35"/>
        <v>0</v>
      </c>
      <c r="AS53" s="44">
        <f t="shared" si="36"/>
        <v>1</v>
      </c>
      <c r="AT53" s="44">
        <f t="shared" si="37"/>
        <v>0</v>
      </c>
      <c r="AU53" s="44">
        <f t="shared" si="38"/>
        <v>0</v>
      </c>
      <c r="AV53" s="48">
        <f t="shared" si="39"/>
        <v>1</v>
      </c>
      <c r="AX53" s="12">
        <f t="shared" si="40"/>
        <v>0</v>
      </c>
      <c r="AY53" s="44">
        <f t="shared" si="41"/>
        <v>0</v>
      </c>
      <c r="AZ53" s="44">
        <f t="shared" si="42"/>
        <v>1</v>
      </c>
      <c r="BA53" s="44">
        <f t="shared" si="43"/>
        <v>1</v>
      </c>
      <c r="BB53" s="48">
        <f t="shared" si="44"/>
        <v>1</v>
      </c>
      <c r="BD53" s="12">
        <f t="shared" si="45"/>
        <v>0</v>
      </c>
      <c r="BE53" s="44">
        <f t="shared" si="46"/>
        <v>1</v>
      </c>
      <c r="BF53" s="44">
        <f t="shared" si="47"/>
        <v>1</v>
      </c>
      <c r="BG53" s="44">
        <f t="shared" si="48"/>
        <v>0</v>
      </c>
      <c r="BH53" s="48">
        <f t="shared" si="49"/>
        <v>0</v>
      </c>
      <c r="BJ53" s="12">
        <f t="shared" si="50"/>
        <v>0</v>
      </c>
      <c r="BK53" s="44">
        <f t="shared" si="51"/>
        <v>0</v>
      </c>
      <c r="BL53" s="44">
        <f t="shared" si="52"/>
        <v>0</v>
      </c>
      <c r="BM53" s="44">
        <f t="shared" si="53"/>
        <v>0</v>
      </c>
      <c r="BN53" s="48">
        <f t="shared" si="54"/>
        <v>1</v>
      </c>
      <c r="BP53" s="12">
        <f t="shared" si="55"/>
        <v>1</v>
      </c>
      <c r="BQ53" s="44">
        <f t="shared" si="56"/>
        <v>0</v>
      </c>
      <c r="BR53" s="44">
        <f t="shared" si="57"/>
        <v>0</v>
      </c>
      <c r="BS53" s="44">
        <f t="shared" si="58"/>
        <v>0</v>
      </c>
      <c r="BT53" s="48">
        <f t="shared" si="59"/>
        <v>0</v>
      </c>
    </row>
    <row r="54" spans="1:72" x14ac:dyDescent="0.25">
      <c r="A54" s="4">
        <v>32</v>
      </c>
      <c r="B54" s="54" t="str">
        <f>IF('Game Info'!J37="","",'Game Info'!J37)</f>
        <v>A</v>
      </c>
      <c r="C54" s="54" t="str">
        <f>IF('Game Info'!K37="","",'Game Info'!K37)</f>
        <v>K</v>
      </c>
      <c r="D54" s="54" t="str">
        <f>IF('Game Info'!L37="","",'Game Info'!L37)</f>
        <v>A</v>
      </c>
      <c r="E54" s="54">
        <f>IF('Game Info'!M37="","",'Game Info'!M37)</f>
        <v>10</v>
      </c>
      <c r="F54" s="55" t="str">
        <f>IF('Game Info'!N37="","",'Game Info'!N37)</f>
        <v>SYM3</v>
      </c>
      <c r="H54" s="12">
        <f t="shared" si="5"/>
        <v>0</v>
      </c>
      <c r="I54" s="44">
        <f t="shared" si="6"/>
        <v>0</v>
      </c>
      <c r="J54" s="44">
        <f t="shared" si="7"/>
        <v>0</v>
      </c>
      <c r="K54" s="44">
        <f t="shared" si="8"/>
        <v>0</v>
      </c>
      <c r="L54" s="48">
        <f t="shared" si="9"/>
        <v>0</v>
      </c>
      <c r="N54" s="12">
        <f t="shared" si="10"/>
        <v>1</v>
      </c>
      <c r="O54" s="44">
        <f t="shared" si="11"/>
        <v>1</v>
      </c>
      <c r="P54" s="44">
        <f t="shared" si="12"/>
        <v>0</v>
      </c>
      <c r="Q54" s="44">
        <f t="shared" si="13"/>
        <v>1</v>
      </c>
      <c r="R54" s="48">
        <f t="shared" si="14"/>
        <v>0</v>
      </c>
      <c r="T54" s="12">
        <f t="shared" si="15"/>
        <v>0</v>
      </c>
      <c r="U54" s="44">
        <f t="shared" si="16"/>
        <v>0</v>
      </c>
      <c r="V54" s="44">
        <f t="shared" si="17"/>
        <v>1</v>
      </c>
      <c r="W54" s="44">
        <f t="shared" si="18"/>
        <v>0</v>
      </c>
      <c r="X54" s="48">
        <f t="shared" si="19"/>
        <v>2</v>
      </c>
      <c r="Z54" s="12">
        <f t="shared" si="20"/>
        <v>1</v>
      </c>
      <c r="AA54" s="44">
        <f t="shared" si="21"/>
        <v>0</v>
      </c>
      <c r="AB54" s="44">
        <f t="shared" si="22"/>
        <v>0</v>
      </c>
      <c r="AC54" s="44">
        <f t="shared" si="23"/>
        <v>1</v>
      </c>
      <c r="AD54" s="48">
        <f t="shared" si="24"/>
        <v>0</v>
      </c>
      <c r="AF54" s="12">
        <f t="shared" si="25"/>
        <v>0</v>
      </c>
      <c r="AG54" s="44">
        <f t="shared" si="26"/>
        <v>1</v>
      </c>
      <c r="AH54" s="44">
        <f t="shared" si="27"/>
        <v>1</v>
      </c>
      <c r="AI54" s="44">
        <f t="shared" si="28"/>
        <v>0</v>
      </c>
      <c r="AJ54" s="48">
        <f t="shared" si="29"/>
        <v>0</v>
      </c>
      <c r="AL54" s="12">
        <f t="shared" si="30"/>
        <v>1</v>
      </c>
      <c r="AM54" s="44">
        <f t="shared" si="31"/>
        <v>0</v>
      </c>
      <c r="AN54" s="44">
        <f t="shared" si="32"/>
        <v>1</v>
      </c>
      <c r="AO54" s="44">
        <f t="shared" si="33"/>
        <v>0</v>
      </c>
      <c r="AP54" s="48">
        <f t="shared" si="34"/>
        <v>0</v>
      </c>
      <c r="AR54" s="12">
        <f t="shared" si="35"/>
        <v>0</v>
      </c>
      <c r="AS54" s="44">
        <f t="shared" si="36"/>
        <v>1</v>
      </c>
      <c r="AT54" s="44">
        <f t="shared" si="37"/>
        <v>0</v>
      </c>
      <c r="AU54" s="44">
        <f t="shared" si="38"/>
        <v>0</v>
      </c>
      <c r="AV54" s="48">
        <f t="shared" si="39"/>
        <v>1</v>
      </c>
      <c r="AX54" s="12">
        <f t="shared" si="40"/>
        <v>0</v>
      </c>
      <c r="AY54" s="44">
        <f t="shared" si="41"/>
        <v>0</v>
      </c>
      <c r="AZ54" s="44">
        <f t="shared" si="42"/>
        <v>1</v>
      </c>
      <c r="BA54" s="44">
        <f t="shared" si="43"/>
        <v>1</v>
      </c>
      <c r="BB54" s="48">
        <f t="shared" si="44"/>
        <v>1</v>
      </c>
      <c r="BD54" s="12">
        <f t="shared" si="45"/>
        <v>0</v>
      </c>
      <c r="BE54" s="44">
        <f t="shared" si="46"/>
        <v>1</v>
      </c>
      <c r="BF54" s="44">
        <f t="shared" si="47"/>
        <v>0</v>
      </c>
      <c r="BG54" s="44">
        <f t="shared" si="48"/>
        <v>0</v>
      </c>
      <c r="BH54" s="48">
        <f t="shared" si="49"/>
        <v>0</v>
      </c>
      <c r="BJ54" s="12">
        <f t="shared" si="50"/>
        <v>0</v>
      </c>
      <c r="BK54" s="44">
        <f t="shared" si="51"/>
        <v>0</v>
      </c>
      <c r="BL54" s="44">
        <f t="shared" si="52"/>
        <v>0</v>
      </c>
      <c r="BM54" s="44">
        <f t="shared" si="53"/>
        <v>1</v>
      </c>
      <c r="BN54" s="48">
        <f t="shared" si="54"/>
        <v>0</v>
      </c>
      <c r="BP54" s="12">
        <f t="shared" si="55"/>
        <v>1</v>
      </c>
      <c r="BQ54" s="44">
        <f t="shared" si="56"/>
        <v>0</v>
      </c>
      <c r="BR54" s="44">
        <f t="shared" si="57"/>
        <v>0</v>
      </c>
      <c r="BS54" s="44">
        <f t="shared" si="58"/>
        <v>0</v>
      </c>
      <c r="BT54" s="48">
        <f t="shared" si="59"/>
        <v>0</v>
      </c>
    </row>
    <row r="55" spans="1:72" x14ac:dyDescent="0.25">
      <c r="A55" s="4">
        <v>33</v>
      </c>
      <c r="B55" s="54" t="str">
        <f>IF('Game Info'!J38="","",'Game Info'!J38)</f>
        <v>J</v>
      </c>
      <c r="C55" s="54" t="str">
        <f>IF('Game Info'!K38="","",'Game Info'!K38)</f>
        <v>FG</v>
      </c>
      <c r="D55" s="54" t="str">
        <f>IF('Game Info'!L38="","",'Game Info'!L38)</f>
        <v>SYM2</v>
      </c>
      <c r="E55" s="54" t="str">
        <f>IF('Game Info'!M38="","",'Game Info'!M38)</f>
        <v>SYM3</v>
      </c>
      <c r="F55" s="55" t="str">
        <f>IF('Game Info'!N38="","",'Game Info'!N38)</f>
        <v>A</v>
      </c>
      <c r="H55" s="12">
        <f t="shared" si="5"/>
        <v>0</v>
      </c>
      <c r="I55" s="44">
        <f t="shared" si="6"/>
        <v>0</v>
      </c>
      <c r="J55" s="44">
        <f t="shared" si="7"/>
        <v>0</v>
      </c>
      <c r="K55" s="44">
        <f t="shared" si="8"/>
        <v>0</v>
      </c>
      <c r="L55" s="48">
        <f t="shared" si="9"/>
        <v>0</v>
      </c>
      <c r="N55" s="12">
        <f t="shared" si="10"/>
        <v>1</v>
      </c>
      <c r="O55" s="44">
        <f t="shared" si="11"/>
        <v>0</v>
      </c>
      <c r="P55" s="44">
        <f t="shared" si="12"/>
        <v>1</v>
      </c>
      <c r="Q55" s="44">
        <f t="shared" si="13"/>
        <v>1</v>
      </c>
      <c r="R55" s="48">
        <f t="shared" si="14"/>
        <v>0</v>
      </c>
      <c r="T55" s="12">
        <f t="shared" si="15"/>
        <v>0</v>
      </c>
      <c r="U55" s="44">
        <f t="shared" si="16"/>
        <v>0</v>
      </c>
      <c r="V55" s="44">
        <f t="shared" si="17"/>
        <v>0</v>
      </c>
      <c r="W55" s="44">
        <f t="shared" si="18"/>
        <v>1</v>
      </c>
      <c r="X55" s="48">
        <f t="shared" si="19"/>
        <v>1</v>
      </c>
      <c r="Z55" s="12">
        <f t="shared" si="20"/>
        <v>0</v>
      </c>
      <c r="AA55" s="44">
        <f t="shared" si="21"/>
        <v>0</v>
      </c>
      <c r="AB55" s="44">
        <f t="shared" si="22"/>
        <v>0</v>
      </c>
      <c r="AC55" s="44">
        <f t="shared" si="23"/>
        <v>0</v>
      </c>
      <c r="AD55" s="48">
        <f t="shared" si="24"/>
        <v>0</v>
      </c>
      <c r="AF55" s="12">
        <f t="shared" si="25"/>
        <v>0</v>
      </c>
      <c r="AG55" s="44">
        <f t="shared" si="26"/>
        <v>1</v>
      </c>
      <c r="AH55" s="44">
        <f t="shared" si="27"/>
        <v>1</v>
      </c>
      <c r="AI55" s="44">
        <f t="shared" si="28"/>
        <v>0</v>
      </c>
      <c r="AJ55" s="48">
        <f t="shared" si="29"/>
        <v>0</v>
      </c>
      <c r="AL55" s="12">
        <f t="shared" si="30"/>
        <v>1</v>
      </c>
      <c r="AM55" s="44">
        <f t="shared" si="31"/>
        <v>0</v>
      </c>
      <c r="AN55" s="44">
        <f t="shared" si="32"/>
        <v>1</v>
      </c>
      <c r="AO55" s="44">
        <f t="shared" si="33"/>
        <v>0</v>
      </c>
      <c r="AP55" s="48">
        <f t="shared" si="34"/>
        <v>1</v>
      </c>
      <c r="AR55" s="12">
        <f t="shared" si="35"/>
        <v>0</v>
      </c>
      <c r="AS55" s="44">
        <f t="shared" si="36"/>
        <v>1</v>
      </c>
      <c r="AT55" s="44">
        <f t="shared" si="37"/>
        <v>0</v>
      </c>
      <c r="AU55" s="44">
        <f t="shared" si="38"/>
        <v>0</v>
      </c>
      <c r="AV55" s="48">
        <f t="shared" si="39"/>
        <v>1</v>
      </c>
      <c r="AX55" s="12">
        <f t="shared" si="40"/>
        <v>0</v>
      </c>
      <c r="AY55" s="44">
        <f t="shared" si="41"/>
        <v>0</v>
      </c>
      <c r="AZ55" s="44">
        <f t="shared" si="42"/>
        <v>1</v>
      </c>
      <c r="BA55" s="44">
        <f t="shared" si="43"/>
        <v>1</v>
      </c>
      <c r="BB55" s="48">
        <f t="shared" si="44"/>
        <v>1</v>
      </c>
      <c r="BD55" s="12">
        <f t="shared" si="45"/>
        <v>1</v>
      </c>
      <c r="BE55" s="44">
        <f t="shared" si="46"/>
        <v>1</v>
      </c>
      <c r="BF55" s="44">
        <f t="shared" si="47"/>
        <v>0</v>
      </c>
      <c r="BG55" s="44">
        <f t="shared" si="48"/>
        <v>0</v>
      </c>
      <c r="BH55" s="48">
        <f t="shared" si="49"/>
        <v>0</v>
      </c>
      <c r="BJ55" s="12">
        <f t="shared" si="50"/>
        <v>0</v>
      </c>
      <c r="BK55" s="44">
        <f t="shared" si="51"/>
        <v>0</v>
      </c>
      <c r="BL55" s="44">
        <f t="shared" si="52"/>
        <v>0</v>
      </c>
      <c r="BM55" s="44">
        <f t="shared" si="53"/>
        <v>1</v>
      </c>
      <c r="BN55" s="48">
        <f t="shared" si="54"/>
        <v>0</v>
      </c>
      <c r="BP55" s="12">
        <f t="shared" si="55"/>
        <v>1</v>
      </c>
      <c r="BQ55" s="44">
        <f t="shared" si="56"/>
        <v>0</v>
      </c>
      <c r="BR55" s="44">
        <f t="shared" si="57"/>
        <v>0</v>
      </c>
      <c r="BS55" s="44">
        <f t="shared" si="58"/>
        <v>0</v>
      </c>
      <c r="BT55" s="48">
        <f t="shared" si="59"/>
        <v>0</v>
      </c>
    </row>
    <row r="56" spans="1:72" x14ac:dyDescent="0.25">
      <c r="A56" s="4">
        <v>34</v>
      </c>
      <c r="B56" s="54" t="str">
        <f>IF('Game Info'!J39="","",'Game Info'!J39)</f>
        <v>SYM3</v>
      </c>
      <c r="C56" s="54" t="str">
        <f>IF('Game Info'!K39="","",'Game Info'!K39)</f>
        <v>J</v>
      </c>
      <c r="D56" s="54" t="str">
        <f>IF('Game Info'!L39="","",'Game Info'!L39)</f>
        <v>K</v>
      </c>
      <c r="E56" s="54" t="str">
        <f>IF('Game Info'!M39="","",'Game Info'!M39)</f>
        <v>K</v>
      </c>
      <c r="F56" s="55" t="str">
        <f>IF('Game Info'!N39="","",'Game Info'!N39)</f>
        <v>SYM4</v>
      </c>
      <c r="H56" s="12">
        <f t="shared" si="5"/>
        <v>0</v>
      </c>
      <c r="I56" s="44">
        <f t="shared" si="6"/>
        <v>0</v>
      </c>
      <c r="J56" s="44">
        <f t="shared" si="7"/>
        <v>0</v>
      </c>
      <c r="K56" s="44">
        <f t="shared" si="8"/>
        <v>0</v>
      </c>
      <c r="L56" s="48">
        <f t="shared" si="9"/>
        <v>0</v>
      </c>
      <c r="N56" s="12">
        <f t="shared" si="10"/>
        <v>1</v>
      </c>
      <c r="O56" s="44">
        <f t="shared" si="11"/>
        <v>0</v>
      </c>
      <c r="P56" s="44">
        <f t="shared" si="12"/>
        <v>1</v>
      </c>
      <c r="Q56" s="44">
        <f t="shared" si="13"/>
        <v>1</v>
      </c>
      <c r="R56" s="48">
        <f t="shared" si="14"/>
        <v>0</v>
      </c>
      <c r="T56" s="12">
        <f t="shared" si="15"/>
        <v>1</v>
      </c>
      <c r="U56" s="44">
        <f t="shared" si="16"/>
        <v>0</v>
      </c>
      <c r="V56" s="44">
        <f t="shared" si="17"/>
        <v>0</v>
      </c>
      <c r="W56" s="44">
        <f t="shared" si="18"/>
        <v>1</v>
      </c>
      <c r="X56" s="48">
        <f t="shared" si="19"/>
        <v>1</v>
      </c>
      <c r="Z56" s="12">
        <f t="shared" si="20"/>
        <v>0</v>
      </c>
      <c r="AA56" s="44">
        <f t="shared" si="21"/>
        <v>0</v>
      </c>
      <c r="AB56" s="44">
        <f t="shared" si="22"/>
        <v>0</v>
      </c>
      <c r="AC56" s="44">
        <f t="shared" si="23"/>
        <v>0</v>
      </c>
      <c r="AD56" s="48">
        <f t="shared" si="24"/>
        <v>1</v>
      </c>
      <c r="AF56" s="12">
        <f t="shared" si="25"/>
        <v>0</v>
      </c>
      <c r="AG56" s="44">
        <f t="shared" si="26"/>
        <v>1</v>
      </c>
      <c r="AH56" s="44">
        <f t="shared" si="27"/>
        <v>0</v>
      </c>
      <c r="AI56" s="44">
        <f t="shared" si="28"/>
        <v>0</v>
      </c>
      <c r="AJ56" s="48">
        <f t="shared" si="29"/>
        <v>0</v>
      </c>
      <c r="AL56" s="12">
        <f t="shared" si="30"/>
        <v>1</v>
      </c>
      <c r="AM56" s="44">
        <f t="shared" si="31"/>
        <v>0</v>
      </c>
      <c r="AN56" s="44">
        <f t="shared" si="32"/>
        <v>1</v>
      </c>
      <c r="AO56" s="44">
        <f t="shared" si="33"/>
        <v>0</v>
      </c>
      <c r="AP56" s="48">
        <f t="shared" si="34"/>
        <v>1</v>
      </c>
      <c r="AR56" s="12">
        <f t="shared" si="35"/>
        <v>0</v>
      </c>
      <c r="AS56" s="44">
        <f t="shared" si="36"/>
        <v>1</v>
      </c>
      <c r="AT56" s="44">
        <f t="shared" si="37"/>
        <v>1</v>
      </c>
      <c r="AU56" s="44">
        <f t="shared" si="38"/>
        <v>1</v>
      </c>
      <c r="AV56" s="48">
        <f t="shared" si="39"/>
        <v>1</v>
      </c>
      <c r="AX56" s="12">
        <f t="shared" si="40"/>
        <v>0</v>
      </c>
      <c r="AY56" s="44">
        <f t="shared" si="41"/>
        <v>0</v>
      </c>
      <c r="AZ56" s="44">
        <f t="shared" si="42"/>
        <v>1</v>
      </c>
      <c r="BA56" s="44">
        <f t="shared" si="43"/>
        <v>0</v>
      </c>
      <c r="BB56" s="48">
        <f t="shared" si="44"/>
        <v>0</v>
      </c>
      <c r="BD56" s="12">
        <f t="shared" si="45"/>
        <v>1</v>
      </c>
      <c r="BE56" s="44">
        <f t="shared" si="46"/>
        <v>1</v>
      </c>
      <c r="BF56" s="44">
        <f t="shared" si="47"/>
        <v>0</v>
      </c>
      <c r="BG56" s="44">
        <f t="shared" si="48"/>
        <v>0</v>
      </c>
      <c r="BH56" s="48">
        <f t="shared" si="49"/>
        <v>0</v>
      </c>
      <c r="BJ56" s="12">
        <f t="shared" si="50"/>
        <v>0</v>
      </c>
      <c r="BK56" s="44">
        <f t="shared" si="51"/>
        <v>0</v>
      </c>
      <c r="BL56" s="44">
        <f t="shared" si="52"/>
        <v>0</v>
      </c>
      <c r="BM56" s="44">
        <f t="shared" si="53"/>
        <v>1</v>
      </c>
      <c r="BN56" s="48">
        <f t="shared" si="54"/>
        <v>0</v>
      </c>
      <c r="BP56" s="12">
        <f t="shared" si="55"/>
        <v>0</v>
      </c>
      <c r="BQ56" s="44">
        <f t="shared" si="56"/>
        <v>0</v>
      </c>
      <c r="BR56" s="44">
        <f t="shared" si="57"/>
        <v>0</v>
      </c>
      <c r="BS56" s="44">
        <f t="shared" si="58"/>
        <v>0</v>
      </c>
      <c r="BT56" s="48">
        <f t="shared" si="59"/>
        <v>0</v>
      </c>
    </row>
    <row r="57" spans="1:72" x14ac:dyDescent="0.25">
      <c r="A57" s="4">
        <v>35</v>
      </c>
      <c r="B57" s="54" t="str">
        <f>IF('Game Info'!J40="","",'Game Info'!J40)</f>
        <v>J</v>
      </c>
      <c r="C57" s="54" t="str">
        <f>IF('Game Info'!K40="","",'Game Info'!K40)</f>
        <v>SYM2</v>
      </c>
      <c r="D57" s="54" t="str">
        <f>IF('Game Info'!L40="","",'Game Info'!L40)</f>
        <v>SYM3</v>
      </c>
      <c r="E57" s="54" t="str">
        <f>IF('Game Info'!M40="","",'Game Info'!M40)</f>
        <v>SYM5</v>
      </c>
      <c r="F57" s="55" t="str">
        <f>IF('Game Info'!N40="","",'Game Info'!N40)</f>
        <v>J</v>
      </c>
      <c r="H57" s="12">
        <f t="shared" si="5"/>
        <v>0</v>
      </c>
      <c r="I57" s="44">
        <f t="shared" si="6"/>
        <v>0</v>
      </c>
      <c r="J57" s="44">
        <f t="shared" si="7"/>
        <v>0</v>
      </c>
      <c r="K57" s="44">
        <f t="shared" si="8"/>
        <v>0</v>
      </c>
      <c r="L57" s="48">
        <f t="shared" si="9"/>
        <v>0</v>
      </c>
      <c r="N57" s="12">
        <f t="shared" si="10"/>
        <v>0</v>
      </c>
      <c r="O57" s="44">
        <f t="shared" si="11"/>
        <v>1</v>
      </c>
      <c r="P57" s="44">
        <f t="shared" si="12"/>
        <v>1</v>
      </c>
      <c r="Q57" s="44">
        <f t="shared" si="13"/>
        <v>0</v>
      </c>
      <c r="R57" s="48">
        <f t="shared" si="14"/>
        <v>0</v>
      </c>
      <c r="T57" s="12">
        <f t="shared" si="15"/>
        <v>1</v>
      </c>
      <c r="U57" s="44">
        <f t="shared" si="16"/>
        <v>0</v>
      </c>
      <c r="V57" s="44">
        <f t="shared" si="17"/>
        <v>1</v>
      </c>
      <c r="W57" s="44">
        <f t="shared" si="18"/>
        <v>1</v>
      </c>
      <c r="X57" s="48">
        <f t="shared" si="19"/>
        <v>1</v>
      </c>
      <c r="Z57" s="12">
        <f t="shared" si="20"/>
        <v>0</v>
      </c>
      <c r="AA57" s="44">
        <f t="shared" si="21"/>
        <v>0</v>
      </c>
      <c r="AB57" s="44">
        <f t="shared" si="22"/>
        <v>0</v>
      </c>
      <c r="AC57" s="44">
        <f t="shared" si="23"/>
        <v>0</v>
      </c>
      <c r="AD57" s="48">
        <f t="shared" si="24"/>
        <v>1</v>
      </c>
      <c r="AF57" s="12">
        <f t="shared" si="25"/>
        <v>0</v>
      </c>
      <c r="AG57" s="44">
        <f t="shared" si="26"/>
        <v>0</v>
      </c>
      <c r="AH57" s="44">
        <f t="shared" si="27"/>
        <v>0</v>
      </c>
      <c r="AI57" s="44">
        <f t="shared" si="28"/>
        <v>1</v>
      </c>
      <c r="AJ57" s="48">
        <f t="shared" si="29"/>
        <v>0</v>
      </c>
      <c r="AL57" s="12">
        <f t="shared" si="30"/>
        <v>1</v>
      </c>
      <c r="AM57" s="44">
        <f t="shared" si="31"/>
        <v>0</v>
      </c>
      <c r="AN57" s="44">
        <f t="shared" si="32"/>
        <v>1</v>
      </c>
      <c r="AO57" s="44">
        <f t="shared" si="33"/>
        <v>0</v>
      </c>
      <c r="AP57" s="48">
        <f t="shared" si="34"/>
        <v>1</v>
      </c>
      <c r="AR57" s="12">
        <f t="shared" si="35"/>
        <v>0</v>
      </c>
      <c r="AS57" s="44">
        <f t="shared" si="36"/>
        <v>1</v>
      </c>
      <c r="AT57" s="44">
        <f t="shared" si="37"/>
        <v>1</v>
      </c>
      <c r="AU57" s="44">
        <f t="shared" si="38"/>
        <v>1</v>
      </c>
      <c r="AV57" s="48">
        <f t="shared" si="39"/>
        <v>0</v>
      </c>
      <c r="AX57" s="12">
        <f t="shared" si="40"/>
        <v>0</v>
      </c>
      <c r="AY57" s="44">
        <f t="shared" si="41"/>
        <v>0</v>
      </c>
      <c r="AZ57" s="44">
        <f t="shared" si="42"/>
        <v>0</v>
      </c>
      <c r="BA57" s="44">
        <f t="shared" si="43"/>
        <v>0</v>
      </c>
      <c r="BB57" s="48">
        <f t="shared" si="44"/>
        <v>0</v>
      </c>
      <c r="BD57" s="12">
        <f t="shared" si="45"/>
        <v>2</v>
      </c>
      <c r="BE57" s="44">
        <f t="shared" si="46"/>
        <v>1</v>
      </c>
      <c r="BF57" s="44">
        <f t="shared" si="47"/>
        <v>0</v>
      </c>
      <c r="BG57" s="44">
        <f t="shared" si="48"/>
        <v>0</v>
      </c>
      <c r="BH57" s="48">
        <f t="shared" si="49"/>
        <v>1</v>
      </c>
      <c r="BJ57" s="12">
        <f t="shared" si="50"/>
        <v>0</v>
      </c>
      <c r="BK57" s="44">
        <f t="shared" si="51"/>
        <v>0</v>
      </c>
      <c r="BL57" s="44">
        <f t="shared" si="52"/>
        <v>0</v>
      </c>
      <c r="BM57" s="44">
        <f t="shared" si="53"/>
        <v>1</v>
      </c>
      <c r="BN57" s="48">
        <f t="shared" si="54"/>
        <v>0</v>
      </c>
      <c r="BP57" s="12">
        <f t="shared" si="55"/>
        <v>0</v>
      </c>
      <c r="BQ57" s="44">
        <f t="shared" si="56"/>
        <v>0</v>
      </c>
      <c r="BR57" s="44">
        <f t="shared" si="57"/>
        <v>0</v>
      </c>
      <c r="BS57" s="44">
        <f t="shared" si="58"/>
        <v>0</v>
      </c>
      <c r="BT57" s="48">
        <f t="shared" si="59"/>
        <v>0</v>
      </c>
    </row>
    <row r="58" spans="1:72" x14ac:dyDescent="0.25">
      <c r="A58" s="4">
        <v>36</v>
      </c>
      <c r="B58" s="54" t="str">
        <f>IF('Game Info'!J41="","",'Game Info'!J41)</f>
        <v>SYM2</v>
      </c>
      <c r="C58" s="54" t="str">
        <f>IF('Game Info'!K41="","",'Game Info'!K41)</f>
        <v>SYM2</v>
      </c>
      <c r="D58" s="54" t="str">
        <f>IF('Game Info'!L41="","",'Game Info'!L41)</f>
        <v>SYM3</v>
      </c>
      <c r="E58" s="54" t="str">
        <f>IF('Game Info'!M41="","",'Game Info'!M41)</f>
        <v>Q</v>
      </c>
      <c r="F58" s="55" t="str">
        <f>IF('Game Info'!N41="","",'Game Info'!N41)</f>
        <v>SYM1</v>
      </c>
      <c r="H58" s="12">
        <f t="shared" si="5"/>
        <v>0</v>
      </c>
      <c r="I58" s="44">
        <f t="shared" si="6"/>
        <v>0</v>
      </c>
      <c r="J58" s="44">
        <f t="shared" si="7"/>
        <v>0</v>
      </c>
      <c r="K58" s="44">
        <f t="shared" si="8"/>
        <v>0</v>
      </c>
      <c r="L58" s="48">
        <f t="shared" si="9"/>
        <v>1</v>
      </c>
      <c r="N58" s="12">
        <f t="shared" si="10"/>
        <v>1</v>
      </c>
      <c r="O58" s="44">
        <f t="shared" si="11"/>
        <v>2</v>
      </c>
      <c r="P58" s="44">
        <f t="shared" si="12"/>
        <v>1</v>
      </c>
      <c r="Q58" s="44">
        <f t="shared" si="13"/>
        <v>0</v>
      </c>
      <c r="R58" s="48">
        <f t="shared" si="14"/>
        <v>0</v>
      </c>
      <c r="T58" s="12">
        <f t="shared" si="15"/>
        <v>1</v>
      </c>
      <c r="U58" s="44">
        <f t="shared" si="16"/>
        <v>0</v>
      </c>
      <c r="V58" s="44">
        <f t="shared" si="17"/>
        <v>2</v>
      </c>
      <c r="W58" s="44">
        <f t="shared" si="18"/>
        <v>1</v>
      </c>
      <c r="X58" s="48">
        <f t="shared" si="19"/>
        <v>0</v>
      </c>
      <c r="Z58" s="12">
        <f t="shared" si="20"/>
        <v>0</v>
      </c>
      <c r="AA58" s="44">
        <f t="shared" si="21"/>
        <v>0</v>
      </c>
      <c r="AB58" s="44">
        <f t="shared" si="22"/>
        <v>0</v>
      </c>
      <c r="AC58" s="44">
        <f t="shared" si="23"/>
        <v>0</v>
      </c>
      <c r="AD58" s="48">
        <f t="shared" si="24"/>
        <v>1</v>
      </c>
      <c r="AF58" s="12">
        <f t="shared" si="25"/>
        <v>0</v>
      </c>
      <c r="AG58" s="44">
        <f t="shared" si="26"/>
        <v>0</v>
      </c>
      <c r="AH58" s="44">
        <f t="shared" si="27"/>
        <v>0</v>
      </c>
      <c r="AI58" s="44">
        <f t="shared" si="28"/>
        <v>1</v>
      </c>
      <c r="AJ58" s="48">
        <f t="shared" si="29"/>
        <v>0</v>
      </c>
      <c r="AL58" s="12">
        <f t="shared" si="30"/>
        <v>0</v>
      </c>
      <c r="AM58" s="44">
        <f t="shared" si="31"/>
        <v>0</v>
      </c>
      <c r="AN58" s="44">
        <f t="shared" si="32"/>
        <v>0</v>
      </c>
      <c r="AO58" s="44">
        <f t="shared" si="33"/>
        <v>0</v>
      </c>
      <c r="AP58" s="48">
        <f t="shared" si="34"/>
        <v>1</v>
      </c>
      <c r="AR58" s="12">
        <f t="shared" si="35"/>
        <v>0</v>
      </c>
      <c r="AS58" s="44">
        <f t="shared" si="36"/>
        <v>0</v>
      </c>
      <c r="AT58" s="44">
        <f t="shared" si="37"/>
        <v>1</v>
      </c>
      <c r="AU58" s="44">
        <f t="shared" si="38"/>
        <v>1</v>
      </c>
      <c r="AV58" s="48">
        <f t="shared" si="39"/>
        <v>0</v>
      </c>
      <c r="AX58" s="12">
        <f t="shared" si="40"/>
        <v>0</v>
      </c>
      <c r="AY58" s="44">
        <f t="shared" si="41"/>
        <v>0</v>
      </c>
      <c r="AZ58" s="44">
        <f t="shared" si="42"/>
        <v>0</v>
      </c>
      <c r="BA58" s="44">
        <f t="shared" si="43"/>
        <v>1</v>
      </c>
      <c r="BB58" s="48">
        <f t="shared" si="44"/>
        <v>0</v>
      </c>
      <c r="BD58" s="12">
        <f t="shared" si="45"/>
        <v>2</v>
      </c>
      <c r="BE58" s="44">
        <f t="shared" si="46"/>
        <v>1</v>
      </c>
      <c r="BF58" s="44">
        <f t="shared" si="47"/>
        <v>0</v>
      </c>
      <c r="BG58" s="44">
        <f t="shared" si="48"/>
        <v>0</v>
      </c>
      <c r="BH58" s="48">
        <f t="shared" si="49"/>
        <v>1</v>
      </c>
      <c r="BJ58" s="12">
        <f t="shared" si="50"/>
        <v>0</v>
      </c>
      <c r="BK58" s="44">
        <f t="shared" si="51"/>
        <v>0</v>
      </c>
      <c r="BL58" s="44">
        <f t="shared" si="52"/>
        <v>0</v>
      </c>
      <c r="BM58" s="44">
        <f t="shared" si="53"/>
        <v>0</v>
      </c>
      <c r="BN58" s="48">
        <f t="shared" si="54"/>
        <v>0</v>
      </c>
      <c r="BP58" s="12">
        <f t="shared" si="55"/>
        <v>0</v>
      </c>
      <c r="BQ58" s="44">
        <f t="shared" si="56"/>
        <v>0</v>
      </c>
      <c r="BR58" s="44">
        <f t="shared" si="57"/>
        <v>0</v>
      </c>
      <c r="BS58" s="44">
        <f t="shared" si="58"/>
        <v>0</v>
      </c>
      <c r="BT58" s="48">
        <f t="shared" si="59"/>
        <v>0</v>
      </c>
    </row>
    <row r="59" spans="1:72" x14ac:dyDescent="0.25">
      <c r="A59" s="4">
        <v>37</v>
      </c>
      <c r="B59" s="54" t="str">
        <f>IF('Game Info'!J42="","",'Game Info'!J42)</f>
        <v>SYM2</v>
      </c>
      <c r="C59" s="54" t="str">
        <f>IF('Game Info'!K42="","",'Game Info'!K42)</f>
        <v>SYM2</v>
      </c>
      <c r="D59" s="54" t="str">
        <f>IF('Game Info'!L42="","",'Game Info'!L42)</f>
        <v>SYM3</v>
      </c>
      <c r="E59" s="54" t="str">
        <f>IF('Game Info'!M42="","",'Game Info'!M42)</f>
        <v>SYM2</v>
      </c>
      <c r="F59" s="55" t="str">
        <f>IF('Game Info'!N42="","",'Game Info'!N42)</f>
        <v>K</v>
      </c>
      <c r="H59" s="12">
        <f t="shared" si="5"/>
        <v>0</v>
      </c>
      <c r="I59" s="44">
        <f t="shared" si="6"/>
        <v>0</v>
      </c>
      <c r="J59" s="44">
        <f t="shared" si="7"/>
        <v>0</v>
      </c>
      <c r="K59" s="44">
        <f t="shared" si="8"/>
        <v>0</v>
      </c>
      <c r="L59" s="48">
        <f t="shared" si="9"/>
        <v>1</v>
      </c>
      <c r="N59" s="12">
        <f t="shared" si="10"/>
        <v>2</v>
      </c>
      <c r="O59" s="44">
        <f t="shared" si="11"/>
        <v>3</v>
      </c>
      <c r="P59" s="44">
        <f t="shared" si="12"/>
        <v>0</v>
      </c>
      <c r="Q59" s="44">
        <f t="shared" si="13"/>
        <v>1</v>
      </c>
      <c r="R59" s="48">
        <f t="shared" si="14"/>
        <v>0</v>
      </c>
      <c r="T59" s="12">
        <f t="shared" si="15"/>
        <v>1</v>
      </c>
      <c r="U59" s="44">
        <f t="shared" si="16"/>
        <v>0</v>
      </c>
      <c r="V59" s="44">
        <f t="shared" si="17"/>
        <v>3</v>
      </c>
      <c r="W59" s="44">
        <f t="shared" si="18"/>
        <v>0</v>
      </c>
      <c r="X59" s="48">
        <f t="shared" si="19"/>
        <v>0</v>
      </c>
      <c r="Z59" s="12">
        <f t="shared" si="20"/>
        <v>0</v>
      </c>
      <c r="AA59" s="44">
        <f t="shared" si="21"/>
        <v>0</v>
      </c>
      <c r="AB59" s="44">
        <f t="shared" si="22"/>
        <v>0</v>
      </c>
      <c r="AC59" s="44">
        <f t="shared" si="23"/>
        <v>0</v>
      </c>
      <c r="AD59" s="48">
        <f t="shared" si="24"/>
        <v>1</v>
      </c>
      <c r="AF59" s="12">
        <f t="shared" si="25"/>
        <v>0</v>
      </c>
      <c r="AG59" s="44">
        <f t="shared" si="26"/>
        <v>0</v>
      </c>
      <c r="AH59" s="44">
        <f t="shared" si="27"/>
        <v>0</v>
      </c>
      <c r="AI59" s="44">
        <f t="shared" si="28"/>
        <v>1</v>
      </c>
      <c r="AJ59" s="48">
        <f t="shared" si="29"/>
        <v>0</v>
      </c>
      <c r="AL59" s="12">
        <f t="shared" si="30"/>
        <v>0</v>
      </c>
      <c r="AM59" s="44">
        <f t="shared" si="31"/>
        <v>0</v>
      </c>
      <c r="AN59" s="44">
        <f t="shared" si="32"/>
        <v>0</v>
      </c>
      <c r="AO59" s="44">
        <f t="shared" si="33"/>
        <v>0</v>
      </c>
      <c r="AP59" s="48">
        <f t="shared" si="34"/>
        <v>0</v>
      </c>
      <c r="AR59" s="12">
        <f t="shared" si="35"/>
        <v>0</v>
      </c>
      <c r="AS59" s="44">
        <f t="shared" si="36"/>
        <v>0</v>
      </c>
      <c r="AT59" s="44">
        <f t="shared" si="37"/>
        <v>1</v>
      </c>
      <c r="AU59" s="44">
        <f t="shared" si="38"/>
        <v>1</v>
      </c>
      <c r="AV59" s="48">
        <f t="shared" si="39"/>
        <v>1</v>
      </c>
      <c r="AX59" s="12">
        <f t="shared" si="40"/>
        <v>0</v>
      </c>
      <c r="AY59" s="44">
        <f t="shared" si="41"/>
        <v>0</v>
      </c>
      <c r="AZ59" s="44">
        <f t="shared" si="42"/>
        <v>0</v>
      </c>
      <c r="BA59" s="44">
        <f t="shared" si="43"/>
        <v>1</v>
      </c>
      <c r="BB59" s="48">
        <f t="shared" si="44"/>
        <v>0</v>
      </c>
      <c r="BD59" s="12">
        <f t="shared" si="45"/>
        <v>1</v>
      </c>
      <c r="BE59" s="44">
        <f t="shared" si="46"/>
        <v>1</v>
      </c>
      <c r="BF59" s="44">
        <f t="shared" si="47"/>
        <v>0</v>
      </c>
      <c r="BG59" s="44">
        <f t="shared" si="48"/>
        <v>0</v>
      </c>
      <c r="BH59" s="48">
        <f t="shared" si="49"/>
        <v>1</v>
      </c>
      <c r="BJ59" s="12">
        <f t="shared" si="50"/>
        <v>0</v>
      </c>
      <c r="BK59" s="44">
        <f t="shared" si="51"/>
        <v>0</v>
      </c>
      <c r="BL59" s="44">
        <f t="shared" si="52"/>
        <v>0</v>
      </c>
      <c r="BM59" s="44">
        <f t="shared" si="53"/>
        <v>0</v>
      </c>
      <c r="BN59" s="48">
        <f t="shared" si="54"/>
        <v>0</v>
      </c>
      <c r="BP59" s="12">
        <f t="shared" si="55"/>
        <v>0</v>
      </c>
      <c r="BQ59" s="44">
        <f t="shared" si="56"/>
        <v>0</v>
      </c>
      <c r="BR59" s="44">
        <f t="shared" si="57"/>
        <v>0</v>
      </c>
      <c r="BS59" s="44">
        <f t="shared" si="58"/>
        <v>0</v>
      </c>
      <c r="BT59" s="48">
        <f t="shared" si="59"/>
        <v>0</v>
      </c>
    </row>
    <row r="60" spans="1:72" x14ac:dyDescent="0.25">
      <c r="A60" s="4">
        <v>38</v>
      </c>
      <c r="B60" s="54">
        <f>IF('Game Info'!J43="","",'Game Info'!J43)</f>
        <v>9</v>
      </c>
      <c r="C60" s="54" t="str">
        <f>IF('Game Info'!K43="","",'Game Info'!K43)</f>
        <v>Q</v>
      </c>
      <c r="D60" s="54">
        <f>IF('Game Info'!L43="","",'Game Info'!L43)</f>
        <v>10</v>
      </c>
      <c r="E60" s="54">
        <f>IF('Game Info'!M43="","",'Game Info'!M43)</f>
        <v>9</v>
      </c>
      <c r="F60" s="55" t="str">
        <f>IF('Game Info'!N43="","",'Game Info'!N43)</f>
        <v>SYM3</v>
      </c>
      <c r="H60" s="12">
        <f t="shared" si="5"/>
        <v>0</v>
      </c>
      <c r="I60" s="44">
        <f t="shared" si="6"/>
        <v>0</v>
      </c>
      <c r="J60" s="44">
        <f t="shared" si="7"/>
        <v>0</v>
      </c>
      <c r="K60" s="44">
        <f t="shared" si="8"/>
        <v>0</v>
      </c>
      <c r="L60" s="48">
        <f t="shared" si="9"/>
        <v>1</v>
      </c>
      <c r="N60" s="12">
        <f t="shared" si="10"/>
        <v>2</v>
      </c>
      <c r="O60" s="44">
        <f t="shared" si="11"/>
        <v>3</v>
      </c>
      <c r="P60" s="44">
        <f t="shared" si="12"/>
        <v>0</v>
      </c>
      <c r="Q60" s="44">
        <f t="shared" si="13"/>
        <v>1</v>
      </c>
      <c r="R60" s="48">
        <f t="shared" si="14"/>
        <v>0</v>
      </c>
      <c r="T60" s="12">
        <f t="shared" si="15"/>
        <v>0</v>
      </c>
      <c r="U60" s="44">
        <f t="shared" si="16"/>
        <v>0</v>
      </c>
      <c r="V60" s="44">
        <f t="shared" si="17"/>
        <v>3</v>
      </c>
      <c r="W60" s="44">
        <f t="shared" si="18"/>
        <v>0</v>
      </c>
      <c r="X60" s="48">
        <f t="shared" si="19"/>
        <v>1</v>
      </c>
      <c r="Z60" s="12">
        <f t="shared" si="20"/>
        <v>0</v>
      </c>
      <c r="AA60" s="44">
        <f t="shared" si="21"/>
        <v>0</v>
      </c>
      <c r="AB60" s="44">
        <f t="shared" si="22"/>
        <v>0</v>
      </c>
      <c r="AC60" s="44">
        <f t="shared" si="23"/>
        <v>0</v>
      </c>
      <c r="AD60" s="48">
        <f t="shared" si="24"/>
        <v>0</v>
      </c>
      <c r="AF60" s="12">
        <f t="shared" si="25"/>
        <v>0</v>
      </c>
      <c r="AG60" s="44">
        <f t="shared" si="26"/>
        <v>0</v>
      </c>
      <c r="AH60" s="44">
        <f t="shared" si="27"/>
        <v>0</v>
      </c>
      <c r="AI60" s="44">
        <f t="shared" si="28"/>
        <v>1</v>
      </c>
      <c r="AJ60" s="48">
        <f t="shared" si="29"/>
        <v>0</v>
      </c>
      <c r="AL60" s="12">
        <f t="shared" si="30"/>
        <v>0</v>
      </c>
      <c r="AM60" s="44">
        <f t="shared" si="31"/>
        <v>0</v>
      </c>
      <c r="AN60" s="44">
        <f t="shared" si="32"/>
        <v>0</v>
      </c>
      <c r="AO60" s="44">
        <f t="shared" si="33"/>
        <v>0</v>
      </c>
      <c r="AP60" s="48">
        <f t="shared" si="34"/>
        <v>0</v>
      </c>
      <c r="AR60" s="12">
        <f t="shared" si="35"/>
        <v>0</v>
      </c>
      <c r="AS60" s="44">
        <f t="shared" si="36"/>
        <v>0</v>
      </c>
      <c r="AT60" s="44">
        <f t="shared" si="37"/>
        <v>0</v>
      </c>
      <c r="AU60" s="44">
        <f t="shared" si="38"/>
        <v>0</v>
      </c>
      <c r="AV60" s="48">
        <f t="shared" si="39"/>
        <v>1</v>
      </c>
      <c r="AX60" s="12">
        <f t="shared" si="40"/>
        <v>0</v>
      </c>
      <c r="AY60" s="44">
        <f t="shared" si="41"/>
        <v>1</v>
      </c>
      <c r="AZ60" s="44">
        <f t="shared" si="42"/>
        <v>0</v>
      </c>
      <c r="BA60" s="44">
        <f t="shared" si="43"/>
        <v>1</v>
      </c>
      <c r="BB60" s="48">
        <f t="shared" si="44"/>
        <v>0</v>
      </c>
      <c r="BD60" s="12">
        <f t="shared" si="45"/>
        <v>1</v>
      </c>
      <c r="BE60" s="44">
        <f t="shared" si="46"/>
        <v>0</v>
      </c>
      <c r="BF60" s="44">
        <f t="shared" si="47"/>
        <v>0</v>
      </c>
      <c r="BG60" s="44">
        <f t="shared" si="48"/>
        <v>0</v>
      </c>
      <c r="BH60" s="48">
        <f t="shared" si="49"/>
        <v>1</v>
      </c>
      <c r="BJ60" s="12">
        <f t="shared" si="50"/>
        <v>0</v>
      </c>
      <c r="BK60" s="44">
        <f t="shared" si="51"/>
        <v>0</v>
      </c>
      <c r="BL60" s="44">
        <f t="shared" si="52"/>
        <v>1</v>
      </c>
      <c r="BM60" s="44">
        <f t="shared" si="53"/>
        <v>0</v>
      </c>
      <c r="BN60" s="48">
        <f t="shared" si="54"/>
        <v>0</v>
      </c>
      <c r="BP60" s="12">
        <f t="shared" si="55"/>
        <v>1</v>
      </c>
      <c r="BQ60" s="44">
        <f t="shared" si="56"/>
        <v>0</v>
      </c>
      <c r="BR60" s="44">
        <f t="shared" si="57"/>
        <v>0</v>
      </c>
      <c r="BS60" s="44">
        <f t="shared" si="58"/>
        <v>1</v>
      </c>
      <c r="BT60" s="48">
        <f t="shared" si="59"/>
        <v>0</v>
      </c>
    </row>
    <row r="61" spans="1:72" x14ac:dyDescent="0.25">
      <c r="A61" s="4">
        <v>39</v>
      </c>
      <c r="B61" s="54" t="str">
        <f>IF('Game Info'!J44="","",'Game Info'!J44)</f>
        <v>K</v>
      </c>
      <c r="C61" s="54" t="str">
        <f>IF('Game Info'!K44="","",'Game Info'!K44)</f>
        <v>FG</v>
      </c>
      <c r="D61" s="54" t="str">
        <f>IF('Game Info'!L44="","",'Game Info'!L44)</f>
        <v>SYM1</v>
      </c>
      <c r="E61" s="54" t="str">
        <f>IF('Game Info'!M44="","",'Game Info'!M44)</f>
        <v>SYM1</v>
      </c>
      <c r="F61" s="55">
        <f>IF('Game Info'!N44="","",'Game Info'!N44)</f>
        <v>10</v>
      </c>
      <c r="H61" s="12">
        <f t="shared" si="5"/>
        <v>0</v>
      </c>
      <c r="I61" s="44">
        <f t="shared" si="6"/>
        <v>0</v>
      </c>
      <c r="J61" s="44">
        <f t="shared" si="7"/>
        <v>1</v>
      </c>
      <c r="K61" s="44">
        <f t="shared" si="8"/>
        <v>1</v>
      </c>
      <c r="L61" s="48">
        <f t="shared" si="9"/>
        <v>1</v>
      </c>
      <c r="N61" s="12">
        <f t="shared" si="10"/>
        <v>2</v>
      </c>
      <c r="O61" s="44">
        <f t="shared" si="11"/>
        <v>2</v>
      </c>
      <c r="P61" s="44">
        <f t="shared" si="12"/>
        <v>0</v>
      </c>
      <c r="Q61" s="44">
        <f t="shared" si="13"/>
        <v>1</v>
      </c>
      <c r="R61" s="48">
        <f t="shared" si="14"/>
        <v>0</v>
      </c>
      <c r="T61" s="12">
        <f t="shared" si="15"/>
        <v>0</v>
      </c>
      <c r="U61" s="44">
        <f t="shared" si="16"/>
        <v>0</v>
      </c>
      <c r="V61" s="44">
        <f t="shared" si="17"/>
        <v>2</v>
      </c>
      <c r="W61" s="44">
        <f t="shared" si="18"/>
        <v>0</v>
      </c>
      <c r="X61" s="48">
        <f t="shared" si="19"/>
        <v>1</v>
      </c>
      <c r="Z61" s="12">
        <f t="shared" si="20"/>
        <v>0</v>
      </c>
      <c r="AA61" s="44">
        <f t="shared" si="21"/>
        <v>0</v>
      </c>
      <c r="AB61" s="44">
        <f t="shared" si="22"/>
        <v>0</v>
      </c>
      <c r="AC61" s="44">
        <f t="shared" si="23"/>
        <v>0</v>
      </c>
      <c r="AD61" s="48">
        <f t="shared" si="24"/>
        <v>0</v>
      </c>
      <c r="AF61" s="12">
        <f t="shared" si="25"/>
        <v>0</v>
      </c>
      <c r="AG61" s="44">
        <f t="shared" si="26"/>
        <v>0</v>
      </c>
      <c r="AH61" s="44">
        <f t="shared" si="27"/>
        <v>0</v>
      </c>
      <c r="AI61" s="44">
        <f t="shared" si="28"/>
        <v>0</v>
      </c>
      <c r="AJ61" s="48">
        <f t="shared" si="29"/>
        <v>0</v>
      </c>
      <c r="AL61" s="12">
        <f t="shared" si="30"/>
        <v>0</v>
      </c>
      <c r="AM61" s="44">
        <f t="shared" si="31"/>
        <v>0</v>
      </c>
      <c r="AN61" s="44">
        <f t="shared" si="32"/>
        <v>0</v>
      </c>
      <c r="AO61" s="44">
        <f t="shared" si="33"/>
        <v>0</v>
      </c>
      <c r="AP61" s="48">
        <f t="shared" si="34"/>
        <v>0</v>
      </c>
      <c r="AR61" s="12">
        <f t="shared" si="35"/>
        <v>1</v>
      </c>
      <c r="AS61" s="44">
        <f t="shared" si="36"/>
        <v>0</v>
      </c>
      <c r="AT61" s="44">
        <f t="shared" si="37"/>
        <v>0</v>
      </c>
      <c r="AU61" s="44">
        <f t="shared" si="38"/>
        <v>0</v>
      </c>
      <c r="AV61" s="48">
        <f t="shared" si="39"/>
        <v>1</v>
      </c>
      <c r="AX61" s="12">
        <f t="shared" si="40"/>
        <v>0</v>
      </c>
      <c r="AY61" s="44">
        <f t="shared" si="41"/>
        <v>1</v>
      </c>
      <c r="AZ61" s="44">
        <f t="shared" si="42"/>
        <v>0</v>
      </c>
      <c r="BA61" s="44">
        <f t="shared" si="43"/>
        <v>1</v>
      </c>
      <c r="BB61" s="48">
        <f t="shared" si="44"/>
        <v>0</v>
      </c>
      <c r="BD61" s="12">
        <f t="shared" si="45"/>
        <v>0</v>
      </c>
      <c r="BE61" s="44">
        <f t="shared" si="46"/>
        <v>0</v>
      </c>
      <c r="BF61" s="44">
        <f t="shared" si="47"/>
        <v>0</v>
      </c>
      <c r="BG61" s="44">
        <f t="shared" si="48"/>
        <v>0</v>
      </c>
      <c r="BH61" s="48">
        <f t="shared" si="49"/>
        <v>0</v>
      </c>
      <c r="BJ61" s="12">
        <f t="shared" si="50"/>
        <v>0</v>
      </c>
      <c r="BK61" s="44">
        <f t="shared" si="51"/>
        <v>0</v>
      </c>
      <c r="BL61" s="44">
        <f t="shared" si="52"/>
        <v>1</v>
      </c>
      <c r="BM61" s="44">
        <f t="shared" si="53"/>
        <v>0</v>
      </c>
      <c r="BN61" s="48">
        <f t="shared" si="54"/>
        <v>1</v>
      </c>
      <c r="BP61" s="12">
        <f t="shared" si="55"/>
        <v>1</v>
      </c>
      <c r="BQ61" s="44">
        <f t="shared" si="56"/>
        <v>0</v>
      </c>
      <c r="BR61" s="44">
        <f t="shared" si="57"/>
        <v>0</v>
      </c>
      <c r="BS61" s="44">
        <f t="shared" si="58"/>
        <v>1</v>
      </c>
      <c r="BT61" s="48">
        <f t="shared" si="59"/>
        <v>0</v>
      </c>
    </row>
    <row r="62" spans="1:72" x14ac:dyDescent="0.25">
      <c r="A62" s="4">
        <v>40</v>
      </c>
      <c r="B62" s="54" t="str">
        <f>IF('Game Info'!J45="","",'Game Info'!J45)</f>
        <v>SYM3</v>
      </c>
      <c r="C62" s="54" t="str">
        <f>IF('Game Info'!K45="","",'Game Info'!K45)</f>
        <v>A</v>
      </c>
      <c r="D62" s="54" t="str">
        <f>IF('Game Info'!L45="","",'Game Info'!L45)</f>
        <v>J</v>
      </c>
      <c r="E62" s="54" t="str">
        <f>IF('Game Info'!M45="","",'Game Info'!M45)</f>
        <v>Q</v>
      </c>
      <c r="F62" s="55" t="str">
        <f>IF('Game Info'!N45="","",'Game Info'!N45)</f>
        <v>K</v>
      </c>
      <c r="H62" s="12">
        <f t="shared" si="5"/>
        <v>0</v>
      </c>
      <c r="I62" s="44">
        <f t="shared" si="6"/>
        <v>0</v>
      </c>
      <c r="J62" s="44">
        <f t="shared" si="7"/>
        <v>1</v>
      </c>
      <c r="K62" s="44">
        <f t="shared" si="8"/>
        <v>1</v>
      </c>
      <c r="L62" s="48">
        <f t="shared" si="9"/>
        <v>0</v>
      </c>
      <c r="N62" s="12">
        <f t="shared" si="10"/>
        <v>1</v>
      </c>
      <c r="O62" s="44">
        <f t="shared" si="11"/>
        <v>1</v>
      </c>
      <c r="P62" s="44">
        <f t="shared" si="12"/>
        <v>0</v>
      </c>
      <c r="Q62" s="44">
        <f t="shared" si="13"/>
        <v>1</v>
      </c>
      <c r="R62" s="48">
        <f t="shared" si="14"/>
        <v>0</v>
      </c>
      <c r="T62" s="12">
        <f t="shared" si="15"/>
        <v>1</v>
      </c>
      <c r="U62" s="44">
        <f t="shared" si="16"/>
        <v>0</v>
      </c>
      <c r="V62" s="44">
        <f t="shared" si="17"/>
        <v>1</v>
      </c>
      <c r="W62" s="44">
        <f t="shared" si="18"/>
        <v>0</v>
      </c>
      <c r="X62" s="48">
        <f t="shared" si="19"/>
        <v>1</v>
      </c>
      <c r="Z62" s="12">
        <f t="shared" si="20"/>
        <v>0</v>
      </c>
      <c r="AA62" s="44">
        <f t="shared" si="21"/>
        <v>0</v>
      </c>
      <c r="AB62" s="44">
        <f t="shared" si="22"/>
        <v>0</v>
      </c>
      <c r="AC62" s="44">
        <f t="shared" si="23"/>
        <v>0</v>
      </c>
      <c r="AD62" s="48">
        <f t="shared" si="24"/>
        <v>0</v>
      </c>
      <c r="AF62" s="12">
        <f t="shared" si="25"/>
        <v>0</v>
      </c>
      <c r="AG62" s="44">
        <f t="shared" si="26"/>
        <v>0</v>
      </c>
      <c r="AH62" s="44">
        <f t="shared" si="27"/>
        <v>0</v>
      </c>
      <c r="AI62" s="44">
        <f t="shared" si="28"/>
        <v>0</v>
      </c>
      <c r="AJ62" s="48">
        <f t="shared" si="29"/>
        <v>0</v>
      </c>
      <c r="AL62" s="12">
        <f t="shared" si="30"/>
        <v>0</v>
      </c>
      <c r="AM62" s="44">
        <f t="shared" si="31"/>
        <v>1</v>
      </c>
      <c r="AN62" s="44">
        <f t="shared" si="32"/>
        <v>0</v>
      </c>
      <c r="AO62" s="44">
        <f t="shared" si="33"/>
        <v>0</v>
      </c>
      <c r="AP62" s="48">
        <f t="shared" si="34"/>
        <v>0</v>
      </c>
      <c r="AR62" s="12">
        <f t="shared" si="35"/>
        <v>1</v>
      </c>
      <c r="AS62" s="44">
        <f t="shared" si="36"/>
        <v>0</v>
      </c>
      <c r="AT62" s="44">
        <f t="shared" si="37"/>
        <v>0</v>
      </c>
      <c r="AU62" s="44">
        <f t="shared" si="38"/>
        <v>0</v>
      </c>
      <c r="AV62" s="48">
        <f t="shared" si="39"/>
        <v>2</v>
      </c>
      <c r="AX62" s="12">
        <f t="shared" si="40"/>
        <v>0</v>
      </c>
      <c r="AY62" s="44">
        <f t="shared" si="41"/>
        <v>1</v>
      </c>
      <c r="AZ62" s="44">
        <f t="shared" si="42"/>
        <v>0</v>
      </c>
      <c r="BA62" s="44">
        <f t="shared" si="43"/>
        <v>1</v>
      </c>
      <c r="BB62" s="48">
        <f t="shared" si="44"/>
        <v>0</v>
      </c>
      <c r="BD62" s="12">
        <f t="shared" si="45"/>
        <v>0</v>
      </c>
      <c r="BE62" s="44">
        <f t="shared" si="46"/>
        <v>0</v>
      </c>
      <c r="BF62" s="44">
        <f t="shared" si="47"/>
        <v>1</v>
      </c>
      <c r="BG62" s="44">
        <f t="shared" si="48"/>
        <v>0</v>
      </c>
      <c r="BH62" s="48">
        <f t="shared" si="49"/>
        <v>0</v>
      </c>
      <c r="BJ62" s="12">
        <f t="shared" si="50"/>
        <v>0</v>
      </c>
      <c r="BK62" s="44">
        <f t="shared" si="51"/>
        <v>0</v>
      </c>
      <c r="BL62" s="44">
        <f t="shared" si="52"/>
        <v>1</v>
      </c>
      <c r="BM62" s="44">
        <f t="shared" si="53"/>
        <v>0</v>
      </c>
      <c r="BN62" s="48">
        <f t="shared" si="54"/>
        <v>1</v>
      </c>
      <c r="BP62" s="12">
        <f t="shared" si="55"/>
        <v>1</v>
      </c>
      <c r="BQ62" s="44">
        <f t="shared" si="56"/>
        <v>0</v>
      </c>
      <c r="BR62" s="44">
        <f t="shared" si="57"/>
        <v>0</v>
      </c>
      <c r="BS62" s="44">
        <f t="shared" si="58"/>
        <v>1</v>
      </c>
      <c r="BT62" s="48">
        <f t="shared" si="59"/>
        <v>0</v>
      </c>
    </row>
    <row r="63" spans="1:72" x14ac:dyDescent="0.25">
      <c r="A63" s="4">
        <v>41</v>
      </c>
      <c r="B63" s="54" t="str">
        <f>IF('Game Info'!J46="","",'Game Info'!J46)</f>
        <v>SYM3</v>
      </c>
      <c r="C63" s="54" t="str">
        <f>IF('Game Info'!K46="","",'Game Info'!K46)</f>
        <v>Q</v>
      </c>
      <c r="D63" s="54" t="str">
        <f>IF('Game Info'!L46="","",'Game Info'!L46)</f>
        <v>WILD</v>
      </c>
      <c r="E63" s="54" t="str">
        <f>IF('Game Info'!M46="","",'Game Info'!M46)</f>
        <v>SYM4</v>
      </c>
      <c r="F63" s="55" t="str">
        <f>IF('Game Info'!N46="","",'Game Info'!N46)</f>
        <v>SYM1</v>
      </c>
      <c r="H63" s="12">
        <f t="shared" si="5"/>
        <v>0</v>
      </c>
      <c r="I63" s="44">
        <f t="shared" si="6"/>
        <v>0</v>
      </c>
      <c r="J63" s="44">
        <f t="shared" si="7"/>
        <v>2</v>
      </c>
      <c r="K63" s="44">
        <f t="shared" si="8"/>
        <v>1</v>
      </c>
      <c r="L63" s="48">
        <f t="shared" si="9"/>
        <v>1</v>
      </c>
      <c r="N63" s="12">
        <f t="shared" si="10"/>
        <v>0</v>
      </c>
      <c r="O63" s="44">
        <f t="shared" si="11"/>
        <v>0</v>
      </c>
      <c r="P63" s="44">
        <f t="shared" si="12"/>
        <v>1</v>
      </c>
      <c r="Q63" s="44">
        <f t="shared" si="13"/>
        <v>0</v>
      </c>
      <c r="R63" s="48">
        <f t="shared" si="14"/>
        <v>0</v>
      </c>
      <c r="T63" s="12">
        <f t="shared" si="15"/>
        <v>2</v>
      </c>
      <c r="U63" s="44">
        <f t="shared" si="16"/>
        <v>0</v>
      </c>
      <c r="V63" s="44">
        <f t="shared" si="17"/>
        <v>1</v>
      </c>
      <c r="W63" s="44">
        <f t="shared" si="18"/>
        <v>0</v>
      </c>
      <c r="X63" s="48">
        <f t="shared" si="19"/>
        <v>1</v>
      </c>
      <c r="Z63" s="12">
        <f t="shared" si="20"/>
        <v>0</v>
      </c>
      <c r="AA63" s="44">
        <f t="shared" si="21"/>
        <v>0</v>
      </c>
      <c r="AB63" s="44">
        <f t="shared" si="22"/>
        <v>1</v>
      </c>
      <c r="AC63" s="44">
        <f t="shared" si="23"/>
        <v>1</v>
      </c>
      <c r="AD63" s="48">
        <f t="shared" si="24"/>
        <v>0</v>
      </c>
      <c r="AF63" s="12">
        <f t="shared" si="25"/>
        <v>0</v>
      </c>
      <c r="AG63" s="44">
        <f t="shared" si="26"/>
        <v>0</v>
      </c>
      <c r="AH63" s="44">
        <f t="shared" si="27"/>
        <v>1</v>
      </c>
      <c r="AI63" s="44">
        <f t="shared" si="28"/>
        <v>0</v>
      </c>
      <c r="AJ63" s="48">
        <f t="shared" si="29"/>
        <v>0</v>
      </c>
      <c r="AL63" s="12">
        <f t="shared" si="30"/>
        <v>0</v>
      </c>
      <c r="AM63" s="44">
        <f t="shared" si="31"/>
        <v>1</v>
      </c>
      <c r="AN63" s="44">
        <f t="shared" si="32"/>
        <v>1</v>
      </c>
      <c r="AO63" s="44">
        <f t="shared" si="33"/>
        <v>0</v>
      </c>
      <c r="AP63" s="48">
        <f t="shared" si="34"/>
        <v>0</v>
      </c>
      <c r="AR63" s="12">
        <f t="shared" si="35"/>
        <v>1</v>
      </c>
      <c r="AS63" s="44">
        <f t="shared" si="36"/>
        <v>0</v>
      </c>
      <c r="AT63" s="44">
        <f t="shared" si="37"/>
        <v>1</v>
      </c>
      <c r="AU63" s="44">
        <f t="shared" si="38"/>
        <v>0</v>
      </c>
      <c r="AV63" s="48">
        <f t="shared" si="39"/>
        <v>1</v>
      </c>
      <c r="AX63" s="12">
        <f t="shared" si="40"/>
        <v>0</v>
      </c>
      <c r="AY63" s="44">
        <f t="shared" si="41"/>
        <v>2</v>
      </c>
      <c r="AZ63" s="44">
        <f t="shared" si="42"/>
        <v>1</v>
      </c>
      <c r="BA63" s="44">
        <f t="shared" si="43"/>
        <v>1</v>
      </c>
      <c r="BB63" s="48">
        <f t="shared" si="44"/>
        <v>0</v>
      </c>
      <c r="BD63" s="12">
        <f t="shared" si="45"/>
        <v>0</v>
      </c>
      <c r="BE63" s="44">
        <f t="shared" si="46"/>
        <v>0</v>
      </c>
      <c r="BF63" s="44">
        <f t="shared" si="47"/>
        <v>2</v>
      </c>
      <c r="BG63" s="44">
        <f t="shared" si="48"/>
        <v>0</v>
      </c>
      <c r="BH63" s="48">
        <f t="shared" si="49"/>
        <v>0</v>
      </c>
      <c r="BJ63" s="12">
        <f t="shared" si="50"/>
        <v>0</v>
      </c>
      <c r="BK63" s="44">
        <f t="shared" si="51"/>
        <v>0</v>
      </c>
      <c r="BL63" s="44">
        <f t="shared" si="52"/>
        <v>2</v>
      </c>
      <c r="BM63" s="44">
        <f t="shared" si="53"/>
        <v>0</v>
      </c>
      <c r="BN63" s="48">
        <f t="shared" si="54"/>
        <v>1</v>
      </c>
      <c r="BP63" s="12">
        <f t="shared" si="55"/>
        <v>1</v>
      </c>
      <c r="BQ63" s="44">
        <f t="shared" si="56"/>
        <v>0</v>
      </c>
      <c r="BR63" s="44">
        <f t="shared" si="57"/>
        <v>1</v>
      </c>
      <c r="BS63" s="44">
        <f t="shared" si="58"/>
        <v>1</v>
      </c>
      <c r="BT63" s="48">
        <f t="shared" si="59"/>
        <v>0</v>
      </c>
    </row>
    <row r="64" spans="1:72" x14ac:dyDescent="0.25">
      <c r="A64" s="4">
        <v>42</v>
      </c>
      <c r="B64" s="54">
        <f>IF('Game Info'!J47="","",'Game Info'!J47)</f>
        <v>10</v>
      </c>
      <c r="C64" s="54" t="str">
        <f>IF('Game Info'!K47="","",'Game Info'!K47)</f>
        <v>SYM4</v>
      </c>
      <c r="D64" s="54">
        <f>IF('Game Info'!L47="","",'Game Info'!L47)</f>
        <v>10</v>
      </c>
      <c r="E64" s="54" t="str">
        <f>IF('Game Info'!M47="","",'Game Info'!M47)</f>
        <v>J</v>
      </c>
      <c r="F64" s="55">
        <f>IF('Game Info'!N47="","",'Game Info'!N47)</f>
        <v>10</v>
      </c>
      <c r="H64" s="12">
        <f t="shared" si="5"/>
        <v>0</v>
      </c>
      <c r="I64" s="44">
        <f t="shared" si="6"/>
        <v>0</v>
      </c>
      <c r="J64" s="44">
        <f t="shared" si="7"/>
        <v>2</v>
      </c>
      <c r="K64" s="44">
        <f t="shared" si="8"/>
        <v>1</v>
      </c>
      <c r="L64" s="48">
        <f t="shared" si="9"/>
        <v>1</v>
      </c>
      <c r="N64" s="12">
        <f t="shared" si="10"/>
        <v>0</v>
      </c>
      <c r="O64" s="44">
        <f t="shared" si="11"/>
        <v>0</v>
      </c>
      <c r="P64" s="44">
        <f t="shared" si="12"/>
        <v>1</v>
      </c>
      <c r="Q64" s="44">
        <f t="shared" si="13"/>
        <v>0</v>
      </c>
      <c r="R64" s="48">
        <f t="shared" si="14"/>
        <v>0</v>
      </c>
      <c r="T64" s="12">
        <f t="shared" si="15"/>
        <v>2</v>
      </c>
      <c r="U64" s="44">
        <f t="shared" si="16"/>
        <v>0</v>
      </c>
      <c r="V64" s="44">
        <f t="shared" si="17"/>
        <v>1</v>
      </c>
      <c r="W64" s="44">
        <f t="shared" si="18"/>
        <v>0</v>
      </c>
      <c r="X64" s="48">
        <f t="shared" si="19"/>
        <v>0</v>
      </c>
      <c r="Z64" s="12">
        <f t="shared" si="20"/>
        <v>0</v>
      </c>
      <c r="AA64" s="44">
        <f t="shared" si="21"/>
        <v>1</v>
      </c>
      <c r="AB64" s="44">
        <f t="shared" si="22"/>
        <v>1</v>
      </c>
      <c r="AC64" s="44">
        <f t="shared" si="23"/>
        <v>1</v>
      </c>
      <c r="AD64" s="48">
        <f t="shared" si="24"/>
        <v>0</v>
      </c>
      <c r="AF64" s="12">
        <f t="shared" si="25"/>
        <v>0</v>
      </c>
      <c r="AG64" s="44">
        <f t="shared" si="26"/>
        <v>0</v>
      </c>
      <c r="AH64" s="44">
        <f t="shared" si="27"/>
        <v>1</v>
      </c>
      <c r="AI64" s="44">
        <f t="shared" si="28"/>
        <v>0</v>
      </c>
      <c r="AJ64" s="48">
        <f t="shared" si="29"/>
        <v>0</v>
      </c>
      <c r="AL64" s="12">
        <f t="shared" si="30"/>
        <v>0</v>
      </c>
      <c r="AM64" s="44">
        <f t="shared" si="31"/>
        <v>1</v>
      </c>
      <c r="AN64" s="44">
        <f t="shared" si="32"/>
        <v>1</v>
      </c>
      <c r="AO64" s="44">
        <f t="shared" si="33"/>
        <v>0</v>
      </c>
      <c r="AP64" s="48">
        <f t="shared" si="34"/>
        <v>0</v>
      </c>
      <c r="AR64" s="12">
        <f t="shared" si="35"/>
        <v>1</v>
      </c>
      <c r="AS64" s="44">
        <f t="shared" si="36"/>
        <v>0</v>
      </c>
      <c r="AT64" s="44">
        <f t="shared" si="37"/>
        <v>1</v>
      </c>
      <c r="AU64" s="44">
        <f t="shared" si="38"/>
        <v>0</v>
      </c>
      <c r="AV64" s="48">
        <f t="shared" si="39"/>
        <v>1</v>
      </c>
      <c r="AX64" s="12">
        <f t="shared" si="40"/>
        <v>0</v>
      </c>
      <c r="AY64" s="44">
        <f t="shared" si="41"/>
        <v>1</v>
      </c>
      <c r="AZ64" s="44">
        <f t="shared" si="42"/>
        <v>1</v>
      </c>
      <c r="BA64" s="44">
        <f t="shared" si="43"/>
        <v>1</v>
      </c>
      <c r="BB64" s="48">
        <f t="shared" si="44"/>
        <v>0</v>
      </c>
      <c r="BD64" s="12">
        <f t="shared" si="45"/>
        <v>0</v>
      </c>
      <c r="BE64" s="44">
        <f t="shared" si="46"/>
        <v>0</v>
      </c>
      <c r="BF64" s="44">
        <f t="shared" si="47"/>
        <v>2</v>
      </c>
      <c r="BG64" s="44">
        <f t="shared" si="48"/>
        <v>1</v>
      </c>
      <c r="BH64" s="48">
        <f t="shared" si="49"/>
        <v>0</v>
      </c>
      <c r="BJ64" s="12">
        <f t="shared" si="50"/>
        <v>1</v>
      </c>
      <c r="BK64" s="44">
        <f t="shared" si="51"/>
        <v>0</v>
      </c>
      <c r="BL64" s="44">
        <f t="shared" si="52"/>
        <v>2</v>
      </c>
      <c r="BM64" s="44">
        <f t="shared" si="53"/>
        <v>0</v>
      </c>
      <c r="BN64" s="48">
        <f t="shared" si="54"/>
        <v>2</v>
      </c>
      <c r="BP64" s="12">
        <f t="shared" si="55"/>
        <v>0</v>
      </c>
      <c r="BQ64" s="44">
        <f t="shared" si="56"/>
        <v>0</v>
      </c>
      <c r="BR64" s="44">
        <f t="shared" si="57"/>
        <v>1</v>
      </c>
      <c r="BS64" s="44">
        <f t="shared" si="58"/>
        <v>0</v>
      </c>
      <c r="BT64" s="48">
        <f t="shared" si="59"/>
        <v>0</v>
      </c>
    </row>
    <row r="65" spans="1:72" x14ac:dyDescent="0.25">
      <c r="A65" s="4">
        <v>43</v>
      </c>
      <c r="B65" s="54" t="str">
        <f>IF('Game Info'!J48="","",'Game Info'!J48)</f>
        <v>FG</v>
      </c>
      <c r="C65" s="54" t="str">
        <f>IF('Game Info'!K48="","",'Game Info'!K48)</f>
        <v>J</v>
      </c>
      <c r="D65" s="54" t="str">
        <f>IF('Game Info'!L48="","",'Game Info'!L48)</f>
        <v>SYM4</v>
      </c>
      <c r="E65" s="54" t="str">
        <f>IF('Game Info'!M48="","",'Game Info'!M48)</f>
        <v>SYM3</v>
      </c>
      <c r="F65" s="55" t="str">
        <f>IF('Game Info'!N48="","",'Game Info'!N48)</f>
        <v>SYM3</v>
      </c>
      <c r="H65" s="12">
        <f t="shared" si="5"/>
        <v>0</v>
      </c>
      <c r="I65" s="44">
        <f t="shared" si="6"/>
        <v>0</v>
      </c>
      <c r="J65" s="44">
        <f t="shared" si="7"/>
        <v>1</v>
      </c>
      <c r="K65" s="44">
        <f t="shared" si="8"/>
        <v>0</v>
      </c>
      <c r="L65" s="48">
        <f t="shared" si="9"/>
        <v>1</v>
      </c>
      <c r="N65" s="12">
        <f t="shared" si="10"/>
        <v>0</v>
      </c>
      <c r="O65" s="44">
        <f t="shared" si="11"/>
        <v>0</v>
      </c>
      <c r="P65" s="44">
        <f t="shared" si="12"/>
        <v>1</v>
      </c>
      <c r="Q65" s="44">
        <f t="shared" si="13"/>
        <v>0</v>
      </c>
      <c r="R65" s="48">
        <f t="shared" si="14"/>
        <v>0</v>
      </c>
      <c r="T65" s="12">
        <f t="shared" si="15"/>
        <v>2</v>
      </c>
      <c r="U65" s="44">
        <f t="shared" si="16"/>
        <v>0</v>
      </c>
      <c r="V65" s="44">
        <f t="shared" si="17"/>
        <v>1</v>
      </c>
      <c r="W65" s="44">
        <f t="shared" si="18"/>
        <v>1</v>
      </c>
      <c r="X65" s="48">
        <f t="shared" si="19"/>
        <v>1</v>
      </c>
      <c r="Z65" s="12">
        <f t="shared" si="20"/>
        <v>0</v>
      </c>
      <c r="AA65" s="44">
        <f t="shared" si="21"/>
        <v>1</v>
      </c>
      <c r="AB65" s="44">
        <f t="shared" si="22"/>
        <v>2</v>
      </c>
      <c r="AC65" s="44">
        <f t="shared" si="23"/>
        <v>1</v>
      </c>
      <c r="AD65" s="48">
        <f t="shared" si="24"/>
        <v>0</v>
      </c>
      <c r="AF65" s="12">
        <f t="shared" si="25"/>
        <v>0</v>
      </c>
      <c r="AG65" s="44">
        <f t="shared" si="26"/>
        <v>0</v>
      </c>
      <c r="AH65" s="44">
        <f t="shared" si="27"/>
        <v>1</v>
      </c>
      <c r="AI65" s="44">
        <f t="shared" si="28"/>
        <v>0</v>
      </c>
      <c r="AJ65" s="48">
        <f t="shared" si="29"/>
        <v>0</v>
      </c>
      <c r="AL65" s="12">
        <f t="shared" si="30"/>
        <v>0</v>
      </c>
      <c r="AM65" s="44">
        <f t="shared" si="31"/>
        <v>1</v>
      </c>
      <c r="AN65" s="44">
        <f t="shared" si="32"/>
        <v>1</v>
      </c>
      <c r="AO65" s="44">
        <f t="shared" si="33"/>
        <v>0</v>
      </c>
      <c r="AP65" s="48">
        <f t="shared" si="34"/>
        <v>0</v>
      </c>
      <c r="AR65" s="12">
        <f t="shared" si="35"/>
        <v>0</v>
      </c>
      <c r="AS65" s="44">
        <f t="shared" si="36"/>
        <v>0</v>
      </c>
      <c r="AT65" s="44">
        <f t="shared" si="37"/>
        <v>1</v>
      </c>
      <c r="AU65" s="44">
        <f t="shared" si="38"/>
        <v>0</v>
      </c>
      <c r="AV65" s="48">
        <f t="shared" si="39"/>
        <v>1</v>
      </c>
      <c r="AX65" s="12">
        <f t="shared" si="40"/>
        <v>0</v>
      </c>
      <c r="AY65" s="44">
        <f t="shared" si="41"/>
        <v>1</v>
      </c>
      <c r="AZ65" s="44">
        <f t="shared" si="42"/>
        <v>1</v>
      </c>
      <c r="BA65" s="44">
        <f t="shared" si="43"/>
        <v>1</v>
      </c>
      <c r="BB65" s="48">
        <f t="shared" si="44"/>
        <v>0</v>
      </c>
      <c r="BD65" s="12">
        <f t="shared" si="45"/>
        <v>0</v>
      </c>
      <c r="BE65" s="44">
        <f t="shared" si="46"/>
        <v>1</v>
      </c>
      <c r="BF65" s="44">
        <f t="shared" si="47"/>
        <v>2</v>
      </c>
      <c r="BG65" s="44">
        <f t="shared" si="48"/>
        <v>1</v>
      </c>
      <c r="BH65" s="48">
        <f t="shared" si="49"/>
        <v>0</v>
      </c>
      <c r="BJ65" s="12">
        <f t="shared" si="50"/>
        <v>1</v>
      </c>
      <c r="BK65" s="44">
        <f t="shared" si="51"/>
        <v>0</v>
      </c>
      <c r="BL65" s="44">
        <f t="shared" si="52"/>
        <v>2</v>
      </c>
      <c r="BM65" s="44">
        <f t="shared" si="53"/>
        <v>0</v>
      </c>
      <c r="BN65" s="48">
        <f t="shared" si="54"/>
        <v>1</v>
      </c>
      <c r="BP65" s="12">
        <f t="shared" si="55"/>
        <v>0</v>
      </c>
      <c r="BQ65" s="44">
        <f t="shared" si="56"/>
        <v>0</v>
      </c>
      <c r="BR65" s="44">
        <f t="shared" si="57"/>
        <v>1</v>
      </c>
      <c r="BS65" s="44">
        <f t="shared" si="58"/>
        <v>0</v>
      </c>
      <c r="BT65" s="48">
        <f t="shared" si="59"/>
        <v>0</v>
      </c>
    </row>
    <row r="66" spans="1:72" x14ac:dyDescent="0.25">
      <c r="A66" s="4">
        <v>44</v>
      </c>
      <c r="B66" s="54" t="str">
        <f>IF('Game Info'!J49="","",'Game Info'!J49)</f>
        <v>A</v>
      </c>
      <c r="C66" s="54" t="str">
        <f>IF('Game Info'!K49="","",'Game Info'!K49)</f>
        <v>SYM3</v>
      </c>
      <c r="D66" s="54" t="str">
        <f>IF('Game Info'!L49="","",'Game Info'!L49)</f>
        <v>SYM4</v>
      </c>
      <c r="E66" s="54" t="str">
        <f>IF('Game Info'!M49="","",'Game Info'!M49)</f>
        <v>SYM3</v>
      </c>
      <c r="F66" s="55" t="str">
        <f>IF('Game Info'!N49="","",'Game Info'!N49)</f>
        <v>Q</v>
      </c>
      <c r="H66" s="12">
        <f t="shared" si="5"/>
        <v>0</v>
      </c>
      <c r="I66" s="44">
        <f t="shared" si="6"/>
        <v>0</v>
      </c>
      <c r="J66" s="44">
        <f t="shared" si="7"/>
        <v>1</v>
      </c>
      <c r="K66" s="44">
        <f t="shared" si="8"/>
        <v>0</v>
      </c>
      <c r="L66" s="48">
        <f t="shared" si="9"/>
        <v>1</v>
      </c>
      <c r="N66" s="12">
        <f t="shared" si="10"/>
        <v>0</v>
      </c>
      <c r="O66" s="44">
        <f t="shared" si="11"/>
        <v>0</v>
      </c>
      <c r="P66" s="44">
        <f t="shared" si="12"/>
        <v>1</v>
      </c>
      <c r="Q66" s="44">
        <f t="shared" si="13"/>
        <v>0</v>
      </c>
      <c r="R66" s="48">
        <f t="shared" si="14"/>
        <v>0</v>
      </c>
      <c r="T66" s="12">
        <f t="shared" si="15"/>
        <v>1</v>
      </c>
      <c r="U66" s="44">
        <f t="shared" si="16"/>
        <v>1</v>
      </c>
      <c r="V66" s="44">
        <f t="shared" si="17"/>
        <v>1</v>
      </c>
      <c r="W66" s="44">
        <f t="shared" si="18"/>
        <v>2</v>
      </c>
      <c r="X66" s="48">
        <f t="shared" si="19"/>
        <v>1</v>
      </c>
      <c r="Z66" s="12">
        <f t="shared" si="20"/>
        <v>0</v>
      </c>
      <c r="AA66" s="44">
        <f t="shared" si="21"/>
        <v>1</v>
      </c>
      <c r="AB66" s="44">
        <f t="shared" si="22"/>
        <v>3</v>
      </c>
      <c r="AC66" s="44">
        <f t="shared" si="23"/>
        <v>1</v>
      </c>
      <c r="AD66" s="48">
        <f t="shared" si="24"/>
        <v>0</v>
      </c>
      <c r="AF66" s="12">
        <f t="shared" si="25"/>
        <v>0</v>
      </c>
      <c r="AG66" s="44">
        <f t="shared" si="26"/>
        <v>0</v>
      </c>
      <c r="AH66" s="44">
        <f t="shared" si="27"/>
        <v>1</v>
      </c>
      <c r="AI66" s="44">
        <f t="shared" si="28"/>
        <v>0</v>
      </c>
      <c r="AJ66" s="48">
        <f t="shared" si="29"/>
        <v>0</v>
      </c>
      <c r="AL66" s="12">
        <f t="shared" si="30"/>
        <v>1</v>
      </c>
      <c r="AM66" s="44">
        <f t="shared" si="31"/>
        <v>0</v>
      </c>
      <c r="AN66" s="44">
        <f t="shared" si="32"/>
        <v>1</v>
      </c>
      <c r="AO66" s="44">
        <f t="shared" si="33"/>
        <v>0</v>
      </c>
      <c r="AP66" s="48">
        <f t="shared" si="34"/>
        <v>0</v>
      </c>
      <c r="AR66" s="12">
        <f t="shared" si="35"/>
        <v>0</v>
      </c>
      <c r="AS66" s="44">
        <f t="shared" si="36"/>
        <v>0</v>
      </c>
      <c r="AT66" s="44">
        <f t="shared" si="37"/>
        <v>1</v>
      </c>
      <c r="AU66" s="44">
        <f t="shared" si="38"/>
        <v>0</v>
      </c>
      <c r="AV66" s="48">
        <f t="shared" si="39"/>
        <v>0</v>
      </c>
      <c r="AX66" s="12">
        <f t="shared" si="40"/>
        <v>0</v>
      </c>
      <c r="AY66" s="44">
        <f t="shared" si="41"/>
        <v>1</v>
      </c>
      <c r="AZ66" s="44">
        <f t="shared" si="42"/>
        <v>1</v>
      </c>
      <c r="BA66" s="44">
        <f t="shared" si="43"/>
        <v>0</v>
      </c>
      <c r="BB66" s="48">
        <f t="shared" si="44"/>
        <v>1</v>
      </c>
      <c r="BD66" s="12">
        <f t="shared" si="45"/>
        <v>0</v>
      </c>
      <c r="BE66" s="44">
        <f t="shared" si="46"/>
        <v>1</v>
      </c>
      <c r="BF66" s="44">
        <f t="shared" si="47"/>
        <v>1</v>
      </c>
      <c r="BG66" s="44">
        <f t="shared" si="48"/>
        <v>1</v>
      </c>
      <c r="BH66" s="48">
        <f t="shared" si="49"/>
        <v>0</v>
      </c>
      <c r="BJ66" s="12">
        <f t="shared" si="50"/>
        <v>1</v>
      </c>
      <c r="BK66" s="44">
        <f t="shared" si="51"/>
        <v>0</v>
      </c>
      <c r="BL66" s="44">
        <f t="shared" si="52"/>
        <v>2</v>
      </c>
      <c r="BM66" s="44">
        <f t="shared" si="53"/>
        <v>0</v>
      </c>
      <c r="BN66" s="48">
        <f t="shared" si="54"/>
        <v>1</v>
      </c>
      <c r="BP66" s="12">
        <f t="shared" si="55"/>
        <v>0</v>
      </c>
      <c r="BQ66" s="44">
        <f t="shared" si="56"/>
        <v>0</v>
      </c>
      <c r="BR66" s="44">
        <f t="shared" si="57"/>
        <v>1</v>
      </c>
      <c r="BS66" s="44">
        <f t="shared" si="58"/>
        <v>0</v>
      </c>
      <c r="BT66" s="48">
        <f t="shared" si="59"/>
        <v>0</v>
      </c>
    </row>
    <row r="67" spans="1:72" x14ac:dyDescent="0.25">
      <c r="A67" s="4">
        <v>45</v>
      </c>
      <c r="B67" s="54" t="str">
        <f>IF('Game Info'!J50="","",'Game Info'!J50)</f>
        <v>J</v>
      </c>
      <c r="C67" s="54" t="str">
        <f>IF('Game Info'!K50="","",'Game Info'!K50)</f>
        <v>K</v>
      </c>
      <c r="D67" s="54" t="str">
        <f>IF('Game Info'!L50="","",'Game Info'!L50)</f>
        <v>SYM4</v>
      </c>
      <c r="E67" s="54" t="str">
        <f>IF('Game Info'!M50="","",'Game Info'!M50)</f>
        <v>SYM3</v>
      </c>
      <c r="F67" s="55" t="str">
        <f>IF('Game Info'!N50="","",'Game Info'!N50)</f>
        <v>A</v>
      </c>
      <c r="H67" s="12">
        <f t="shared" si="5"/>
        <v>0</v>
      </c>
      <c r="I67" s="44">
        <f t="shared" si="6"/>
        <v>0</v>
      </c>
      <c r="J67" s="44">
        <f t="shared" si="7"/>
        <v>0</v>
      </c>
      <c r="K67" s="44">
        <f t="shared" si="8"/>
        <v>0</v>
      </c>
      <c r="L67" s="48">
        <f t="shared" si="9"/>
        <v>0</v>
      </c>
      <c r="N67" s="12">
        <f t="shared" si="10"/>
        <v>0</v>
      </c>
      <c r="O67" s="44">
        <f t="shared" si="11"/>
        <v>0</v>
      </c>
      <c r="P67" s="44">
        <f t="shared" si="12"/>
        <v>0</v>
      </c>
      <c r="Q67" s="44">
        <f t="shared" si="13"/>
        <v>0</v>
      </c>
      <c r="R67" s="48">
        <f t="shared" si="14"/>
        <v>0</v>
      </c>
      <c r="T67" s="12">
        <f t="shared" si="15"/>
        <v>0</v>
      </c>
      <c r="U67" s="44">
        <f t="shared" si="16"/>
        <v>1</v>
      </c>
      <c r="V67" s="44">
        <f t="shared" si="17"/>
        <v>0</v>
      </c>
      <c r="W67" s="44">
        <f t="shared" si="18"/>
        <v>3</v>
      </c>
      <c r="X67" s="48">
        <f t="shared" si="19"/>
        <v>1</v>
      </c>
      <c r="Z67" s="12">
        <f t="shared" si="20"/>
        <v>0</v>
      </c>
      <c r="AA67" s="44">
        <f t="shared" si="21"/>
        <v>1</v>
      </c>
      <c r="AB67" s="44">
        <f t="shared" si="22"/>
        <v>3</v>
      </c>
      <c r="AC67" s="44">
        <f t="shared" si="23"/>
        <v>0</v>
      </c>
      <c r="AD67" s="48">
        <f t="shared" si="24"/>
        <v>0</v>
      </c>
      <c r="AF67" s="12">
        <f t="shared" si="25"/>
        <v>0</v>
      </c>
      <c r="AG67" s="44">
        <f t="shared" si="26"/>
        <v>0</v>
      </c>
      <c r="AH67" s="44">
        <f t="shared" si="27"/>
        <v>0</v>
      </c>
      <c r="AI67" s="44">
        <f t="shared" si="28"/>
        <v>0</v>
      </c>
      <c r="AJ67" s="48">
        <f t="shared" si="29"/>
        <v>0</v>
      </c>
      <c r="AL67" s="12">
        <f t="shared" si="30"/>
        <v>1</v>
      </c>
      <c r="AM67" s="44">
        <f t="shared" si="31"/>
        <v>0</v>
      </c>
      <c r="AN67" s="44">
        <f t="shared" si="32"/>
        <v>0</v>
      </c>
      <c r="AO67" s="44">
        <f t="shared" si="33"/>
        <v>0</v>
      </c>
      <c r="AP67" s="48">
        <f t="shared" si="34"/>
        <v>1</v>
      </c>
      <c r="AR67" s="12">
        <f t="shared" si="35"/>
        <v>0</v>
      </c>
      <c r="AS67" s="44">
        <f t="shared" si="36"/>
        <v>1</v>
      </c>
      <c r="AT67" s="44">
        <f t="shared" si="37"/>
        <v>0</v>
      </c>
      <c r="AU67" s="44">
        <f t="shared" si="38"/>
        <v>0</v>
      </c>
      <c r="AV67" s="48">
        <f t="shared" si="39"/>
        <v>0</v>
      </c>
      <c r="AX67" s="12">
        <f t="shared" si="40"/>
        <v>0</v>
      </c>
      <c r="AY67" s="44">
        <f t="shared" si="41"/>
        <v>0</v>
      </c>
      <c r="AZ67" s="44">
        <f t="shared" si="42"/>
        <v>0</v>
      </c>
      <c r="BA67" s="44">
        <f t="shared" si="43"/>
        <v>0</v>
      </c>
      <c r="BB67" s="48">
        <f t="shared" si="44"/>
        <v>1</v>
      </c>
      <c r="BD67" s="12">
        <f t="shared" si="45"/>
        <v>1</v>
      </c>
      <c r="BE67" s="44">
        <f t="shared" si="46"/>
        <v>1</v>
      </c>
      <c r="BF67" s="44">
        <f t="shared" si="47"/>
        <v>0</v>
      </c>
      <c r="BG67" s="44">
        <f t="shared" si="48"/>
        <v>1</v>
      </c>
      <c r="BH67" s="48">
        <f t="shared" si="49"/>
        <v>0</v>
      </c>
      <c r="BJ67" s="12">
        <f t="shared" si="50"/>
        <v>1</v>
      </c>
      <c r="BK67" s="44">
        <f t="shared" si="51"/>
        <v>0</v>
      </c>
      <c r="BL67" s="44">
        <f t="shared" si="52"/>
        <v>1</v>
      </c>
      <c r="BM67" s="44">
        <f t="shared" si="53"/>
        <v>0</v>
      </c>
      <c r="BN67" s="48">
        <f t="shared" si="54"/>
        <v>1</v>
      </c>
      <c r="BP67" s="12">
        <f t="shared" si="55"/>
        <v>0</v>
      </c>
      <c r="BQ67" s="44">
        <f t="shared" si="56"/>
        <v>0</v>
      </c>
      <c r="BR67" s="44">
        <f t="shared" si="57"/>
        <v>0</v>
      </c>
      <c r="BS67" s="44">
        <f t="shared" si="58"/>
        <v>0</v>
      </c>
      <c r="BT67" s="48">
        <f t="shared" si="59"/>
        <v>0</v>
      </c>
    </row>
    <row r="68" spans="1:72" x14ac:dyDescent="0.25">
      <c r="A68" s="4">
        <v>46</v>
      </c>
      <c r="B68" s="54">
        <f>IF('Game Info'!J51="","",'Game Info'!J51)</f>
        <v>10</v>
      </c>
      <c r="C68" s="54" t="str">
        <f>IF('Game Info'!K51="","",'Game Info'!K51)</f>
        <v>SYM2</v>
      </c>
      <c r="D68" s="54" t="str">
        <f>IF('Game Info'!L51="","",'Game Info'!L51)</f>
        <v>K</v>
      </c>
      <c r="E68" s="54">
        <f>IF('Game Info'!M51="","",'Game Info'!M51)</f>
        <v>9</v>
      </c>
      <c r="F68" s="55" t="str">
        <f>IF('Game Info'!N51="","",'Game Info'!N51)</f>
        <v>SYM4</v>
      </c>
      <c r="H68" s="12">
        <f t="shared" si="5"/>
        <v>0</v>
      </c>
      <c r="I68" s="44">
        <f t="shared" si="6"/>
        <v>0</v>
      </c>
      <c r="J68" s="44">
        <f t="shared" si="7"/>
        <v>0</v>
      </c>
      <c r="K68" s="44">
        <f t="shared" si="8"/>
        <v>0</v>
      </c>
      <c r="L68" s="48">
        <f t="shared" si="9"/>
        <v>0</v>
      </c>
      <c r="N68" s="12">
        <f t="shared" si="10"/>
        <v>0</v>
      </c>
      <c r="O68" s="44">
        <f t="shared" si="11"/>
        <v>1</v>
      </c>
      <c r="P68" s="44">
        <f t="shared" si="12"/>
        <v>0</v>
      </c>
      <c r="Q68" s="44">
        <f t="shared" si="13"/>
        <v>0</v>
      </c>
      <c r="R68" s="48">
        <f t="shared" si="14"/>
        <v>0</v>
      </c>
      <c r="T68" s="12">
        <f t="shared" si="15"/>
        <v>0</v>
      </c>
      <c r="U68" s="44">
        <f t="shared" si="16"/>
        <v>1</v>
      </c>
      <c r="V68" s="44">
        <f t="shared" si="17"/>
        <v>0</v>
      </c>
      <c r="W68" s="44">
        <f t="shared" si="18"/>
        <v>3</v>
      </c>
      <c r="X68" s="48">
        <f t="shared" si="19"/>
        <v>1</v>
      </c>
      <c r="Z68" s="12">
        <f t="shared" si="20"/>
        <v>0</v>
      </c>
      <c r="AA68" s="44">
        <f t="shared" si="21"/>
        <v>0</v>
      </c>
      <c r="AB68" s="44">
        <f t="shared" si="22"/>
        <v>3</v>
      </c>
      <c r="AC68" s="44">
        <f t="shared" si="23"/>
        <v>0</v>
      </c>
      <c r="AD68" s="48">
        <f t="shared" si="24"/>
        <v>1</v>
      </c>
      <c r="AF68" s="12">
        <f t="shared" si="25"/>
        <v>0</v>
      </c>
      <c r="AG68" s="44">
        <f t="shared" si="26"/>
        <v>0</v>
      </c>
      <c r="AH68" s="44">
        <f t="shared" si="27"/>
        <v>0</v>
      </c>
      <c r="AI68" s="44">
        <f t="shared" si="28"/>
        <v>0</v>
      </c>
      <c r="AJ68" s="48">
        <f t="shared" si="29"/>
        <v>0</v>
      </c>
      <c r="AL68" s="12">
        <f t="shared" si="30"/>
        <v>1</v>
      </c>
      <c r="AM68" s="44">
        <f t="shared" si="31"/>
        <v>0</v>
      </c>
      <c r="AN68" s="44">
        <f t="shared" si="32"/>
        <v>0</v>
      </c>
      <c r="AO68" s="44">
        <f t="shared" si="33"/>
        <v>0</v>
      </c>
      <c r="AP68" s="48">
        <f t="shared" si="34"/>
        <v>1</v>
      </c>
      <c r="AR68" s="12">
        <f t="shared" si="35"/>
        <v>0</v>
      </c>
      <c r="AS68" s="44">
        <f t="shared" si="36"/>
        <v>1</v>
      </c>
      <c r="AT68" s="44">
        <f t="shared" si="37"/>
        <v>1</v>
      </c>
      <c r="AU68" s="44">
        <f t="shared" si="38"/>
        <v>0</v>
      </c>
      <c r="AV68" s="48">
        <f t="shared" si="39"/>
        <v>0</v>
      </c>
      <c r="AX68" s="12">
        <f t="shared" si="40"/>
        <v>0</v>
      </c>
      <c r="AY68" s="44">
        <f t="shared" si="41"/>
        <v>0</v>
      </c>
      <c r="AZ68" s="44">
        <f t="shared" si="42"/>
        <v>0</v>
      </c>
      <c r="BA68" s="44">
        <f t="shared" si="43"/>
        <v>0</v>
      </c>
      <c r="BB68" s="48">
        <f t="shared" si="44"/>
        <v>1</v>
      </c>
      <c r="BD68" s="12">
        <f t="shared" si="45"/>
        <v>1</v>
      </c>
      <c r="BE68" s="44">
        <f t="shared" si="46"/>
        <v>1</v>
      </c>
      <c r="BF68" s="44">
        <f t="shared" si="47"/>
        <v>0</v>
      </c>
      <c r="BG68" s="44">
        <f t="shared" si="48"/>
        <v>0</v>
      </c>
      <c r="BH68" s="48">
        <f t="shared" si="49"/>
        <v>0</v>
      </c>
      <c r="BJ68" s="12">
        <f t="shared" si="50"/>
        <v>1</v>
      </c>
      <c r="BK68" s="44">
        <f t="shared" si="51"/>
        <v>0</v>
      </c>
      <c r="BL68" s="44">
        <f t="shared" si="52"/>
        <v>0</v>
      </c>
      <c r="BM68" s="44">
        <f t="shared" si="53"/>
        <v>0</v>
      </c>
      <c r="BN68" s="48">
        <f t="shared" si="54"/>
        <v>0</v>
      </c>
      <c r="BP68" s="12">
        <f t="shared" si="55"/>
        <v>0</v>
      </c>
      <c r="BQ68" s="44">
        <f t="shared" si="56"/>
        <v>0</v>
      </c>
      <c r="BR68" s="44">
        <f t="shared" si="57"/>
        <v>0</v>
      </c>
      <c r="BS68" s="44">
        <f t="shared" si="58"/>
        <v>1</v>
      </c>
      <c r="BT68" s="48">
        <f t="shared" si="59"/>
        <v>0</v>
      </c>
    </row>
    <row r="69" spans="1:72" x14ac:dyDescent="0.25">
      <c r="A69" s="4">
        <v>47</v>
      </c>
      <c r="B69" s="54" t="str">
        <f>IF('Game Info'!J52="","",'Game Info'!J52)</f>
        <v>SYM2</v>
      </c>
      <c r="C69" s="54" t="str">
        <f>IF('Game Info'!K52="","",'Game Info'!K52)</f>
        <v>SYM2</v>
      </c>
      <c r="D69" s="54" t="str">
        <f>IF('Game Info'!L52="","",'Game Info'!L52)</f>
        <v>SYM5</v>
      </c>
      <c r="E69" s="54" t="str">
        <f>IF('Game Info'!M52="","",'Game Info'!M52)</f>
        <v>K</v>
      </c>
      <c r="F69" s="55" t="str">
        <f>IF('Game Info'!N52="","",'Game Info'!N52)</f>
        <v>K</v>
      </c>
      <c r="H69" s="12">
        <f t="shared" si="5"/>
        <v>0</v>
      </c>
      <c r="I69" s="44">
        <f t="shared" si="6"/>
        <v>0</v>
      </c>
      <c r="J69" s="44">
        <f t="shared" si="7"/>
        <v>0</v>
      </c>
      <c r="K69" s="44">
        <f t="shared" si="8"/>
        <v>0</v>
      </c>
      <c r="L69" s="48">
        <f t="shared" si="9"/>
        <v>0</v>
      </c>
      <c r="N69" s="12">
        <f t="shared" si="10"/>
        <v>1</v>
      </c>
      <c r="O69" s="44">
        <f t="shared" si="11"/>
        <v>2</v>
      </c>
      <c r="P69" s="44">
        <f t="shared" si="12"/>
        <v>0</v>
      </c>
      <c r="Q69" s="44">
        <f t="shared" si="13"/>
        <v>0</v>
      </c>
      <c r="R69" s="48">
        <f t="shared" si="14"/>
        <v>0</v>
      </c>
      <c r="T69" s="12">
        <f t="shared" si="15"/>
        <v>0</v>
      </c>
      <c r="U69" s="44">
        <f t="shared" si="16"/>
        <v>1</v>
      </c>
      <c r="V69" s="44">
        <f t="shared" si="17"/>
        <v>0</v>
      </c>
      <c r="W69" s="44">
        <f t="shared" si="18"/>
        <v>2</v>
      </c>
      <c r="X69" s="48">
        <f t="shared" si="19"/>
        <v>0</v>
      </c>
      <c r="Z69" s="12">
        <f t="shared" si="20"/>
        <v>0</v>
      </c>
      <c r="AA69" s="44">
        <f t="shared" si="21"/>
        <v>0</v>
      </c>
      <c r="AB69" s="44">
        <f t="shared" si="22"/>
        <v>2</v>
      </c>
      <c r="AC69" s="44">
        <f t="shared" si="23"/>
        <v>0</v>
      </c>
      <c r="AD69" s="48">
        <f t="shared" si="24"/>
        <v>1</v>
      </c>
      <c r="AF69" s="12">
        <f t="shared" si="25"/>
        <v>0</v>
      </c>
      <c r="AG69" s="44">
        <f t="shared" si="26"/>
        <v>0</v>
      </c>
      <c r="AH69" s="44">
        <f t="shared" si="27"/>
        <v>1</v>
      </c>
      <c r="AI69" s="44">
        <f t="shared" si="28"/>
        <v>0</v>
      </c>
      <c r="AJ69" s="48">
        <f t="shared" si="29"/>
        <v>0</v>
      </c>
      <c r="AL69" s="12">
        <f t="shared" si="30"/>
        <v>1</v>
      </c>
      <c r="AM69" s="44">
        <f t="shared" si="31"/>
        <v>0</v>
      </c>
      <c r="AN69" s="44">
        <f t="shared" si="32"/>
        <v>0</v>
      </c>
      <c r="AO69" s="44">
        <f t="shared" si="33"/>
        <v>0</v>
      </c>
      <c r="AP69" s="48">
        <f t="shared" si="34"/>
        <v>1</v>
      </c>
      <c r="AR69" s="12">
        <f t="shared" si="35"/>
        <v>0</v>
      </c>
      <c r="AS69" s="44">
        <f t="shared" si="36"/>
        <v>1</v>
      </c>
      <c r="AT69" s="44">
        <f t="shared" si="37"/>
        <v>1</v>
      </c>
      <c r="AU69" s="44">
        <f t="shared" si="38"/>
        <v>1</v>
      </c>
      <c r="AV69" s="48">
        <f t="shared" si="39"/>
        <v>1</v>
      </c>
      <c r="AX69" s="12">
        <f t="shared" si="40"/>
        <v>0</v>
      </c>
      <c r="AY69" s="44">
        <f t="shared" si="41"/>
        <v>0</v>
      </c>
      <c r="AZ69" s="44">
        <f t="shared" si="42"/>
        <v>0</v>
      </c>
      <c r="BA69" s="44">
        <f t="shared" si="43"/>
        <v>0</v>
      </c>
      <c r="BB69" s="48">
        <f t="shared" si="44"/>
        <v>1</v>
      </c>
      <c r="BD69" s="12">
        <f t="shared" si="45"/>
        <v>1</v>
      </c>
      <c r="BE69" s="44">
        <f t="shared" si="46"/>
        <v>0</v>
      </c>
      <c r="BF69" s="44">
        <f t="shared" si="47"/>
        <v>0</v>
      </c>
      <c r="BG69" s="44">
        <f t="shared" si="48"/>
        <v>0</v>
      </c>
      <c r="BH69" s="48">
        <f t="shared" si="49"/>
        <v>0</v>
      </c>
      <c r="BJ69" s="12">
        <f t="shared" si="50"/>
        <v>1</v>
      </c>
      <c r="BK69" s="44">
        <f t="shared" si="51"/>
        <v>0</v>
      </c>
      <c r="BL69" s="44">
        <f t="shared" si="52"/>
        <v>0</v>
      </c>
      <c r="BM69" s="44">
        <f t="shared" si="53"/>
        <v>0</v>
      </c>
      <c r="BN69" s="48">
        <f t="shared" si="54"/>
        <v>0</v>
      </c>
      <c r="BP69" s="12">
        <f t="shared" si="55"/>
        <v>0</v>
      </c>
      <c r="BQ69" s="44">
        <f t="shared" si="56"/>
        <v>0</v>
      </c>
      <c r="BR69" s="44">
        <f t="shared" si="57"/>
        <v>0</v>
      </c>
      <c r="BS69" s="44">
        <f t="shared" si="58"/>
        <v>1</v>
      </c>
      <c r="BT69" s="48">
        <f t="shared" si="59"/>
        <v>0</v>
      </c>
    </row>
    <row r="70" spans="1:72" x14ac:dyDescent="0.25">
      <c r="A70" s="4">
        <v>48</v>
      </c>
      <c r="B70" s="54">
        <f>IF('Game Info'!J53="","",'Game Info'!J53)</f>
        <v>9</v>
      </c>
      <c r="C70" s="54" t="str">
        <f>IF('Game Info'!K53="","",'Game Info'!K53)</f>
        <v>Q</v>
      </c>
      <c r="D70" s="54" t="str">
        <f>IF('Game Info'!L53="","",'Game Info'!L53)</f>
        <v>J</v>
      </c>
      <c r="E70" s="54" t="str">
        <f>IF('Game Info'!M53="","",'Game Info'!M53)</f>
        <v>SYM5</v>
      </c>
      <c r="F70" s="55" t="str">
        <f>IF('Game Info'!N53="","",'Game Info'!N53)</f>
        <v>SYM3</v>
      </c>
      <c r="H70" s="12">
        <f t="shared" si="5"/>
        <v>0</v>
      </c>
      <c r="I70" s="44">
        <f t="shared" si="6"/>
        <v>0</v>
      </c>
      <c r="J70" s="44">
        <f t="shared" si="7"/>
        <v>0</v>
      </c>
      <c r="K70" s="44">
        <f t="shared" si="8"/>
        <v>0</v>
      </c>
      <c r="L70" s="48">
        <f t="shared" si="9"/>
        <v>0</v>
      </c>
      <c r="N70" s="12">
        <f t="shared" si="10"/>
        <v>1</v>
      </c>
      <c r="O70" s="44">
        <f t="shared" si="11"/>
        <v>2</v>
      </c>
      <c r="P70" s="44">
        <f t="shared" si="12"/>
        <v>0</v>
      </c>
      <c r="Q70" s="44">
        <f t="shared" si="13"/>
        <v>0</v>
      </c>
      <c r="R70" s="48">
        <f t="shared" si="14"/>
        <v>0</v>
      </c>
      <c r="T70" s="12">
        <f t="shared" si="15"/>
        <v>0</v>
      </c>
      <c r="U70" s="44">
        <f t="shared" si="16"/>
        <v>0</v>
      </c>
      <c r="V70" s="44">
        <f t="shared" si="17"/>
        <v>0</v>
      </c>
      <c r="W70" s="44">
        <f t="shared" si="18"/>
        <v>1</v>
      </c>
      <c r="X70" s="48">
        <f t="shared" si="19"/>
        <v>1</v>
      </c>
      <c r="Z70" s="12">
        <f t="shared" si="20"/>
        <v>0</v>
      </c>
      <c r="AA70" s="44">
        <f t="shared" si="21"/>
        <v>0</v>
      </c>
      <c r="AB70" s="44">
        <f t="shared" si="22"/>
        <v>1</v>
      </c>
      <c r="AC70" s="44">
        <f t="shared" si="23"/>
        <v>0</v>
      </c>
      <c r="AD70" s="48">
        <f t="shared" si="24"/>
        <v>1</v>
      </c>
      <c r="AF70" s="12">
        <f t="shared" si="25"/>
        <v>0</v>
      </c>
      <c r="AG70" s="44">
        <f t="shared" si="26"/>
        <v>0</v>
      </c>
      <c r="AH70" s="44">
        <f t="shared" si="27"/>
        <v>1</v>
      </c>
      <c r="AI70" s="44">
        <f t="shared" si="28"/>
        <v>1</v>
      </c>
      <c r="AJ70" s="48">
        <f t="shared" si="29"/>
        <v>0</v>
      </c>
      <c r="AL70" s="12">
        <f t="shared" si="30"/>
        <v>0</v>
      </c>
      <c r="AM70" s="44">
        <f t="shared" si="31"/>
        <v>0</v>
      </c>
      <c r="AN70" s="44">
        <f t="shared" si="32"/>
        <v>0</v>
      </c>
      <c r="AO70" s="44">
        <f t="shared" si="33"/>
        <v>0</v>
      </c>
      <c r="AP70" s="48">
        <f t="shared" si="34"/>
        <v>1</v>
      </c>
      <c r="AR70" s="12">
        <f t="shared" si="35"/>
        <v>0</v>
      </c>
      <c r="AS70" s="44">
        <f t="shared" si="36"/>
        <v>1</v>
      </c>
      <c r="AT70" s="44">
        <f t="shared" si="37"/>
        <v>1</v>
      </c>
      <c r="AU70" s="44">
        <f t="shared" si="38"/>
        <v>1</v>
      </c>
      <c r="AV70" s="48">
        <f t="shared" si="39"/>
        <v>1</v>
      </c>
      <c r="AX70" s="12">
        <f t="shared" si="40"/>
        <v>0</v>
      </c>
      <c r="AY70" s="44">
        <f t="shared" si="41"/>
        <v>1</v>
      </c>
      <c r="AZ70" s="44">
        <f t="shared" si="42"/>
        <v>0</v>
      </c>
      <c r="BA70" s="44">
        <f t="shared" si="43"/>
        <v>0</v>
      </c>
      <c r="BB70" s="48">
        <f t="shared" si="44"/>
        <v>0</v>
      </c>
      <c r="BD70" s="12">
        <f t="shared" si="45"/>
        <v>1</v>
      </c>
      <c r="BE70" s="44">
        <f t="shared" si="46"/>
        <v>0</v>
      </c>
      <c r="BF70" s="44">
        <f t="shared" si="47"/>
        <v>1</v>
      </c>
      <c r="BG70" s="44">
        <f t="shared" si="48"/>
        <v>0</v>
      </c>
      <c r="BH70" s="48">
        <f t="shared" si="49"/>
        <v>0</v>
      </c>
      <c r="BJ70" s="12">
        <f t="shared" si="50"/>
        <v>1</v>
      </c>
      <c r="BK70" s="44">
        <f t="shared" si="51"/>
        <v>0</v>
      </c>
      <c r="BL70" s="44">
        <f t="shared" si="52"/>
        <v>0</v>
      </c>
      <c r="BM70" s="44">
        <f t="shared" si="53"/>
        <v>0</v>
      </c>
      <c r="BN70" s="48">
        <f t="shared" si="54"/>
        <v>0</v>
      </c>
      <c r="BP70" s="12">
        <f t="shared" si="55"/>
        <v>1</v>
      </c>
      <c r="BQ70" s="44">
        <f t="shared" si="56"/>
        <v>0</v>
      </c>
      <c r="BR70" s="44">
        <f t="shared" si="57"/>
        <v>0</v>
      </c>
      <c r="BS70" s="44">
        <f t="shared" si="58"/>
        <v>1</v>
      </c>
      <c r="BT70" s="48">
        <f t="shared" si="59"/>
        <v>0</v>
      </c>
    </row>
    <row r="71" spans="1:72" x14ac:dyDescent="0.25">
      <c r="A71" s="4">
        <v>49</v>
      </c>
      <c r="B71" s="54" t="str">
        <f>IF('Game Info'!J54="","",'Game Info'!J54)</f>
        <v>SYM4</v>
      </c>
      <c r="C71" s="54" t="str">
        <f>IF('Game Info'!K54="","",'Game Info'!K54)</f>
        <v>SYM5</v>
      </c>
      <c r="D71" s="54" t="str">
        <f>IF('Game Info'!L54="","",'Game Info'!L54)</f>
        <v>SYM1</v>
      </c>
      <c r="E71" s="54" t="str">
        <f>IF('Game Info'!M54="","",'Game Info'!M54)</f>
        <v>J</v>
      </c>
      <c r="F71" s="55" t="str">
        <f>IF('Game Info'!N54="","",'Game Info'!N54)</f>
        <v>SYM3</v>
      </c>
      <c r="H71" s="12">
        <f t="shared" si="5"/>
        <v>0</v>
      </c>
      <c r="I71" s="44">
        <f t="shared" si="6"/>
        <v>0</v>
      </c>
      <c r="J71" s="44">
        <f t="shared" si="7"/>
        <v>1</v>
      </c>
      <c r="K71" s="44">
        <f t="shared" si="8"/>
        <v>0</v>
      </c>
      <c r="L71" s="48">
        <f t="shared" si="9"/>
        <v>0</v>
      </c>
      <c r="N71" s="12">
        <f t="shared" si="10"/>
        <v>1</v>
      </c>
      <c r="O71" s="44">
        <f t="shared" si="11"/>
        <v>2</v>
      </c>
      <c r="P71" s="44">
        <f t="shared" si="12"/>
        <v>0</v>
      </c>
      <c r="Q71" s="44">
        <f t="shared" si="13"/>
        <v>0</v>
      </c>
      <c r="R71" s="48">
        <f t="shared" si="14"/>
        <v>0</v>
      </c>
      <c r="T71" s="12">
        <f t="shared" si="15"/>
        <v>0</v>
      </c>
      <c r="U71" s="44">
        <f t="shared" si="16"/>
        <v>0</v>
      </c>
      <c r="V71" s="44">
        <f t="shared" si="17"/>
        <v>0</v>
      </c>
      <c r="W71" s="44">
        <f t="shared" si="18"/>
        <v>0</v>
      </c>
      <c r="X71" s="48">
        <f t="shared" si="19"/>
        <v>2</v>
      </c>
      <c r="Z71" s="12">
        <f t="shared" si="20"/>
        <v>1</v>
      </c>
      <c r="AA71" s="44">
        <f t="shared" si="21"/>
        <v>0</v>
      </c>
      <c r="AB71" s="44">
        <f t="shared" si="22"/>
        <v>0</v>
      </c>
      <c r="AC71" s="44">
        <f t="shared" si="23"/>
        <v>0</v>
      </c>
      <c r="AD71" s="48">
        <f t="shared" si="24"/>
        <v>1</v>
      </c>
      <c r="AF71" s="12">
        <f t="shared" si="25"/>
        <v>0</v>
      </c>
      <c r="AG71" s="44">
        <f t="shared" si="26"/>
        <v>1</v>
      </c>
      <c r="AH71" s="44">
        <f t="shared" si="27"/>
        <v>1</v>
      </c>
      <c r="AI71" s="44">
        <f t="shared" si="28"/>
        <v>1</v>
      </c>
      <c r="AJ71" s="48">
        <f t="shared" si="29"/>
        <v>0</v>
      </c>
      <c r="AL71" s="12">
        <f t="shared" si="30"/>
        <v>0</v>
      </c>
      <c r="AM71" s="44">
        <f t="shared" si="31"/>
        <v>0</v>
      </c>
      <c r="AN71" s="44">
        <f t="shared" si="32"/>
        <v>0</v>
      </c>
      <c r="AO71" s="44">
        <f t="shared" si="33"/>
        <v>0</v>
      </c>
      <c r="AP71" s="48">
        <f t="shared" si="34"/>
        <v>0</v>
      </c>
      <c r="AR71" s="12">
        <f t="shared" si="35"/>
        <v>0</v>
      </c>
      <c r="AS71" s="44">
        <f t="shared" si="36"/>
        <v>0</v>
      </c>
      <c r="AT71" s="44">
        <f t="shared" si="37"/>
        <v>1</v>
      </c>
      <c r="AU71" s="44">
        <f t="shared" si="38"/>
        <v>1</v>
      </c>
      <c r="AV71" s="48">
        <f t="shared" si="39"/>
        <v>1</v>
      </c>
      <c r="AX71" s="12">
        <f t="shared" si="40"/>
        <v>0</v>
      </c>
      <c r="AY71" s="44">
        <f t="shared" si="41"/>
        <v>1</v>
      </c>
      <c r="AZ71" s="44">
        <f t="shared" si="42"/>
        <v>0</v>
      </c>
      <c r="BA71" s="44">
        <f t="shared" si="43"/>
        <v>0</v>
      </c>
      <c r="BB71" s="48">
        <f t="shared" si="44"/>
        <v>0</v>
      </c>
      <c r="BD71" s="12">
        <f t="shared" si="45"/>
        <v>0</v>
      </c>
      <c r="BE71" s="44">
        <f t="shared" si="46"/>
        <v>0</v>
      </c>
      <c r="BF71" s="44">
        <f t="shared" si="47"/>
        <v>1</v>
      </c>
      <c r="BG71" s="44">
        <f t="shared" si="48"/>
        <v>1</v>
      </c>
      <c r="BH71" s="48">
        <f t="shared" si="49"/>
        <v>0</v>
      </c>
      <c r="BJ71" s="12">
        <f t="shared" si="50"/>
        <v>1</v>
      </c>
      <c r="BK71" s="44">
        <f t="shared" si="51"/>
        <v>0</v>
      </c>
      <c r="BL71" s="44">
        <f t="shared" si="52"/>
        <v>0</v>
      </c>
      <c r="BM71" s="44">
        <f t="shared" si="53"/>
        <v>0</v>
      </c>
      <c r="BN71" s="48">
        <f t="shared" si="54"/>
        <v>0</v>
      </c>
      <c r="BP71" s="12">
        <f t="shared" si="55"/>
        <v>1</v>
      </c>
      <c r="BQ71" s="44">
        <f t="shared" si="56"/>
        <v>0</v>
      </c>
      <c r="BR71" s="44">
        <f t="shared" si="57"/>
        <v>0</v>
      </c>
      <c r="BS71" s="44">
        <f t="shared" si="58"/>
        <v>1</v>
      </c>
      <c r="BT71" s="48">
        <f t="shared" si="59"/>
        <v>0</v>
      </c>
    </row>
    <row r="72" spans="1:72" x14ac:dyDescent="0.25">
      <c r="A72" s="4">
        <v>50</v>
      </c>
      <c r="B72" s="54" t="str">
        <f>IF('Game Info'!J55="","",'Game Info'!J55)</f>
        <v>J</v>
      </c>
      <c r="C72" s="54" t="str">
        <f>IF('Game Info'!K55="","",'Game Info'!K55)</f>
        <v>Q</v>
      </c>
      <c r="D72" s="54" t="str">
        <f>IF('Game Info'!L55="","",'Game Info'!L55)</f>
        <v>SYM1</v>
      </c>
      <c r="E72" s="54" t="str">
        <f>IF('Game Info'!M55="","",'Game Info'!M55)</f>
        <v>A</v>
      </c>
      <c r="F72" s="55" t="str">
        <f>IF('Game Info'!N55="","",'Game Info'!N55)</f>
        <v>SYM3</v>
      </c>
      <c r="H72" s="12">
        <f t="shared" si="5"/>
        <v>0</v>
      </c>
      <c r="I72" s="44">
        <f t="shared" si="6"/>
        <v>0</v>
      </c>
      <c r="J72" s="44">
        <f t="shared" si="7"/>
        <v>2</v>
      </c>
      <c r="K72" s="44">
        <f t="shared" si="8"/>
        <v>0</v>
      </c>
      <c r="L72" s="48">
        <f t="shared" si="9"/>
        <v>0</v>
      </c>
      <c r="N72" s="12">
        <f t="shared" si="10"/>
        <v>1</v>
      </c>
      <c r="O72" s="44">
        <f t="shared" si="11"/>
        <v>1</v>
      </c>
      <c r="P72" s="44">
        <f t="shared" si="12"/>
        <v>0</v>
      </c>
      <c r="Q72" s="44">
        <f t="shared" si="13"/>
        <v>0</v>
      </c>
      <c r="R72" s="48">
        <f t="shared" si="14"/>
        <v>0</v>
      </c>
      <c r="T72" s="12">
        <f t="shared" si="15"/>
        <v>0</v>
      </c>
      <c r="U72" s="44">
        <f t="shared" si="16"/>
        <v>0</v>
      </c>
      <c r="V72" s="44">
        <f t="shared" si="17"/>
        <v>0</v>
      </c>
      <c r="W72" s="44">
        <f t="shared" si="18"/>
        <v>0</v>
      </c>
      <c r="X72" s="48">
        <f t="shared" si="19"/>
        <v>3</v>
      </c>
      <c r="Z72" s="12">
        <f t="shared" si="20"/>
        <v>1</v>
      </c>
      <c r="AA72" s="44">
        <f t="shared" si="21"/>
        <v>0</v>
      </c>
      <c r="AB72" s="44">
        <f t="shared" si="22"/>
        <v>0</v>
      </c>
      <c r="AC72" s="44">
        <f t="shared" si="23"/>
        <v>0</v>
      </c>
      <c r="AD72" s="48">
        <f t="shared" si="24"/>
        <v>0</v>
      </c>
      <c r="AF72" s="12">
        <f t="shared" si="25"/>
        <v>0</v>
      </c>
      <c r="AG72" s="44">
        <f t="shared" si="26"/>
        <v>1</v>
      </c>
      <c r="AH72" s="44">
        <f t="shared" si="27"/>
        <v>1</v>
      </c>
      <c r="AI72" s="44">
        <f t="shared" si="28"/>
        <v>1</v>
      </c>
      <c r="AJ72" s="48">
        <f t="shared" si="29"/>
        <v>0</v>
      </c>
      <c r="AL72" s="12">
        <f t="shared" si="30"/>
        <v>0</v>
      </c>
      <c r="AM72" s="44">
        <f t="shared" si="31"/>
        <v>0</v>
      </c>
      <c r="AN72" s="44">
        <f t="shared" si="32"/>
        <v>0</v>
      </c>
      <c r="AO72" s="44">
        <f t="shared" si="33"/>
        <v>1</v>
      </c>
      <c r="AP72" s="48">
        <f t="shared" si="34"/>
        <v>0</v>
      </c>
      <c r="AR72" s="12">
        <f t="shared" si="35"/>
        <v>0</v>
      </c>
      <c r="AS72" s="44">
        <f t="shared" si="36"/>
        <v>0</v>
      </c>
      <c r="AT72" s="44">
        <f t="shared" si="37"/>
        <v>0</v>
      </c>
      <c r="AU72" s="44">
        <f t="shared" si="38"/>
        <v>1</v>
      </c>
      <c r="AV72" s="48">
        <f t="shared" si="39"/>
        <v>1</v>
      </c>
      <c r="AX72" s="12">
        <f t="shared" si="40"/>
        <v>0</v>
      </c>
      <c r="AY72" s="44">
        <f t="shared" si="41"/>
        <v>2</v>
      </c>
      <c r="AZ72" s="44">
        <f t="shared" si="42"/>
        <v>0</v>
      </c>
      <c r="BA72" s="44">
        <f t="shared" si="43"/>
        <v>0</v>
      </c>
      <c r="BB72" s="48">
        <f t="shared" si="44"/>
        <v>0</v>
      </c>
      <c r="BD72" s="12">
        <f t="shared" si="45"/>
        <v>1</v>
      </c>
      <c r="BE72" s="44">
        <f t="shared" si="46"/>
        <v>0</v>
      </c>
      <c r="BF72" s="44">
        <f t="shared" si="47"/>
        <v>1</v>
      </c>
      <c r="BG72" s="44">
        <f t="shared" si="48"/>
        <v>1</v>
      </c>
      <c r="BH72" s="48">
        <f t="shared" si="49"/>
        <v>0</v>
      </c>
      <c r="BJ72" s="12">
        <f t="shared" si="50"/>
        <v>0</v>
      </c>
      <c r="BK72" s="44">
        <f t="shared" si="51"/>
        <v>0</v>
      </c>
      <c r="BL72" s="44">
        <f t="shared" si="52"/>
        <v>0</v>
      </c>
      <c r="BM72" s="44">
        <f t="shared" si="53"/>
        <v>0</v>
      </c>
      <c r="BN72" s="48">
        <f t="shared" si="54"/>
        <v>0</v>
      </c>
      <c r="BP72" s="12">
        <f t="shared" si="55"/>
        <v>1</v>
      </c>
      <c r="BQ72" s="44">
        <f t="shared" si="56"/>
        <v>0</v>
      </c>
      <c r="BR72" s="44">
        <f t="shared" si="57"/>
        <v>0</v>
      </c>
      <c r="BS72" s="44">
        <f t="shared" si="58"/>
        <v>0</v>
      </c>
      <c r="BT72" s="48">
        <f t="shared" si="59"/>
        <v>0</v>
      </c>
    </row>
    <row r="73" spans="1:72" x14ac:dyDescent="0.25">
      <c r="A73" s="4">
        <v>51</v>
      </c>
      <c r="B73" s="54" t="str">
        <f>IF('Game Info'!J56="","",'Game Info'!J56)</f>
        <v>SYM3</v>
      </c>
      <c r="C73" s="54" t="str">
        <f>IF('Game Info'!K56="","",'Game Info'!K56)</f>
        <v>SYM4</v>
      </c>
      <c r="D73" s="54" t="str">
        <f>IF('Game Info'!L56="","",'Game Info'!L56)</f>
        <v>Q</v>
      </c>
      <c r="E73" s="54" t="str">
        <f>IF('Game Info'!M56="","",'Game Info'!M56)</f>
        <v>SYM4</v>
      </c>
      <c r="F73" s="55" t="str">
        <f>IF('Game Info'!N56="","",'Game Info'!N56)</f>
        <v>Q</v>
      </c>
      <c r="H73" s="12">
        <f t="shared" si="5"/>
        <v>0</v>
      </c>
      <c r="I73" s="44">
        <f t="shared" si="6"/>
        <v>0</v>
      </c>
      <c r="J73" s="44">
        <f t="shared" si="7"/>
        <v>2</v>
      </c>
      <c r="K73" s="44">
        <f t="shared" si="8"/>
        <v>0</v>
      </c>
      <c r="L73" s="48">
        <f t="shared" si="9"/>
        <v>0</v>
      </c>
      <c r="N73" s="12">
        <f t="shared" si="10"/>
        <v>0</v>
      </c>
      <c r="O73" s="44">
        <f t="shared" si="11"/>
        <v>0</v>
      </c>
      <c r="P73" s="44">
        <f t="shared" si="12"/>
        <v>0</v>
      </c>
      <c r="Q73" s="44">
        <f t="shared" si="13"/>
        <v>0</v>
      </c>
      <c r="R73" s="48">
        <f t="shared" si="14"/>
        <v>0</v>
      </c>
      <c r="T73" s="12">
        <f t="shared" si="15"/>
        <v>1</v>
      </c>
      <c r="U73" s="44">
        <f t="shared" si="16"/>
        <v>0</v>
      </c>
      <c r="V73" s="44">
        <f t="shared" si="17"/>
        <v>0</v>
      </c>
      <c r="W73" s="44">
        <f t="shared" si="18"/>
        <v>0</v>
      </c>
      <c r="X73" s="48">
        <f t="shared" si="19"/>
        <v>3</v>
      </c>
      <c r="Z73" s="12">
        <f t="shared" si="20"/>
        <v>1</v>
      </c>
      <c r="AA73" s="44">
        <f t="shared" si="21"/>
        <v>1</v>
      </c>
      <c r="AB73" s="44">
        <f t="shared" si="22"/>
        <v>0</v>
      </c>
      <c r="AC73" s="44">
        <f t="shared" si="23"/>
        <v>1</v>
      </c>
      <c r="AD73" s="48">
        <f t="shared" si="24"/>
        <v>0</v>
      </c>
      <c r="AF73" s="12">
        <f t="shared" si="25"/>
        <v>0</v>
      </c>
      <c r="AG73" s="44">
        <f t="shared" si="26"/>
        <v>1</v>
      </c>
      <c r="AH73" s="44">
        <f t="shared" si="27"/>
        <v>0</v>
      </c>
      <c r="AI73" s="44">
        <f t="shared" si="28"/>
        <v>1</v>
      </c>
      <c r="AJ73" s="48">
        <f t="shared" si="29"/>
        <v>0</v>
      </c>
      <c r="AL73" s="12">
        <f t="shared" si="30"/>
        <v>0</v>
      </c>
      <c r="AM73" s="44">
        <f t="shared" si="31"/>
        <v>0</v>
      </c>
      <c r="AN73" s="44">
        <f t="shared" si="32"/>
        <v>0</v>
      </c>
      <c r="AO73" s="44">
        <f t="shared" si="33"/>
        <v>1</v>
      </c>
      <c r="AP73" s="48">
        <f t="shared" si="34"/>
        <v>0</v>
      </c>
      <c r="AR73" s="12">
        <f t="shared" si="35"/>
        <v>0</v>
      </c>
      <c r="AS73" s="44">
        <f t="shared" si="36"/>
        <v>0</v>
      </c>
      <c r="AT73" s="44">
        <f t="shared" si="37"/>
        <v>0</v>
      </c>
      <c r="AU73" s="44">
        <f t="shared" si="38"/>
        <v>0</v>
      </c>
      <c r="AV73" s="48">
        <f t="shared" si="39"/>
        <v>0</v>
      </c>
      <c r="AX73" s="12">
        <f t="shared" si="40"/>
        <v>0</v>
      </c>
      <c r="AY73" s="44">
        <f t="shared" si="41"/>
        <v>2</v>
      </c>
      <c r="AZ73" s="44">
        <f t="shared" si="42"/>
        <v>1</v>
      </c>
      <c r="BA73" s="44">
        <f t="shared" si="43"/>
        <v>0</v>
      </c>
      <c r="BB73" s="48">
        <f t="shared" si="44"/>
        <v>1</v>
      </c>
      <c r="BD73" s="12">
        <f t="shared" si="45"/>
        <v>1</v>
      </c>
      <c r="BE73" s="44">
        <f t="shared" si="46"/>
        <v>0</v>
      </c>
      <c r="BF73" s="44">
        <f t="shared" si="47"/>
        <v>1</v>
      </c>
      <c r="BG73" s="44">
        <f t="shared" si="48"/>
        <v>1</v>
      </c>
      <c r="BH73" s="48">
        <f t="shared" si="49"/>
        <v>0</v>
      </c>
      <c r="BJ73" s="12">
        <f t="shared" si="50"/>
        <v>0</v>
      </c>
      <c r="BK73" s="44">
        <f t="shared" si="51"/>
        <v>0</v>
      </c>
      <c r="BL73" s="44">
        <f t="shared" si="52"/>
        <v>0</v>
      </c>
      <c r="BM73" s="44">
        <f t="shared" si="53"/>
        <v>0</v>
      </c>
      <c r="BN73" s="48">
        <f t="shared" si="54"/>
        <v>0</v>
      </c>
      <c r="BP73" s="12">
        <f t="shared" si="55"/>
        <v>1</v>
      </c>
      <c r="BQ73" s="44">
        <f t="shared" si="56"/>
        <v>0</v>
      </c>
      <c r="BR73" s="44">
        <f t="shared" si="57"/>
        <v>0</v>
      </c>
      <c r="BS73" s="44">
        <f t="shared" si="58"/>
        <v>0</v>
      </c>
      <c r="BT73" s="48">
        <f t="shared" si="59"/>
        <v>0</v>
      </c>
    </row>
    <row r="74" spans="1:72" x14ac:dyDescent="0.25">
      <c r="A74" s="4">
        <v>52</v>
      </c>
      <c r="B74" s="54" t="str">
        <f>IF('Game Info'!J57="","",'Game Info'!J57)</f>
        <v>K</v>
      </c>
      <c r="C74" s="54" t="str">
        <f>IF('Game Info'!K57="","",'Game Info'!K57)</f>
        <v>SYM4</v>
      </c>
      <c r="D74" s="54" t="str">
        <f>IF('Game Info'!L57="","",'Game Info'!L57)</f>
        <v>K</v>
      </c>
      <c r="E74" s="54" t="str">
        <f>IF('Game Info'!M57="","",'Game Info'!M57)</f>
        <v>SYM4</v>
      </c>
      <c r="F74" s="55" t="str">
        <f>IF('Game Info'!N57="","",'Game Info'!N57)</f>
        <v>K</v>
      </c>
      <c r="H74" s="12">
        <f t="shared" si="5"/>
        <v>0</v>
      </c>
      <c r="I74" s="44">
        <f t="shared" si="6"/>
        <v>0</v>
      </c>
      <c r="J74" s="44">
        <f t="shared" si="7"/>
        <v>2</v>
      </c>
      <c r="K74" s="44">
        <f t="shared" si="8"/>
        <v>0</v>
      </c>
      <c r="L74" s="48">
        <f t="shared" si="9"/>
        <v>0</v>
      </c>
      <c r="N74" s="12">
        <f t="shared" si="10"/>
        <v>0</v>
      </c>
      <c r="O74" s="44">
        <f t="shared" si="11"/>
        <v>0</v>
      </c>
      <c r="P74" s="44">
        <f t="shared" si="12"/>
        <v>0</v>
      </c>
      <c r="Q74" s="44">
        <f t="shared" si="13"/>
        <v>0</v>
      </c>
      <c r="R74" s="48">
        <f t="shared" si="14"/>
        <v>0</v>
      </c>
      <c r="T74" s="12">
        <f t="shared" si="15"/>
        <v>1</v>
      </c>
      <c r="U74" s="44">
        <f t="shared" si="16"/>
        <v>0</v>
      </c>
      <c r="V74" s="44">
        <f t="shared" si="17"/>
        <v>0</v>
      </c>
      <c r="W74" s="44">
        <f t="shared" si="18"/>
        <v>0</v>
      </c>
      <c r="X74" s="48">
        <f t="shared" si="19"/>
        <v>2</v>
      </c>
      <c r="Z74" s="12">
        <f t="shared" si="20"/>
        <v>1</v>
      </c>
      <c r="AA74" s="44">
        <f t="shared" si="21"/>
        <v>2</v>
      </c>
      <c r="AB74" s="44">
        <f t="shared" si="22"/>
        <v>0</v>
      </c>
      <c r="AC74" s="44">
        <f t="shared" si="23"/>
        <v>2</v>
      </c>
      <c r="AD74" s="48">
        <f t="shared" si="24"/>
        <v>0</v>
      </c>
      <c r="AF74" s="12">
        <f t="shared" si="25"/>
        <v>0</v>
      </c>
      <c r="AG74" s="44">
        <f t="shared" si="26"/>
        <v>1</v>
      </c>
      <c r="AH74" s="44">
        <f t="shared" si="27"/>
        <v>0</v>
      </c>
      <c r="AI74" s="44">
        <f t="shared" si="28"/>
        <v>0</v>
      </c>
      <c r="AJ74" s="48">
        <f t="shared" si="29"/>
        <v>0</v>
      </c>
      <c r="AL74" s="12">
        <f t="shared" si="30"/>
        <v>0</v>
      </c>
      <c r="AM74" s="44">
        <f t="shared" si="31"/>
        <v>0</v>
      </c>
      <c r="AN74" s="44">
        <f t="shared" si="32"/>
        <v>0</v>
      </c>
      <c r="AO74" s="44">
        <f t="shared" si="33"/>
        <v>1</v>
      </c>
      <c r="AP74" s="48">
        <f t="shared" si="34"/>
        <v>0</v>
      </c>
      <c r="AR74" s="12">
        <f t="shared" si="35"/>
        <v>1</v>
      </c>
      <c r="AS74" s="44">
        <f t="shared" si="36"/>
        <v>0</v>
      </c>
      <c r="AT74" s="44">
        <f t="shared" si="37"/>
        <v>1</v>
      </c>
      <c r="AU74" s="44">
        <f t="shared" si="38"/>
        <v>0</v>
      </c>
      <c r="AV74" s="48">
        <f t="shared" si="39"/>
        <v>1</v>
      </c>
      <c r="AX74" s="12">
        <f t="shared" si="40"/>
        <v>0</v>
      </c>
      <c r="AY74" s="44">
        <f t="shared" si="41"/>
        <v>1</v>
      </c>
      <c r="AZ74" s="44">
        <f t="shared" si="42"/>
        <v>1</v>
      </c>
      <c r="BA74" s="44">
        <f t="shared" si="43"/>
        <v>0</v>
      </c>
      <c r="BB74" s="48">
        <f t="shared" si="44"/>
        <v>1</v>
      </c>
      <c r="BD74" s="12">
        <f t="shared" si="45"/>
        <v>1</v>
      </c>
      <c r="BE74" s="44">
        <f t="shared" si="46"/>
        <v>0</v>
      </c>
      <c r="BF74" s="44">
        <f t="shared" si="47"/>
        <v>0</v>
      </c>
      <c r="BG74" s="44">
        <f t="shared" si="48"/>
        <v>1</v>
      </c>
      <c r="BH74" s="48">
        <f t="shared" si="49"/>
        <v>0</v>
      </c>
      <c r="BJ74" s="12">
        <f t="shared" si="50"/>
        <v>0</v>
      </c>
      <c r="BK74" s="44">
        <f t="shared" si="51"/>
        <v>0</v>
      </c>
      <c r="BL74" s="44">
        <f t="shared" si="52"/>
        <v>0</v>
      </c>
      <c r="BM74" s="44">
        <f t="shared" si="53"/>
        <v>0</v>
      </c>
      <c r="BN74" s="48">
        <f t="shared" si="54"/>
        <v>0</v>
      </c>
      <c r="BP74" s="12">
        <f t="shared" si="55"/>
        <v>0</v>
      </c>
      <c r="BQ74" s="44">
        <f t="shared" si="56"/>
        <v>0</v>
      </c>
      <c r="BR74" s="44">
        <f t="shared" si="57"/>
        <v>0</v>
      </c>
      <c r="BS74" s="44">
        <f t="shared" si="58"/>
        <v>0</v>
      </c>
      <c r="BT74" s="48">
        <f t="shared" si="59"/>
        <v>0</v>
      </c>
    </row>
    <row r="75" spans="1:72" x14ac:dyDescent="0.25">
      <c r="A75" s="4">
        <v>53</v>
      </c>
      <c r="B75" s="54">
        <f>IF('Game Info'!J58="","",'Game Info'!J58)</f>
        <v>9</v>
      </c>
      <c r="C75" s="54" t="str">
        <f>IF('Game Info'!K58="","",'Game Info'!K58)</f>
        <v>SYM4</v>
      </c>
      <c r="D75" s="54" t="str">
        <f>IF('Game Info'!L58="","",'Game Info'!L58)</f>
        <v>J</v>
      </c>
      <c r="E75" s="54" t="str">
        <f>IF('Game Info'!M58="","",'Game Info'!M58)</f>
        <v>SYM4</v>
      </c>
      <c r="F75" s="55" t="str">
        <f>IF('Game Info'!N58="","",'Game Info'!N58)</f>
        <v>SYM2</v>
      </c>
      <c r="H75" s="12">
        <f t="shared" si="5"/>
        <v>0</v>
      </c>
      <c r="I75" s="44">
        <f t="shared" si="6"/>
        <v>0</v>
      </c>
      <c r="J75" s="44">
        <f t="shared" si="7"/>
        <v>1</v>
      </c>
      <c r="K75" s="44">
        <f t="shared" si="8"/>
        <v>0</v>
      </c>
      <c r="L75" s="48">
        <f t="shared" si="9"/>
        <v>0</v>
      </c>
      <c r="N75" s="12">
        <f t="shared" si="10"/>
        <v>0</v>
      </c>
      <c r="O75" s="44">
        <f t="shared" si="11"/>
        <v>0</v>
      </c>
      <c r="P75" s="44">
        <f t="shared" si="12"/>
        <v>0</v>
      </c>
      <c r="Q75" s="44">
        <f t="shared" si="13"/>
        <v>0</v>
      </c>
      <c r="R75" s="48">
        <f t="shared" si="14"/>
        <v>1</v>
      </c>
      <c r="T75" s="12">
        <f t="shared" si="15"/>
        <v>1</v>
      </c>
      <c r="U75" s="44">
        <f t="shared" si="16"/>
        <v>0</v>
      </c>
      <c r="V75" s="44">
        <f t="shared" si="17"/>
        <v>0</v>
      </c>
      <c r="W75" s="44">
        <f t="shared" si="18"/>
        <v>0</v>
      </c>
      <c r="X75" s="48">
        <f t="shared" si="19"/>
        <v>1</v>
      </c>
      <c r="Z75" s="12">
        <f t="shared" si="20"/>
        <v>0</v>
      </c>
      <c r="AA75" s="44">
        <f t="shared" si="21"/>
        <v>3</v>
      </c>
      <c r="AB75" s="44">
        <f t="shared" si="22"/>
        <v>0</v>
      </c>
      <c r="AC75" s="44">
        <f t="shared" si="23"/>
        <v>3</v>
      </c>
      <c r="AD75" s="48">
        <f t="shared" si="24"/>
        <v>0</v>
      </c>
      <c r="AF75" s="12">
        <f t="shared" si="25"/>
        <v>0</v>
      </c>
      <c r="AG75" s="44">
        <f t="shared" si="26"/>
        <v>0</v>
      </c>
      <c r="AH75" s="44">
        <f t="shared" si="27"/>
        <v>0</v>
      </c>
      <c r="AI75" s="44">
        <f t="shared" si="28"/>
        <v>0</v>
      </c>
      <c r="AJ75" s="48">
        <f t="shared" si="29"/>
        <v>0</v>
      </c>
      <c r="AL75" s="12">
        <f t="shared" si="30"/>
        <v>0</v>
      </c>
      <c r="AM75" s="44">
        <f t="shared" si="31"/>
        <v>0</v>
      </c>
      <c r="AN75" s="44">
        <f t="shared" si="32"/>
        <v>0</v>
      </c>
      <c r="AO75" s="44">
        <f t="shared" si="33"/>
        <v>1</v>
      </c>
      <c r="AP75" s="48">
        <f t="shared" si="34"/>
        <v>0</v>
      </c>
      <c r="AR75" s="12">
        <f t="shared" si="35"/>
        <v>1</v>
      </c>
      <c r="AS75" s="44">
        <f t="shared" si="36"/>
        <v>0</v>
      </c>
      <c r="AT75" s="44">
        <f t="shared" si="37"/>
        <v>1</v>
      </c>
      <c r="AU75" s="44">
        <f t="shared" si="38"/>
        <v>0</v>
      </c>
      <c r="AV75" s="48">
        <f t="shared" si="39"/>
        <v>1</v>
      </c>
      <c r="AX75" s="12">
        <f t="shared" si="40"/>
        <v>0</v>
      </c>
      <c r="AY75" s="44">
        <f t="shared" si="41"/>
        <v>1</v>
      </c>
      <c r="AZ75" s="44">
        <f t="shared" si="42"/>
        <v>1</v>
      </c>
      <c r="BA75" s="44">
        <f t="shared" si="43"/>
        <v>0</v>
      </c>
      <c r="BB75" s="48">
        <f t="shared" si="44"/>
        <v>1</v>
      </c>
      <c r="BD75" s="12">
        <f t="shared" si="45"/>
        <v>1</v>
      </c>
      <c r="BE75" s="44">
        <f t="shared" si="46"/>
        <v>0</v>
      </c>
      <c r="BF75" s="44">
        <f t="shared" si="47"/>
        <v>1</v>
      </c>
      <c r="BG75" s="44">
        <f t="shared" si="48"/>
        <v>0</v>
      </c>
      <c r="BH75" s="48">
        <f t="shared" si="49"/>
        <v>0</v>
      </c>
      <c r="BJ75" s="12">
        <f t="shared" si="50"/>
        <v>0</v>
      </c>
      <c r="BK75" s="44">
        <f t="shared" si="51"/>
        <v>0</v>
      </c>
      <c r="BL75" s="44">
        <f t="shared" si="52"/>
        <v>0</v>
      </c>
      <c r="BM75" s="44">
        <f t="shared" si="53"/>
        <v>0</v>
      </c>
      <c r="BN75" s="48">
        <f t="shared" si="54"/>
        <v>0</v>
      </c>
      <c r="BP75" s="12">
        <f t="shared" si="55"/>
        <v>1</v>
      </c>
      <c r="BQ75" s="44">
        <f t="shared" si="56"/>
        <v>0</v>
      </c>
      <c r="BR75" s="44">
        <f t="shared" si="57"/>
        <v>0</v>
      </c>
      <c r="BS75" s="44">
        <f t="shared" si="58"/>
        <v>0</v>
      </c>
      <c r="BT75" s="48">
        <f t="shared" si="59"/>
        <v>0</v>
      </c>
    </row>
    <row r="76" spans="1:72" x14ac:dyDescent="0.25">
      <c r="A76" s="4">
        <v>54</v>
      </c>
      <c r="B76" s="54" t="str">
        <f>IF('Game Info'!J59="","",'Game Info'!J59)</f>
        <v>SYM1</v>
      </c>
      <c r="C76" s="54">
        <f>IF('Game Info'!K59="","",'Game Info'!K59)</f>
        <v>9</v>
      </c>
      <c r="D76" s="54" t="str">
        <f>IF('Game Info'!L59="","",'Game Info'!L59)</f>
        <v>SYM2</v>
      </c>
      <c r="E76" s="54">
        <f>IF('Game Info'!M59="","",'Game Info'!M59)</f>
        <v>10</v>
      </c>
      <c r="F76" s="55" t="str">
        <f>IF('Game Info'!N59="","",'Game Info'!N59)</f>
        <v>A</v>
      </c>
      <c r="H76" s="12">
        <f t="shared" si="5"/>
        <v>1</v>
      </c>
      <c r="I76" s="44">
        <f t="shared" si="6"/>
        <v>0</v>
      </c>
      <c r="J76" s="44">
        <f t="shared" si="7"/>
        <v>0</v>
      </c>
      <c r="K76" s="44">
        <f t="shared" si="8"/>
        <v>0</v>
      </c>
      <c r="L76" s="48">
        <f t="shared" si="9"/>
        <v>0</v>
      </c>
      <c r="N76" s="12">
        <f t="shared" si="10"/>
        <v>0</v>
      </c>
      <c r="O76" s="44">
        <f t="shared" si="11"/>
        <v>0</v>
      </c>
      <c r="P76" s="44">
        <f t="shared" si="12"/>
        <v>1</v>
      </c>
      <c r="Q76" s="44">
        <f t="shared" si="13"/>
        <v>0</v>
      </c>
      <c r="R76" s="48">
        <f t="shared" si="14"/>
        <v>1</v>
      </c>
      <c r="T76" s="12">
        <f t="shared" si="15"/>
        <v>1</v>
      </c>
      <c r="U76" s="44">
        <f t="shared" si="16"/>
        <v>0</v>
      </c>
      <c r="V76" s="44">
        <f t="shared" si="17"/>
        <v>0</v>
      </c>
      <c r="W76" s="44">
        <f t="shared" si="18"/>
        <v>0</v>
      </c>
      <c r="X76" s="48">
        <f t="shared" si="19"/>
        <v>0</v>
      </c>
      <c r="Z76" s="12">
        <f t="shared" si="20"/>
        <v>0</v>
      </c>
      <c r="AA76" s="44">
        <f t="shared" si="21"/>
        <v>3</v>
      </c>
      <c r="AB76" s="44">
        <f t="shared" si="22"/>
        <v>0</v>
      </c>
      <c r="AC76" s="44">
        <f t="shared" si="23"/>
        <v>3</v>
      </c>
      <c r="AD76" s="48">
        <f t="shared" si="24"/>
        <v>0</v>
      </c>
      <c r="AF76" s="12">
        <f t="shared" si="25"/>
        <v>0</v>
      </c>
      <c r="AG76" s="44">
        <f t="shared" si="26"/>
        <v>0</v>
      </c>
      <c r="AH76" s="44">
        <f t="shared" si="27"/>
        <v>0</v>
      </c>
      <c r="AI76" s="44">
        <f t="shared" si="28"/>
        <v>0</v>
      </c>
      <c r="AJ76" s="48">
        <f t="shared" si="29"/>
        <v>0</v>
      </c>
      <c r="AL76" s="12">
        <f t="shared" si="30"/>
        <v>0</v>
      </c>
      <c r="AM76" s="44">
        <f t="shared" si="31"/>
        <v>0</v>
      </c>
      <c r="AN76" s="44">
        <f t="shared" si="32"/>
        <v>0</v>
      </c>
      <c r="AO76" s="44">
        <f t="shared" si="33"/>
        <v>0</v>
      </c>
      <c r="AP76" s="48">
        <f t="shared" si="34"/>
        <v>1</v>
      </c>
      <c r="AR76" s="12">
        <f t="shared" si="35"/>
        <v>1</v>
      </c>
      <c r="AS76" s="44">
        <f t="shared" si="36"/>
        <v>0</v>
      </c>
      <c r="AT76" s="44">
        <f t="shared" si="37"/>
        <v>1</v>
      </c>
      <c r="AU76" s="44">
        <f t="shared" si="38"/>
        <v>0</v>
      </c>
      <c r="AV76" s="48">
        <f t="shared" si="39"/>
        <v>1</v>
      </c>
      <c r="AX76" s="12">
        <f t="shared" si="40"/>
        <v>0</v>
      </c>
      <c r="AY76" s="44">
        <f t="shared" si="41"/>
        <v>0</v>
      </c>
      <c r="AZ76" s="44">
        <f t="shared" si="42"/>
        <v>1</v>
      </c>
      <c r="BA76" s="44">
        <f t="shared" si="43"/>
        <v>0</v>
      </c>
      <c r="BB76" s="48">
        <f t="shared" si="44"/>
        <v>1</v>
      </c>
      <c r="BD76" s="12">
        <f t="shared" si="45"/>
        <v>0</v>
      </c>
      <c r="BE76" s="44">
        <f t="shared" si="46"/>
        <v>0</v>
      </c>
      <c r="BF76" s="44">
        <f t="shared" si="47"/>
        <v>1</v>
      </c>
      <c r="BG76" s="44">
        <f t="shared" si="48"/>
        <v>0</v>
      </c>
      <c r="BH76" s="48">
        <f t="shared" si="49"/>
        <v>0</v>
      </c>
      <c r="BJ76" s="12">
        <f t="shared" si="50"/>
        <v>0</v>
      </c>
      <c r="BK76" s="44">
        <f t="shared" si="51"/>
        <v>0</v>
      </c>
      <c r="BL76" s="44">
        <f t="shared" si="52"/>
        <v>0</v>
      </c>
      <c r="BM76" s="44">
        <f t="shared" si="53"/>
        <v>1</v>
      </c>
      <c r="BN76" s="48">
        <f t="shared" si="54"/>
        <v>0</v>
      </c>
      <c r="BP76" s="12">
        <f t="shared" si="55"/>
        <v>1</v>
      </c>
      <c r="BQ76" s="44">
        <f t="shared" si="56"/>
        <v>1</v>
      </c>
      <c r="BR76" s="44">
        <f t="shared" si="57"/>
        <v>0</v>
      </c>
      <c r="BS76" s="44">
        <f t="shared" si="58"/>
        <v>0</v>
      </c>
      <c r="BT76" s="48">
        <f t="shared" si="59"/>
        <v>0</v>
      </c>
    </row>
    <row r="77" spans="1:72" x14ac:dyDescent="0.25">
      <c r="A77" s="4">
        <v>55</v>
      </c>
      <c r="B77" s="54" t="str">
        <f>IF('Game Info'!J60="","",'Game Info'!J60)</f>
        <v>SYM1</v>
      </c>
      <c r="C77" s="54">
        <f>IF('Game Info'!K60="","",'Game Info'!K60)</f>
        <v>10</v>
      </c>
      <c r="D77" s="54" t="str">
        <f>IF('Game Info'!L60="","",'Game Info'!L60)</f>
        <v>SYM2</v>
      </c>
      <c r="E77" s="54" t="str">
        <f>IF('Game Info'!M60="","",'Game Info'!M60)</f>
        <v>SYM3</v>
      </c>
      <c r="F77" s="55" t="str">
        <f>IF('Game Info'!N60="","",'Game Info'!N60)</f>
        <v>SYM5</v>
      </c>
      <c r="H77" s="12">
        <f t="shared" si="5"/>
        <v>2</v>
      </c>
      <c r="I77" s="44">
        <f t="shared" si="6"/>
        <v>0</v>
      </c>
      <c r="J77" s="44">
        <f t="shared" si="7"/>
        <v>0</v>
      </c>
      <c r="K77" s="44">
        <f t="shared" si="8"/>
        <v>0</v>
      </c>
      <c r="L77" s="48">
        <f t="shared" si="9"/>
        <v>0</v>
      </c>
      <c r="N77" s="12">
        <f t="shared" si="10"/>
        <v>0</v>
      </c>
      <c r="O77" s="44">
        <f t="shared" si="11"/>
        <v>0</v>
      </c>
      <c r="P77" s="44">
        <f t="shared" si="12"/>
        <v>2</v>
      </c>
      <c r="Q77" s="44">
        <f t="shared" si="13"/>
        <v>0</v>
      </c>
      <c r="R77" s="48">
        <f t="shared" si="14"/>
        <v>1</v>
      </c>
      <c r="T77" s="12">
        <f t="shared" si="15"/>
        <v>0</v>
      </c>
      <c r="U77" s="44">
        <f t="shared" si="16"/>
        <v>0</v>
      </c>
      <c r="V77" s="44">
        <f t="shared" si="17"/>
        <v>0</v>
      </c>
      <c r="W77" s="44">
        <f t="shared" si="18"/>
        <v>1</v>
      </c>
      <c r="X77" s="48">
        <f t="shared" si="19"/>
        <v>0</v>
      </c>
      <c r="Z77" s="12">
        <f t="shared" si="20"/>
        <v>0</v>
      </c>
      <c r="AA77" s="44">
        <f t="shared" si="21"/>
        <v>2</v>
      </c>
      <c r="AB77" s="44">
        <f t="shared" si="22"/>
        <v>0</v>
      </c>
      <c r="AC77" s="44">
        <f t="shared" si="23"/>
        <v>2</v>
      </c>
      <c r="AD77" s="48">
        <f t="shared" si="24"/>
        <v>0</v>
      </c>
      <c r="AF77" s="12">
        <f t="shared" si="25"/>
        <v>0</v>
      </c>
      <c r="AG77" s="44">
        <f t="shared" si="26"/>
        <v>0</v>
      </c>
      <c r="AH77" s="44">
        <f t="shared" si="27"/>
        <v>0</v>
      </c>
      <c r="AI77" s="44">
        <f t="shared" si="28"/>
        <v>0</v>
      </c>
      <c r="AJ77" s="48">
        <f t="shared" si="29"/>
        <v>1</v>
      </c>
      <c r="AL77" s="12">
        <f t="shared" si="30"/>
        <v>0</v>
      </c>
      <c r="AM77" s="44">
        <f t="shared" si="31"/>
        <v>0</v>
      </c>
      <c r="AN77" s="44">
        <f t="shared" si="32"/>
        <v>0</v>
      </c>
      <c r="AO77" s="44">
        <f t="shared" si="33"/>
        <v>0</v>
      </c>
      <c r="AP77" s="48">
        <f t="shared" si="34"/>
        <v>1</v>
      </c>
      <c r="AR77" s="12">
        <f t="shared" si="35"/>
        <v>1</v>
      </c>
      <c r="AS77" s="44">
        <f t="shared" si="36"/>
        <v>0</v>
      </c>
      <c r="AT77" s="44">
        <f t="shared" si="37"/>
        <v>1</v>
      </c>
      <c r="AU77" s="44">
        <f t="shared" si="38"/>
        <v>0</v>
      </c>
      <c r="AV77" s="48">
        <f t="shared" si="39"/>
        <v>1</v>
      </c>
      <c r="AX77" s="12">
        <f t="shared" si="40"/>
        <v>0</v>
      </c>
      <c r="AY77" s="44">
        <f t="shared" si="41"/>
        <v>0</v>
      </c>
      <c r="AZ77" s="44">
        <f t="shared" si="42"/>
        <v>0</v>
      </c>
      <c r="BA77" s="44">
        <f t="shared" si="43"/>
        <v>0</v>
      </c>
      <c r="BB77" s="48">
        <f t="shared" si="44"/>
        <v>0</v>
      </c>
      <c r="BD77" s="12">
        <f t="shared" si="45"/>
        <v>0</v>
      </c>
      <c r="BE77" s="44">
        <f t="shared" si="46"/>
        <v>0</v>
      </c>
      <c r="BF77" s="44">
        <f t="shared" si="47"/>
        <v>1</v>
      </c>
      <c r="BG77" s="44">
        <f t="shared" si="48"/>
        <v>0</v>
      </c>
      <c r="BH77" s="48">
        <f t="shared" si="49"/>
        <v>0</v>
      </c>
      <c r="BJ77" s="12">
        <f t="shared" si="50"/>
        <v>0</v>
      </c>
      <c r="BK77" s="44">
        <f t="shared" si="51"/>
        <v>1</v>
      </c>
      <c r="BL77" s="44">
        <f t="shared" si="52"/>
        <v>0</v>
      </c>
      <c r="BM77" s="44">
        <f t="shared" si="53"/>
        <v>1</v>
      </c>
      <c r="BN77" s="48">
        <f t="shared" si="54"/>
        <v>0</v>
      </c>
      <c r="BP77" s="12">
        <f t="shared" si="55"/>
        <v>1</v>
      </c>
      <c r="BQ77" s="44">
        <f t="shared" si="56"/>
        <v>1</v>
      </c>
      <c r="BR77" s="44">
        <f t="shared" si="57"/>
        <v>0</v>
      </c>
      <c r="BS77" s="44">
        <f t="shared" si="58"/>
        <v>0</v>
      </c>
      <c r="BT77" s="48">
        <f t="shared" si="59"/>
        <v>0</v>
      </c>
    </row>
    <row r="78" spans="1:72" x14ac:dyDescent="0.25">
      <c r="A78" s="4">
        <v>56</v>
      </c>
      <c r="B78" s="54">
        <f>IF('Game Info'!J61="","",'Game Info'!J61)</f>
        <v>10</v>
      </c>
      <c r="C78" s="54" t="str">
        <f>IF('Game Info'!K61="","",'Game Info'!K61)</f>
        <v>SYM2</v>
      </c>
      <c r="D78" s="54" t="str">
        <f>IF('Game Info'!L61="","",'Game Info'!L61)</f>
        <v>SYM2</v>
      </c>
      <c r="E78" s="54" t="str">
        <f>IF('Game Info'!M61="","",'Game Info'!M61)</f>
        <v>K</v>
      </c>
      <c r="F78" s="55" t="str">
        <f>IF('Game Info'!N61="","",'Game Info'!N61)</f>
        <v>J</v>
      </c>
      <c r="H78" s="12">
        <f t="shared" si="5"/>
        <v>2</v>
      </c>
      <c r="I78" s="44">
        <f t="shared" si="6"/>
        <v>0</v>
      </c>
      <c r="J78" s="44">
        <f t="shared" si="7"/>
        <v>0</v>
      </c>
      <c r="K78" s="44">
        <f t="shared" si="8"/>
        <v>0</v>
      </c>
      <c r="L78" s="48">
        <f t="shared" si="9"/>
        <v>0</v>
      </c>
      <c r="N78" s="12">
        <f t="shared" si="10"/>
        <v>0</v>
      </c>
      <c r="O78" s="44">
        <f t="shared" si="11"/>
        <v>1</v>
      </c>
      <c r="P78" s="44">
        <f t="shared" si="12"/>
        <v>3</v>
      </c>
      <c r="Q78" s="44">
        <f t="shared" si="13"/>
        <v>0</v>
      </c>
      <c r="R78" s="48">
        <f t="shared" si="14"/>
        <v>1</v>
      </c>
      <c r="T78" s="12">
        <f t="shared" si="15"/>
        <v>0</v>
      </c>
      <c r="U78" s="44">
        <f t="shared" si="16"/>
        <v>0</v>
      </c>
      <c r="V78" s="44">
        <f t="shared" si="17"/>
        <v>0</v>
      </c>
      <c r="W78" s="44">
        <f t="shared" si="18"/>
        <v>1</v>
      </c>
      <c r="X78" s="48">
        <f t="shared" si="19"/>
        <v>0</v>
      </c>
      <c r="Z78" s="12">
        <f t="shared" si="20"/>
        <v>0</v>
      </c>
      <c r="AA78" s="44">
        <f t="shared" si="21"/>
        <v>1</v>
      </c>
      <c r="AB78" s="44">
        <f t="shared" si="22"/>
        <v>0</v>
      </c>
      <c r="AC78" s="44">
        <f t="shared" si="23"/>
        <v>1</v>
      </c>
      <c r="AD78" s="48">
        <f t="shared" si="24"/>
        <v>0</v>
      </c>
      <c r="AF78" s="12">
        <f t="shared" si="25"/>
        <v>0</v>
      </c>
      <c r="AG78" s="44">
        <f t="shared" si="26"/>
        <v>0</v>
      </c>
      <c r="AH78" s="44">
        <f t="shared" si="27"/>
        <v>0</v>
      </c>
      <c r="AI78" s="44">
        <f t="shared" si="28"/>
        <v>0</v>
      </c>
      <c r="AJ78" s="48">
        <f t="shared" si="29"/>
        <v>1</v>
      </c>
      <c r="AL78" s="12">
        <f t="shared" si="30"/>
        <v>0</v>
      </c>
      <c r="AM78" s="44">
        <f t="shared" si="31"/>
        <v>0</v>
      </c>
      <c r="AN78" s="44">
        <f t="shared" si="32"/>
        <v>0</v>
      </c>
      <c r="AO78" s="44">
        <f t="shared" si="33"/>
        <v>0</v>
      </c>
      <c r="AP78" s="48">
        <f t="shared" si="34"/>
        <v>1</v>
      </c>
      <c r="AR78" s="12">
        <f t="shared" si="35"/>
        <v>0</v>
      </c>
      <c r="AS78" s="44">
        <f t="shared" si="36"/>
        <v>0</v>
      </c>
      <c r="AT78" s="44">
        <f t="shared" si="37"/>
        <v>0</v>
      </c>
      <c r="AU78" s="44">
        <f t="shared" si="38"/>
        <v>1</v>
      </c>
      <c r="AV78" s="48">
        <f t="shared" si="39"/>
        <v>0</v>
      </c>
      <c r="AX78" s="12">
        <f t="shared" si="40"/>
        <v>0</v>
      </c>
      <c r="AY78" s="44">
        <f t="shared" si="41"/>
        <v>0</v>
      </c>
      <c r="AZ78" s="44">
        <f t="shared" si="42"/>
        <v>0</v>
      </c>
      <c r="BA78" s="44">
        <f t="shared" si="43"/>
        <v>0</v>
      </c>
      <c r="BB78" s="48">
        <f t="shared" si="44"/>
        <v>0</v>
      </c>
      <c r="BD78" s="12">
        <f t="shared" si="45"/>
        <v>0</v>
      </c>
      <c r="BE78" s="44">
        <f t="shared" si="46"/>
        <v>0</v>
      </c>
      <c r="BF78" s="44">
        <f t="shared" si="47"/>
        <v>1</v>
      </c>
      <c r="BG78" s="44">
        <f t="shared" si="48"/>
        <v>0</v>
      </c>
      <c r="BH78" s="48">
        <f t="shared" si="49"/>
        <v>1</v>
      </c>
      <c r="BJ78" s="12">
        <f t="shared" si="50"/>
        <v>1</v>
      </c>
      <c r="BK78" s="44">
        <f t="shared" si="51"/>
        <v>1</v>
      </c>
      <c r="BL78" s="44">
        <f t="shared" si="52"/>
        <v>0</v>
      </c>
      <c r="BM78" s="44">
        <f t="shared" si="53"/>
        <v>1</v>
      </c>
      <c r="BN78" s="48">
        <f t="shared" si="54"/>
        <v>0</v>
      </c>
      <c r="BP78" s="12">
        <f t="shared" si="55"/>
        <v>1</v>
      </c>
      <c r="BQ78" s="44">
        <f t="shared" si="56"/>
        <v>1</v>
      </c>
      <c r="BR78" s="44">
        <f t="shared" si="57"/>
        <v>0</v>
      </c>
      <c r="BS78" s="44">
        <f t="shared" si="58"/>
        <v>0</v>
      </c>
      <c r="BT78" s="48">
        <f t="shared" si="59"/>
        <v>0</v>
      </c>
    </row>
    <row r="79" spans="1:72" x14ac:dyDescent="0.25">
      <c r="A79" s="4">
        <v>57</v>
      </c>
      <c r="B79" s="54" t="str">
        <f>IF('Game Info'!J62="","",'Game Info'!J62)</f>
        <v>Q</v>
      </c>
      <c r="C79" s="54" t="str">
        <f>IF('Game Info'!K62="","",'Game Info'!K62)</f>
        <v>J</v>
      </c>
      <c r="D79" s="54" t="str">
        <f>IF('Game Info'!L62="","",'Game Info'!L62)</f>
        <v>Q</v>
      </c>
      <c r="E79" s="54" t="str">
        <f>IF('Game Info'!M62="","",'Game Info'!M62)</f>
        <v>SYM5</v>
      </c>
      <c r="F79" s="55" t="str">
        <f>IF('Game Info'!N62="","",'Game Info'!N62)</f>
        <v>SYM1</v>
      </c>
      <c r="H79" s="12">
        <f t="shared" si="5"/>
        <v>2</v>
      </c>
      <c r="I79" s="44">
        <f t="shared" si="6"/>
        <v>0</v>
      </c>
      <c r="J79" s="44">
        <f t="shared" si="7"/>
        <v>0</v>
      </c>
      <c r="K79" s="44">
        <f t="shared" si="8"/>
        <v>0</v>
      </c>
      <c r="L79" s="48">
        <f t="shared" si="9"/>
        <v>1</v>
      </c>
      <c r="N79" s="12">
        <f t="shared" si="10"/>
        <v>0</v>
      </c>
      <c r="O79" s="44">
        <f t="shared" si="11"/>
        <v>1</v>
      </c>
      <c r="P79" s="44">
        <f t="shared" si="12"/>
        <v>3</v>
      </c>
      <c r="Q79" s="44">
        <f t="shared" si="13"/>
        <v>0</v>
      </c>
      <c r="R79" s="48">
        <f t="shared" si="14"/>
        <v>0</v>
      </c>
      <c r="T79" s="12">
        <f t="shared" si="15"/>
        <v>0</v>
      </c>
      <c r="U79" s="44">
        <f t="shared" si="16"/>
        <v>0</v>
      </c>
      <c r="V79" s="44">
        <f t="shared" si="17"/>
        <v>0</v>
      </c>
      <c r="W79" s="44">
        <f t="shared" si="18"/>
        <v>1</v>
      </c>
      <c r="X79" s="48">
        <f t="shared" si="19"/>
        <v>0</v>
      </c>
      <c r="Z79" s="12">
        <f t="shared" si="20"/>
        <v>0</v>
      </c>
      <c r="AA79" s="44">
        <f t="shared" si="21"/>
        <v>0</v>
      </c>
      <c r="AB79" s="44">
        <f t="shared" si="22"/>
        <v>0</v>
      </c>
      <c r="AC79" s="44">
        <f t="shared" si="23"/>
        <v>0</v>
      </c>
      <c r="AD79" s="48">
        <f t="shared" si="24"/>
        <v>0</v>
      </c>
      <c r="AF79" s="12">
        <f t="shared" si="25"/>
        <v>0</v>
      </c>
      <c r="AG79" s="44">
        <f t="shared" si="26"/>
        <v>0</v>
      </c>
      <c r="AH79" s="44">
        <f t="shared" si="27"/>
        <v>0</v>
      </c>
      <c r="AI79" s="44">
        <f t="shared" si="28"/>
        <v>1</v>
      </c>
      <c r="AJ79" s="48">
        <f t="shared" si="29"/>
        <v>1</v>
      </c>
      <c r="AL79" s="12">
        <f t="shared" si="30"/>
        <v>0</v>
      </c>
      <c r="AM79" s="44">
        <f t="shared" si="31"/>
        <v>0</v>
      </c>
      <c r="AN79" s="44">
        <f t="shared" si="32"/>
        <v>0</v>
      </c>
      <c r="AO79" s="44">
        <f t="shared" si="33"/>
        <v>0</v>
      </c>
      <c r="AP79" s="48">
        <f t="shared" si="34"/>
        <v>1</v>
      </c>
      <c r="AR79" s="12">
        <f t="shared" si="35"/>
        <v>0</v>
      </c>
      <c r="AS79" s="44">
        <f t="shared" si="36"/>
        <v>0</v>
      </c>
      <c r="AT79" s="44">
        <f t="shared" si="37"/>
        <v>0</v>
      </c>
      <c r="AU79" s="44">
        <f t="shared" si="38"/>
        <v>1</v>
      </c>
      <c r="AV79" s="48">
        <f t="shared" si="39"/>
        <v>0</v>
      </c>
      <c r="AX79" s="12">
        <f t="shared" si="40"/>
        <v>1</v>
      </c>
      <c r="AY79" s="44">
        <f t="shared" si="41"/>
        <v>0</v>
      </c>
      <c r="AZ79" s="44">
        <f t="shared" si="42"/>
        <v>1</v>
      </c>
      <c r="BA79" s="44">
        <f t="shared" si="43"/>
        <v>0</v>
      </c>
      <c r="BB79" s="48">
        <f t="shared" si="44"/>
        <v>0</v>
      </c>
      <c r="BD79" s="12">
        <f t="shared" si="45"/>
        <v>0</v>
      </c>
      <c r="BE79" s="44">
        <f t="shared" si="46"/>
        <v>1</v>
      </c>
      <c r="BF79" s="44">
        <f t="shared" si="47"/>
        <v>0</v>
      </c>
      <c r="BG79" s="44">
        <f t="shared" si="48"/>
        <v>0</v>
      </c>
      <c r="BH79" s="48">
        <f t="shared" si="49"/>
        <v>1</v>
      </c>
      <c r="BJ79" s="12">
        <f t="shared" si="50"/>
        <v>1</v>
      </c>
      <c r="BK79" s="44">
        <f t="shared" si="51"/>
        <v>1</v>
      </c>
      <c r="BL79" s="44">
        <f t="shared" si="52"/>
        <v>0</v>
      </c>
      <c r="BM79" s="44">
        <f t="shared" si="53"/>
        <v>1</v>
      </c>
      <c r="BN79" s="48">
        <f t="shared" si="54"/>
        <v>0</v>
      </c>
      <c r="BP79" s="12">
        <f t="shared" si="55"/>
        <v>0</v>
      </c>
      <c r="BQ79" s="44">
        <f t="shared" si="56"/>
        <v>1</v>
      </c>
      <c r="BR79" s="44">
        <f t="shared" si="57"/>
        <v>0</v>
      </c>
      <c r="BS79" s="44">
        <f t="shared" si="58"/>
        <v>0</v>
      </c>
      <c r="BT79" s="48">
        <f t="shared" si="59"/>
        <v>0</v>
      </c>
    </row>
    <row r="80" spans="1:72" x14ac:dyDescent="0.25">
      <c r="A80" s="4">
        <v>58</v>
      </c>
      <c r="B80" s="54" t="str">
        <f>IF('Game Info'!J63="","",'Game Info'!J63)</f>
        <v>SYM3</v>
      </c>
      <c r="C80" s="54" t="str">
        <f>IF('Game Info'!K63="","",'Game Info'!K63)</f>
        <v>K</v>
      </c>
      <c r="D80" s="54" t="str">
        <f>IF('Game Info'!L63="","",'Game Info'!L63)</f>
        <v>SYM5</v>
      </c>
      <c r="E80" s="54" t="str">
        <f>IF('Game Info'!M63="","",'Game Info'!M63)</f>
        <v>Q</v>
      </c>
      <c r="F80" s="55" t="str">
        <f>IF('Game Info'!N63="","",'Game Info'!N63)</f>
        <v>K</v>
      </c>
      <c r="H80" s="12">
        <f t="shared" si="5"/>
        <v>1</v>
      </c>
      <c r="I80" s="44">
        <f t="shared" si="6"/>
        <v>0</v>
      </c>
      <c r="J80" s="44">
        <f t="shared" si="7"/>
        <v>0</v>
      </c>
      <c r="K80" s="44">
        <f t="shared" si="8"/>
        <v>0</v>
      </c>
      <c r="L80" s="48">
        <f t="shared" si="9"/>
        <v>1</v>
      </c>
      <c r="N80" s="12">
        <f t="shared" si="10"/>
        <v>0</v>
      </c>
      <c r="O80" s="44">
        <f t="shared" si="11"/>
        <v>1</v>
      </c>
      <c r="P80" s="44">
        <f t="shared" si="12"/>
        <v>2</v>
      </c>
      <c r="Q80" s="44">
        <f t="shared" si="13"/>
        <v>0</v>
      </c>
      <c r="R80" s="48">
        <f t="shared" si="14"/>
        <v>0</v>
      </c>
      <c r="T80" s="12">
        <f t="shared" si="15"/>
        <v>1</v>
      </c>
      <c r="U80" s="44">
        <f t="shared" si="16"/>
        <v>0</v>
      </c>
      <c r="V80" s="44">
        <f t="shared" si="17"/>
        <v>0</v>
      </c>
      <c r="W80" s="44">
        <f t="shared" si="18"/>
        <v>1</v>
      </c>
      <c r="X80" s="48">
        <f t="shared" si="19"/>
        <v>0</v>
      </c>
      <c r="Z80" s="12">
        <f t="shared" si="20"/>
        <v>0</v>
      </c>
      <c r="AA80" s="44">
        <f t="shared" si="21"/>
        <v>0</v>
      </c>
      <c r="AB80" s="44">
        <f t="shared" si="22"/>
        <v>0</v>
      </c>
      <c r="AC80" s="44">
        <f t="shared" si="23"/>
        <v>0</v>
      </c>
      <c r="AD80" s="48">
        <f t="shared" si="24"/>
        <v>0</v>
      </c>
      <c r="AF80" s="12">
        <f t="shared" si="25"/>
        <v>0</v>
      </c>
      <c r="AG80" s="44">
        <f t="shared" si="26"/>
        <v>0</v>
      </c>
      <c r="AH80" s="44">
        <f t="shared" si="27"/>
        <v>1</v>
      </c>
      <c r="AI80" s="44">
        <f t="shared" si="28"/>
        <v>1</v>
      </c>
      <c r="AJ80" s="48">
        <f t="shared" si="29"/>
        <v>1</v>
      </c>
      <c r="AL80" s="12">
        <f t="shared" si="30"/>
        <v>0</v>
      </c>
      <c r="AM80" s="44">
        <f t="shared" si="31"/>
        <v>0</v>
      </c>
      <c r="AN80" s="44">
        <f t="shared" si="32"/>
        <v>0</v>
      </c>
      <c r="AO80" s="44">
        <f t="shared" si="33"/>
        <v>0</v>
      </c>
      <c r="AP80" s="48">
        <f t="shared" si="34"/>
        <v>0</v>
      </c>
      <c r="AR80" s="12">
        <f t="shared" si="35"/>
        <v>0</v>
      </c>
      <c r="AS80" s="44">
        <f t="shared" si="36"/>
        <v>1</v>
      </c>
      <c r="AT80" s="44">
        <f t="shared" si="37"/>
        <v>0</v>
      </c>
      <c r="AU80" s="44">
        <f t="shared" si="38"/>
        <v>1</v>
      </c>
      <c r="AV80" s="48">
        <f t="shared" si="39"/>
        <v>1</v>
      </c>
      <c r="AX80" s="12">
        <f t="shared" si="40"/>
        <v>1</v>
      </c>
      <c r="AY80" s="44">
        <f t="shared" si="41"/>
        <v>0</v>
      </c>
      <c r="AZ80" s="44">
        <f t="shared" si="42"/>
        <v>1</v>
      </c>
      <c r="BA80" s="44">
        <f t="shared" si="43"/>
        <v>1</v>
      </c>
      <c r="BB80" s="48">
        <f t="shared" si="44"/>
        <v>0</v>
      </c>
      <c r="BD80" s="12">
        <f t="shared" si="45"/>
        <v>0</v>
      </c>
      <c r="BE80" s="44">
        <f t="shared" si="46"/>
        <v>1</v>
      </c>
      <c r="BF80" s="44">
        <f t="shared" si="47"/>
        <v>0</v>
      </c>
      <c r="BG80" s="44">
        <f t="shared" si="48"/>
        <v>0</v>
      </c>
      <c r="BH80" s="48">
        <f t="shared" si="49"/>
        <v>1</v>
      </c>
      <c r="BJ80" s="12">
        <f t="shared" si="50"/>
        <v>1</v>
      </c>
      <c r="BK80" s="44">
        <f t="shared" si="51"/>
        <v>1</v>
      </c>
      <c r="BL80" s="44">
        <f t="shared" si="52"/>
        <v>0</v>
      </c>
      <c r="BM80" s="44">
        <f t="shared" si="53"/>
        <v>0</v>
      </c>
      <c r="BN80" s="48">
        <f t="shared" si="54"/>
        <v>0</v>
      </c>
      <c r="BP80" s="12">
        <f t="shared" si="55"/>
        <v>0</v>
      </c>
      <c r="BQ80" s="44">
        <f t="shared" si="56"/>
        <v>0</v>
      </c>
      <c r="BR80" s="44">
        <f t="shared" si="57"/>
        <v>0</v>
      </c>
      <c r="BS80" s="44">
        <f t="shared" si="58"/>
        <v>0</v>
      </c>
      <c r="BT80" s="48">
        <f t="shared" si="59"/>
        <v>0</v>
      </c>
    </row>
    <row r="81" spans="1:72" x14ac:dyDescent="0.25">
      <c r="A81" s="4">
        <v>59</v>
      </c>
      <c r="B81" s="54" t="str">
        <f>IF('Game Info'!J64="","",'Game Info'!J64)</f>
        <v>A</v>
      </c>
      <c r="C81" s="54" t="str">
        <f>IF('Game Info'!K64="","",'Game Info'!K64)</f>
        <v>FG</v>
      </c>
      <c r="D81" s="54">
        <f>IF('Game Info'!L64="","",'Game Info'!L64)</f>
        <v>10</v>
      </c>
      <c r="E81" s="54" t="str">
        <f>IF('Game Info'!M64="","",'Game Info'!M64)</f>
        <v>SYM2</v>
      </c>
      <c r="F81" s="55" t="str">
        <f>IF('Game Info'!N64="","",'Game Info'!N64)</f>
        <v>SYM3</v>
      </c>
      <c r="H81" s="12">
        <f t="shared" si="5"/>
        <v>0</v>
      </c>
      <c r="I81" s="44">
        <f t="shared" si="6"/>
        <v>0</v>
      </c>
      <c r="J81" s="44">
        <f t="shared" si="7"/>
        <v>0</v>
      </c>
      <c r="K81" s="44">
        <f t="shared" si="8"/>
        <v>0</v>
      </c>
      <c r="L81" s="48">
        <f t="shared" si="9"/>
        <v>1</v>
      </c>
      <c r="N81" s="12">
        <f t="shared" si="10"/>
        <v>0</v>
      </c>
      <c r="O81" s="44">
        <f t="shared" si="11"/>
        <v>1</v>
      </c>
      <c r="P81" s="44">
        <f t="shared" si="12"/>
        <v>1</v>
      </c>
      <c r="Q81" s="44">
        <f t="shared" si="13"/>
        <v>1</v>
      </c>
      <c r="R81" s="48">
        <f t="shared" si="14"/>
        <v>0</v>
      </c>
      <c r="T81" s="12">
        <f t="shared" si="15"/>
        <v>1</v>
      </c>
      <c r="U81" s="44">
        <f t="shared" si="16"/>
        <v>0</v>
      </c>
      <c r="V81" s="44">
        <f t="shared" si="17"/>
        <v>0</v>
      </c>
      <c r="W81" s="44">
        <f t="shared" si="18"/>
        <v>0</v>
      </c>
      <c r="X81" s="48">
        <f t="shared" si="19"/>
        <v>1</v>
      </c>
      <c r="Z81" s="12">
        <f t="shared" si="20"/>
        <v>0</v>
      </c>
      <c r="AA81" s="44">
        <f t="shared" si="21"/>
        <v>0</v>
      </c>
      <c r="AB81" s="44">
        <f t="shared" si="22"/>
        <v>0</v>
      </c>
      <c r="AC81" s="44">
        <f t="shared" si="23"/>
        <v>0</v>
      </c>
      <c r="AD81" s="48">
        <f t="shared" si="24"/>
        <v>0</v>
      </c>
      <c r="AF81" s="12">
        <f t="shared" si="25"/>
        <v>0</v>
      </c>
      <c r="AG81" s="44">
        <f t="shared" si="26"/>
        <v>0</v>
      </c>
      <c r="AH81" s="44">
        <f t="shared" si="27"/>
        <v>1</v>
      </c>
      <c r="AI81" s="44">
        <f t="shared" si="28"/>
        <v>1</v>
      </c>
      <c r="AJ81" s="48">
        <f t="shared" si="29"/>
        <v>0</v>
      </c>
      <c r="AL81" s="12">
        <f t="shared" si="30"/>
        <v>1</v>
      </c>
      <c r="AM81" s="44">
        <f t="shared" si="31"/>
        <v>0</v>
      </c>
      <c r="AN81" s="44">
        <f t="shared" si="32"/>
        <v>0</v>
      </c>
      <c r="AO81" s="44">
        <f t="shared" si="33"/>
        <v>0</v>
      </c>
      <c r="AP81" s="48">
        <f t="shared" si="34"/>
        <v>0</v>
      </c>
      <c r="AR81" s="12">
        <f t="shared" si="35"/>
        <v>0</v>
      </c>
      <c r="AS81" s="44">
        <f t="shared" si="36"/>
        <v>1</v>
      </c>
      <c r="AT81" s="44">
        <f t="shared" si="37"/>
        <v>0</v>
      </c>
      <c r="AU81" s="44">
        <f t="shared" si="38"/>
        <v>1</v>
      </c>
      <c r="AV81" s="48">
        <f t="shared" si="39"/>
        <v>1</v>
      </c>
      <c r="AX81" s="12">
        <f t="shared" si="40"/>
        <v>1</v>
      </c>
      <c r="AY81" s="44">
        <f t="shared" si="41"/>
        <v>0</v>
      </c>
      <c r="AZ81" s="44">
        <f t="shared" si="42"/>
        <v>1</v>
      </c>
      <c r="BA81" s="44">
        <f t="shared" si="43"/>
        <v>1</v>
      </c>
      <c r="BB81" s="48">
        <f t="shared" si="44"/>
        <v>0</v>
      </c>
      <c r="BD81" s="12">
        <f t="shared" si="45"/>
        <v>0</v>
      </c>
      <c r="BE81" s="44">
        <f t="shared" si="46"/>
        <v>1</v>
      </c>
      <c r="BF81" s="44">
        <f t="shared" si="47"/>
        <v>0</v>
      </c>
      <c r="BG81" s="44">
        <f t="shared" si="48"/>
        <v>0</v>
      </c>
      <c r="BH81" s="48">
        <f t="shared" si="49"/>
        <v>1</v>
      </c>
      <c r="BJ81" s="12">
        <f t="shared" si="50"/>
        <v>1</v>
      </c>
      <c r="BK81" s="44">
        <f t="shared" si="51"/>
        <v>0</v>
      </c>
      <c r="BL81" s="44">
        <f t="shared" si="52"/>
        <v>1</v>
      </c>
      <c r="BM81" s="44">
        <f t="shared" si="53"/>
        <v>0</v>
      </c>
      <c r="BN81" s="48">
        <f t="shared" si="54"/>
        <v>0</v>
      </c>
      <c r="BP81" s="12">
        <f t="shared" si="55"/>
        <v>0</v>
      </c>
      <c r="BQ81" s="44">
        <f t="shared" si="56"/>
        <v>0</v>
      </c>
      <c r="BR81" s="44">
        <f t="shared" si="57"/>
        <v>0</v>
      </c>
      <c r="BS81" s="44">
        <f t="shared" si="58"/>
        <v>0</v>
      </c>
      <c r="BT81" s="48">
        <f t="shared" si="59"/>
        <v>0</v>
      </c>
    </row>
    <row r="82" spans="1:72" x14ac:dyDescent="0.25">
      <c r="A82" s="4">
        <v>60</v>
      </c>
      <c r="B82" s="54">
        <f>IF('Game Info'!J65="","",'Game Info'!J65)</f>
        <v>10</v>
      </c>
      <c r="C82" s="54" t="str">
        <f>IF('Game Info'!K65="","",'Game Info'!K65)</f>
        <v>J</v>
      </c>
      <c r="D82" s="54" t="str">
        <f>IF('Game Info'!L65="","",'Game Info'!L65)</f>
        <v>SYM4</v>
      </c>
      <c r="E82" s="54">
        <f>IF('Game Info'!M65="","",'Game Info'!M65)</f>
        <v>9</v>
      </c>
      <c r="F82" s="55" t="str">
        <f>IF('Game Info'!N65="","",'Game Info'!N65)</f>
        <v>J</v>
      </c>
      <c r="H82" s="12">
        <f t="shared" si="5"/>
        <v>0</v>
      </c>
      <c r="I82" s="44">
        <f t="shared" si="6"/>
        <v>0</v>
      </c>
      <c r="J82" s="44">
        <f t="shared" si="7"/>
        <v>0</v>
      </c>
      <c r="K82" s="44">
        <f t="shared" si="8"/>
        <v>0</v>
      </c>
      <c r="L82" s="48">
        <f t="shared" si="9"/>
        <v>1</v>
      </c>
      <c r="N82" s="12">
        <f t="shared" si="10"/>
        <v>0</v>
      </c>
      <c r="O82" s="44">
        <f t="shared" si="11"/>
        <v>0</v>
      </c>
      <c r="P82" s="44">
        <f t="shared" si="12"/>
        <v>0</v>
      </c>
      <c r="Q82" s="44">
        <f t="shared" si="13"/>
        <v>1</v>
      </c>
      <c r="R82" s="48">
        <f t="shared" si="14"/>
        <v>0</v>
      </c>
      <c r="T82" s="12">
        <f t="shared" si="15"/>
        <v>1</v>
      </c>
      <c r="U82" s="44">
        <f t="shared" si="16"/>
        <v>0</v>
      </c>
      <c r="V82" s="44">
        <f t="shared" si="17"/>
        <v>0</v>
      </c>
      <c r="W82" s="44">
        <f t="shared" si="18"/>
        <v>0</v>
      </c>
      <c r="X82" s="48">
        <f t="shared" si="19"/>
        <v>1</v>
      </c>
      <c r="Z82" s="12">
        <f t="shared" si="20"/>
        <v>0</v>
      </c>
      <c r="AA82" s="44">
        <f t="shared" si="21"/>
        <v>0</v>
      </c>
      <c r="AB82" s="44">
        <f t="shared" si="22"/>
        <v>1</v>
      </c>
      <c r="AC82" s="44">
        <f t="shared" si="23"/>
        <v>0</v>
      </c>
      <c r="AD82" s="48">
        <f t="shared" si="24"/>
        <v>0</v>
      </c>
      <c r="AF82" s="12">
        <f t="shared" si="25"/>
        <v>0</v>
      </c>
      <c r="AG82" s="44">
        <f t="shared" si="26"/>
        <v>0</v>
      </c>
      <c r="AH82" s="44">
        <f t="shared" si="27"/>
        <v>1</v>
      </c>
      <c r="AI82" s="44">
        <f t="shared" si="28"/>
        <v>1</v>
      </c>
      <c r="AJ82" s="48">
        <f t="shared" si="29"/>
        <v>0</v>
      </c>
      <c r="AL82" s="12">
        <f t="shared" si="30"/>
        <v>1</v>
      </c>
      <c r="AM82" s="44">
        <f t="shared" si="31"/>
        <v>0</v>
      </c>
      <c r="AN82" s="44">
        <f t="shared" si="32"/>
        <v>0</v>
      </c>
      <c r="AO82" s="44">
        <f t="shared" si="33"/>
        <v>0</v>
      </c>
      <c r="AP82" s="48">
        <f t="shared" si="34"/>
        <v>0</v>
      </c>
      <c r="AR82" s="12">
        <f t="shared" si="35"/>
        <v>0</v>
      </c>
      <c r="AS82" s="44">
        <f t="shared" si="36"/>
        <v>1</v>
      </c>
      <c r="AT82" s="44">
        <f t="shared" si="37"/>
        <v>0</v>
      </c>
      <c r="AU82" s="44">
        <f t="shared" si="38"/>
        <v>0</v>
      </c>
      <c r="AV82" s="48">
        <f t="shared" si="39"/>
        <v>1</v>
      </c>
      <c r="AX82" s="12">
        <f t="shared" si="40"/>
        <v>1</v>
      </c>
      <c r="AY82" s="44">
        <f t="shared" si="41"/>
        <v>0</v>
      </c>
      <c r="AZ82" s="44">
        <f t="shared" si="42"/>
        <v>1</v>
      </c>
      <c r="BA82" s="44">
        <f t="shared" si="43"/>
        <v>1</v>
      </c>
      <c r="BB82" s="48">
        <f t="shared" si="44"/>
        <v>0</v>
      </c>
      <c r="BD82" s="12">
        <f t="shared" si="45"/>
        <v>0</v>
      </c>
      <c r="BE82" s="44">
        <f t="shared" si="46"/>
        <v>2</v>
      </c>
      <c r="BF82" s="44">
        <f t="shared" si="47"/>
        <v>0</v>
      </c>
      <c r="BG82" s="44">
        <f t="shared" si="48"/>
        <v>0</v>
      </c>
      <c r="BH82" s="48">
        <f t="shared" si="49"/>
        <v>1</v>
      </c>
      <c r="BJ82" s="12">
        <f t="shared" si="50"/>
        <v>1</v>
      </c>
      <c r="BK82" s="44">
        <f t="shared" si="51"/>
        <v>0</v>
      </c>
      <c r="BL82" s="44">
        <f t="shared" si="52"/>
        <v>1</v>
      </c>
      <c r="BM82" s="44">
        <f t="shared" si="53"/>
        <v>0</v>
      </c>
      <c r="BN82" s="48">
        <f t="shared" si="54"/>
        <v>0</v>
      </c>
      <c r="BP82" s="12">
        <f t="shared" si="55"/>
        <v>0</v>
      </c>
      <c r="BQ82" s="44">
        <f t="shared" si="56"/>
        <v>0</v>
      </c>
      <c r="BR82" s="44">
        <f t="shared" si="57"/>
        <v>0</v>
      </c>
      <c r="BS82" s="44">
        <f t="shared" si="58"/>
        <v>1</v>
      </c>
      <c r="BT82" s="48">
        <f t="shared" si="59"/>
        <v>0</v>
      </c>
    </row>
    <row r="83" spans="1:72" x14ac:dyDescent="0.25">
      <c r="A83" s="4">
        <v>61</v>
      </c>
      <c r="B83" s="54" t="str">
        <f>IF('Game Info'!J66="","",'Game Info'!J66)</f>
        <v>K</v>
      </c>
      <c r="C83" s="54" t="str">
        <f>IF('Game Info'!K66="","",'Game Info'!K66)</f>
        <v>Q</v>
      </c>
      <c r="D83" s="54">
        <f>IF('Game Info'!L66="","",'Game Info'!L66)</f>
        <v>9</v>
      </c>
      <c r="E83" s="54" t="str">
        <f>IF('Game Info'!M66="","",'Game Info'!M66)</f>
        <v>SYM1</v>
      </c>
      <c r="F83" s="55" t="str">
        <f>IF('Game Info'!N66="","",'Game Info'!N66)</f>
        <v>SYM2</v>
      </c>
      <c r="H83" s="12">
        <f t="shared" si="5"/>
        <v>0</v>
      </c>
      <c r="I83" s="44">
        <f t="shared" si="6"/>
        <v>0</v>
      </c>
      <c r="J83" s="44">
        <f t="shared" si="7"/>
        <v>0</v>
      </c>
      <c r="K83" s="44">
        <f t="shared" si="8"/>
        <v>1</v>
      </c>
      <c r="L83" s="48">
        <f t="shared" si="9"/>
        <v>0</v>
      </c>
      <c r="N83" s="12">
        <f t="shared" si="10"/>
        <v>0</v>
      </c>
      <c r="O83" s="44">
        <f t="shared" si="11"/>
        <v>0</v>
      </c>
      <c r="P83" s="44">
        <f t="shared" si="12"/>
        <v>0</v>
      </c>
      <c r="Q83" s="44">
        <f t="shared" si="13"/>
        <v>1</v>
      </c>
      <c r="R83" s="48">
        <f t="shared" si="14"/>
        <v>1</v>
      </c>
      <c r="T83" s="12">
        <f t="shared" si="15"/>
        <v>1</v>
      </c>
      <c r="U83" s="44">
        <f t="shared" si="16"/>
        <v>0</v>
      </c>
      <c r="V83" s="44">
        <f t="shared" si="17"/>
        <v>0</v>
      </c>
      <c r="W83" s="44">
        <f t="shared" si="18"/>
        <v>0</v>
      </c>
      <c r="X83" s="48">
        <f t="shared" si="19"/>
        <v>1</v>
      </c>
      <c r="Z83" s="12">
        <f t="shared" si="20"/>
        <v>0</v>
      </c>
      <c r="AA83" s="44">
        <f t="shared" si="21"/>
        <v>0</v>
      </c>
      <c r="AB83" s="44">
        <f t="shared" si="22"/>
        <v>1</v>
      </c>
      <c r="AC83" s="44">
        <f t="shared" si="23"/>
        <v>0</v>
      </c>
      <c r="AD83" s="48">
        <f t="shared" si="24"/>
        <v>0</v>
      </c>
      <c r="AF83" s="12">
        <f t="shared" si="25"/>
        <v>0</v>
      </c>
      <c r="AG83" s="44">
        <f t="shared" si="26"/>
        <v>0</v>
      </c>
      <c r="AH83" s="44">
        <f t="shared" si="27"/>
        <v>1</v>
      </c>
      <c r="AI83" s="44">
        <f t="shared" si="28"/>
        <v>0</v>
      </c>
      <c r="AJ83" s="48">
        <f t="shared" si="29"/>
        <v>0</v>
      </c>
      <c r="AL83" s="12">
        <f t="shared" si="30"/>
        <v>1</v>
      </c>
      <c r="AM83" s="44">
        <f t="shared" si="31"/>
        <v>0</v>
      </c>
      <c r="AN83" s="44">
        <f t="shared" si="32"/>
        <v>0</v>
      </c>
      <c r="AO83" s="44">
        <f t="shared" si="33"/>
        <v>0</v>
      </c>
      <c r="AP83" s="48">
        <f t="shared" si="34"/>
        <v>0</v>
      </c>
      <c r="AR83" s="12">
        <f t="shared" si="35"/>
        <v>1</v>
      </c>
      <c r="AS83" s="44">
        <f t="shared" si="36"/>
        <v>1</v>
      </c>
      <c r="AT83" s="44">
        <f t="shared" si="37"/>
        <v>0</v>
      </c>
      <c r="AU83" s="44">
        <f t="shared" si="38"/>
        <v>0</v>
      </c>
      <c r="AV83" s="48">
        <f t="shared" si="39"/>
        <v>1</v>
      </c>
      <c r="AX83" s="12">
        <f t="shared" si="40"/>
        <v>0</v>
      </c>
      <c r="AY83" s="44">
        <f t="shared" si="41"/>
        <v>1</v>
      </c>
      <c r="AZ83" s="44">
        <f t="shared" si="42"/>
        <v>0</v>
      </c>
      <c r="BA83" s="44">
        <f t="shared" si="43"/>
        <v>1</v>
      </c>
      <c r="BB83" s="48">
        <f t="shared" si="44"/>
        <v>0</v>
      </c>
      <c r="BD83" s="12">
        <f t="shared" si="45"/>
        <v>0</v>
      </c>
      <c r="BE83" s="44">
        <f t="shared" si="46"/>
        <v>1</v>
      </c>
      <c r="BF83" s="44">
        <f t="shared" si="47"/>
        <v>0</v>
      </c>
      <c r="BG83" s="44">
        <f t="shared" si="48"/>
        <v>0</v>
      </c>
      <c r="BH83" s="48">
        <f t="shared" si="49"/>
        <v>1</v>
      </c>
      <c r="BJ83" s="12">
        <f t="shared" si="50"/>
        <v>1</v>
      </c>
      <c r="BK83" s="44">
        <f t="shared" si="51"/>
        <v>0</v>
      </c>
      <c r="BL83" s="44">
        <f t="shared" si="52"/>
        <v>1</v>
      </c>
      <c r="BM83" s="44">
        <f t="shared" si="53"/>
        <v>0</v>
      </c>
      <c r="BN83" s="48">
        <f t="shared" si="54"/>
        <v>0</v>
      </c>
      <c r="BP83" s="12">
        <f t="shared" si="55"/>
        <v>0</v>
      </c>
      <c r="BQ83" s="44">
        <f t="shared" si="56"/>
        <v>0</v>
      </c>
      <c r="BR83" s="44">
        <f t="shared" si="57"/>
        <v>1</v>
      </c>
      <c r="BS83" s="44">
        <f t="shared" si="58"/>
        <v>1</v>
      </c>
      <c r="BT83" s="48">
        <f t="shared" si="59"/>
        <v>0</v>
      </c>
    </row>
    <row r="84" spans="1:72" x14ac:dyDescent="0.25">
      <c r="A84" s="4">
        <v>62</v>
      </c>
      <c r="B84" s="54" t="str">
        <f>IF('Game Info'!J67="","",'Game Info'!J67)</f>
        <v>SYM2</v>
      </c>
      <c r="C84" s="54">
        <f>IF('Game Info'!K67="","",'Game Info'!K67)</f>
        <v>10</v>
      </c>
      <c r="D84" s="54" t="str">
        <f>IF('Game Info'!L67="","",'Game Info'!L67)</f>
        <v>SYM2</v>
      </c>
      <c r="E84" s="54" t="str">
        <f>IF('Game Info'!M67="","",'Game Info'!M67)</f>
        <v>SYM1</v>
      </c>
      <c r="F84" s="55" t="str">
        <f>IF('Game Info'!N67="","",'Game Info'!N67)</f>
        <v>SYM2</v>
      </c>
      <c r="H84" s="12">
        <f t="shared" si="5"/>
        <v>0</v>
      </c>
      <c r="I84" s="44">
        <f t="shared" si="6"/>
        <v>0</v>
      </c>
      <c r="J84" s="44">
        <f t="shared" si="7"/>
        <v>0</v>
      </c>
      <c r="K84" s="44">
        <f t="shared" si="8"/>
        <v>2</v>
      </c>
      <c r="L84" s="48">
        <f t="shared" si="9"/>
        <v>0</v>
      </c>
      <c r="N84" s="12">
        <f t="shared" si="10"/>
        <v>1</v>
      </c>
      <c r="O84" s="44">
        <f t="shared" si="11"/>
        <v>0</v>
      </c>
      <c r="P84" s="44">
        <f t="shared" si="12"/>
        <v>1</v>
      </c>
      <c r="Q84" s="44">
        <f t="shared" si="13"/>
        <v>1</v>
      </c>
      <c r="R84" s="48">
        <f t="shared" si="14"/>
        <v>2</v>
      </c>
      <c r="T84" s="12">
        <f t="shared" si="15"/>
        <v>0</v>
      </c>
      <c r="U84" s="44">
        <f t="shared" si="16"/>
        <v>0</v>
      </c>
      <c r="V84" s="44">
        <f t="shared" si="17"/>
        <v>0</v>
      </c>
      <c r="W84" s="44">
        <f t="shared" si="18"/>
        <v>0</v>
      </c>
      <c r="X84" s="48">
        <f t="shared" si="19"/>
        <v>1</v>
      </c>
      <c r="Z84" s="12">
        <f t="shared" si="20"/>
        <v>0</v>
      </c>
      <c r="AA84" s="44">
        <f t="shared" si="21"/>
        <v>0</v>
      </c>
      <c r="AB84" s="44">
        <f t="shared" si="22"/>
        <v>1</v>
      </c>
      <c r="AC84" s="44">
        <f t="shared" si="23"/>
        <v>0</v>
      </c>
      <c r="AD84" s="48">
        <f t="shared" si="24"/>
        <v>0</v>
      </c>
      <c r="AF84" s="12">
        <f t="shared" si="25"/>
        <v>0</v>
      </c>
      <c r="AG84" s="44">
        <f t="shared" si="26"/>
        <v>0</v>
      </c>
      <c r="AH84" s="44">
        <f t="shared" si="27"/>
        <v>0</v>
      </c>
      <c r="AI84" s="44">
        <f t="shared" si="28"/>
        <v>0</v>
      </c>
      <c r="AJ84" s="48">
        <f t="shared" si="29"/>
        <v>0</v>
      </c>
      <c r="AL84" s="12">
        <f t="shared" si="30"/>
        <v>1</v>
      </c>
      <c r="AM84" s="44">
        <f t="shared" si="31"/>
        <v>0</v>
      </c>
      <c r="AN84" s="44">
        <f t="shared" si="32"/>
        <v>0</v>
      </c>
      <c r="AO84" s="44">
        <f t="shared" si="33"/>
        <v>0</v>
      </c>
      <c r="AP84" s="48">
        <f t="shared" si="34"/>
        <v>0</v>
      </c>
      <c r="AR84" s="12">
        <f t="shared" si="35"/>
        <v>1</v>
      </c>
      <c r="AS84" s="44">
        <f t="shared" si="36"/>
        <v>0</v>
      </c>
      <c r="AT84" s="44">
        <f t="shared" si="37"/>
        <v>0</v>
      </c>
      <c r="AU84" s="44">
        <f t="shared" si="38"/>
        <v>0</v>
      </c>
      <c r="AV84" s="48">
        <f t="shared" si="39"/>
        <v>0</v>
      </c>
      <c r="AX84" s="12">
        <f t="shared" si="40"/>
        <v>0</v>
      </c>
      <c r="AY84" s="44">
        <f t="shared" si="41"/>
        <v>1</v>
      </c>
      <c r="AZ84" s="44">
        <f t="shared" si="42"/>
        <v>0</v>
      </c>
      <c r="BA84" s="44">
        <f t="shared" si="43"/>
        <v>0</v>
      </c>
      <c r="BB84" s="48">
        <f t="shared" si="44"/>
        <v>0</v>
      </c>
      <c r="BD84" s="12">
        <f t="shared" si="45"/>
        <v>0</v>
      </c>
      <c r="BE84" s="44">
        <f t="shared" si="46"/>
        <v>1</v>
      </c>
      <c r="BF84" s="44">
        <f t="shared" si="47"/>
        <v>0</v>
      </c>
      <c r="BG84" s="44">
        <f t="shared" si="48"/>
        <v>0</v>
      </c>
      <c r="BH84" s="48">
        <f t="shared" si="49"/>
        <v>1</v>
      </c>
      <c r="BJ84" s="12">
        <f t="shared" si="50"/>
        <v>1</v>
      </c>
      <c r="BK84" s="44">
        <f t="shared" si="51"/>
        <v>1</v>
      </c>
      <c r="BL84" s="44">
        <f t="shared" si="52"/>
        <v>1</v>
      </c>
      <c r="BM84" s="44">
        <f t="shared" si="53"/>
        <v>0</v>
      </c>
      <c r="BN84" s="48">
        <f t="shared" si="54"/>
        <v>0</v>
      </c>
      <c r="BP84" s="12">
        <f t="shared" si="55"/>
        <v>0</v>
      </c>
      <c r="BQ84" s="44">
        <f t="shared" si="56"/>
        <v>0</v>
      </c>
      <c r="BR84" s="44">
        <f t="shared" si="57"/>
        <v>1</v>
      </c>
      <c r="BS84" s="44">
        <f t="shared" si="58"/>
        <v>1</v>
      </c>
      <c r="BT84" s="48">
        <f t="shared" si="59"/>
        <v>0</v>
      </c>
    </row>
    <row r="85" spans="1:72" x14ac:dyDescent="0.25">
      <c r="A85" s="4">
        <v>63</v>
      </c>
      <c r="B85" s="54" t="str">
        <f>IF('Game Info'!J68="","",'Game Info'!J68)</f>
        <v>J</v>
      </c>
      <c r="C85" s="54" t="str">
        <f>IF('Game Info'!K68="","",'Game Info'!K68)</f>
        <v>SYM3</v>
      </c>
      <c r="D85" s="54" t="str">
        <f>IF('Game Info'!L68="","",'Game Info'!L68)</f>
        <v>K</v>
      </c>
      <c r="E85" s="54" t="str">
        <f>IF('Game Info'!M68="","",'Game Info'!M68)</f>
        <v>Q</v>
      </c>
      <c r="F85" s="55" t="str">
        <f>IF('Game Info'!N68="","",'Game Info'!N68)</f>
        <v>SYM2</v>
      </c>
      <c r="H85" s="12">
        <f t="shared" si="5"/>
        <v>0</v>
      </c>
      <c r="I85" s="44">
        <f t="shared" si="6"/>
        <v>0</v>
      </c>
      <c r="J85" s="44">
        <f t="shared" si="7"/>
        <v>0</v>
      </c>
      <c r="K85" s="44">
        <f t="shared" si="8"/>
        <v>2</v>
      </c>
      <c r="L85" s="48">
        <f t="shared" si="9"/>
        <v>0</v>
      </c>
      <c r="N85" s="12">
        <f t="shared" si="10"/>
        <v>1</v>
      </c>
      <c r="O85" s="44">
        <f t="shared" si="11"/>
        <v>0</v>
      </c>
      <c r="P85" s="44">
        <f t="shared" si="12"/>
        <v>1</v>
      </c>
      <c r="Q85" s="44">
        <f t="shared" si="13"/>
        <v>0</v>
      </c>
      <c r="R85" s="48">
        <f t="shared" si="14"/>
        <v>3</v>
      </c>
      <c r="T85" s="12">
        <f t="shared" si="15"/>
        <v>0</v>
      </c>
      <c r="U85" s="44">
        <f t="shared" si="16"/>
        <v>1</v>
      </c>
      <c r="V85" s="44">
        <f t="shared" si="17"/>
        <v>0</v>
      </c>
      <c r="W85" s="44">
        <f t="shared" si="18"/>
        <v>0</v>
      </c>
      <c r="X85" s="48">
        <f t="shared" si="19"/>
        <v>0</v>
      </c>
      <c r="Z85" s="12">
        <f t="shared" si="20"/>
        <v>0</v>
      </c>
      <c r="AA85" s="44">
        <f t="shared" si="21"/>
        <v>0</v>
      </c>
      <c r="AB85" s="44">
        <f t="shared" si="22"/>
        <v>1</v>
      </c>
      <c r="AC85" s="44">
        <f t="shared" si="23"/>
        <v>0</v>
      </c>
      <c r="AD85" s="48">
        <f t="shared" si="24"/>
        <v>0</v>
      </c>
      <c r="AF85" s="12">
        <f t="shared" si="25"/>
        <v>0</v>
      </c>
      <c r="AG85" s="44">
        <f t="shared" si="26"/>
        <v>0</v>
      </c>
      <c r="AH85" s="44">
        <f t="shared" si="27"/>
        <v>0</v>
      </c>
      <c r="AI85" s="44">
        <f t="shared" si="28"/>
        <v>0</v>
      </c>
      <c r="AJ85" s="48">
        <f t="shared" si="29"/>
        <v>0</v>
      </c>
      <c r="AL85" s="12">
        <f t="shared" si="30"/>
        <v>0</v>
      </c>
      <c r="AM85" s="44">
        <f t="shared" si="31"/>
        <v>0</v>
      </c>
      <c r="AN85" s="44">
        <f t="shared" si="32"/>
        <v>0</v>
      </c>
      <c r="AO85" s="44">
        <f t="shared" si="33"/>
        <v>0</v>
      </c>
      <c r="AP85" s="48">
        <f t="shared" si="34"/>
        <v>0</v>
      </c>
      <c r="AR85" s="12">
        <f t="shared" si="35"/>
        <v>1</v>
      </c>
      <c r="AS85" s="44">
        <f t="shared" si="36"/>
        <v>0</v>
      </c>
      <c r="AT85" s="44">
        <f t="shared" si="37"/>
        <v>1</v>
      </c>
      <c r="AU85" s="44">
        <f t="shared" si="38"/>
        <v>0</v>
      </c>
      <c r="AV85" s="48">
        <f t="shared" si="39"/>
        <v>0</v>
      </c>
      <c r="AX85" s="12">
        <f t="shared" si="40"/>
        <v>0</v>
      </c>
      <c r="AY85" s="44">
        <f t="shared" si="41"/>
        <v>1</v>
      </c>
      <c r="AZ85" s="44">
        <f t="shared" si="42"/>
        <v>0</v>
      </c>
      <c r="BA85" s="44">
        <f t="shared" si="43"/>
        <v>1</v>
      </c>
      <c r="BB85" s="48">
        <f t="shared" si="44"/>
        <v>0</v>
      </c>
      <c r="BD85" s="12">
        <f t="shared" si="45"/>
        <v>1</v>
      </c>
      <c r="BE85" s="44">
        <f t="shared" si="46"/>
        <v>1</v>
      </c>
      <c r="BF85" s="44">
        <f t="shared" si="47"/>
        <v>0</v>
      </c>
      <c r="BG85" s="44">
        <f t="shared" si="48"/>
        <v>0</v>
      </c>
      <c r="BH85" s="48">
        <f t="shared" si="49"/>
        <v>1</v>
      </c>
      <c r="BJ85" s="12">
        <f t="shared" si="50"/>
        <v>1</v>
      </c>
      <c r="BK85" s="44">
        <f t="shared" si="51"/>
        <v>1</v>
      </c>
      <c r="BL85" s="44">
        <f t="shared" si="52"/>
        <v>0</v>
      </c>
      <c r="BM85" s="44">
        <f t="shared" si="53"/>
        <v>0</v>
      </c>
      <c r="BN85" s="48">
        <f t="shared" si="54"/>
        <v>0</v>
      </c>
      <c r="BP85" s="12">
        <f t="shared" si="55"/>
        <v>0</v>
      </c>
      <c r="BQ85" s="44">
        <f t="shared" si="56"/>
        <v>0</v>
      </c>
      <c r="BR85" s="44">
        <f t="shared" si="57"/>
        <v>1</v>
      </c>
      <c r="BS85" s="44">
        <f t="shared" si="58"/>
        <v>1</v>
      </c>
      <c r="BT85" s="48">
        <f t="shared" si="59"/>
        <v>0</v>
      </c>
    </row>
    <row r="86" spans="1:72" x14ac:dyDescent="0.25">
      <c r="A86" s="4">
        <v>64</v>
      </c>
      <c r="B86" s="54" t="str">
        <f>IF('Game Info'!J69="","",'Game Info'!J69)</f>
        <v>SYM1</v>
      </c>
      <c r="C86" s="54" t="str">
        <f>IF('Game Info'!K69="","",'Game Info'!K69)</f>
        <v>A</v>
      </c>
      <c r="D86" s="54" t="str">
        <f>IF('Game Info'!L69="","",'Game Info'!L69)</f>
        <v>SYM1</v>
      </c>
      <c r="E86" s="54" t="str">
        <f>IF('Game Info'!M69="","",'Game Info'!M69)</f>
        <v>FG</v>
      </c>
      <c r="F86" s="55">
        <f>IF('Game Info'!N69="","",'Game Info'!N69)</f>
        <v>10</v>
      </c>
      <c r="H86" s="12">
        <f t="shared" si="5"/>
        <v>1</v>
      </c>
      <c r="I86" s="44">
        <f t="shared" si="6"/>
        <v>0</v>
      </c>
      <c r="J86" s="44">
        <f t="shared" si="7"/>
        <v>1</v>
      </c>
      <c r="K86" s="44">
        <f t="shared" si="8"/>
        <v>2</v>
      </c>
      <c r="L86" s="48">
        <f t="shared" si="9"/>
        <v>0</v>
      </c>
      <c r="N86" s="12">
        <f t="shared" si="10"/>
        <v>1</v>
      </c>
      <c r="O86" s="44">
        <f t="shared" si="11"/>
        <v>0</v>
      </c>
      <c r="P86" s="44">
        <f t="shared" si="12"/>
        <v>1</v>
      </c>
      <c r="Q86" s="44">
        <f t="shared" si="13"/>
        <v>0</v>
      </c>
      <c r="R86" s="48">
        <f t="shared" si="14"/>
        <v>3</v>
      </c>
      <c r="T86" s="12">
        <f t="shared" si="15"/>
        <v>0</v>
      </c>
      <c r="U86" s="44">
        <f t="shared" si="16"/>
        <v>1</v>
      </c>
      <c r="V86" s="44">
        <f t="shared" si="17"/>
        <v>0</v>
      </c>
      <c r="W86" s="44">
        <f t="shared" si="18"/>
        <v>0</v>
      </c>
      <c r="X86" s="48">
        <f t="shared" si="19"/>
        <v>0</v>
      </c>
      <c r="Z86" s="12">
        <f t="shared" si="20"/>
        <v>0</v>
      </c>
      <c r="AA86" s="44">
        <f t="shared" si="21"/>
        <v>0</v>
      </c>
      <c r="AB86" s="44">
        <f t="shared" si="22"/>
        <v>0</v>
      </c>
      <c r="AC86" s="44">
        <f t="shared" si="23"/>
        <v>0</v>
      </c>
      <c r="AD86" s="48">
        <f t="shared" si="24"/>
        <v>0</v>
      </c>
      <c r="AF86" s="12">
        <f t="shared" si="25"/>
        <v>0</v>
      </c>
      <c r="AG86" s="44">
        <f t="shared" si="26"/>
        <v>0</v>
      </c>
      <c r="AH86" s="44">
        <f t="shared" si="27"/>
        <v>0</v>
      </c>
      <c r="AI86" s="44">
        <f t="shared" si="28"/>
        <v>0</v>
      </c>
      <c r="AJ86" s="48">
        <f t="shared" si="29"/>
        <v>0</v>
      </c>
      <c r="AL86" s="12">
        <f t="shared" si="30"/>
        <v>0</v>
      </c>
      <c r="AM86" s="44">
        <f t="shared" si="31"/>
        <v>1</v>
      </c>
      <c r="AN86" s="44">
        <f t="shared" si="32"/>
        <v>0</v>
      </c>
      <c r="AO86" s="44">
        <f t="shared" si="33"/>
        <v>0</v>
      </c>
      <c r="AP86" s="48">
        <f t="shared" si="34"/>
        <v>0</v>
      </c>
      <c r="AR86" s="12">
        <f t="shared" si="35"/>
        <v>1</v>
      </c>
      <c r="AS86" s="44">
        <f t="shared" si="36"/>
        <v>0</v>
      </c>
      <c r="AT86" s="44">
        <f t="shared" si="37"/>
        <v>1</v>
      </c>
      <c r="AU86" s="44">
        <f t="shared" si="38"/>
        <v>0</v>
      </c>
      <c r="AV86" s="48">
        <f t="shared" si="39"/>
        <v>0</v>
      </c>
      <c r="AX86" s="12">
        <f t="shared" si="40"/>
        <v>0</v>
      </c>
      <c r="AY86" s="44">
        <f t="shared" si="41"/>
        <v>1</v>
      </c>
      <c r="AZ86" s="44">
        <f t="shared" si="42"/>
        <v>0</v>
      </c>
      <c r="BA86" s="44">
        <f t="shared" si="43"/>
        <v>1</v>
      </c>
      <c r="BB86" s="48">
        <f t="shared" si="44"/>
        <v>0</v>
      </c>
      <c r="BD86" s="12">
        <f t="shared" si="45"/>
        <v>1</v>
      </c>
      <c r="BE86" s="44">
        <f t="shared" si="46"/>
        <v>0</v>
      </c>
      <c r="BF86" s="44">
        <f t="shared" si="47"/>
        <v>0</v>
      </c>
      <c r="BG86" s="44">
        <f t="shared" si="48"/>
        <v>0</v>
      </c>
      <c r="BH86" s="48">
        <f t="shared" si="49"/>
        <v>0</v>
      </c>
      <c r="BJ86" s="12">
        <f t="shared" si="50"/>
        <v>0</v>
      </c>
      <c r="BK86" s="44">
        <f t="shared" si="51"/>
        <v>1</v>
      </c>
      <c r="BL86" s="44">
        <f t="shared" si="52"/>
        <v>0</v>
      </c>
      <c r="BM86" s="44">
        <f t="shared" si="53"/>
        <v>0</v>
      </c>
      <c r="BN86" s="48">
        <f t="shared" si="54"/>
        <v>1</v>
      </c>
      <c r="BP86" s="12">
        <f t="shared" si="55"/>
        <v>0</v>
      </c>
      <c r="BQ86" s="44">
        <f t="shared" si="56"/>
        <v>0</v>
      </c>
      <c r="BR86" s="44">
        <f t="shared" si="57"/>
        <v>1</v>
      </c>
      <c r="BS86" s="44">
        <f t="shared" si="58"/>
        <v>0</v>
      </c>
      <c r="BT86" s="48">
        <f t="shared" si="59"/>
        <v>0</v>
      </c>
    </row>
    <row r="87" spans="1:72" x14ac:dyDescent="0.25">
      <c r="A87" s="4">
        <v>65</v>
      </c>
      <c r="B87" s="54" t="str">
        <f>IF('Game Info'!J70="","",'Game Info'!J70)</f>
        <v>Q</v>
      </c>
      <c r="C87" s="54" t="str">
        <f>IF('Game Info'!K70="","",'Game Info'!K70)</f>
        <v>SYM4</v>
      </c>
      <c r="D87" s="54" t="str">
        <f>IF('Game Info'!L70="","",'Game Info'!L70)</f>
        <v>Q</v>
      </c>
      <c r="E87" s="54">
        <f>IF('Game Info'!M70="","",'Game Info'!M70)</f>
        <v>10</v>
      </c>
      <c r="F87" s="55" t="str">
        <f>IF('Game Info'!N70="","",'Game Info'!N70)</f>
        <v>SYM4</v>
      </c>
      <c r="H87" s="12">
        <f t="shared" si="5"/>
        <v>1</v>
      </c>
      <c r="I87" s="44">
        <f t="shared" si="6"/>
        <v>0</v>
      </c>
      <c r="J87" s="44">
        <f t="shared" si="7"/>
        <v>1</v>
      </c>
      <c r="K87" s="44">
        <f t="shared" si="8"/>
        <v>1</v>
      </c>
      <c r="L87" s="48">
        <f t="shared" si="9"/>
        <v>0</v>
      </c>
      <c r="N87" s="12">
        <f t="shared" si="10"/>
        <v>1</v>
      </c>
      <c r="O87" s="44">
        <f t="shared" si="11"/>
        <v>0</v>
      </c>
      <c r="P87" s="44">
        <f t="shared" si="12"/>
        <v>1</v>
      </c>
      <c r="Q87" s="44">
        <f t="shared" si="13"/>
        <v>0</v>
      </c>
      <c r="R87" s="48">
        <f t="shared" si="14"/>
        <v>2</v>
      </c>
      <c r="T87" s="12">
        <f t="shared" si="15"/>
        <v>0</v>
      </c>
      <c r="U87" s="44">
        <f t="shared" si="16"/>
        <v>1</v>
      </c>
      <c r="V87" s="44">
        <f t="shared" si="17"/>
        <v>0</v>
      </c>
      <c r="W87" s="44">
        <f t="shared" si="18"/>
        <v>0</v>
      </c>
      <c r="X87" s="48">
        <f t="shared" si="19"/>
        <v>0</v>
      </c>
      <c r="Z87" s="12">
        <f t="shared" si="20"/>
        <v>0</v>
      </c>
      <c r="AA87" s="44">
        <f t="shared" si="21"/>
        <v>1</v>
      </c>
      <c r="AB87" s="44">
        <f t="shared" si="22"/>
        <v>0</v>
      </c>
      <c r="AC87" s="44">
        <f t="shared" si="23"/>
        <v>0</v>
      </c>
      <c r="AD87" s="48">
        <f t="shared" si="24"/>
        <v>1</v>
      </c>
      <c r="AF87" s="12">
        <f t="shared" si="25"/>
        <v>0</v>
      </c>
      <c r="AG87" s="44">
        <f t="shared" si="26"/>
        <v>0</v>
      </c>
      <c r="AH87" s="44">
        <f t="shared" si="27"/>
        <v>0</v>
      </c>
      <c r="AI87" s="44">
        <f t="shared" si="28"/>
        <v>0</v>
      </c>
      <c r="AJ87" s="48">
        <f t="shared" si="29"/>
        <v>0</v>
      </c>
      <c r="AL87" s="12">
        <f t="shared" si="30"/>
        <v>0</v>
      </c>
      <c r="AM87" s="44">
        <f t="shared" si="31"/>
        <v>1</v>
      </c>
      <c r="AN87" s="44">
        <f t="shared" si="32"/>
        <v>0</v>
      </c>
      <c r="AO87" s="44">
        <f t="shared" si="33"/>
        <v>0</v>
      </c>
      <c r="AP87" s="48">
        <f t="shared" si="34"/>
        <v>0</v>
      </c>
      <c r="AR87" s="12">
        <f t="shared" si="35"/>
        <v>0</v>
      </c>
      <c r="AS87" s="44">
        <f t="shared" si="36"/>
        <v>0</v>
      </c>
      <c r="AT87" s="44">
        <f t="shared" si="37"/>
        <v>1</v>
      </c>
      <c r="AU87" s="44">
        <f t="shared" si="38"/>
        <v>0</v>
      </c>
      <c r="AV87" s="48">
        <f t="shared" si="39"/>
        <v>0</v>
      </c>
      <c r="AX87" s="12">
        <f t="shared" si="40"/>
        <v>1</v>
      </c>
      <c r="AY87" s="44">
        <f t="shared" si="41"/>
        <v>0</v>
      </c>
      <c r="AZ87" s="44">
        <f t="shared" si="42"/>
        <v>1</v>
      </c>
      <c r="BA87" s="44">
        <f t="shared" si="43"/>
        <v>1</v>
      </c>
      <c r="BB87" s="48">
        <f t="shared" si="44"/>
        <v>0</v>
      </c>
      <c r="BD87" s="12">
        <f t="shared" si="45"/>
        <v>1</v>
      </c>
      <c r="BE87" s="44">
        <f t="shared" si="46"/>
        <v>0</v>
      </c>
      <c r="BF87" s="44">
        <f t="shared" si="47"/>
        <v>0</v>
      </c>
      <c r="BG87" s="44">
        <f t="shared" si="48"/>
        <v>0</v>
      </c>
      <c r="BH87" s="48">
        <f t="shared" si="49"/>
        <v>0</v>
      </c>
      <c r="BJ87" s="12">
        <f t="shared" si="50"/>
        <v>0</v>
      </c>
      <c r="BK87" s="44">
        <f t="shared" si="51"/>
        <v>1</v>
      </c>
      <c r="BL87" s="44">
        <f t="shared" si="52"/>
        <v>0</v>
      </c>
      <c r="BM87" s="44">
        <f t="shared" si="53"/>
        <v>1</v>
      </c>
      <c r="BN87" s="48">
        <f t="shared" si="54"/>
        <v>1</v>
      </c>
      <c r="BP87" s="12">
        <f t="shared" si="55"/>
        <v>0</v>
      </c>
      <c r="BQ87" s="44">
        <f t="shared" si="56"/>
        <v>0</v>
      </c>
      <c r="BR87" s="44">
        <f t="shared" si="57"/>
        <v>0</v>
      </c>
      <c r="BS87" s="44">
        <f t="shared" si="58"/>
        <v>0</v>
      </c>
      <c r="BT87" s="48">
        <f t="shared" si="59"/>
        <v>0</v>
      </c>
    </row>
    <row r="88" spans="1:72" x14ac:dyDescent="0.25">
      <c r="A88" s="4">
        <v>66</v>
      </c>
      <c r="B88" s="54" t="str">
        <f>IF('Game Info'!J71="","",'Game Info'!J71)</f>
        <v>SYM3</v>
      </c>
      <c r="C88" s="54" t="str">
        <f>IF('Game Info'!K71="","",'Game Info'!K71)</f>
        <v>K</v>
      </c>
      <c r="D88" s="54" t="str">
        <f>IF('Game Info'!L71="","",'Game Info'!L71)</f>
        <v>FG</v>
      </c>
      <c r="E88" s="54" t="str">
        <f>IF('Game Info'!M71="","",'Game Info'!M71)</f>
        <v>SYM1</v>
      </c>
      <c r="F88" s="55" t="str">
        <f>IF('Game Info'!N71="","",'Game Info'!N71)</f>
        <v>J</v>
      </c>
      <c r="H88" s="12">
        <f t="shared" ref="H88:H151" si="60">IF($B88="","",COUNTIF($B85:$B88,H$21)+COUNTIF($B85:$B88,$A$3))</f>
        <v>1</v>
      </c>
      <c r="I88" s="44">
        <f t="shared" ref="I88:I151" si="61">IF($C88="","",COUNTIF($C85:$C88,H$21)+COUNTIF($C85:$C88,$A$3))</f>
        <v>0</v>
      </c>
      <c r="J88" s="44">
        <f t="shared" ref="J88:J151" si="62">IF($D88="","",COUNTIF($D85:$D88,H$21)+COUNTIF($D85:$D88,$A$3))</f>
        <v>1</v>
      </c>
      <c r="K88" s="44">
        <f t="shared" ref="K88:K151" si="63">IF($E88="","",COUNTIF($E85:$E88,H$21)+COUNTIF($E85:$E88,$A$3))</f>
        <v>1</v>
      </c>
      <c r="L88" s="48">
        <f t="shared" ref="L88:L151" si="64">IF($F88="","",COUNTIF($F85:$F88,H$21)+COUNTIF($F85:$F88,$A$3))</f>
        <v>0</v>
      </c>
      <c r="N88" s="12">
        <f t="shared" ref="N88:N151" si="65">IF($B88="","",COUNTIF($B85:$B88,N$21)+COUNTIF($B85:$B88,$A$3))</f>
        <v>0</v>
      </c>
      <c r="O88" s="44">
        <f t="shared" ref="O88:O151" si="66">IF($C88="","",COUNTIF($C85:$C88,N$21)+COUNTIF($C85:$C88,$A$3))</f>
        <v>0</v>
      </c>
      <c r="P88" s="44">
        <f t="shared" ref="P88:P151" si="67">IF($D88="","",COUNTIF($D85:$D88,N$21)+COUNTIF($D85:$D88,$A$3))</f>
        <v>0</v>
      </c>
      <c r="Q88" s="44">
        <f t="shared" ref="Q88:Q151" si="68">IF($E88="","",COUNTIF($E85:$E88,N$21)+COUNTIF($E85:$E88,$A$3))</f>
        <v>0</v>
      </c>
      <c r="R88" s="48">
        <f t="shared" ref="R88:R151" si="69">IF($F88="","",COUNTIF($F85:$F88,N$21)+COUNTIF($F85:$F88,$A$3))</f>
        <v>1</v>
      </c>
      <c r="T88" s="12">
        <f t="shared" ref="T88:T151" si="70">IF($B88="","",COUNTIF($B85:$B88,T$21)+COUNTIF($B85:$B88,$A$3))</f>
        <v>1</v>
      </c>
      <c r="U88" s="44">
        <f t="shared" ref="U88:U151" si="71">IF($C88="","",COUNTIF($C85:$C88,T$21)+COUNTIF($C85:$C88,$A$3))</f>
        <v>1</v>
      </c>
      <c r="V88" s="44">
        <f t="shared" ref="V88:V151" si="72">IF($D88="","",COUNTIF($D85:$D88,T$21)+COUNTIF($D85:$D88,$A$3))</f>
        <v>0</v>
      </c>
      <c r="W88" s="44">
        <f t="shared" ref="W88:W151" si="73">IF($E88="","",COUNTIF($E85:$E88,T$21)+COUNTIF($E85:$E88,$A$3))</f>
        <v>0</v>
      </c>
      <c r="X88" s="48">
        <f t="shared" ref="X88:X151" si="74">IF($F88="","",COUNTIF($F85:$F88,T$21)+COUNTIF($F85:$F88,$A$3))</f>
        <v>0</v>
      </c>
      <c r="Z88" s="12">
        <f t="shared" ref="Z88:Z151" si="75">IF($B88="","",COUNTIF($B85:$B88,Z$21)+COUNTIF($B85:$B88,$A$3))</f>
        <v>0</v>
      </c>
      <c r="AA88" s="44">
        <f t="shared" ref="AA88:AA151" si="76">IF($C88="","",COUNTIF($C85:$C88,Z$21)+COUNTIF($C85:$C88,$A$3))</f>
        <v>1</v>
      </c>
      <c r="AB88" s="44">
        <f t="shared" ref="AB88:AB151" si="77">IF($D88="","",COUNTIF($D85:$D88,Z$21)+COUNTIF($D85:$D88,$A$3))</f>
        <v>0</v>
      </c>
      <c r="AC88" s="44">
        <f t="shared" ref="AC88:AC151" si="78">IF($E88="","",COUNTIF($E85:$E88,Z$21)+COUNTIF($E85:$E88,$A$3))</f>
        <v>0</v>
      </c>
      <c r="AD88" s="48">
        <f t="shared" ref="AD88:AD151" si="79">IF($F88="","",COUNTIF($F85:$F88,Z$21)+COUNTIF($F85:$F88,$A$3))</f>
        <v>1</v>
      </c>
      <c r="AF88" s="12">
        <f t="shared" ref="AF88:AF151" si="80">IF($B88="","",COUNTIF($B85:$B88,AF$21)+COUNTIF($B85:$B88,$A$3))</f>
        <v>0</v>
      </c>
      <c r="AG88" s="44">
        <f t="shared" ref="AG88:AG151" si="81">IF($C88="","",COUNTIF($C85:$C88,AF$21)+COUNTIF($C85:$C88,$A$3))</f>
        <v>0</v>
      </c>
      <c r="AH88" s="44">
        <f t="shared" ref="AH88:AH151" si="82">IF($D88="","",COUNTIF($D85:$D88,AF$21)+COUNTIF($D85:$D88,$A$3))</f>
        <v>0</v>
      </c>
      <c r="AI88" s="44">
        <f t="shared" ref="AI88:AI151" si="83">IF($E88="","",COUNTIF($E85:$E88,AF$21)+COUNTIF($E85:$E88,$A$3))</f>
        <v>0</v>
      </c>
      <c r="AJ88" s="48">
        <f t="shared" ref="AJ88:AJ151" si="84">IF($F88="","",COUNTIF($F85:$F88,AF$21)+COUNTIF($F85:$F88,$A$3))</f>
        <v>0</v>
      </c>
      <c r="AL88" s="12">
        <f t="shared" ref="AL88:AL151" si="85">IF($B88="","",COUNTIF($B85:$B88,AL$21)+COUNTIF($B85:$B88,$A$3))</f>
        <v>0</v>
      </c>
      <c r="AM88" s="44">
        <f t="shared" ref="AM88:AM151" si="86">IF($C88="","",COUNTIF($C85:$C88,AL$21)+COUNTIF($C85:$C88,$A$3))</f>
        <v>1</v>
      </c>
      <c r="AN88" s="44">
        <f t="shared" ref="AN88:AN151" si="87">IF($D88="","",COUNTIF($D85:$D88,AL$21)+COUNTIF($D85:$D88,$A$3))</f>
        <v>0</v>
      </c>
      <c r="AO88" s="44">
        <f t="shared" ref="AO88:AO151" si="88">IF($E88="","",COUNTIF($E85:$E88,AL$21)+COUNTIF($E85:$E88,$A$3))</f>
        <v>0</v>
      </c>
      <c r="AP88" s="48">
        <f t="shared" ref="AP88:AP151" si="89">IF($F88="","",COUNTIF($F85:$F88,AL$21)+COUNTIF($F85:$F88,$A$3))</f>
        <v>0</v>
      </c>
      <c r="AR88" s="12">
        <f t="shared" ref="AR88:AR151" si="90">IF($B88="","",COUNTIF($B85:$B88,AR$21)+COUNTIF($B85:$B88,$A$3))</f>
        <v>0</v>
      </c>
      <c r="AS88" s="44">
        <f t="shared" ref="AS88:AS151" si="91">IF($C88="","",COUNTIF($C85:$C88,AR$21)+COUNTIF($C85:$C88,$A$3))</f>
        <v>1</v>
      </c>
      <c r="AT88" s="44">
        <f t="shared" ref="AT88:AT151" si="92">IF($D88="","",COUNTIF($D85:$D88,AR$21)+COUNTIF($D85:$D88,$A$3))</f>
        <v>1</v>
      </c>
      <c r="AU88" s="44">
        <f t="shared" ref="AU88:AU151" si="93">IF($E88="","",COUNTIF($E85:$E88,AR$21)+COUNTIF($E85:$E88,$A$3))</f>
        <v>0</v>
      </c>
      <c r="AV88" s="48">
        <f t="shared" ref="AV88:AV151" si="94">IF($F88="","",COUNTIF($F85:$F88,AR$21)+COUNTIF($F85:$F88,$A$3))</f>
        <v>0</v>
      </c>
      <c r="AX88" s="12">
        <f t="shared" ref="AX88:AX151" si="95">IF($B88="","",COUNTIF($B85:$B88,AX$21)+COUNTIF($B85:$B88,$A$3))</f>
        <v>1</v>
      </c>
      <c r="AY88" s="44">
        <f t="shared" ref="AY88:AY151" si="96">IF($C88="","",COUNTIF($C85:$C88,AX$21)+COUNTIF($C85:$C88,$A$3))</f>
        <v>0</v>
      </c>
      <c r="AZ88" s="44">
        <f t="shared" ref="AZ88:AZ151" si="97">IF($D88="","",COUNTIF($D85:$D88,AX$21)+COUNTIF($D85:$D88,$A$3))</f>
        <v>1</v>
      </c>
      <c r="BA88" s="44">
        <f t="shared" ref="BA88:BA151" si="98">IF($E88="","",COUNTIF($E85:$E88,AX$21)+COUNTIF($E85:$E88,$A$3))</f>
        <v>1</v>
      </c>
      <c r="BB88" s="48">
        <f t="shared" ref="BB88:BB151" si="99">IF($F88="","",COUNTIF($F85:$F88,AX$21)+COUNTIF($F85:$F88,$A$3))</f>
        <v>0</v>
      </c>
      <c r="BD88" s="12">
        <f t="shared" ref="BD88:BD151" si="100">IF($B88="","",COUNTIF($B85:$B88,BD$21)+COUNTIF($B85:$B88,$A$3))</f>
        <v>1</v>
      </c>
      <c r="BE88" s="44">
        <f t="shared" ref="BE88:BE151" si="101">IF($C88="","",COUNTIF($C85:$C88,BD$21)+COUNTIF($C85:$C88,$A$3))</f>
        <v>0</v>
      </c>
      <c r="BF88" s="44">
        <f t="shared" ref="BF88:BF151" si="102">IF($D88="","",COUNTIF($D85:$D88,BD$21)+COUNTIF($D85:$D88,$A$3))</f>
        <v>0</v>
      </c>
      <c r="BG88" s="44">
        <f t="shared" ref="BG88:BG151" si="103">IF($E88="","",COUNTIF($E85:$E88,BD$21)+COUNTIF($E85:$E88,$A$3))</f>
        <v>0</v>
      </c>
      <c r="BH88" s="48">
        <f t="shared" ref="BH88:BH151" si="104">IF($F88="","",COUNTIF($F85:$F88,BD$21)+COUNTIF($F85:$F88,$A$3))</f>
        <v>1</v>
      </c>
      <c r="BJ88" s="12">
        <f t="shared" ref="BJ88:BJ151" si="105">IF($B88="","",COUNTIF($B85:$B88,BJ$21)+COUNTIF($B85:$B88,$A$3))</f>
        <v>0</v>
      </c>
      <c r="BK88" s="44">
        <f t="shared" ref="BK88:BK151" si="106">IF($C88="","",COUNTIF($C85:$C88,BJ$21)+COUNTIF($C85:$C88,$A$3))</f>
        <v>0</v>
      </c>
      <c r="BL88" s="44">
        <f t="shared" ref="BL88:BL151" si="107">IF($D88="","",COUNTIF($D85:$D88,BJ$21)+COUNTIF($D85:$D88,$A$3))</f>
        <v>0</v>
      </c>
      <c r="BM88" s="44">
        <f t="shared" ref="BM88:BM151" si="108">IF($E88="","",COUNTIF($E85:$E88,BJ$21)+COUNTIF($E85:$E88,$A$3))</f>
        <v>1</v>
      </c>
      <c r="BN88" s="48">
        <f t="shared" ref="BN88:BN151" si="109">IF($F88="","",COUNTIF($F85:$F88,BJ$21)+COUNTIF($F85:$F88,$A$3))</f>
        <v>1</v>
      </c>
      <c r="BP88" s="12">
        <f t="shared" ref="BP88:BP151" si="110">IF($B88="","",COUNTIF($B85:$B88,BP$21)+COUNTIF($B85:$B88,$A$3))</f>
        <v>0</v>
      </c>
      <c r="BQ88" s="44">
        <f t="shared" ref="BQ88:BQ151" si="111">IF($C88="","",COUNTIF($C85:$C88,BP$21)+COUNTIF($C85:$C88,$A$3))</f>
        <v>0</v>
      </c>
      <c r="BR88" s="44">
        <f t="shared" ref="BR88:BR151" si="112">IF($D88="","",COUNTIF($D85:$D88,BP$21)+COUNTIF($D85:$D88,$A$3))</f>
        <v>0</v>
      </c>
      <c r="BS88" s="44">
        <f t="shared" ref="BS88:BS151" si="113">IF($E88="","",COUNTIF($E85:$E88,BP$21)+COUNTIF($E85:$E88,$A$3))</f>
        <v>0</v>
      </c>
      <c r="BT88" s="48">
        <f t="shared" ref="BT88:BT151" si="114">IF($F88="","",COUNTIF($F85:$F88,BP$21)+COUNTIF($F85:$F88,$A$3))</f>
        <v>0</v>
      </c>
    </row>
    <row r="89" spans="1:72" x14ac:dyDescent="0.25">
      <c r="A89" s="4">
        <v>67</v>
      </c>
      <c r="B89" s="54">
        <f>IF('Game Info'!J72="","",'Game Info'!J72)</f>
        <v>10</v>
      </c>
      <c r="C89" s="54" t="str">
        <f>IF('Game Info'!K72="","",'Game Info'!K72)</f>
        <v>SYM2</v>
      </c>
      <c r="D89" s="54">
        <f>IF('Game Info'!L72="","",'Game Info'!L72)</f>
        <v>10</v>
      </c>
      <c r="E89" s="54" t="str">
        <f>IF('Game Info'!M72="","",'Game Info'!M72)</f>
        <v>Q</v>
      </c>
      <c r="F89" s="55" t="str">
        <f>IF('Game Info'!N72="","",'Game Info'!N72)</f>
        <v>SYM1</v>
      </c>
      <c r="H89" s="12">
        <f t="shared" si="60"/>
        <v>1</v>
      </c>
      <c r="I89" s="44">
        <f t="shared" si="61"/>
        <v>0</v>
      </c>
      <c r="J89" s="44">
        <f t="shared" si="62"/>
        <v>1</v>
      </c>
      <c r="K89" s="44">
        <f t="shared" si="63"/>
        <v>1</v>
      </c>
      <c r="L89" s="48">
        <f t="shared" si="64"/>
        <v>1</v>
      </c>
      <c r="N89" s="12">
        <f t="shared" si="65"/>
        <v>0</v>
      </c>
      <c r="O89" s="44">
        <f t="shared" si="66"/>
        <v>1</v>
      </c>
      <c r="P89" s="44">
        <f t="shared" si="67"/>
        <v>0</v>
      </c>
      <c r="Q89" s="44">
        <f t="shared" si="68"/>
        <v>0</v>
      </c>
      <c r="R89" s="48">
        <f t="shared" si="69"/>
        <v>0</v>
      </c>
      <c r="T89" s="12">
        <f t="shared" si="70"/>
        <v>1</v>
      </c>
      <c r="U89" s="44">
        <f t="shared" si="71"/>
        <v>0</v>
      </c>
      <c r="V89" s="44">
        <f t="shared" si="72"/>
        <v>0</v>
      </c>
      <c r="W89" s="44">
        <f t="shared" si="73"/>
        <v>0</v>
      </c>
      <c r="X89" s="48">
        <f t="shared" si="74"/>
        <v>0</v>
      </c>
      <c r="Z89" s="12">
        <f t="shared" si="75"/>
        <v>0</v>
      </c>
      <c r="AA89" s="44">
        <f t="shared" si="76"/>
        <v>1</v>
      </c>
      <c r="AB89" s="44">
        <f t="shared" si="77"/>
        <v>0</v>
      </c>
      <c r="AC89" s="44">
        <f t="shared" si="78"/>
        <v>0</v>
      </c>
      <c r="AD89" s="48">
        <f t="shared" si="79"/>
        <v>1</v>
      </c>
      <c r="AF89" s="12">
        <f t="shared" si="80"/>
        <v>0</v>
      </c>
      <c r="AG89" s="44">
        <f t="shared" si="81"/>
        <v>0</v>
      </c>
      <c r="AH89" s="44">
        <f t="shared" si="82"/>
        <v>0</v>
      </c>
      <c r="AI89" s="44">
        <f t="shared" si="83"/>
        <v>0</v>
      </c>
      <c r="AJ89" s="48">
        <f t="shared" si="84"/>
        <v>0</v>
      </c>
      <c r="AL89" s="12">
        <f t="shared" si="85"/>
        <v>0</v>
      </c>
      <c r="AM89" s="44">
        <f t="shared" si="86"/>
        <v>1</v>
      </c>
      <c r="AN89" s="44">
        <f t="shared" si="87"/>
        <v>0</v>
      </c>
      <c r="AO89" s="44">
        <f t="shared" si="88"/>
        <v>0</v>
      </c>
      <c r="AP89" s="48">
        <f t="shared" si="89"/>
        <v>0</v>
      </c>
      <c r="AR89" s="12">
        <f t="shared" si="90"/>
        <v>0</v>
      </c>
      <c r="AS89" s="44">
        <f t="shared" si="91"/>
        <v>1</v>
      </c>
      <c r="AT89" s="44">
        <f t="shared" si="92"/>
        <v>0</v>
      </c>
      <c r="AU89" s="44">
        <f t="shared" si="93"/>
        <v>0</v>
      </c>
      <c r="AV89" s="48">
        <f t="shared" si="94"/>
        <v>0</v>
      </c>
      <c r="AX89" s="12">
        <f t="shared" si="95"/>
        <v>1</v>
      </c>
      <c r="AY89" s="44">
        <f t="shared" si="96"/>
        <v>0</v>
      </c>
      <c r="AZ89" s="44">
        <f t="shared" si="97"/>
        <v>1</v>
      </c>
      <c r="BA89" s="44">
        <f t="shared" si="98"/>
        <v>1</v>
      </c>
      <c r="BB89" s="48">
        <f t="shared" si="99"/>
        <v>0</v>
      </c>
      <c r="BD89" s="12">
        <f t="shared" si="100"/>
        <v>0</v>
      </c>
      <c r="BE89" s="44">
        <f t="shared" si="101"/>
        <v>0</v>
      </c>
      <c r="BF89" s="44">
        <f t="shared" si="102"/>
        <v>0</v>
      </c>
      <c r="BG89" s="44">
        <f t="shared" si="103"/>
        <v>0</v>
      </c>
      <c r="BH89" s="48">
        <f t="shared" si="104"/>
        <v>1</v>
      </c>
      <c r="BJ89" s="12">
        <f t="shared" si="105"/>
        <v>1</v>
      </c>
      <c r="BK89" s="44">
        <f t="shared" si="106"/>
        <v>0</v>
      </c>
      <c r="BL89" s="44">
        <f t="shared" si="107"/>
        <v>1</v>
      </c>
      <c r="BM89" s="44">
        <f t="shared" si="108"/>
        <v>1</v>
      </c>
      <c r="BN89" s="48">
        <f t="shared" si="109"/>
        <v>1</v>
      </c>
      <c r="BP89" s="12">
        <f t="shared" si="110"/>
        <v>0</v>
      </c>
      <c r="BQ89" s="44">
        <f t="shared" si="111"/>
        <v>0</v>
      </c>
      <c r="BR89" s="44">
        <f t="shared" si="112"/>
        <v>0</v>
      </c>
      <c r="BS89" s="44">
        <f t="shared" si="113"/>
        <v>0</v>
      </c>
      <c r="BT89" s="48">
        <f t="shared" si="114"/>
        <v>0</v>
      </c>
    </row>
    <row r="90" spans="1:72" x14ac:dyDescent="0.25">
      <c r="A90" s="4">
        <v>68</v>
      </c>
      <c r="B90" s="54" t="str">
        <f>IF('Game Info'!J73="","",'Game Info'!J73)</f>
        <v>SYM4</v>
      </c>
      <c r="C90" s="54" t="str">
        <f>IF('Game Info'!K73="","",'Game Info'!K73)</f>
        <v>J</v>
      </c>
      <c r="D90" s="54">
        <f>IF('Game Info'!L73="","",'Game Info'!L73)</f>
        <v>9</v>
      </c>
      <c r="E90" s="54" t="str">
        <f>IF('Game Info'!M73="","",'Game Info'!M73)</f>
        <v>SYM5</v>
      </c>
      <c r="F90" s="55" t="str">
        <f>IF('Game Info'!N73="","",'Game Info'!N73)</f>
        <v>SYM1</v>
      </c>
      <c r="H90" s="12">
        <f t="shared" si="60"/>
        <v>0</v>
      </c>
      <c r="I90" s="44">
        <f t="shared" si="61"/>
        <v>0</v>
      </c>
      <c r="J90" s="44">
        <f t="shared" si="62"/>
        <v>0</v>
      </c>
      <c r="K90" s="44">
        <f t="shared" si="63"/>
        <v>1</v>
      </c>
      <c r="L90" s="48">
        <f t="shared" si="64"/>
        <v>2</v>
      </c>
      <c r="N90" s="12">
        <f t="shared" si="65"/>
        <v>0</v>
      </c>
      <c r="O90" s="44">
        <f t="shared" si="66"/>
        <v>1</v>
      </c>
      <c r="P90" s="44">
        <f t="shared" si="67"/>
        <v>0</v>
      </c>
      <c r="Q90" s="44">
        <f t="shared" si="68"/>
        <v>0</v>
      </c>
      <c r="R90" s="48">
        <f t="shared" si="69"/>
        <v>0</v>
      </c>
      <c r="T90" s="12">
        <f t="shared" si="70"/>
        <v>1</v>
      </c>
      <c r="U90" s="44">
        <f t="shared" si="71"/>
        <v>0</v>
      </c>
      <c r="V90" s="44">
        <f t="shared" si="72"/>
        <v>0</v>
      </c>
      <c r="W90" s="44">
        <f t="shared" si="73"/>
        <v>0</v>
      </c>
      <c r="X90" s="48">
        <f t="shared" si="74"/>
        <v>0</v>
      </c>
      <c r="Z90" s="12">
        <f t="shared" si="75"/>
        <v>1</v>
      </c>
      <c r="AA90" s="44">
        <f t="shared" si="76"/>
        <v>1</v>
      </c>
      <c r="AB90" s="44">
        <f t="shared" si="77"/>
        <v>0</v>
      </c>
      <c r="AC90" s="44">
        <f t="shared" si="78"/>
        <v>0</v>
      </c>
      <c r="AD90" s="48">
        <f t="shared" si="79"/>
        <v>1</v>
      </c>
      <c r="AF90" s="12">
        <f t="shared" si="80"/>
        <v>0</v>
      </c>
      <c r="AG90" s="44">
        <f t="shared" si="81"/>
        <v>0</v>
      </c>
      <c r="AH90" s="44">
        <f t="shared" si="82"/>
        <v>0</v>
      </c>
      <c r="AI90" s="44">
        <f t="shared" si="83"/>
        <v>1</v>
      </c>
      <c r="AJ90" s="48">
        <f t="shared" si="84"/>
        <v>0</v>
      </c>
      <c r="AL90" s="12">
        <f t="shared" si="85"/>
        <v>0</v>
      </c>
      <c r="AM90" s="44">
        <f t="shared" si="86"/>
        <v>0</v>
      </c>
      <c r="AN90" s="44">
        <f t="shared" si="87"/>
        <v>0</v>
      </c>
      <c r="AO90" s="44">
        <f t="shared" si="88"/>
        <v>0</v>
      </c>
      <c r="AP90" s="48">
        <f t="shared" si="89"/>
        <v>0</v>
      </c>
      <c r="AR90" s="12">
        <f t="shared" si="90"/>
        <v>0</v>
      </c>
      <c r="AS90" s="44">
        <f t="shared" si="91"/>
        <v>1</v>
      </c>
      <c r="AT90" s="44">
        <f t="shared" si="92"/>
        <v>0</v>
      </c>
      <c r="AU90" s="44">
        <f t="shared" si="93"/>
        <v>0</v>
      </c>
      <c r="AV90" s="48">
        <f t="shared" si="94"/>
        <v>0</v>
      </c>
      <c r="AX90" s="12">
        <f t="shared" si="95"/>
        <v>1</v>
      </c>
      <c r="AY90" s="44">
        <f t="shared" si="96"/>
        <v>0</v>
      </c>
      <c r="AZ90" s="44">
        <f t="shared" si="97"/>
        <v>1</v>
      </c>
      <c r="BA90" s="44">
        <f t="shared" si="98"/>
        <v>1</v>
      </c>
      <c r="BB90" s="48">
        <f t="shared" si="99"/>
        <v>0</v>
      </c>
      <c r="BD90" s="12">
        <f t="shared" si="100"/>
        <v>0</v>
      </c>
      <c r="BE90" s="44">
        <f t="shared" si="101"/>
        <v>1</v>
      </c>
      <c r="BF90" s="44">
        <f t="shared" si="102"/>
        <v>0</v>
      </c>
      <c r="BG90" s="44">
        <f t="shared" si="103"/>
        <v>0</v>
      </c>
      <c r="BH90" s="48">
        <f t="shared" si="104"/>
        <v>1</v>
      </c>
      <c r="BJ90" s="12">
        <f t="shared" si="105"/>
        <v>1</v>
      </c>
      <c r="BK90" s="44">
        <f t="shared" si="106"/>
        <v>0</v>
      </c>
      <c r="BL90" s="44">
        <f t="shared" si="107"/>
        <v>1</v>
      </c>
      <c r="BM90" s="44">
        <f t="shared" si="108"/>
        <v>1</v>
      </c>
      <c r="BN90" s="48">
        <f t="shared" si="109"/>
        <v>0</v>
      </c>
      <c r="BP90" s="12">
        <f t="shared" si="110"/>
        <v>0</v>
      </c>
      <c r="BQ90" s="44">
        <f t="shared" si="111"/>
        <v>0</v>
      </c>
      <c r="BR90" s="44">
        <f t="shared" si="112"/>
        <v>1</v>
      </c>
      <c r="BS90" s="44">
        <f t="shared" si="113"/>
        <v>0</v>
      </c>
      <c r="BT90" s="48">
        <f t="shared" si="114"/>
        <v>0</v>
      </c>
    </row>
    <row r="91" spans="1:72" x14ac:dyDescent="0.25">
      <c r="A91" s="4">
        <v>69</v>
      </c>
      <c r="B91" s="54" t="str">
        <f>IF('Game Info'!J74="","",'Game Info'!J74)</f>
        <v>A</v>
      </c>
      <c r="C91" s="54" t="str">
        <f>IF('Game Info'!K74="","",'Game Info'!K74)</f>
        <v>SYM5</v>
      </c>
      <c r="D91" s="54" t="str">
        <f>IF('Game Info'!L74="","",'Game Info'!L74)</f>
        <v>SYM2</v>
      </c>
      <c r="E91" s="54" t="str">
        <f>IF('Game Info'!M74="","",'Game Info'!M74)</f>
        <v>SYM5</v>
      </c>
      <c r="F91" s="55" t="str">
        <f>IF('Game Info'!N74="","",'Game Info'!N74)</f>
        <v>SYM1</v>
      </c>
      <c r="H91" s="12">
        <f t="shared" si="60"/>
        <v>0</v>
      </c>
      <c r="I91" s="44">
        <f t="shared" si="61"/>
        <v>0</v>
      </c>
      <c r="J91" s="44">
        <f t="shared" si="62"/>
        <v>0</v>
      </c>
      <c r="K91" s="44">
        <f t="shared" si="63"/>
        <v>1</v>
      </c>
      <c r="L91" s="48">
        <f t="shared" si="64"/>
        <v>3</v>
      </c>
      <c r="N91" s="12">
        <f t="shared" si="65"/>
        <v>0</v>
      </c>
      <c r="O91" s="44">
        <f t="shared" si="66"/>
        <v>1</v>
      </c>
      <c r="P91" s="44">
        <f t="shared" si="67"/>
        <v>1</v>
      </c>
      <c r="Q91" s="44">
        <f t="shared" si="68"/>
        <v>0</v>
      </c>
      <c r="R91" s="48">
        <f t="shared" si="69"/>
        <v>0</v>
      </c>
      <c r="T91" s="12">
        <f t="shared" si="70"/>
        <v>1</v>
      </c>
      <c r="U91" s="44">
        <f t="shared" si="71"/>
        <v>0</v>
      </c>
      <c r="V91" s="44">
        <f t="shared" si="72"/>
        <v>0</v>
      </c>
      <c r="W91" s="44">
        <f t="shared" si="73"/>
        <v>0</v>
      </c>
      <c r="X91" s="48">
        <f t="shared" si="74"/>
        <v>0</v>
      </c>
      <c r="Z91" s="12">
        <f t="shared" si="75"/>
        <v>1</v>
      </c>
      <c r="AA91" s="44">
        <f t="shared" si="76"/>
        <v>0</v>
      </c>
      <c r="AB91" s="44">
        <f t="shared" si="77"/>
        <v>0</v>
      </c>
      <c r="AC91" s="44">
        <f t="shared" si="78"/>
        <v>0</v>
      </c>
      <c r="AD91" s="48">
        <f t="shared" si="79"/>
        <v>0</v>
      </c>
      <c r="AF91" s="12">
        <f t="shared" si="80"/>
        <v>0</v>
      </c>
      <c r="AG91" s="44">
        <f t="shared" si="81"/>
        <v>1</v>
      </c>
      <c r="AH91" s="44">
        <f t="shared" si="82"/>
        <v>0</v>
      </c>
      <c r="AI91" s="44">
        <f t="shared" si="83"/>
        <v>2</v>
      </c>
      <c r="AJ91" s="48">
        <f t="shared" si="84"/>
        <v>0</v>
      </c>
      <c r="AL91" s="12">
        <f t="shared" si="85"/>
        <v>1</v>
      </c>
      <c r="AM91" s="44">
        <f t="shared" si="86"/>
        <v>0</v>
      </c>
      <c r="AN91" s="44">
        <f t="shared" si="87"/>
        <v>0</v>
      </c>
      <c r="AO91" s="44">
        <f t="shared" si="88"/>
        <v>0</v>
      </c>
      <c r="AP91" s="48">
        <f t="shared" si="89"/>
        <v>0</v>
      </c>
      <c r="AR91" s="12">
        <f t="shared" si="90"/>
        <v>0</v>
      </c>
      <c r="AS91" s="44">
        <f t="shared" si="91"/>
        <v>1</v>
      </c>
      <c r="AT91" s="44">
        <f t="shared" si="92"/>
        <v>0</v>
      </c>
      <c r="AU91" s="44">
        <f t="shared" si="93"/>
        <v>0</v>
      </c>
      <c r="AV91" s="48">
        <f t="shared" si="94"/>
        <v>0</v>
      </c>
      <c r="AX91" s="12">
        <f t="shared" si="95"/>
        <v>0</v>
      </c>
      <c r="AY91" s="44">
        <f t="shared" si="96"/>
        <v>0</v>
      </c>
      <c r="AZ91" s="44">
        <f t="shared" si="97"/>
        <v>0</v>
      </c>
      <c r="BA91" s="44">
        <f t="shared" si="98"/>
        <v>1</v>
      </c>
      <c r="BB91" s="48">
        <f t="shared" si="99"/>
        <v>0</v>
      </c>
      <c r="BD91" s="12">
        <f t="shared" si="100"/>
        <v>0</v>
      </c>
      <c r="BE91" s="44">
        <f t="shared" si="101"/>
        <v>1</v>
      </c>
      <c r="BF91" s="44">
        <f t="shared" si="102"/>
        <v>0</v>
      </c>
      <c r="BG91" s="44">
        <f t="shared" si="103"/>
        <v>0</v>
      </c>
      <c r="BH91" s="48">
        <f t="shared" si="104"/>
        <v>1</v>
      </c>
      <c r="BJ91" s="12">
        <f t="shared" si="105"/>
        <v>1</v>
      </c>
      <c r="BK91" s="44">
        <f t="shared" si="106"/>
        <v>0</v>
      </c>
      <c r="BL91" s="44">
        <f t="shared" si="107"/>
        <v>1</v>
      </c>
      <c r="BM91" s="44">
        <f t="shared" si="108"/>
        <v>0</v>
      </c>
      <c r="BN91" s="48">
        <f t="shared" si="109"/>
        <v>0</v>
      </c>
      <c r="BP91" s="12">
        <f t="shared" si="110"/>
        <v>0</v>
      </c>
      <c r="BQ91" s="44">
        <f t="shared" si="111"/>
        <v>0</v>
      </c>
      <c r="BR91" s="44">
        <f t="shared" si="112"/>
        <v>1</v>
      </c>
      <c r="BS91" s="44">
        <f t="shared" si="113"/>
        <v>0</v>
      </c>
      <c r="BT91" s="48">
        <f t="shared" si="114"/>
        <v>0</v>
      </c>
    </row>
    <row r="92" spans="1:72" x14ac:dyDescent="0.25">
      <c r="A92" s="4">
        <v>70</v>
      </c>
      <c r="B92" s="54" t="str">
        <f>IF('Game Info'!J75="","",'Game Info'!J75)</f>
        <v>FG</v>
      </c>
      <c r="C92" s="54">
        <f>IF('Game Info'!K75="","",'Game Info'!K75)</f>
        <v>9</v>
      </c>
      <c r="D92" s="54" t="str">
        <f>IF('Game Info'!L75="","",'Game Info'!L75)</f>
        <v>SYM1</v>
      </c>
      <c r="E92" s="54">
        <f>IF('Game Info'!M75="","",'Game Info'!M75)</f>
        <v>10</v>
      </c>
      <c r="F92" s="55" t="str">
        <f>IF('Game Info'!N75="","",'Game Info'!N75)</f>
        <v>K</v>
      </c>
      <c r="H92" s="12">
        <f t="shared" si="60"/>
        <v>0</v>
      </c>
      <c r="I92" s="44">
        <f t="shared" si="61"/>
        <v>0</v>
      </c>
      <c r="J92" s="44">
        <f t="shared" si="62"/>
        <v>1</v>
      </c>
      <c r="K92" s="44">
        <f t="shared" si="63"/>
        <v>0</v>
      </c>
      <c r="L92" s="48">
        <f t="shared" si="64"/>
        <v>3</v>
      </c>
      <c r="N92" s="12">
        <f t="shared" si="65"/>
        <v>0</v>
      </c>
      <c r="O92" s="44">
        <f t="shared" si="66"/>
        <v>1</v>
      </c>
      <c r="P92" s="44">
        <f t="shared" si="67"/>
        <v>1</v>
      </c>
      <c r="Q92" s="44">
        <f t="shared" si="68"/>
        <v>0</v>
      </c>
      <c r="R92" s="48">
        <f t="shared" si="69"/>
        <v>0</v>
      </c>
      <c r="T92" s="12">
        <f t="shared" si="70"/>
        <v>0</v>
      </c>
      <c r="U92" s="44">
        <f t="shared" si="71"/>
        <v>0</v>
      </c>
      <c r="V92" s="44">
        <f t="shared" si="72"/>
        <v>0</v>
      </c>
      <c r="W92" s="44">
        <f t="shared" si="73"/>
        <v>0</v>
      </c>
      <c r="X92" s="48">
        <f t="shared" si="74"/>
        <v>0</v>
      </c>
      <c r="Z92" s="12">
        <f t="shared" si="75"/>
        <v>1</v>
      </c>
      <c r="AA92" s="44">
        <f t="shared" si="76"/>
        <v>0</v>
      </c>
      <c r="AB92" s="44">
        <f t="shared" si="77"/>
        <v>0</v>
      </c>
      <c r="AC92" s="44">
        <f t="shared" si="78"/>
        <v>0</v>
      </c>
      <c r="AD92" s="48">
        <f t="shared" si="79"/>
        <v>0</v>
      </c>
      <c r="AF92" s="12">
        <f t="shared" si="80"/>
        <v>0</v>
      </c>
      <c r="AG92" s="44">
        <f t="shared" si="81"/>
        <v>1</v>
      </c>
      <c r="AH92" s="44">
        <f t="shared" si="82"/>
        <v>0</v>
      </c>
      <c r="AI92" s="44">
        <f t="shared" si="83"/>
        <v>2</v>
      </c>
      <c r="AJ92" s="48">
        <f t="shared" si="84"/>
        <v>0</v>
      </c>
      <c r="AL92" s="12">
        <f t="shared" si="85"/>
        <v>1</v>
      </c>
      <c r="AM92" s="44">
        <f t="shared" si="86"/>
        <v>0</v>
      </c>
      <c r="AN92" s="44">
        <f t="shared" si="87"/>
        <v>0</v>
      </c>
      <c r="AO92" s="44">
        <f t="shared" si="88"/>
        <v>0</v>
      </c>
      <c r="AP92" s="48">
        <f t="shared" si="89"/>
        <v>0</v>
      </c>
      <c r="AR92" s="12">
        <f t="shared" si="90"/>
        <v>0</v>
      </c>
      <c r="AS92" s="44">
        <f t="shared" si="91"/>
        <v>0</v>
      </c>
      <c r="AT92" s="44">
        <f t="shared" si="92"/>
        <v>0</v>
      </c>
      <c r="AU92" s="44">
        <f t="shared" si="93"/>
        <v>0</v>
      </c>
      <c r="AV92" s="48">
        <f t="shared" si="94"/>
        <v>1</v>
      </c>
      <c r="AX92" s="12">
        <f t="shared" si="95"/>
        <v>0</v>
      </c>
      <c r="AY92" s="44">
        <f t="shared" si="96"/>
        <v>0</v>
      </c>
      <c r="AZ92" s="44">
        <f t="shared" si="97"/>
        <v>0</v>
      </c>
      <c r="BA92" s="44">
        <f t="shared" si="98"/>
        <v>1</v>
      </c>
      <c r="BB92" s="48">
        <f t="shared" si="99"/>
        <v>0</v>
      </c>
      <c r="BD92" s="12">
        <f t="shared" si="100"/>
        <v>0</v>
      </c>
      <c r="BE92" s="44">
        <f t="shared" si="101"/>
        <v>1</v>
      </c>
      <c r="BF92" s="44">
        <f t="shared" si="102"/>
        <v>0</v>
      </c>
      <c r="BG92" s="44">
        <f t="shared" si="103"/>
        <v>0</v>
      </c>
      <c r="BH92" s="48">
        <f t="shared" si="104"/>
        <v>0</v>
      </c>
      <c r="BJ92" s="12">
        <f t="shared" si="105"/>
        <v>1</v>
      </c>
      <c r="BK92" s="44">
        <f t="shared" si="106"/>
        <v>0</v>
      </c>
      <c r="BL92" s="44">
        <f t="shared" si="107"/>
        <v>1</v>
      </c>
      <c r="BM92" s="44">
        <f t="shared" si="108"/>
        <v>1</v>
      </c>
      <c r="BN92" s="48">
        <f t="shared" si="109"/>
        <v>0</v>
      </c>
      <c r="BP92" s="12">
        <f t="shared" si="110"/>
        <v>0</v>
      </c>
      <c r="BQ92" s="44">
        <f t="shared" si="111"/>
        <v>1</v>
      </c>
      <c r="BR92" s="44">
        <f t="shared" si="112"/>
        <v>1</v>
      </c>
      <c r="BS92" s="44">
        <f t="shared" si="113"/>
        <v>0</v>
      </c>
      <c r="BT92" s="48">
        <f t="shared" si="114"/>
        <v>0</v>
      </c>
    </row>
    <row r="93" spans="1:72" x14ac:dyDescent="0.25">
      <c r="A93" s="4">
        <v>71</v>
      </c>
      <c r="B93" s="54" t="str">
        <f>IF('Game Info'!J76="","",'Game Info'!J76)</f>
        <v>Q</v>
      </c>
      <c r="C93" s="54" t="str">
        <f>IF('Game Info'!K76="","",'Game Info'!K76)</f>
        <v>SYM5</v>
      </c>
      <c r="D93" s="54" t="str">
        <f>IF('Game Info'!L76="","",'Game Info'!L76)</f>
        <v>J</v>
      </c>
      <c r="E93" s="54" t="str">
        <f>IF('Game Info'!M76="","",'Game Info'!M76)</f>
        <v>A</v>
      </c>
      <c r="F93" s="55">
        <f>IF('Game Info'!N76="","",'Game Info'!N76)</f>
        <v>10</v>
      </c>
      <c r="H93" s="12">
        <f t="shared" si="60"/>
        <v>0</v>
      </c>
      <c r="I93" s="44">
        <f t="shared" si="61"/>
        <v>0</v>
      </c>
      <c r="J93" s="44">
        <f t="shared" si="62"/>
        <v>1</v>
      </c>
      <c r="K93" s="44">
        <f t="shared" si="63"/>
        <v>0</v>
      </c>
      <c r="L93" s="48">
        <f t="shared" si="64"/>
        <v>2</v>
      </c>
      <c r="N93" s="12">
        <f t="shared" si="65"/>
        <v>0</v>
      </c>
      <c r="O93" s="44">
        <f t="shared" si="66"/>
        <v>0</v>
      </c>
      <c r="P93" s="44">
        <f t="shared" si="67"/>
        <v>1</v>
      </c>
      <c r="Q93" s="44">
        <f t="shared" si="68"/>
        <v>0</v>
      </c>
      <c r="R93" s="48">
        <f t="shared" si="69"/>
        <v>0</v>
      </c>
      <c r="T93" s="12">
        <f t="shared" si="70"/>
        <v>0</v>
      </c>
      <c r="U93" s="44">
        <f t="shared" si="71"/>
        <v>0</v>
      </c>
      <c r="V93" s="44">
        <f t="shared" si="72"/>
        <v>0</v>
      </c>
      <c r="W93" s="44">
        <f t="shared" si="73"/>
        <v>0</v>
      </c>
      <c r="X93" s="48">
        <f t="shared" si="74"/>
        <v>0</v>
      </c>
      <c r="Z93" s="12">
        <f t="shared" si="75"/>
        <v>1</v>
      </c>
      <c r="AA93" s="44">
        <f t="shared" si="76"/>
        <v>0</v>
      </c>
      <c r="AB93" s="44">
        <f t="shared" si="77"/>
        <v>0</v>
      </c>
      <c r="AC93" s="44">
        <f t="shared" si="78"/>
        <v>0</v>
      </c>
      <c r="AD93" s="48">
        <f t="shared" si="79"/>
        <v>0</v>
      </c>
      <c r="AF93" s="12">
        <f t="shared" si="80"/>
        <v>0</v>
      </c>
      <c r="AG93" s="44">
        <f t="shared" si="81"/>
        <v>2</v>
      </c>
      <c r="AH93" s="44">
        <f t="shared" si="82"/>
        <v>0</v>
      </c>
      <c r="AI93" s="44">
        <f t="shared" si="83"/>
        <v>2</v>
      </c>
      <c r="AJ93" s="48">
        <f t="shared" si="84"/>
        <v>0</v>
      </c>
      <c r="AL93" s="12">
        <f t="shared" si="85"/>
        <v>1</v>
      </c>
      <c r="AM93" s="44">
        <f t="shared" si="86"/>
        <v>0</v>
      </c>
      <c r="AN93" s="44">
        <f t="shared" si="87"/>
        <v>0</v>
      </c>
      <c r="AO93" s="44">
        <f t="shared" si="88"/>
        <v>1</v>
      </c>
      <c r="AP93" s="48">
        <f t="shared" si="89"/>
        <v>0</v>
      </c>
      <c r="AR93" s="12">
        <f t="shared" si="90"/>
        <v>0</v>
      </c>
      <c r="AS93" s="44">
        <f t="shared" si="91"/>
        <v>0</v>
      </c>
      <c r="AT93" s="44">
        <f t="shared" si="92"/>
        <v>0</v>
      </c>
      <c r="AU93" s="44">
        <f t="shared" si="93"/>
        <v>0</v>
      </c>
      <c r="AV93" s="48">
        <f t="shared" si="94"/>
        <v>1</v>
      </c>
      <c r="AX93" s="12">
        <f t="shared" si="95"/>
        <v>1</v>
      </c>
      <c r="AY93" s="44">
        <f t="shared" si="96"/>
        <v>0</v>
      </c>
      <c r="AZ93" s="44">
        <f t="shared" si="97"/>
        <v>0</v>
      </c>
      <c r="BA93" s="44">
        <f t="shared" si="98"/>
        <v>0</v>
      </c>
      <c r="BB93" s="48">
        <f t="shared" si="99"/>
        <v>0</v>
      </c>
      <c r="BD93" s="12">
        <f t="shared" si="100"/>
        <v>0</v>
      </c>
      <c r="BE93" s="44">
        <f t="shared" si="101"/>
        <v>1</v>
      </c>
      <c r="BF93" s="44">
        <f t="shared" si="102"/>
        <v>1</v>
      </c>
      <c r="BG93" s="44">
        <f t="shared" si="103"/>
        <v>0</v>
      </c>
      <c r="BH93" s="48">
        <f t="shared" si="104"/>
        <v>0</v>
      </c>
      <c r="BJ93" s="12">
        <f t="shared" si="105"/>
        <v>0</v>
      </c>
      <c r="BK93" s="44">
        <f t="shared" si="106"/>
        <v>0</v>
      </c>
      <c r="BL93" s="44">
        <f t="shared" si="107"/>
        <v>0</v>
      </c>
      <c r="BM93" s="44">
        <f t="shared" si="108"/>
        <v>1</v>
      </c>
      <c r="BN93" s="48">
        <f t="shared" si="109"/>
        <v>1</v>
      </c>
      <c r="BP93" s="12">
        <f t="shared" si="110"/>
        <v>0</v>
      </c>
      <c r="BQ93" s="44">
        <f t="shared" si="111"/>
        <v>1</v>
      </c>
      <c r="BR93" s="44">
        <f t="shared" si="112"/>
        <v>1</v>
      </c>
      <c r="BS93" s="44">
        <f t="shared" si="113"/>
        <v>0</v>
      </c>
      <c r="BT93" s="48">
        <f t="shared" si="114"/>
        <v>0</v>
      </c>
    </row>
    <row r="94" spans="1:72" x14ac:dyDescent="0.25">
      <c r="A94" s="4">
        <v>72</v>
      </c>
      <c r="B94" s="54">
        <f>IF('Game Info'!J77="","",'Game Info'!J77)</f>
        <v>10</v>
      </c>
      <c r="C94" s="54" t="str">
        <f>IF('Game Info'!K77="","",'Game Info'!K77)</f>
        <v>SYM5</v>
      </c>
      <c r="D94" s="54" t="str">
        <f>IF('Game Info'!L77="","",'Game Info'!L77)</f>
        <v>SYM5</v>
      </c>
      <c r="E94" s="54" t="str">
        <f>IF('Game Info'!M77="","",'Game Info'!M77)</f>
        <v>SYM4</v>
      </c>
      <c r="F94" s="55" t="str">
        <f>IF('Game Info'!N77="","",'Game Info'!N77)</f>
        <v>FG</v>
      </c>
      <c r="H94" s="12">
        <f t="shared" si="60"/>
        <v>0</v>
      </c>
      <c r="I94" s="44">
        <f t="shared" si="61"/>
        <v>0</v>
      </c>
      <c r="J94" s="44">
        <f t="shared" si="62"/>
        <v>1</v>
      </c>
      <c r="K94" s="44">
        <f t="shared" si="63"/>
        <v>0</v>
      </c>
      <c r="L94" s="48">
        <f t="shared" si="64"/>
        <v>1</v>
      </c>
      <c r="N94" s="12">
        <f t="shared" si="65"/>
        <v>0</v>
      </c>
      <c r="O94" s="44">
        <f t="shared" si="66"/>
        <v>0</v>
      </c>
      <c r="P94" s="44">
        <f t="shared" si="67"/>
        <v>1</v>
      </c>
      <c r="Q94" s="44">
        <f t="shared" si="68"/>
        <v>0</v>
      </c>
      <c r="R94" s="48">
        <f t="shared" si="69"/>
        <v>0</v>
      </c>
      <c r="T94" s="12">
        <f t="shared" si="70"/>
        <v>0</v>
      </c>
      <c r="U94" s="44">
        <f t="shared" si="71"/>
        <v>0</v>
      </c>
      <c r="V94" s="44">
        <f t="shared" si="72"/>
        <v>0</v>
      </c>
      <c r="W94" s="44">
        <f t="shared" si="73"/>
        <v>0</v>
      </c>
      <c r="X94" s="48">
        <f t="shared" si="74"/>
        <v>0</v>
      </c>
      <c r="Z94" s="12">
        <f t="shared" si="75"/>
        <v>0</v>
      </c>
      <c r="AA94" s="44">
        <f t="shared" si="76"/>
        <v>0</v>
      </c>
      <c r="AB94" s="44">
        <f t="shared" si="77"/>
        <v>0</v>
      </c>
      <c r="AC94" s="44">
        <f t="shared" si="78"/>
        <v>1</v>
      </c>
      <c r="AD94" s="48">
        <f t="shared" si="79"/>
        <v>0</v>
      </c>
      <c r="AF94" s="12">
        <f t="shared" si="80"/>
        <v>0</v>
      </c>
      <c r="AG94" s="44">
        <f t="shared" si="81"/>
        <v>3</v>
      </c>
      <c r="AH94" s="44">
        <f t="shared" si="82"/>
        <v>1</v>
      </c>
      <c r="AI94" s="44">
        <f t="shared" si="83"/>
        <v>1</v>
      </c>
      <c r="AJ94" s="48">
        <f t="shared" si="84"/>
        <v>0</v>
      </c>
      <c r="AL94" s="12">
        <f t="shared" si="85"/>
        <v>1</v>
      </c>
      <c r="AM94" s="44">
        <f t="shared" si="86"/>
        <v>0</v>
      </c>
      <c r="AN94" s="44">
        <f t="shared" si="87"/>
        <v>0</v>
      </c>
      <c r="AO94" s="44">
        <f t="shared" si="88"/>
        <v>1</v>
      </c>
      <c r="AP94" s="48">
        <f t="shared" si="89"/>
        <v>0</v>
      </c>
      <c r="AR94" s="12">
        <f t="shared" si="90"/>
        <v>0</v>
      </c>
      <c r="AS94" s="44">
        <f t="shared" si="91"/>
        <v>0</v>
      </c>
      <c r="AT94" s="44">
        <f t="shared" si="92"/>
        <v>0</v>
      </c>
      <c r="AU94" s="44">
        <f t="shared" si="93"/>
        <v>0</v>
      </c>
      <c r="AV94" s="48">
        <f t="shared" si="94"/>
        <v>1</v>
      </c>
      <c r="AX94" s="12">
        <f t="shared" si="95"/>
        <v>1</v>
      </c>
      <c r="AY94" s="44">
        <f t="shared" si="96"/>
        <v>0</v>
      </c>
      <c r="AZ94" s="44">
        <f t="shared" si="97"/>
        <v>0</v>
      </c>
      <c r="BA94" s="44">
        <f t="shared" si="98"/>
        <v>0</v>
      </c>
      <c r="BB94" s="48">
        <f t="shared" si="99"/>
        <v>0</v>
      </c>
      <c r="BD94" s="12">
        <f t="shared" si="100"/>
        <v>0</v>
      </c>
      <c r="BE94" s="44">
        <f t="shared" si="101"/>
        <v>0</v>
      </c>
      <c r="BF94" s="44">
        <f t="shared" si="102"/>
        <v>1</v>
      </c>
      <c r="BG94" s="44">
        <f t="shared" si="103"/>
        <v>0</v>
      </c>
      <c r="BH94" s="48">
        <f t="shared" si="104"/>
        <v>0</v>
      </c>
      <c r="BJ94" s="12">
        <f t="shared" si="105"/>
        <v>1</v>
      </c>
      <c r="BK94" s="44">
        <f t="shared" si="106"/>
        <v>0</v>
      </c>
      <c r="BL94" s="44">
        <f t="shared" si="107"/>
        <v>0</v>
      </c>
      <c r="BM94" s="44">
        <f t="shared" si="108"/>
        <v>1</v>
      </c>
      <c r="BN94" s="48">
        <f t="shared" si="109"/>
        <v>1</v>
      </c>
      <c r="BP94" s="12">
        <f t="shared" si="110"/>
        <v>0</v>
      </c>
      <c r="BQ94" s="44">
        <f t="shared" si="111"/>
        <v>1</v>
      </c>
      <c r="BR94" s="44">
        <f t="shared" si="112"/>
        <v>0</v>
      </c>
      <c r="BS94" s="44">
        <f t="shared" si="113"/>
        <v>0</v>
      </c>
      <c r="BT94" s="48">
        <f t="shared" si="114"/>
        <v>0</v>
      </c>
    </row>
    <row r="95" spans="1:72" x14ac:dyDescent="0.25">
      <c r="A95" s="4">
        <v>73</v>
      </c>
      <c r="B95" s="54" t="str">
        <f>IF('Game Info'!J78="","",'Game Info'!J78)</f>
        <v>SYM5</v>
      </c>
      <c r="C95" s="54" t="str">
        <f>IF('Game Info'!K78="","",'Game Info'!K78)</f>
        <v>A</v>
      </c>
      <c r="D95" s="54">
        <f>IF('Game Info'!L78="","",'Game Info'!L78)</f>
        <v>9</v>
      </c>
      <c r="E95" s="54">
        <f>IF('Game Info'!M78="","",'Game Info'!M78)</f>
        <v>9</v>
      </c>
      <c r="F95" s="55" t="str">
        <f>IF('Game Info'!N78="","",'Game Info'!N78)</f>
        <v>A</v>
      </c>
      <c r="H95" s="12">
        <f t="shared" si="60"/>
        <v>0</v>
      </c>
      <c r="I95" s="44">
        <f t="shared" si="61"/>
        <v>0</v>
      </c>
      <c r="J95" s="44">
        <f t="shared" si="62"/>
        <v>1</v>
      </c>
      <c r="K95" s="44">
        <f t="shared" si="63"/>
        <v>0</v>
      </c>
      <c r="L95" s="48">
        <f t="shared" si="64"/>
        <v>0</v>
      </c>
      <c r="N95" s="12">
        <f t="shared" si="65"/>
        <v>0</v>
      </c>
      <c r="O95" s="44">
        <f t="shared" si="66"/>
        <v>0</v>
      </c>
      <c r="P95" s="44">
        <f t="shared" si="67"/>
        <v>0</v>
      </c>
      <c r="Q95" s="44">
        <f t="shared" si="68"/>
        <v>0</v>
      </c>
      <c r="R95" s="48">
        <f t="shared" si="69"/>
        <v>0</v>
      </c>
      <c r="T95" s="12">
        <f t="shared" si="70"/>
        <v>0</v>
      </c>
      <c r="U95" s="44">
        <f t="shared" si="71"/>
        <v>0</v>
      </c>
      <c r="V95" s="44">
        <f t="shared" si="72"/>
        <v>0</v>
      </c>
      <c r="W95" s="44">
        <f t="shared" si="73"/>
        <v>0</v>
      </c>
      <c r="X95" s="48">
        <f t="shared" si="74"/>
        <v>0</v>
      </c>
      <c r="Z95" s="12">
        <f t="shared" si="75"/>
        <v>0</v>
      </c>
      <c r="AA95" s="44">
        <f t="shared" si="76"/>
        <v>0</v>
      </c>
      <c r="AB95" s="44">
        <f t="shared" si="77"/>
        <v>0</v>
      </c>
      <c r="AC95" s="44">
        <f t="shared" si="78"/>
        <v>1</v>
      </c>
      <c r="AD95" s="48">
        <f t="shared" si="79"/>
        <v>0</v>
      </c>
      <c r="AF95" s="12">
        <f t="shared" si="80"/>
        <v>1</v>
      </c>
      <c r="AG95" s="44">
        <f t="shared" si="81"/>
        <v>2</v>
      </c>
      <c r="AH95" s="44">
        <f t="shared" si="82"/>
        <v>1</v>
      </c>
      <c r="AI95" s="44">
        <f t="shared" si="83"/>
        <v>0</v>
      </c>
      <c r="AJ95" s="48">
        <f t="shared" si="84"/>
        <v>0</v>
      </c>
      <c r="AL95" s="12">
        <f t="shared" si="85"/>
        <v>0</v>
      </c>
      <c r="AM95" s="44">
        <f t="shared" si="86"/>
        <v>1</v>
      </c>
      <c r="AN95" s="44">
        <f t="shared" si="87"/>
        <v>0</v>
      </c>
      <c r="AO95" s="44">
        <f t="shared" si="88"/>
        <v>1</v>
      </c>
      <c r="AP95" s="48">
        <f t="shared" si="89"/>
        <v>1</v>
      </c>
      <c r="AR95" s="12">
        <f t="shared" si="90"/>
        <v>0</v>
      </c>
      <c r="AS95" s="44">
        <f t="shared" si="91"/>
        <v>0</v>
      </c>
      <c r="AT95" s="44">
        <f t="shared" si="92"/>
        <v>0</v>
      </c>
      <c r="AU95" s="44">
        <f t="shared" si="93"/>
        <v>0</v>
      </c>
      <c r="AV95" s="48">
        <f t="shared" si="94"/>
        <v>1</v>
      </c>
      <c r="AX95" s="12">
        <f t="shared" si="95"/>
        <v>1</v>
      </c>
      <c r="AY95" s="44">
        <f t="shared" si="96"/>
        <v>0</v>
      </c>
      <c r="AZ95" s="44">
        <f t="shared" si="97"/>
        <v>0</v>
      </c>
      <c r="BA95" s="44">
        <f t="shared" si="98"/>
        <v>0</v>
      </c>
      <c r="BB95" s="48">
        <f t="shared" si="99"/>
        <v>0</v>
      </c>
      <c r="BD95" s="12">
        <f t="shared" si="100"/>
        <v>0</v>
      </c>
      <c r="BE95" s="44">
        <f t="shared" si="101"/>
        <v>0</v>
      </c>
      <c r="BF95" s="44">
        <f t="shared" si="102"/>
        <v>1</v>
      </c>
      <c r="BG95" s="44">
        <f t="shared" si="103"/>
        <v>0</v>
      </c>
      <c r="BH95" s="48">
        <f t="shared" si="104"/>
        <v>0</v>
      </c>
      <c r="BJ95" s="12">
        <f t="shared" si="105"/>
        <v>1</v>
      </c>
      <c r="BK95" s="44">
        <f t="shared" si="106"/>
        <v>0</v>
      </c>
      <c r="BL95" s="44">
        <f t="shared" si="107"/>
        <v>0</v>
      </c>
      <c r="BM95" s="44">
        <f t="shared" si="108"/>
        <v>1</v>
      </c>
      <c r="BN95" s="48">
        <f t="shared" si="109"/>
        <v>1</v>
      </c>
      <c r="BP95" s="12">
        <f t="shared" si="110"/>
        <v>0</v>
      </c>
      <c r="BQ95" s="44">
        <f t="shared" si="111"/>
        <v>1</v>
      </c>
      <c r="BR95" s="44">
        <f t="shared" si="112"/>
        <v>1</v>
      </c>
      <c r="BS95" s="44">
        <f t="shared" si="113"/>
        <v>1</v>
      </c>
      <c r="BT95" s="48">
        <f t="shared" si="114"/>
        <v>0</v>
      </c>
    </row>
    <row r="96" spans="1:72" x14ac:dyDescent="0.25">
      <c r="A96" s="4">
        <v>74</v>
      </c>
      <c r="B96" s="54" t="str">
        <f>IF('Game Info'!J79="","",'Game Info'!J79)</f>
        <v>Q</v>
      </c>
      <c r="C96" s="54" t="str">
        <f>IF('Game Info'!K79="","",'Game Info'!K79)</f>
        <v>K</v>
      </c>
      <c r="D96" s="54" t="str">
        <f>IF('Game Info'!L79="","",'Game Info'!L79)</f>
        <v>SYM3</v>
      </c>
      <c r="E96" s="54" t="str">
        <f>IF('Game Info'!M79="","",'Game Info'!M79)</f>
        <v>SYM5</v>
      </c>
      <c r="F96" s="55" t="str">
        <f>IF('Game Info'!N79="","",'Game Info'!N79)</f>
        <v>SYM2</v>
      </c>
      <c r="H96" s="12">
        <f t="shared" si="60"/>
        <v>0</v>
      </c>
      <c r="I96" s="44">
        <f t="shared" si="61"/>
        <v>0</v>
      </c>
      <c r="J96" s="44">
        <f t="shared" si="62"/>
        <v>0</v>
      </c>
      <c r="K96" s="44">
        <f t="shared" si="63"/>
        <v>0</v>
      </c>
      <c r="L96" s="48">
        <f t="shared" si="64"/>
        <v>0</v>
      </c>
      <c r="N96" s="12">
        <f t="shared" si="65"/>
        <v>0</v>
      </c>
      <c r="O96" s="44">
        <f t="shared" si="66"/>
        <v>0</v>
      </c>
      <c r="P96" s="44">
        <f t="shared" si="67"/>
        <v>0</v>
      </c>
      <c r="Q96" s="44">
        <f t="shared" si="68"/>
        <v>0</v>
      </c>
      <c r="R96" s="48">
        <f t="shared" si="69"/>
        <v>1</v>
      </c>
      <c r="T96" s="12">
        <f t="shared" si="70"/>
        <v>0</v>
      </c>
      <c r="U96" s="44">
        <f t="shared" si="71"/>
        <v>0</v>
      </c>
      <c r="V96" s="44">
        <f t="shared" si="72"/>
        <v>1</v>
      </c>
      <c r="W96" s="44">
        <f t="shared" si="73"/>
        <v>0</v>
      </c>
      <c r="X96" s="48">
        <f t="shared" si="74"/>
        <v>0</v>
      </c>
      <c r="Z96" s="12">
        <f t="shared" si="75"/>
        <v>0</v>
      </c>
      <c r="AA96" s="44">
        <f t="shared" si="76"/>
        <v>0</v>
      </c>
      <c r="AB96" s="44">
        <f t="shared" si="77"/>
        <v>0</v>
      </c>
      <c r="AC96" s="44">
        <f t="shared" si="78"/>
        <v>1</v>
      </c>
      <c r="AD96" s="48">
        <f t="shared" si="79"/>
        <v>0</v>
      </c>
      <c r="AF96" s="12">
        <f t="shared" si="80"/>
        <v>1</v>
      </c>
      <c r="AG96" s="44">
        <f t="shared" si="81"/>
        <v>2</v>
      </c>
      <c r="AH96" s="44">
        <f t="shared" si="82"/>
        <v>1</v>
      </c>
      <c r="AI96" s="44">
        <f t="shared" si="83"/>
        <v>1</v>
      </c>
      <c r="AJ96" s="48">
        <f t="shared" si="84"/>
        <v>0</v>
      </c>
      <c r="AL96" s="12">
        <f t="shared" si="85"/>
        <v>0</v>
      </c>
      <c r="AM96" s="44">
        <f t="shared" si="86"/>
        <v>1</v>
      </c>
      <c r="AN96" s="44">
        <f t="shared" si="87"/>
        <v>0</v>
      </c>
      <c r="AO96" s="44">
        <f t="shared" si="88"/>
        <v>1</v>
      </c>
      <c r="AP96" s="48">
        <f t="shared" si="89"/>
        <v>1</v>
      </c>
      <c r="AR96" s="12">
        <f t="shared" si="90"/>
        <v>0</v>
      </c>
      <c r="AS96" s="44">
        <f t="shared" si="91"/>
        <v>1</v>
      </c>
      <c r="AT96" s="44">
        <f t="shared" si="92"/>
        <v>0</v>
      </c>
      <c r="AU96" s="44">
        <f t="shared" si="93"/>
        <v>0</v>
      </c>
      <c r="AV96" s="48">
        <f t="shared" si="94"/>
        <v>0</v>
      </c>
      <c r="AX96" s="12">
        <f t="shared" si="95"/>
        <v>2</v>
      </c>
      <c r="AY96" s="44">
        <f t="shared" si="96"/>
        <v>0</v>
      </c>
      <c r="AZ96" s="44">
        <f t="shared" si="97"/>
        <v>0</v>
      </c>
      <c r="BA96" s="44">
        <f t="shared" si="98"/>
        <v>0</v>
      </c>
      <c r="BB96" s="48">
        <f t="shared" si="99"/>
        <v>0</v>
      </c>
      <c r="BD96" s="12">
        <f t="shared" si="100"/>
        <v>0</v>
      </c>
      <c r="BE96" s="44">
        <f t="shared" si="101"/>
        <v>0</v>
      </c>
      <c r="BF96" s="44">
        <f t="shared" si="102"/>
        <v>1</v>
      </c>
      <c r="BG96" s="44">
        <f t="shared" si="103"/>
        <v>0</v>
      </c>
      <c r="BH96" s="48">
        <f t="shared" si="104"/>
        <v>0</v>
      </c>
      <c r="BJ96" s="12">
        <f t="shared" si="105"/>
        <v>1</v>
      </c>
      <c r="BK96" s="44">
        <f t="shared" si="106"/>
        <v>0</v>
      </c>
      <c r="BL96" s="44">
        <f t="shared" si="107"/>
        <v>0</v>
      </c>
      <c r="BM96" s="44">
        <f t="shared" si="108"/>
        <v>0</v>
      </c>
      <c r="BN96" s="48">
        <f t="shared" si="109"/>
        <v>1</v>
      </c>
      <c r="BP96" s="12">
        <f t="shared" si="110"/>
        <v>0</v>
      </c>
      <c r="BQ96" s="44">
        <f t="shared" si="111"/>
        <v>0</v>
      </c>
      <c r="BR96" s="44">
        <f t="shared" si="112"/>
        <v>1</v>
      </c>
      <c r="BS96" s="44">
        <f t="shared" si="113"/>
        <v>1</v>
      </c>
      <c r="BT96" s="48">
        <f t="shared" si="114"/>
        <v>0</v>
      </c>
    </row>
    <row r="97" spans="1:72" x14ac:dyDescent="0.25">
      <c r="A97" s="4">
        <v>75</v>
      </c>
      <c r="B97" s="54" t="str">
        <f>IF('Game Info'!J80="","",'Game Info'!J80)</f>
        <v>SYM2</v>
      </c>
      <c r="C97" s="54" t="str">
        <f>IF('Game Info'!K80="","",'Game Info'!K80)</f>
        <v>SYM3</v>
      </c>
      <c r="D97" s="54" t="str">
        <f>IF('Game Info'!L80="","",'Game Info'!L80)</f>
        <v>A</v>
      </c>
      <c r="E97" s="54" t="str">
        <f>IF('Game Info'!M80="","",'Game Info'!M80)</f>
        <v>Q</v>
      </c>
      <c r="F97" s="55" t="str">
        <f>IF('Game Info'!N80="","",'Game Info'!N80)</f>
        <v>J</v>
      </c>
      <c r="H97" s="12">
        <f t="shared" si="60"/>
        <v>0</v>
      </c>
      <c r="I97" s="44">
        <f t="shared" si="61"/>
        <v>0</v>
      </c>
      <c r="J97" s="44">
        <f t="shared" si="62"/>
        <v>0</v>
      </c>
      <c r="K97" s="44">
        <f t="shared" si="63"/>
        <v>0</v>
      </c>
      <c r="L97" s="48">
        <f t="shared" si="64"/>
        <v>0</v>
      </c>
      <c r="N97" s="12">
        <f t="shared" si="65"/>
        <v>1</v>
      </c>
      <c r="O97" s="44">
        <f t="shared" si="66"/>
        <v>0</v>
      </c>
      <c r="P97" s="44">
        <f t="shared" si="67"/>
        <v>0</v>
      </c>
      <c r="Q97" s="44">
        <f t="shared" si="68"/>
        <v>0</v>
      </c>
      <c r="R97" s="48">
        <f t="shared" si="69"/>
        <v>1</v>
      </c>
      <c r="T97" s="12">
        <f t="shared" si="70"/>
        <v>0</v>
      </c>
      <c r="U97" s="44">
        <f t="shared" si="71"/>
        <v>1</v>
      </c>
      <c r="V97" s="44">
        <f t="shared" si="72"/>
        <v>1</v>
      </c>
      <c r="W97" s="44">
        <f t="shared" si="73"/>
        <v>0</v>
      </c>
      <c r="X97" s="48">
        <f t="shared" si="74"/>
        <v>0</v>
      </c>
      <c r="Z97" s="12">
        <f t="shared" si="75"/>
        <v>0</v>
      </c>
      <c r="AA97" s="44">
        <f t="shared" si="76"/>
        <v>0</v>
      </c>
      <c r="AB97" s="44">
        <f t="shared" si="77"/>
        <v>0</v>
      </c>
      <c r="AC97" s="44">
        <f t="shared" si="78"/>
        <v>1</v>
      </c>
      <c r="AD97" s="48">
        <f t="shared" si="79"/>
        <v>0</v>
      </c>
      <c r="AF97" s="12">
        <f t="shared" si="80"/>
        <v>1</v>
      </c>
      <c r="AG97" s="44">
        <f t="shared" si="81"/>
        <v>1</v>
      </c>
      <c r="AH97" s="44">
        <f t="shared" si="82"/>
        <v>1</v>
      </c>
      <c r="AI97" s="44">
        <f t="shared" si="83"/>
        <v>1</v>
      </c>
      <c r="AJ97" s="48">
        <f t="shared" si="84"/>
        <v>0</v>
      </c>
      <c r="AL97" s="12">
        <f t="shared" si="85"/>
        <v>0</v>
      </c>
      <c r="AM97" s="44">
        <f t="shared" si="86"/>
        <v>1</v>
      </c>
      <c r="AN97" s="44">
        <f t="shared" si="87"/>
        <v>1</v>
      </c>
      <c r="AO97" s="44">
        <f t="shared" si="88"/>
        <v>0</v>
      </c>
      <c r="AP97" s="48">
        <f t="shared" si="89"/>
        <v>1</v>
      </c>
      <c r="AR97" s="12">
        <f t="shared" si="90"/>
        <v>0</v>
      </c>
      <c r="AS97" s="44">
        <f t="shared" si="91"/>
        <v>1</v>
      </c>
      <c r="AT97" s="44">
        <f t="shared" si="92"/>
        <v>0</v>
      </c>
      <c r="AU97" s="44">
        <f t="shared" si="93"/>
        <v>0</v>
      </c>
      <c r="AV97" s="48">
        <f t="shared" si="94"/>
        <v>0</v>
      </c>
      <c r="AX97" s="12">
        <f t="shared" si="95"/>
        <v>1</v>
      </c>
      <c r="AY97" s="44">
        <f t="shared" si="96"/>
        <v>0</v>
      </c>
      <c r="AZ97" s="44">
        <f t="shared" si="97"/>
        <v>0</v>
      </c>
      <c r="BA97" s="44">
        <f t="shared" si="98"/>
        <v>1</v>
      </c>
      <c r="BB97" s="48">
        <f t="shared" si="99"/>
        <v>0</v>
      </c>
      <c r="BD97" s="12">
        <f t="shared" si="100"/>
        <v>0</v>
      </c>
      <c r="BE97" s="44">
        <f t="shared" si="101"/>
        <v>0</v>
      </c>
      <c r="BF97" s="44">
        <f t="shared" si="102"/>
        <v>0</v>
      </c>
      <c r="BG97" s="44">
        <f t="shared" si="103"/>
        <v>0</v>
      </c>
      <c r="BH97" s="48">
        <f t="shared" si="104"/>
        <v>1</v>
      </c>
      <c r="BJ97" s="12">
        <f t="shared" si="105"/>
        <v>1</v>
      </c>
      <c r="BK97" s="44">
        <f t="shared" si="106"/>
        <v>0</v>
      </c>
      <c r="BL97" s="44">
        <f t="shared" si="107"/>
        <v>0</v>
      </c>
      <c r="BM97" s="44">
        <f t="shared" si="108"/>
        <v>0</v>
      </c>
      <c r="BN97" s="48">
        <f t="shared" si="109"/>
        <v>0</v>
      </c>
      <c r="BP97" s="12">
        <f t="shared" si="110"/>
        <v>0</v>
      </c>
      <c r="BQ97" s="44">
        <f t="shared" si="111"/>
        <v>0</v>
      </c>
      <c r="BR97" s="44">
        <f t="shared" si="112"/>
        <v>1</v>
      </c>
      <c r="BS97" s="44">
        <f t="shared" si="113"/>
        <v>1</v>
      </c>
      <c r="BT97" s="48">
        <f t="shared" si="114"/>
        <v>0</v>
      </c>
    </row>
    <row r="98" spans="1:72" x14ac:dyDescent="0.25">
      <c r="A98" s="4">
        <v>76</v>
      </c>
      <c r="B98" s="54" t="str">
        <f>IF('Game Info'!J81="","",'Game Info'!J81)</f>
        <v>K</v>
      </c>
      <c r="C98" s="54" t="str">
        <f>IF('Game Info'!K81="","",'Game Info'!K81)</f>
        <v>K</v>
      </c>
      <c r="D98" s="54" t="str">
        <f>IF('Game Info'!L81="","",'Game Info'!L81)</f>
        <v>SYM4</v>
      </c>
      <c r="E98" s="54" t="str">
        <f>IF('Game Info'!M81="","",'Game Info'!M81)</f>
        <v>SYM4</v>
      </c>
      <c r="F98" s="55" t="str">
        <f>IF('Game Info'!N81="","",'Game Info'!N81)</f>
        <v>SYM3</v>
      </c>
      <c r="H98" s="12">
        <f t="shared" si="60"/>
        <v>0</v>
      </c>
      <c r="I98" s="44">
        <f t="shared" si="61"/>
        <v>0</v>
      </c>
      <c r="J98" s="44">
        <f t="shared" si="62"/>
        <v>0</v>
      </c>
      <c r="K98" s="44">
        <f t="shared" si="63"/>
        <v>0</v>
      </c>
      <c r="L98" s="48">
        <f t="shared" si="64"/>
        <v>0</v>
      </c>
      <c r="N98" s="12">
        <f t="shared" si="65"/>
        <v>1</v>
      </c>
      <c r="O98" s="44">
        <f t="shared" si="66"/>
        <v>0</v>
      </c>
      <c r="P98" s="44">
        <f t="shared" si="67"/>
        <v>0</v>
      </c>
      <c r="Q98" s="44">
        <f t="shared" si="68"/>
        <v>0</v>
      </c>
      <c r="R98" s="48">
        <f t="shared" si="69"/>
        <v>1</v>
      </c>
      <c r="T98" s="12">
        <f t="shared" si="70"/>
        <v>0</v>
      </c>
      <c r="U98" s="44">
        <f t="shared" si="71"/>
        <v>1</v>
      </c>
      <c r="V98" s="44">
        <f t="shared" si="72"/>
        <v>1</v>
      </c>
      <c r="W98" s="44">
        <f t="shared" si="73"/>
        <v>0</v>
      </c>
      <c r="X98" s="48">
        <f t="shared" si="74"/>
        <v>1</v>
      </c>
      <c r="Z98" s="12">
        <f t="shared" si="75"/>
        <v>0</v>
      </c>
      <c r="AA98" s="44">
        <f t="shared" si="76"/>
        <v>0</v>
      </c>
      <c r="AB98" s="44">
        <f t="shared" si="77"/>
        <v>1</v>
      </c>
      <c r="AC98" s="44">
        <f t="shared" si="78"/>
        <v>1</v>
      </c>
      <c r="AD98" s="48">
        <f t="shared" si="79"/>
        <v>0</v>
      </c>
      <c r="AF98" s="12">
        <f t="shared" si="80"/>
        <v>1</v>
      </c>
      <c r="AG98" s="44">
        <f t="shared" si="81"/>
        <v>0</v>
      </c>
      <c r="AH98" s="44">
        <f t="shared" si="82"/>
        <v>0</v>
      </c>
      <c r="AI98" s="44">
        <f t="shared" si="83"/>
        <v>1</v>
      </c>
      <c r="AJ98" s="48">
        <f t="shared" si="84"/>
        <v>0</v>
      </c>
      <c r="AL98" s="12">
        <f t="shared" si="85"/>
        <v>0</v>
      </c>
      <c r="AM98" s="44">
        <f t="shared" si="86"/>
        <v>1</v>
      </c>
      <c r="AN98" s="44">
        <f t="shared" si="87"/>
        <v>1</v>
      </c>
      <c r="AO98" s="44">
        <f t="shared" si="88"/>
        <v>0</v>
      </c>
      <c r="AP98" s="48">
        <f t="shared" si="89"/>
        <v>1</v>
      </c>
      <c r="AR98" s="12">
        <f t="shared" si="90"/>
        <v>1</v>
      </c>
      <c r="AS98" s="44">
        <f t="shared" si="91"/>
        <v>2</v>
      </c>
      <c r="AT98" s="44">
        <f t="shared" si="92"/>
        <v>0</v>
      </c>
      <c r="AU98" s="44">
        <f t="shared" si="93"/>
        <v>0</v>
      </c>
      <c r="AV98" s="48">
        <f t="shared" si="94"/>
        <v>0</v>
      </c>
      <c r="AX98" s="12">
        <f t="shared" si="95"/>
        <v>1</v>
      </c>
      <c r="AY98" s="44">
        <f t="shared" si="96"/>
        <v>0</v>
      </c>
      <c r="AZ98" s="44">
        <f t="shared" si="97"/>
        <v>0</v>
      </c>
      <c r="BA98" s="44">
        <f t="shared" si="98"/>
        <v>1</v>
      </c>
      <c r="BB98" s="48">
        <f t="shared" si="99"/>
        <v>0</v>
      </c>
      <c r="BD98" s="12">
        <f t="shared" si="100"/>
        <v>0</v>
      </c>
      <c r="BE98" s="44">
        <f t="shared" si="101"/>
        <v>0</v>
      </c>
      <c r="BF98" s="44">
        <f t="shared" si="102"/>
        <v>0</v>
      </c>
      <c r="BG98" s="44">
        <f t="shared" si="103"/>
        <v>0</v>
      </c>
      <c r="BH98" s="48">
        <f t="shared" si="104"/>
        <v>1</v>
      </c>
      <c r="BJ98" s="12">
        <f t="shared" si="105"/>
        <v>0</v>
      </c>
      <c r="BK98" s="44">
        <f t="shared" si="106"/>
        <v>0</v>
      </c>
      <c r="BL98" s="44">
        <f t="shared" si="107"/>
        <v>0</v>
      </c>
      <c r="BM98" s="44">
        <f t="shared" si="108"/>
        <v>0</v>
      </c>
      <c r="BN98" s="48">
        <f t="shared" si="109"/>
        <v>0</v>
      </c>
      <c r="BP98" s="12">
        <f t="shared" si="110"/>
        <v>0</v>
      </c>
      <c r="BQ98" s="44">
        <f t="shared" si="111"/>
        <v>0</v>
      </c>
      <c r="BR98" s="44">
        <f t="shared" si="112"/>
        <v>1</v>
      </c>
      <c r="BS98" s="44">
        <f t="shared" si="113"/>
        <v>1</v>
      </c>
      <c r="BT98" s="48">
        <f t="shared" si="114"/>
        <v>0</v>
      </c>
    </row>
    <row r="99" spans="1:72" x14ac:dyDescent="0.25">
      <c r="A99" s="4">
        <v>77</v>
      </c>
      <c r="B99" s="54" t="str">
        <f>IF('Game Info'!J82="","",'Game Info'!J82)</f>
        <v>SYM1</v>
      </c>
      <c r="C99" s="54" t="str">
        <f>IF('Game Info'!K82="","",'Game Info'!K82)</f>
        <v>SYM2</v>
      </c>
      <c r="D99" s="54" t="str">
        <f>IF('Game Info'!L82="","",'Game Info'!L82)</f>
        <v>Q</v>
      </c>
      <c r="E99" s="54" t="str">
        <f>IF('Game Info'!M82="","",'Game Info'!M82)</f>
        <v>SYM5</v>
      </c>
      <c r="F99" s="55">
        <f>IF('Game Info'!N82="","",'Game Info'!N82)</f>
        <v>9</v>
      </c>
      <c r="H99" s="12">
        <f t="shared" si="60"/>
        <v>1</v>
      </c>
      <c r="I99" s="44">
        <f t="shared" si="61"/>
        <v>0</v>
      </c>
      <c r="J99" s="44">
        <f t="shared" si="62"/>
        <v>0</v>
      </c>
      <c r="K99" s="44">
        <f t="shared" si="63"/>
        <v>0</v>
      </c>
      <c r="L99" s="48">
        <f t="shared" si="64"/>
        <v>0</v>
      </c>
      <c r="N99" s="12">
        <f t="shared" si="65"/>
        <v>1</v>
      </c>
      <c r="O99" s="44">
        <f t="shared" si="66"/>
        <v>1</v>
      </c>
      <c r="P99" s="44">
        <f t="shared" si="67"/>
        <v>0</v>
      </c>
      <c r="Q99" s="44">
        <f t="shared" si="68"/>
        <v>0</v>
      </c>
      <c r="R99" s="48">
        <f t="shared" si="69"/>
        <v>1</v>
      </c>
      <c r="T99" s="12">
        <f t="shared" si="70"/>
        <v>0</v>
      </c>
      <c r="U99" s="44">
        <f t="shared" si="71"/>
        <v>1</v>
      </c>
      <c r="V99" s="44">
        <f t="shared" si="72"/>
        <v>1</v>
      </c>
      <c r="W99" s="44">
        <f t="shared" si="73"/>
        <v>0</v>
      </c>
      <c r="X99" s="48">
        <f t="shared" si="74"/>
        <v>1</v>
      </c>
      <c r="Z99" s="12">
        <f t="shared" si="75"/>
        <v>0</v>
      </c>
      <c r="AA99" s="44">
        <f t="shared" si="76"/>
        <v>0</v>
      </c>
      <c r="AB99" s="44">
        <f t="shared" si="77"/>
        <v>1</v>
      </c>
      <c r="AC99" s="44">
        <f t="shared" si="78"/>
        <v>1</v>
      </c>
      <c r="AD99" s="48">
        <f t="shared" si="79"/>
        <v>0</v>
      </c>
      <c r="AF99" s="12">
        <f t="shared" si="80"/>
        <v>0</v>
      </c>
      <c r="AG99" s="44">
        <f t="shared" si="81"/>
        <v>0</v>
      </c>
      <c r="AH99" s="44">
        <f t="shared" si="82"/>
        <v>0</v>
      </c>
      <c r="AI99" s="44">
        <f t="shared" si="83"/>
        <v>2</v>
      </c>
      <c r="AJ99" s="48">
        <f t="shared" si="84"/>
        <v>0</v>
      </c>
      <c r="AL99" s="12">
        <f t="shared" si="85"/>
        <v>0</v>
      </c>
      <c r="AM99" s="44">
        <f t="shared" si="86"/>
        <v>0</v>
      </c>
      <c r="AN99" s="44">
        <f t="shared" si="87"/>
        <v>1</v>
      </c>
      <c r="AO99" s="44">
        <f t="shared" si="88"/>
        <v>0</v>
      </c>
      <c r="AP99" s="48">
        <f t="shared" si="89"/>
        <v>0</v>
      </c>
      <c r="AR99" s="12">
        <f t="shared" si="90"/>
        <v>1</v>
      </c>
      <c r="AS99" s="44">
        <f t="shared" si="91"/>
        <v>2</v>
      </c>
      <c r="AT99" s="44">
        <f t="shared" si="92"/>
        <v>0</v>
      </c>
      <c r="AU99" s="44">
        <f t="shared" si="93"/>
        <v>0</v>
      </c>
      <c r="AV99" s="48">
        <f t="shared" si="94"/>
        <v>0</v>
      </c>
      <c r="AX99" s="12">
        <f t="shared" si="95"/>
        <v>1</v>
      </c>
      <c r="AY99" s="44">
        <f t="shared" si="96"/>
        <v>0</v>
      </c>
      <c r="AZ99" s="44">
        <f t="shared" si="97"/>
        <v>1</v>
      </c>
      <c r="BA99" s="44">
        <f t="shared" si="98"/>
        <v>1</v>
      </c>
      <c r="BB99" s="48">
        <f t="shared" si="99"/>
        <v>0</v>
      </c>
      <c r="BD99" s="12">
        <f t="shared" si="100"/>
        <v>0</v>
      </c>
      <c r="BE99" s="44">
        <f t="shared" si="101"/>
        <v>0</v>
      </c>
      <c r="BF99" s="44">
        <f t="shared" si="102"/>
        <v>0</v>
      </c>
      <c r="BG99" s="44">
        <f t="shared" si="103"/>
        <v>0</v>
      </c>
      <c r="BH99" s="48">
        <f t="shared" si="104"/>
        <v>1</v>
      </c>
      <c r="BJ99" s="12">
        <f t="shared" si="105"/>
        <v>0</v>
      </c>
      <c r="BK99" s="44">
        <f t="shared" si="106"/>
        <v>0</v>
      </c>
      <c r="BL99" s="44">
        <f t="shared" si="107"/>
        <v>0</v>
      </c>
      <c r="BM99" s="44">
        <f t="shared" si="108"/>
        <v>0</v>
      </c>
      <c r="BN99" s="48">
        <f t="shared" si="109"/>
        <v>0</v>
      </c>
      <c r="BP99" s="12">
        <f t="shared" si="110"/>
        <v>0</v>
      </c>
      <c r="BQ99" s="44">
        <f t="shared" si="111"/>
        <v>0</v>
      </c>
      <c r="BR99" s="44">
        <f t="shared" si="112"/>
        <v>0</v>
      </c>
      <c r="BS99" s="44">
        <f t="shared" si="113"/>
        <v>0</v>
      </c>
      <c r="BT99" s="48">
        <f t="shared" si="114"/>
        <v>1</v>
      </c>
    </row>
    <row r="100" spans="1:72" x14ac:dyDescent="0.25">
      <c r="A100" s="4">
        <v>78</v>
      </c>
      <c r="B100" s="54">
        <f>IF('Game Info'!J83="","",'Game Info'!J83)</f>
        <v>10</v>
      </c>
      <c r="C100" s="54" t="str">
        <f>IF('Game Info'!K83="","",'Game Info'!K83)</f>
        <v>J</v>
      </c>
      <c r="D100" s="54" t="str">
        <f>IF('Game Info'!L83="","",'Game Info'!L83)</f>
        <v>SYM5</v>
      </c>
      <c r="E100" s="54" t="str">
        <f>IF('Game Info'!M83="","",'Game Info'!M83)</f>
        <v>K</v>
      </c>
      <c r="F100" s="55" t="str">
        <f>IF('Game Info'!N83="","",'Game Info'!N83)</f>
        <v>SYM1</v>
      </c>
      <c r="H100" s="12">
        <f t="shared" si="60"/>
        <v>1</v>
      </c>
      <c r="I100" s="44">
        <f t="shared" si="61"/>
        <v>0</v>
      </c>
      <c r="J100" s="44">
        <f t="shared" si="62"/>
        <v>0</v>
      </c>
      <c r="K100" s="44">
        <f t="shared" si="63"/>
        <v>0</v>
      </c>
      <c r="L100" s="48">
        <f t="shared" si="64"/>
        <v>1</v>
      </c>
      <c r="N100" s="12">
        <f t="shared" si="65"/>
        <v>1</v>
      </c>
      <c r="O100" s="44">
        <f t="shared" si="66"/>
        <v>1</v>
      </c>
      <c r="P100" s="44">
        <f t="shared" si="67"/>
        <v>0</v>
      </c>
      <c r="Q100" s="44">
        <f t="shared" si="68"/>
        <v>0</v>
      </c>
      <c r="R100" s="48">
        <f t="shared" si="69"/>
        <v>0</v>
      </c>
      <c r="T100" s="12">
        <f t="shared" si="70"/>
        <v>0</v>
      </c>
      <c r="U100" s="44">
        <f t="shared" si="71"/>
        <v>1</v>
      </c>
      <c r="V100" s="44">
        <f t="shared" si="72"/>
        <v>0</v>
      </c>
      <c r="W100" s="44">
        <f t="shared" si="73"/>
        <v>0</v>
      </c>
      <c r="X100" s="48">
        <f t="shared" si="74"/>
        <v>1</v>
      </c>
      <c r="Z100" s="12">
        <f t="shared" si="75"/>
        <v>0</v>
      </c>
      <c r="AA100" s="44">
        <f t="shared" si="76"/>
        <v>0</v>
      </c>
      <c r="AB100" s="44">
        <f t="shared" si="77"/>
        <v>1</v>
      </c>
      <c r="AC100" s="44">
        <f t="shared" si="78"/>
        <v>1</v>
      </c>
      <c r="AD100" s="48">
        <f t="shared" si="79"/>
        <v>0</v>
      </c>
      <c r="AF100" s="12">
        <f t="shared" si="80"/>
        <v>0</v>
      </c>
      <c r="AG100" s="44">
        <f t="shared" si="81"/>
        <v>0</v>
      </c>
      <c r="AH100" s="44">
        <f t="shared" si="82"/>
        <v>1</v>
      </c>
      <c r="AI100" s="44">
        <f t="shared" si="83"/>
        <v>1</v>
      </c>
      <c r="AJ100" s="48">
        <f t="shared" si="84"/>
        <v>0</v>
      </c>
      <c r="AL100" s="12">
        <f t="shared" si="85"/>
        <v>0</v>
      </c>
      <c r="AM100" s="44">
        <f t="shared" si="86"/>
        <v>0</v>
      </c>
      <c r="AN100" s="44">
        <f t="shared" si="87"/>
        <v>1</v>
      </c>
      <c r="AO100" s="44">
        <f t="shared" si="88"/>
        <v>0</v>
      </c>
      <c r="AP100" s="48">
        <f t="shared" si="89"/>
        <v>0</v>
      </c>
      <c r="AR100" s="12">
        <f t="shared" si="90"/>
        <v>1</v>
      </c>
      <c r="AS100" s="44">
        <f t="shared" si="91"/>
        <v>1</v>
      </c>
      <c r="AT100" s="44">
        <f t="shared" si="92"/>
        <v>0</v>
      </c>
      <c r="AU100" s="44">
        <f t="shared" si="93"/>
        <v>1</v>
      </c>
      <c r="AV100" s="48">
        <f t="shared" si="94"/>
        <v>0</v>
      </c>
      <c r="AX100" s="12">
        <f t="shared" si="95"/>
        <v>0</v>
      </c>
      <c r="AY100" s="44">
        <f t="shared" si="96"/>
        <v>0</v>
      </c>
      <c r="AZ100" s="44">
        <f t="shared" si="97"/>
        <v>1</v>
      </c>
      <c r="BA100" s="44">
        <f t="shared" si="98"/>
        <v>1</v>
      </c>
      <c r="BB100" s="48">
        <f t="shared" si="99"/>
        <v>0</v>
      </c>
      <c r="BD100" s="12">
        <f t="shared" si="100"/>
        <v>0</v>
      </c>
      <c r="BE100" s="44">
        <f t="shared" si="101"/>
        <v>1</v>
      </c>
      <c r="BF100" s="44">
        <f t="shared" si="102"/>
        <v>0</v>
      </c>
      <c r="BG100" s="44">
        <f t="shared" si="103"/>
        <v>0</v>
      </c>
      <c r="BH100" s="48">
        <f t="shared" si="104"/>
        <v>1</v>
      </c>
      <c r="BJ100" s="12">
        <f t="shared" si="105"/>
        <v>1</v>
      </c>
      <c r="BK100" s="44">
        <f t="shared" si="106"/>
        <v>0</v>
      </c>
      <c r="BL100" s="44">
        <f t="shared" si="107"/>
        <v>0</v>
      </c>
      <c r="BM100" s="44">
        <f t="shared" si="108"/>
        <v>0</v>
      </c>
      <c r="BN100" s="48">
        <f t="shared" si="109"/>
        <v>0</v>
      </c>
      <c r="BP100" s="12">
        <f t="shared" si="110"/>
        <v>0</v>
      </c>
      <c r="BQ100" s="44">
        <f t="shared" si="111"/>
        <v>0</v>
      </c>
      <c r="BR100" s="44">
        <f t="shared" si="112"/>
        <v>0</v>
      </c>
      <c r="BS100" s="44">
        <f t="shared" si="113"/>
        <v>0</v>
      </c>
      <c r="BT100" s="48">
        <f t="shared" si="114"/>
        <v>1</v>
      </c>
    </row>
    <row r="101" spans="1:72" x14ac:dyDescent="0.25">
      <c r="A101" s="4">
        <v>79</v>
      </c>
      <c r="B101" s="54" t="str">
        <f>IF('Game Info'!J84="","",'Game Info'!J84)</f>
        <v>SYM4</v>
      </c>
      <c r="C101" s="54" t="str">
        <f>IF('Game Info'!K84="","",'Game Info'!K84)</f>
        <v>SYM5</v>
      </c>
      <c r="D101" s="54">
        <f>IF('Game Info'!L84="","",'Game Info'!L84)</f>
        <v>10</v>
      </c>
      <c r="E101" s="54" t="str">
        <f>IF('Game Info'!M84="","",'Game Info'!M84)</f>
        <v>Q</v>
      </c>
      <c r="F101" s="55" t="str">
        <f>IF('Game Info'!N84="","",'Game Info'!N84)</f>
        <v>Q</v>
      </c>
      <c r="H101" s="12">
        <f t="shared" si="60"/>
        <v>1</v>
      </c>
      <c r="I101" s="44">
        <f t="shared" si="61"/>
        <v>0</v>
      </c>
      <c r="J101" s="44">
        <f t="shared" si="62"/>
        <v>0</v>
      </c>
      <c r="K101" s="44">
        <f t="shared" si="63"/>
        <v>0</v>
      </c>
      <c r="L101" s="48">
        <f t="shared" si="64"/>
        <v>1</v>
      </c>
      <c r="N101" s="12">
        <f t="shared" si="65"/>
        <v>0</v>
      </c>
      <c r="O101" s="44">
        <f t="shared" si="66"/>
        <v>1</v>
      </c>
      <c r="P101" s="44">
        <f t="shared" si="67"/>
        <v>0</v>
      </c>
      <c r="Q101" s="44">
        <f t="shared" si="68"/>
        <v>0</v>
      </c>
      <c r="R101" s="48">
        <f t="shared" si="69"/>
        <v>0</v>
      </c>
      <c r="T101" s="12">
        <f t="shared" si="70"/>
        <v>0</v>
      </c>
      <c r="U101" s="44">
        <f t="shared" si="71"/>
        <v>0</v>
      </c>
      <c r="V101" s="44">
        <f t="shared" si="72"/>
        <v>0</v>
      </c>
      <c r="W101" s="44">
        <f t="shared" si="73"/>
        <v>0</v>
      </c>
      <c r="X101" s="48">
        <f t="shared" si="74"/>
        <v>1</v>
      </c>
      <c r="Z101" s="12">
        <f t="shared" si="75"/>
        <v>1</v>
      </c>
      <c r="AA101" s="44">
        <f t="shared" si="76"/>
        <v>0</v>
      </c>
      <c r="AB101" s="44">
        <f t="shared" si="77"/>
        <v>1</v>
      </c>
      <c r="AC101" s="44">
        <f t="shared" si="78"/>
        <v>1</v>
      </c>
      <c r="AD101" s="48">
        <f t="shared" si="79"/>
        <v>0</v>
      </c>
      <c r="AF101" s="12">
        <f t="shared" si="80"/>
        <v>0</v>
      </c>
      <c r="AG101" s="44">
        <f t="shared" si="81"/>
        <v>1</v>
      </c>
      <c r="AH101" s="44">
        <f t="shared" si="82"/>
        <v>1</v>
      </c>
      <c r="AI101" s="44">
        <f t="shared" si="83"/>
        <v>1</v>
      </c>
      <c r="AJ101" s="48">
        <f t="shared" si="84"/>
        <v>0</v>
      </c>
      <c r="AL101" s="12">
        <f t="shared" si="85"/>
        <v>0</v>
      </c>
      <c r="AM101" s="44">
        <f t="shared" si="86"/>
        <v>0</v>
      </c>
      <c r="AN101" s="44">
        <f t="shared" si="87"/>
        <v>0</v>
      </c>
      <c r="AO101" s="44">
        <f t="shared" si="88"/>
        <v>0</v>
      </c>
      <c r="AP101" s="48">
        <f t="shared" si="89"/>
        <v>0</v>
      </c>
      <c r="AR101" s="12">
        <f t="shared" si="90"/>
        <v>1</v>
      </c>
      <c r="AS101" s="44">
        <f t="shared" si="91"/>
        <v>1</v>
      </c>
      <c r="AT101" s="44">
        <f t="shared" si="92"/>
        <v>0</v>
      </c>
      <c r="AU101" s="44">
        <f t="shared" si="93"/>
        <v>1</v>
      </c>
      <c r="AV101" s="48">
        <f t="shared" si="94"/>
        <v>0</v>
      </c>
      <c r="AX101" s="12">
        <f t="shared" si="95"/>
        <v>0</v>
      </c>
      <c r="AY101" s="44">
        <f t="shared" si="96"/>
        <v>0</v>
      </c>
      <c r="AZ101" s="44">
        <f t="shared" si="97"/>
        <v>1</v>
      </c>
      <c r="BA101" s="44">
        <f t="shared" si="98"/>
        <v>1</v>
      </c>
      <c r="BB101" s="48">
        <f t="shared" si="99"/>
        <v>1</v>
      </c>
      <c r="BD101" s="12">
        <f t="shared" si="100"/>
        <v>0</v>
      </c>
      <c r="BE101" s="44">
        <f t="shared" si="101"/>
        <v>1</v>
      </c>
      <c r="BF101" s="44">
        <f t="shared" si="102"/>
        <v>0</v>
      </c>
      <c r="BG101" s="44">
        <f t="shared" si="103"/>
        <v>0</v>
      </c>
      <c r="BH101" s="48">
        <f t="shared" si="104"/>
        <v>0</v>
      </c>
      <c r="BJ101" s="12">
        <f t="shared" si="105"/>
        <v>1</v>
      </c>
      <c r="BK101" s="44">
        <f t="shared" si="106"/>
        <v>0</v>
      </c>
      <c r="BL101" s="44">
        <f t="shared" si="107"/>
        <v>1</v>
      </c>
      <c r="BM101" s="44">
        <f t="shared" si="108"/>
        <v>0</v>
      </c>
      <c r="BN101" s="48">
        <f t="shared" si="109"/>
        <v>0</v>
      </c>
      <c r="BP101" s="12">
        <f t="shared" si="110"/>
        <v>0</v>
      </c>
      <c r="BQ101" s="44">
        <f t="shared" si="111"/>
        <v>0</v>
      </c>
      <c r="BR101" s="44">
        <f t="shared" si="112"/>
        <v>0</v>
      </c>
      <c r="BS101" s="44">
        <f t="shared" si="113"/>
        <v>0</v>
      </c>
      <c r="BT101" s="48">
        <f t="shared" si="114"/>
        <v>1</v>
      </c>
    </row>
    <row r="102" spans="1:72" x14ac:dyDescent="0.25">
      <c r="A102" s="4">
        <v>80</v>
      </c>
      <c r="B102" s="54" t="str">
        <f>IF('Game Info'!J85="","",'Game Info'!J85)</f>
        <v>A</v>
      </c>
      <c r="C102" s="54">
        <f>IF('Game Info'!K85="","",'Game Info'!K85)</f>
        <v>9</v>
      </c>
      <c r="D102" s="54" t="str">
        <f>IF('Game Info'!L85="","",'Game Info'!L85)</f>
        <v>SYM4</v>
      </c>
      <c r="E102" s="54" t="str">
        <f>IF('Game Info'!M85="","",'Game Info'!M85)</f>
        <v>SYM3</v>
      </c>
      <c r="F102" s="55">
        <f>IF('Game Info'!N85="","",'Game Info'!N85)</f>
        <v>9</v>
      </c>
      <c r="H102" s="12">
        <f t="shared" si="60"/>
        <v>1</v>
      </c>
      <c r="I102" s="44">
        <f t="shared" si="61"/>
        <v>0</v>
      </c>
      <c r="J102" s="44">
        <f t="shared" si="62"/>
        <v>0</v>
      </c>
      <c r="K102" s="44">
        <f t="shared" si="63"/>
        <v>0</v>
      </c>
      <c r="L102" s="48">
        <f t="shared" si="64"/>
        <v>1</v>
      </c>
      <c r="N102" s="12">
        <f t="shared" si="65"/>
        <v>0</v>
      </c>
      <c r="O102" s="44">
        <f t="shared" si="66"/>
        <v>1</v>
      </c>
      <c r="P102" s="44">
        <f t="shared" si="67"/>
        <v>0</v>
      </c>
      <c r="Q102" s="44">
        <f t="shared" si="68"/>
        <v>0</v>
      </c>
      <c r="R102" s="48">
        <f t="shared" si="69"/>
        <v>0</v>
      </c>
      <c r="T102" s="12">
        <f t="shared" si="70"/>
        <v>0</v>
      </c>
      <c r="U102" s="44">
        <f t="shared" si="71"/>
        <v>0</v>
      </c>
      <c r="V102" s="44">
        <f t="shared" si="72"/>
        <v>0</v>
      </c>
      <c r="W102" s="44">
        <f t="shared" si="73"/>
        <v>1</v>
      </c>
      <c r="X102" s="48">
        <f t="shared" si="74"/>
        <v>0</v>
      </c>
      <c r="Z102" s="12">
        <f t="shared" si="75"/>
        <v>1</v>
      </c>
      <c r="AA102" s="44">
        <f t="shared" si="76"/>
        <v>0</v>
      </c>
      <c r="AB102" s="44">
        <f t="shared" si="77"/>
        <v>1</v>
      </c>
      <c r="AC102" s="44">
        <f t="shared" si="78"/>
        <v>0</v>
      </c>
      <c r="AD102" s="48">
        <f t="shared" si="79"/>
        <v>0</v>
      </c>
      <c r="AF102" s="12">
        <f t="shared" si="80"/>
        <v>0</v>
      </c>
      <c r="AG102" s="44">
        <f t="shared" si="81"/>
        <v>1</v>
      </c>
      <c r="AH102" s="44">
        <f t="shared" si="82"/>
        <v>1</v>
      </c>
      <c r="AI102" s="44">
        <f t="shared" si="83"/>
        <v>1</v>
      </c>
      <c r="AJ102" s="48">
        <f t="shared" si="84"/>
        <v>0</v>
      </c>
      <c r="AL102" s="12">
        <f t="shared" si="85"/>
        <v>1</v>
      </c>
      <c r="AM102" s="44">
        <f t="shared" si="86"/>
        <v>0</v>
      </c>
      <c r="AN102" s="44">
        <f t="shared" si="87"/>
        <v>0</v>
      </c>
      <c r="AO102" s="44">
        <f t="shared" si="88"/>
        <v>0</v>
      </c>
      <c r="AP102" s="48">
        <f t="shared" si="89"/>
        <v>0</v>
      </c>
      <c r="AR102" s="12">
        <f t="shared" si="90"/>
        <v>0</v>
      </c>
      <c r="AS102" s="44">
        <f t="shared" si="91"/>
        <v>0</v>
      </c>
      <c r="AT102" s="44">
        <f t="shared" si="92"/>
        <v>0</v>
      </c>
      <c r="AU102" s="44">
        <f t="shared" si="93"/>
        <v>1</v>
      </c>
      <c r="AV102" s="48">
        <f t="shared" si="94"/>
        <v>0</v>
      </c>
      <c r="AX102" s="12">
        <f t="shared" si="95"/>
        <v>0</v>
      </c>
      <c r="AY102" s="44">
        <f t="shared" si="96"/>
        <v>0</v>
      </c>
      <c r="AZ102" s="44">
        <f t="shared" si="97"/>
        <v>1</v>
      </c>
      <c r="BA102" s="44">
        <f t="shared" si="98"/>
        <v>1</v>
      </c>
      <c r="BB102" s="48">
        <f t="shared" si="99"/>
        <v>1</v>
      </c>
      <c r="BD102" s="12">
        <f t="shared" si="100"/>
        <v>0</v>
      </c>
      <c r="BE102" s="44">
        <f t="shared" si="101"/>
        <v>1</v>
      </c>
      <c r="BF102" s="44">
        <f t="shared" si="102"/>
        <v>0</v>
      </c>
      <c r="BG102" s="44">
        <f t="shared" si="103"/>
        <v>0</v>
      </c>
      <c r="BH102" s="48">
        <f t="shared" si="104"/>
        <v>0</v>
      </c>
      <c r="BJ102" s="12">
        <f t="shared" si="105"/>
        <v>1</v>
      </c>
      <c r="BK102" s="44">
        <f t="shared" si="106"/>
        <v>0</v>
      </c>
      <c r="BL102" s="44">
        <f t="shared" si="107"/>
        <v>1</v>
      </c>
      <c r="BM102" s="44">
        <f t="shared" si="108"/>
        <v>0</v>
      </c>
      <c r="BN102" s="48">
        <f t="shared" si="109"/>
        <v>0</v>
      </c>
      <c r="BP102" s="12">
        <f t="shared" si="110"/>
        <v>0</v>
      </c>
      <c r="BQ102" s="44">
        <f t="shared" si="111"/>
        <v>1</v>
      </c>
      <c r="BR102" s="44">
        <f t="shared" si="112"/>
        <v>0</v>
      </c>
      <c r="BS102" s="44">
        <f t="shared" si="113"/>
        <v>0</v>
      </c>
      <c r="BT102" s="48">
        <f t="shared" si="114"/>
        <v>2</v>
      </c>
    </row>
    <row r="103" spans="1:72" x14ac:dyDescent="0.25">
      <c r="A103" s="4">
        <v>81</v>
      </c>
      <c r="B103" s="54" t="str">
        <f>IF('Game Info'!J86="","",'Game Info'!J86)</f>
        <v>Q</v>
      </c>
      <c r="C103" s="54">
        <f>IF('Game Info'!K86="","",'Game Info'!K86)</f>
        <v>10</v>
      </c>
      <c r="D103" s="54" t="str">
        <f>IF('Game Info'!L86="","",'Game Info'!L86)</f>
        <v>Q</v>
      </c>
      <c r="E103" s="54">
        <f>IF('Game Info'!M86="","",'Game Info'!M86)</f>
        <v>10</v>
      </c>
      <c r="F103" s="55" t="str">
        <f>IF('Game Info'!N86="","",'Game Info'!N86)</f>
        <v>SYM5</v>
      </c>
      <c r="H103" s="12">
        <f t="shared" si="60"/>
        <v>0</v>
      </c>
      <c r="I103" s="44">
        <f t="shared" si="61"/>
        <v>0</v>
      </c>
      <c r="J103" s="44">
        <f t="shared" si="62"/>
        <v>0</v>
      </c>
      <c r="K103" s="44">
        <f t="shared" si="63"/>
        <v>0</v>
      </c>
      <c r="L103" s="48">
        <f t="shared" si="64"/>
        <v>1</v>
      </c>
      <c r="N103" s="12">
        <f t="shared" si="65"/>
        <v>0</v>
      </c>
      <c r="O103" s="44">
        <f t="shared" si="66"/>
        <v>0</v>
      </c>
      <c r="P103" s="44">
        <f t="shared" si="67"/>
        <v>0</v>
      </c>
      <c r="Q103" s="44">
        <f t="shared" si="68"/>
        <v>0</v>
      </c>
      <c r="R103" s="48">
        <f t="shared" si="69"/>
        <v>0</v>
      </c>
      <c r="T103" s="12">
        <f t="shared" si="70"/>
        <v>0</v>
      </c>
      <c r="U103" s="44">
        <f t="shared" si="71"/>
        <v>0</v>
      </c>
      <c r="V103" s="44">
        <f t="shared" si="72"/>
        <v>0</v>
      </c>
      <c r="W103" s="44">
        <f t="shared" si="73"/>
        <v>1</v>
      </c>
      <c r="X103" s="48">
        <f t="shared" si="74"/>
        <v>0</v>
      </c>
      <c r="Z103" s="12">
        <f t="shared" si="75"/>
        <v>1</v>
      </c>
      <c r="AA103" s="44">
        <f t="shared" si="76"/>
        <v>0</v>
      </c>
      <c r="AB103" s="44">
        <f t="shared" si="77"/>
        <v>1</v>
      </c>
      <c r="AC103" s="44">
        <f t="shared" si="78"/>
        <v>0</v>
      </c>
      <c r="AD103" s="48">
        <f t="shared" si="79"/>
        <v>0</v>
      </c>
      <c r="AF103" s="12">
        <f t="shared" si="80"/>
        <v>0</v>
      </c>
      <c r="AG103" s="44">
        <f t="shared" si="81"/>
        <v>1</v>
      </c>
      <c r="AH103" s="44">
        <f t="shared" si="82"/>
        <v>1</v>
      </c>
      <c r="AI103" s="44">
        <f t="shared" si="83"/>
        <v>0</v>
      </c>
      <c r="AJ103" s="48">
        <f t="shared" si="84"/>
        <v>1</v>
      </c>
      <c r="AL103" s="12">
        <f t="shared" si="85"/>
        <v>1</v>
      </c>
      <c r="AM103" s="44">
        <f t="shared" si="86"/>
        <v>0</v>
      </c>
      <c r="AN103" s="44">
        <f t="shared" si="87"/>
        <v>0</v>
      </c>
      <c r="AO103" s="44">
        <f t="shared" si="88"/>
        <v>0</v>
      </c>
      <c r="AP103" s="48">
        <f t="shared" si="89"/>
        <v>0</v>
      </c>
      <c r="AR103" s="12">
        <f t="shared" si="90"/>
        <v>0</v>
      </c>
      <c r="AS103" s="44">
        <f t="shared" si="91"/>
        <v>0</v>
      </c>
      <c r="AT103" s="44">
        <f t="shared" si="92"/>
        <v>0</v>
      </c>
      <c r="AU103" s="44">
        <f t="shared" si="93"/>
        <v>1</v>
      </c>
      <c r="AV103" s="48">
        <f t="shared" si="94"/>
        <v>0</v>
      </c>
      <c r="AX103" s="12">
        <f t="shared" si="95"/>
        <v>1</v>
      </c>
      <c r="AY103" s="44">
        <f t="shared" si="96"/>
        <v>0</v>
      </c>
      <c r="AZ103" s="44">
        <f t="shared" si="97"/>
        <v>1</v>
      </c>
      <c r="BA103" s="44">
        <f t="shared" si="98"/>
        <v>1</v>
      </c>
      <c r="BB103" s="48">
        <f t="shared" si="99"/>
        <v>1</v>
      </c>
      <c r="BD103" s="12">
        <f t="shared" si="100"/>
        <v>0</v>
      </c>
      <c r="BE103" s="44">
        <f t="shared" si="101"/>
        <v>1</v>
      </c>
      <c r="BF103" s="44">
        <f t="shared" si="102"/>
        <v>0</v>
      </c>
      <c r="BG103" s="44">
        <f t="shared" si="103"/>
        <v>0</v>
      </c>
      <c r="BH103" s="48">
        <f t="shared" si="104"/>
        <v>0</v>
      </c>
      <c r="BJ103" s="12">
        <f t="shared" si="105"/>
        <v>1</v>
      </c>
      <c r="BK103" s="44">
        <f t="shared" si="106"/>
        <v>1</v>
      </c>
      <c r="BL103" s="44">
        <f t="shared" si="107"/>
        <v>1</v>
      </c>
      <c r="BM103" s="44">
        <f t="shared" si="108"/>
        <v>1</v>
      </c>
      <c r="BN103" s="48">
        <f t="shared" si="109"/>
        <v>0</v>
      </c>
      <c r="BP103" s="12">
        <f t="shared" si="110"/>
        <v>0</v>
      </c>
      <c r="BQ103" s="44">
        <f t="shared" si="111"/>
        <v>1</v>
      </c>
      <c r="BR103" s="44">
        <f t="shared" si="112"/>
        <v>0</v>
      </c>
      <c r="BS103" s="44">
        <f t="shared" si="113"/>
        <v>0</v>
      </c>
      <c r="BT103" s="48">
        <f t="shared" si="114"/>
        <v>1</v>
      </c>
    </row>
    <row r="104" spans="1:72" x14ac:dyDescent="0.25">
      <c r="A104" s="4">
        <v>82</v>
      </c>
      <c r="B104" s="54" t="str">
        <f>IF('Game Info'!J87="","",'Game Info'!J87)</f>
        <v>FG</v>
      </c>
      <c r="C104" s="54" t="str">
        <f>IF('Game Info'!K87="","",'Game Info'!K87)</f>
        <v>SYM2</v>
      </c>
      <c r="D104" s="54" t="str">
        <f>IF('Game Info'!L87="","",'Game Info'!L87)</f>
        <v>SYM3</v>
      </c>
      <c r="E104" s="54" t="str">
        <f>IF('Game Info'!M87="","",'Game Info'!M87)</f>
        <v>WILD</v>
      </c>
      <c r="F104" s="55" t="str">
        <f>IF('Game Info'!N87="","",'Game Info'!N87)</f>
        <v>SYM5</v>
      </c>
      <c r="H104" s="12">
        <f t="shared" si="60"/>
        <v>0</v>
      </c>
      <c r="I104" s="44">
        <f t="shared" si="61"/>
        <v>0</v>
      </c>
      <c r="J104" s="44">
        <f t="shared" si="62"/>
        <v>0</v>
      </c>
      <c r="K104" s="44">
        <f t="shared" si="63"/>
        <v>1</v>
      </c>
      <c r="L104" s="48">
        <f t="shared" si="64"/>
        <v>0</v>
      </c>
      <c r="N104" s="12">
        <f t="shared" si="65"/>
        <v>0</v>
      </c>
      <c r="O104" s="44">
        <f t="shared" si="66"/>
        <v>1</v>
      </c>
      <c r="P104" s="44">
        <f t="shared" si="67"/>
        <v>0</v>
      </c>
      <c r="Q104" s="44">
        <f t="shared" si="68"/>
        <v>1</v>
      </c>
      <c r="R104" s="48">
        <f t="shared" si="69"/>
        <v>0</v>
      </c>
      <c r="T104" s="12">
        <f t="shared" si="70"/>
        <v>0</v>
      </c>
      <c r="U104" s="44">
        <f t="shared" si="71"/>
        <v>0</v>
      </c>
      <c r="V104" s="44">
        <f t="shared" si="72"/>
        <v>1</v>
      </c>
      <c r="W104" s="44">
        <f t="shared" si="73"/>
        <v>2</v>
      </c>
      <c r="X104" s="48">
        <f t="shared" si="74"/>
        <v>0</v>
      </c>
      <c r="Z104" s="12">
        <f t="shared" si="75"/>
        <v>1</v>
      </c>
      <c r="AA104" s="44">
        <f t="shared" si="76"/>
        <v>0</v>
      </c>
      <c r="AB104" s="44">
        <f t="shared" si="77"/>
        <v>1</v>
      </c>
      <c r="AC104" s="44">
        <f t="shared" si="78"/>
        <v>1</v>
      </c>
      <c r="AD104" s="48">
        <f t="shared" si="79"/>
        <v>0</v>
      </c>
      <c r="AF104" s="12">
        <f t="shared" si="80"/>
        <v>0</v>
      </c>
      <c r="AG104" s="44">
        <f t="shared" si="81"/>
        <v>1</v>
      </c>
      <c r="AH104" s="44">
        <f t="shared" si="82"/>
        <v>0</v>
      </c>
      <c r="AI104" s="44">
        <f t="shared" si="83"/>
        <v>1</v>
      </c>
      <c r="AJ104" s="48">
        <f t="shared" si="84"/>
        <v>2</v>
      </c>
      <c r="AL104" s="12">
        <f t="shared" si="85"/>
        <v>1</v>
      </c>
      <c r="AM104" s="44">
        <f t="shared" si="86"/>
        <v>0</v>
      </c>
      <c r="AN104" s="44">
        <f t="shared" si="87"/>
        <v>0</v>
      </c>
      <c r="AO104" s="44">
        <f t="shared" si="88"/>
        <v>1</v>
      </c>
      <c r="AP104" s="48">
        <f t="shared" si="89"/>
        <v>0</v>
      </c>
      <c r="AR104" s="12">
        <f t="shared" si="90"/>
        <v>0</v>
      </c>
      <c r="AS104" s="44">
        <f t="shared" si="91"/>
        <v>0</v>
      </c>
      <c r="AT104" s="44">
        <f t="shared" si="92"/>
        <v>0</v>
      </c>
      <c r="AU104" s="44">
        <f t="shared" si="93"/>
        <v>1</v>
      </c>
      <c r="AV104" s="48">
        <f t="shared" si="94"/>
        <v>0</v>
      </c>
      <c r="AX104" s="12">
        <f t="shared" si="95"/>
        <v>1</v>
      </c>
      <c r="AY104" s="44">
        <f t="shared" si="96"/>
        <v>0</v>
      </c>
      <c r="AZ104" s="44">
        <f t="shared" si="97"/>
        <v>1</v>
      </c>
      <c r="BA104" s="44">
        <f t="shared" si="98"/>
        <v>2</v>
      </c>
      <c r="BB104" s="48">
        <f t="shared" si="99"/>
        <v>1</v>
      </c>
      <c r="BD104" s="12">
        <f t="shared" si="100"/>
        <v>0</v>
      </c>
      <c r="BE104" s="44">
        <f t="shared" si="101"/>
        <v>0</v>
      </c>
      <c r="BF104" s="44">
        <f t="shared" si="102"/>
        <v>0</v>
      </c>
      <c r="BG104" s="44">
        <f t="shared" si="103"/>
        <v>1</v>
      </c>
      <c r="BH104" s="48">
        <f t="shared" si="104"/>
        <v>0</v>
      </c>
      <c r="BJ104" s="12">
        <f t="shared" si="105"/>
        <v>0</v>
      </c>
      <c r="BK104" s="44">
        <f t="shared" si="106"/>
        <v>1</v>
      </c>
      <c r="BL104" s="44">
        <f t="shared" si="107"/>
        <v>1</v>
      </c>
      <c r="BM104" s="44">
        <f t="shared" si="108"/>
        <v>2</v>
      </c>
      <c r="BN104" s="48">
        <f t="shared" si="109"/>
        <v>0</v>
      </c>
      <c r="BP104" s="12">
        <f t="shared" si="110"/>
        <v>0</v>
      </c>
      <c r="BQ104" s="44">
        <f t="shared" si="111"/>
        <v>1</v>
      </c>
      <c r="BR104" s="44">
        <f t="shared" si="112"/>
        <v>0</v>
      </c>
      <c r="BS104" s="44">
        <f t="shared" si="113"/>
        <v>1</v>
      </c>
      <c r="BT104" s="48">
        <f t="shared" si="114"/>
        <v>1</v>
      </c>
    </row>
    <row r="105" spans="1:72" x14ac:dyDescent="0.25">
      <c r="A105" s="4">
        <v>83</v>
      </c>
      <c r="B105" s="54">
        <f>IF('Game Info'!J88="","",'Game Info'!J88)</f>
        <v>10</v>
      </c>
      <c r="C105" s="54" t="str">
        <f>IF('Game Info'!K88="","",'Game Info'!K88)</f>
        <v>J</v>
      </c>
      <c r="D105" s="54">
        <f>IF('Game Info'!L88="","",'Game Info'!L88)</f>
        <v>10</v>
      </c>
      <c r="E105" s="54" t="str">
        <f>IF('Game Info'!M88="","",'Game Info'!M88)</f>
        <v>A</v>
      </c>
      <c r="F105" s="55" t="str">
        <f>IF('Game Info'!N88="","",'Game Info'!N88)</f>
        <v>SYM5</v>
      </c>
      <c r="H105" s="12">
        <f t="shared" si="60"/>
        <v>0</v>
      </c>
      <c r="I105" s="44">
        <f t="shared" si="61"/>
        <v>0</v>
      </c>
      <c r="J105" s="44">
        <f t="shared" si="62"/>
        <v>0</v>
      </c>
      <c r="K105" s="44">
        <f t="shared" si="63"/>
        <v>1</v>
      </c>
      <c r="L105" s="48">
        <f t="shared" si="64"/>
        <v>0</v>
      </c>
      <c r="N105" s="12">
        <f t="shared" si="65"/>
        <v>0</v>
      </c>
      <c r="O105" s="44">
        <f t="shared" si="66"/>
        <v>1</v>
      </c>
      <c r="P105" s="44">
        <f t="shared" si="67"/>
        <v>0</v>
      </c>
      <c r="Q105" s="44">
        <f t="shared" si="68"/>
        <v>1</v>
      </c>
      <c r="R105" s="48">
        <f t="shared" si="69"/>
        <v>0</v>
      </c>
      <c r="T105" s="12">
        <f t="shared" si="70"/>
        <v>0</v>
      </c>
      <c r="U105" s="44">
        <f t="shared" si="71"/>
        <v>0</v>
      </c>
      <c r="V105" s="44">
        <f t="shared" si="72"/>
        <v>1</v>
      </c>
      <c r="W105" s="44">
        <f t="shared" si="73"/>
        <v>2</v>
      </c>
      <c r="X105" s="48">
        <f t="shared" si="74"/>
        <v>0</v>
      </c>
      <c r="Z105" s="12">
        <f t="shared" si="75"/>
        <v>0</v>
      </c>
      <c r="AA105" s="44">
        <f t="shared" si="76"/>
        <v>0</v>
      </c>
      <c r="AB105" s="44">
        <f t="shared" si="77"/>
        <v>1</v>
      </c>
      <c r="AC105" s="44">
        <f t="shared" si="78"/>
        <v>1</v>
      </c>
      <c r="AD105" s="48">
        <f t="shared" si="79"/>
        <v>0</v>
      </c>
      <c r="AF105" s="12">
        <f t="shared" si="80"/>
        <v>0</v>
      </c>
      <c r="AG105" s="44">
        <f t="shared" si="81"/>
        <v>0</v>
      </c>
      <c r="AH105" s="44">
        <f t="shared" si="82"/>
        <v>0</v>
      </c>
      <c r="AI105" s="44">
        <f t="shared" si="83"/>
        <v>1</v>
      </c>
      <c r="AJ105" s="48">
        <f t="shared" si="84"/>
        <v>3</v>
      </c>
      <c r="AL105" s="12">
        <f t="shared" si="85"/>
        <v>1</v>
      </c>
      <c r="AM105" s="44">
        <f t="shared" si="86"/>
        <v>0</v>
      </c>
      <c r="AN105" s="44">
        <f t="shared" si="87"/>
        <v>0</v>
      </c>
      <c r="AO105" s="44">
        <f t="shared" si="88"/>
        <v>2</v>
      </c>
      <c r="AP105" s="48">
        <f t="shared" si="89"/>
        <v>0</v>
      </c>
      <c r="AR105" s="12">
        <f t="shared" si="90"/>
        <v>0</v>
      </c>
      <c r="AS105" s="44">
        <f t="shared" si="91"/>
        <v>0</v>
      </c>
      <c r="AT105" s="44">
        <f t="shared" si="92"/>
        <v>0</v>
      </c>
      <c r="AU105" s="44">
        <f t="shared" si="93"/>
        <v>1</v>
      </c>
      <c r="AV105" s="48">
        <f t="shared" si="94"/>
        <v>0</v>
      </c>
      <c r="AX105" s="12">
        <f t="shared" si="95"/>
        <v>1</v>
      </c>
      <c r="AY105" s="44">
        <f t="shared" si="96"/>
        <v>0</v>
      </c>
      <c r="AZ105" s="44">
        <f t="shared" si="97"/>
        <v>1</v>
      </c>
      <c r="BA105" s="44">
        <f t="shared" si="98"/>
        <v>1</v>
      </c>
      <c r="BB105" s="48">
        <f t="shared" si="99"/>
        <v>0</v>
      </c>
      <c r="BD105" s="12">
        <f t="shared" si="100"/>
        <v>0</v>
      </c>
      <c r="BE105" s="44">
        <f t="shared" si="101"/>
        <v>1</v>
      </c>
      <c r="BF105" s="44">
        <f t="shared" si="102"/>
        <v>0</v>
      </c>
      <c r="BG105" s="44">
        <f t="shared" si="103"/>
        <v>1</v>
      </c>
      <c r="BH105" s="48">
        <f t="shared" si="104"/>
        <v>0</v>
      </c>
      <c r="BJ105" s="12">
        <f t="shared" si="105"/>
        <v>1</v>
      </c>
      <c r="BK105" s="44">
        <f t="shared" si="106"/>
        <v>1</v>
      </c>
      <c r="BL105" s="44">
        <f t="shared" si="107"/>
        <v>1</v>
      </c>
      <c r="BM105" s="44">
        <f t="shared" si="108"/>
        <v>2</v>
      </c>
      <c r="BN105" s="48">
        <f t="shared" si="109"/>
        <v>0</v>
      </c>
      <c r="BP105" s="12">
        <f t="shared" si="110"/>
        <v>0</v>
      </c>
      <c r="BQ105" s="44">
        <f t="shared" si="111"/>
        <v>1</v>
      </c>
      <c r="BR105" s="44">
        <f t="shared" si="112"/>
        <v>0</v>
      </c>
      <c r="BS105" s="44">
        <f t="shared" si="113"/>
        <v>1</v>
      </c>
      <c r="BT105" s="48">
        <f t="shared" si="114"/>
        <v>1</v>
      </c>
    </row>
    <row r="106" spans="1:72" x14ac:dyDescent="0.25">
      <c r="A106" s="4">
        <v>84</v>
      </c>
      <c r="B106" s="54" t="str">
        <f>IF('Game Info'!J89="","",'Game Info'!J89)</f>
        <v>SYM3</v>
      </c>
      <c r="C106" s="54" t="str">
        <f>IF('Game Info'!K89="","",'Game Info'!K89)</f>
        <v>SYM1</v>
      </c>
      <c r="D106" s="54" t="str">
        <f>IF('Game Info'!L89="","",'Game Info'!L89)</f>
        <v>SYM5</v>
      </c>
      <c r="E106" s="54" t="str">
        <f>IF('Game Info'!M89="","",'Game Info'!M89)</f>
        <v>SYM4</v>
      </c>
      <c r="F106" s="55" t="str">
        <f>IF('Game Info'!N89="","",'Game Info'!N89)</f>
        <v>Q</v>
      </c>
      <c r="H106" s="12">
        <f t="shared" si="60"/>
        <v>0</v>
      </c>
      <c r="I106" s="44">
        <f t="shared" si="61"/>
        <v>1</v>
      </c>
      <c r="J106" s="44">
        <f t="shared" si="62"/>
        <v>0</v>
      </c>
      <c r="K106" s="44">
        <f t="shared" si="63"/>
        <v>1</v>
      </c>
      <c r="L106" s="48">
        <f t="shared" si="64"/>
        <v>0</v>
      </c>
      <c r="N106" s="12">
        <f t="shared" si="65"/>
        <v>0</v>
      </c>
      <c r="O106" s="44">
        <f t="shared" si="66"/>
        <v>1</v>
      </c>
      <c r="P106" s="44">
        <f t="shared" si="67"/>
        <v>0</v>
      </c>
      <c r="Q106" s="44">
        <f t="shared" si="68"/>
        <v>1</v>
      </c>
      <c r="R106" s="48">
        <f t="shared" si="69"/>
        <v>0</v>
      </c>
      <c r="T106" s="12">
        <f t="shared" si="70"/>
        <v>1</v>
      </c>
      <c r="U106" s="44">
        <f t="shared" si="71"/>
        <v>0</v>
      </c>
      <c r="V106" s="44">
        <f t="shared" si="72"/>
        <v>1</v>
      </c>
      <c r="W106" s="44">
        <f t="shared" si="73"/>
        <v>1</v>
      </c>
      <c r="X106" s="48">
        <f t="shared" si="74"/>
        <v>0</v>
      </c>
      <c r="Z106" s="12">
        <f t="shared" si="75"/>
        <v>0</v>
      </c>
      <c r="AA106" s="44">
        <f t="shared" si="76"/>
        <v>0</v>
      </c>
      <c r="AB106" s="44">
        <f t="shared" si="77"/>
        <v>0</v>
      </c>
      <c r="AC106" s="44">
        <f t="shared" si="78"/>
        <v>2</v>
      </c>
      <c r="AD106" s="48">
        <f t="shared" si="79"/>
        <v>0</v>
      </c>
      <c r="AF106" s="12">
        <f t="shared" si="80"/>
        <v>0</v>
      </c>
      <c r="AG106" s="44">
        <f t="shared" si="81"/>
        <v>0</v>
      </c>
      <c r="AH106" s="44">
        <f t="shared" si="82"/>
        <v>1</v>
      </c>
      <c r="AI106" s="44">
        <f t="shared" si="83"/>
        <v>1</v>
      </c>
      <c r="AJ106" s="48">
        <f t="shared" si="84"/>
        <v>3</v>
      </c>
      <c r="AL106" s="12">
        <f t="shared" si="85"/>
        <v>0</v>
      </c>
      <c r="AM106" s="44">
        <f t="shared" si="86"/>
        <v>0</v>
      </c>
      <c r="AN106" s="44">
        <f t="shared" si="87"/>
        <v>0</v>
      </c>
      <c r="AO106" s="44">
        <f t="shared" si="88"/>
        <v>2</v>
      </c>
      <c r="AP106" s="48">
        <f t="shared" si="89"/>
        <v>0</v>
      </c>
      <c r="AR106" s="12">
        <f t="shared" si="90"/>
        <v>0</v>
      </c>
      <c r="AS106" s="44">
        <f t="shared" si="91"/>
        <v>0</v>
      </c>
      <c r="AT106" s="44">
        <f t="shared" si="92"/>
        <v>0</v>
      </c>
      <c r="AU106" s="44">
        <f t="shared" si="93"/>
        <v>1</v>
      </c>
      <c r="AV106" s="48">
        <f t="shared" si="94"/>
        <v>0</v>
      </c>
      <c r="AX106" s="12">
        <f t="shared" si="95"/>
        <v>1</v>
      </c>
      <c r="AY106" s="44">
        <f t="shared" si="96"/>
        <v>0</v>
      </c>
      <c r="AZ106" s="44">
        <f t="shared" si="97"/>
        <v>1</v>
      </c>
      <c r="BA106" s="44">
        <f t="shared" si="98"/>
        <v>1</v>
      </c>
      <c r="BB106" s="48">
        <f t="shared" si="99"/>
        <v>1</v>
      </c>
      <c r="BD106" s="12">
        <f t="shared" si="100"/>
        <v>0</v>
      </c>
      <c r="BE106" s="44">
        <f t="shared" si="101"/>
        <v>1</v>
      </c>
      <c r="BF106" s="44">
        <f t="shared" si="102"/>
        <v>0</v>
      </c>
      <c r="BG106" s="44">
        <f t="shared" si="103"/>
        <v>1</v>
      </c>
      <c r="BH106" s="48">
        <f t="shared" si="104"/>
        <v>0</v>
      </c>
      <c r="BJ106" s="12">
        <f t="shared" si="105"/>
        <v>1</v>
      </c>
      <c r="BK106" s="44">
        <f t="shared" si="106"/>
        <v>1</v>
      </c>
      <c r="BL106" s="44">
        <f t="shared" si="107"/>
        <v>1</v>
      </c>
      <c r="BM106" s="44">
        <f t="shared" si="108"/>
        <v>2</v>
      </c>
      <c r="BN106" s="48">
        <f t="shared" si="109"/>
        <v>0</v>
      </c>
      <c r="BP106" s="12">
        <f t="shared" si="110"/>
        <v>0</v>
      </c>
      <c r="BQ106" s="44">
        <f t="shared" si="111"/>
        <v>0</v>
      </c>
      <c r="BR106" s="44">
        <f t="shared" si="112"/>
        <v>0</v>
      </c>
      <c r="BS106" s="44">
        <f t="shared" si="113"/>
        <v>1</v>
      </c>
      <c r="BT106" s="48">
        <f t="shared" si="114"/>
        <v>0</v>
      </c>
    </row>
    <row r="107" spans="1:72" x14ac:dyDescent="0.25">
      <c r="A107" s="4">
        <v>85</v>
      </c>
      <c r="B107" s="54" t="str">
        <f>IF('Game Info'!J90="","",'Game Info'!J90)</f>
        <v>J</v>
      </c>
      <c r="C107" s="54" t="str">
        <f>IF('Game Info'!K90="","",'Game Info'!K90)</f>
        <v>A</v>
      </c>
      <c r="D107" s="54" t="str">
        <f>IF('Game Info'!L90="","",'Game Info'!L90)</f>
        <v>K</v>
      </c>
      <c r="E107" s="54">
        <f>IF('Game Info'!M90="","",'Game Info'!M90)</f>
        <v>9</v>
      </c>
      <c r="F107" s="55" t="str">
        <f>IF('Game Info'!N90="","",'Game Info'!N90)</f>
        <v>SYM1</v>
      </c>
      <c r="H107" s="12">
        <f t="shared" si="60"/>
        <v>0</v>
      </c>
      <c r="I107" s="44">
        <f t="shared" si="61"/>
        <v>1</v>
      </c>
      <c r="J107" s="44">
        <f t="shared" si="62"/>
        <v>0</v>
      </c>
      <c r="K107" s="44">
        <f t="shared" si="63"/>
        <v>1</v>
      </c>
      <c r="L107" s="48">
        <f t="shared" si="64"/>
        <v>1</v>
      </c>
      <c r="N107" s="12">
        <f t="shared" si="65"/>
        <v>0</v>
      </c>
      <c r="O107" s="44">
        <f t="shared" si="66"/>
        <v>1</v>
      </c>
      <c r="P107" s="44">
        <f t="shared" si="67"/>
        <v>0</v>
      </c>
      <c r="Q107" s="44">
        <f t="shared" si="68"/>
        <v>1</v>
      </c>
      <c r="R107" s="48">
        <f t="shared" si="69"/>
        <v>0</v>
      </c>
      <c r="T107" s="12">
        <f t="shared" si="70"/>
        <v>1</v>
      </c>
      <c r="U107" s="44">
        <f t="shared" si="71"/>
        <v>0</v>
      </c>
      <c r="V107" s="44">
        <f t="shared" si="72"/>
        <v>1</v>
      </c>
      <c r="W107" s="44">
        <f t="shared" si="73"/>
        <v>1</v>
      </c>
      <c r="X107" s="48">
        <f t="shared" si="74"/>
        <v>0</v>
      </c>
      <c r="Z107" s="12">
        <f t="shared" si="75"/>
        <v>0</v>
      </c>
      <c r="AA107" s="44">
        <f t="shared" si="76"/>
        <v>0</v>
      </c>
      <c r="AB107" s="44">
        <f t="shared" si="77"/>
        <v>0</v>
      </c>
      <c r="AC107" s="44">
        <f t="shared" si="78"/>
        <v>2</v>
      </c>
      <c r="AD107" s="48">
        <f t="shared" si="79"/>
        <v>0</v>
      </c>
      <c r="AF107" s="12">
        <f t="shared" si="80"/>
        <v>0</v>
      </c>
      <c r="AG107" s="44">
        <f t="shared" si="81"/>
        <v>0</v>
      </c>
      <c r="AH107" s="44">
        <f t="shared" si="82"/>
        <v>1</v>
      </c>
      <c r="AI107" s="44">
        <f t="shared" si="83"/>
        <v>1</v>
      </c>
      <c r="AJ107" s="48">
        <f t="shared" si="84"/>
        <v>2</v>
      </c>
      <c r="AL107" s="12">
        <f t="shared" si="85"/>
        <v>0</v>
      </c>
      <c r="AM107" s="44">
        <f t="shared" si="86"/>
        <v>1</v>
      </c>
      <c r="AN107" s="44">
        <f t="shared" si="87"/>
        <v>0</v>
      </c>
      <c r="AO107" s="44">
        <f t="shared" si="88"/>
        <v>2</v>
      </c>
      <c r="AP107" s="48">
        <f t="shared" si="89"/>
        <v>0</v>
      </c>
      <c r="AR107" s="12">
        <f t="shared" si="90"/>
        <v>0</v>
      </c>
      <c r="AS107" s="44">
        <f t="shared" si="91"/>
        <v>0</v>
      </c>
      <c r="AT107" s="44">
        <f t="shared" si="92"/>
        <v>1</v>
      </c>
      <c r="AU107" s="44">
        <f t="shared" si="93"/>
        <v>1</v>
      </c>
      <c r="AV107" s="48">
        <f t="shared" si="94"/>
        <v>0</v>
      </c>
      <c r="AX107" s="12">
        <f t="shared" si="95"/>
        <v>0</v>
      </c>
      <c r="AY107" s="44">
        <f t="shared" si="96"/>
        <v>0</v>
      </c>
      <c r="AZ107" s="44">
        <f t="shared" si="97"/>
        <v>0</v>
      </c>
      <c r="BA107" s="44">
        <f t="shared" si="98"/>
        <v>1</v>
      </c>
      <c r="BB107" s="48">
        <f t="shared" si="99"/>
        <v>1</v>
      </c>
      <c r="BD107" s="12">
        <f t="shared" si="100"/>
        <v>1</v>
      </c>
      <c r="BE107" s="44">
        <f t="shared" si="101"/>
        <v>1</v>
      </c>
      <c r="BF107" s="44">
        <f t="shared" si="102"/>
        <v>0</v>
      </c>
      <c r="BG107" s="44">
        <f t="shared" si="103"/>
        <v>1</v>
      </c>
      <c r="BH107" s="48">
        <f t="shared" si="104"/>
        <v>0</v>
      </c>
      <c r="BJ107" s="12">
        <f t="shared" si="105"/>
        <v>1</v>
      </c>
      <c r="BK107" s="44">
        <f t="shared" si="106"/>
        <v>0</v>
      </c>
      <c r="BL107" s="44">
        <f t="shared" si="107"/>
        <v>1</v>
      </c>
      <c r="BM107" s="44">
        <f t="shared" si="108"/>
        <v>1</v>
      </c>
      <c r="BN107" s="48">
        <f t="shared" si="109"/>
        <v>0</v>
      </c>
      <c r="BP107" s="12">
        <f t="shared" si="110"/>
        <v>0</v>
      </c>
      <c r="BQ107" s="44">
        <f t="shared" si="111"/>
        <v>0</v>
      </c>
      <c r="BR107" s="44">
        <f t="shared" si="112"/>
        <v>0</v>
      </c>
      <c r="BS107" s="44">
        <f t="shared" si="113"/>
        <v>2</v>
      </c>
      <c r="BT107" s="48">
        <f t="shared" si="114"/>
        <v>0</v>
      </c>
    </row>
    <row r="108" spans="1:72" x14ac:dyDescent="0.25">
      <c r="A108" s="4">
        <v>86</v>
      </c>
      <c r="B108" s="54">
        <f>IF('Game Info'!J91="","",'Game Info'!J91)</f>
        <v>10</v>
      </c>
      <c r="C108" s="54" t="str">
        <f>IF('Game Info'!K91="","",'Game Info'!K91)</f>
        <v>Q</v>
      </c>
      <c r="D108" s="54" t="str">
        <f>IF('Game Info'!L91="","",'Game Info'!L91)</f>
        <v>A</v>
      </c>
      <c r="E108" s="54" t="str">
        <f>IF('Game Info'!M91="","",'Game Info'!M91)</f>
        <v>SYM1</v>
      </c>
      <c r="F108" s="55" t="str">
        <f>IF('Game Info'!N91="","",'Game Info'!N91)</f>
        <v>K</v>
      </c>
      <c r="H108" s="12">
        <f t="shared" si="60"/>
        <v>0</v>
      </c>
      <c r="I108" s="44">
        <f t="shared" si="61"/>
        <v>1</v>
      </c>
      <c r="J108" s="44">
        <f t="shared" si="62"/>
        <v>0</v>
      </c>
      <c r="K108" s="44">
        <f t="shared" si="63"/>
        <v>1</v>
      </c>
      <c r="L108" s="48">
        <f t="shared" si="64"/>
        <v>1</v>
      </c>
      <c r="N108" s="12">
        <f t="shared" si="65"/>
        <v>0</v>
      </c>
      <c r="O108" s="44">
        <f t="shared" si="66"/>
        <v>0</v>
      </c>
      <c r="P108" s="44">
        <f t="shared" si="67"/>
        <v>0</v>
      </c>
      <c r="Q108" s="44">
        <f t="shared" si="68"/>
        <v>0</v>
      </c>
      <c r="R108" s="48">
        <f t="shared" si="69"/>
        <v>0</v>
      </c>
      <c r="T108" s="12">
        <f t="shared" si="70"/>
        <v>1</v>
      </c>
      <c r="U108" s="44">
        <f t="shared" si="71"/>
        <v>0</v>
      </c>
      <c r="V108" s="44">
        <f t="shared" si="72"/>
        <v>0</v>
      </c>
      <c r="W108" s="44">
        <f t="shared" si="73"/>
        <v>0</v>
      </c>
      <c r="X108" s="48">
        <f t="shared" si="74"/>
        <v>0</v>
      </c>
      <c r="Z108" s="12">
        <f t="shared" si="75"/>
        <v>0</v>
      </c>
      <c r="AA108" s="44">
        <f t="shared" si="76"/>
        <v>0</v>
      </c>
      <c r="AB108" s="44">
        <f t="shared" si="77"/>
        <v>0</v>
      </c>
      <c r="AC108" s="44">
        <f t="shared" si="78"/>
        <v>1</v>
      </c>
      <c r="AD108" s="48">
        <f t="shared" si="79"/>
        <v>0</v>
      </c>
      <c r="AF108" s="12">
        <f t="shared" si="80"/>
        <v>0</v>
      </c>
      <c r="AG108" s="44">
        <f t="shared" si="81"/>
        <v>0</v>
      </c>
      <c r="AH108" s="44">
        <f t="shared" si="82"/>
        <v>1</v>
      </c>
      <c r="AI108" s="44">
        <f t="shared" si="83"/>
        <v>0</v>
      </c>
      <c r="AJ108" s="48">
        <f t="shared" si="84"/>
        <v>1</v>
      </c>
      <c r="AL108" s="12">
        <f t="shared" si="85"/>
        <v>0</v>
      </c>
      <c r="AM108" s="44">
        <f t="shared" si="86"/>
        <v>1</v>
      </c>
      <c r="AN108" s="44">
        <f t="shared" si="87"/>
        <v>1</v>
      </c>
      <c r="AO108" s="44">
        <f t="shared" si="88"/>
        <v>1</v>
      </c>
      <c r="AP108" s="48">
        <f t="shared" si="89"/>
        <v>0</v>
      </c>
      <c r="AR108" s="12">
        <f t="shared" si="90"/>
        <v>0</v>
      </c>
      <c r="AS108" s="44">
        <f t="shared" si="91"/>
        <v>0</v>
      </c>
      <c r="AT108" s="44">
        <f t="shared" si="92"/>
        <v>1</v>
      </c>
      <c r="AU108" s="44">
        <f t="shared" si="93"/>
        <v>0</v>
      </c>
      <c r="AV108" s="48">
        <f t="shared" si="94"/>
        <v>1</v>
      </c>
      <c r="AX108" s="12">
        <f t="shared" si="95"/>
        <v>0</v>
      </c>
      <c r="AY108" s="44">
        <f t="shared" si="96"/>
        <v>1</v>
      </c>
      <c r="AZ108" s="44">
        <f t="shared" si="97"/>
        <v>0</v>
      </c>
      <c r="BA108" s="44">
        <f t="shared" si="98"/>
        <v>0</v>
      </c>
      <c r="BB108" s="48">
        <f t="shared" si="99"/>
        <v>1</v>
      </c>
      <c r="BD108" s="12">
        <f t="shared" si="100"/>
        <v>1</v>
      </c>
      <c r="BE108" s="44">
        <f t="shared" si="101"/>
        <v>1</v>
      </c>
      <c r="BF108" s="44">
        <f t="shared" si="102"/>
        <v>0</v>
      </c>
      <c r="BG108" s="44">
        <f t="shared" si="103"/>
        <v>0</v>
      </c>
      <c r="BH108" s="48">
        <f t="shared" si="104"/>
        <v>0</v>
      </c>
      <c r="BJ108" s="12">
        <f t="shared" si="105"/>
        <v>2</v>
      </c>
      <c r="BK108" s="44">
        <f t="shared" si="106"/>
        <v>0</v>
      </c>
      <c r="BL108" s="44">
        <f t="shared" si="107"/>
        <v>1</v>
      </c>
      <c r="BM108" s="44">
        <f t="shared" si="108"/>
        <v>0</v>
      </c>
      <c r="BN108" s="48">
        <f t="shared" si="109"/>
        <v>0</v>
      </c>
      <c r="BP108" s="12">
        <f t="shared" si="110"/>
        <v>0</v>
      </c>
      <c r="BQ108" s="44">
        <f t="shared" si="111"/>
        <v>0</v>
      </c>
      <c r="BR108" s="44">
        <f t="shared" si="112"/>
        <v>0</v>
      </c>
      <c r="BS108" s="44">
        <f t="shared" si="113"/>
        <v>1</v>
      </c>
      <c r="BT108" s="48">
        <f t="shared" si="114"/>
        <v>0</v>
      </c>
    </row>
    <row r="109" spans="1:72" x14ac:dyDescent="0.25">
      <c r="A109" s="4">
        <v>87</v>
      </c>
      <c r="B109" s="54" t="str">
        <f>IF('Game Info'!J92="","",'Game Info'!J92)</f>
        <v>SYM2</v>
      </c>
      <c r="C109" s="54" t="str">
        <f>IF('Game Info'!K92="","",'Game Info'!K92)</f>
        <v>SYM5</v>
      </c>
      <c r="D109" s="54" t="str">
        <f>IF('Game Info'!L92="","",'Game Info'!L92)</f>
        <v>J</v>
      </c>
      <c r="E109" s="54" t="str">
        <f>IF('Game Info'!M92="","",'Game Info'!M92)</f>
        <v/>
      </c>
      <c r="F109" s="55" t="str">
        <f>IF('Game Info'!N92="","",'Game Info'!N92)</f>
        <v>Q</v>
      </c>
      <c r="H109" s="12">
        <f t="shared" si="60"/>
        <v>0</v>
      </c>
      <c r="I109" s="44">
        <f t="shared" si="61"/>
        <v>1</v>
      </c>
      <c r="J109" s="44">
        <f t="shared" si="62"/>
        <v>0</v>
      </c>
      <c r="K109" s="44" t="str">
        <f t="shared" si="63"/>
        <v/>
      </c>
      <c r="L109" s="48">
        <f t="shared" si="64"/>
        <v>1</v>
      </c>
      <c r="N109" s="12">
        <f t="shared" si="65"/>
        <v>1</v>
      </c>
      <c r="O109" s="44">
        <f t="shared" si="66"/>
        <v>0</v>
      </c>
      <c r="P109" s="44">
        <f t="shared" si="67"/>
        <v>0</v>
      </c>
      <c r="Q109" s="44" t="str">
        <f t="shared" si="68"/>
        <v/>
      </c>
      <c r="R109" s="48">
        <f t="shared" si="69"/>
        <v>0</v>
      </c>
      <c r="T109" s="12">
        <f t="shared" si="70"/>
        <v>1</v>
      </c>
      <c r="U109" s="44">
        <f t="shared" si="71"/>
        <v>0</v>
      </c>
      <c r="V109" s="44">
        <f t="shared" si="72"/>
        <v>0</v>
      </c>
      <c r="W109" s="44" t="str">
        <f t="shared" si="73"/>
        <v/>
      </c>
      <c r="X109" s="48">
        <f t="shared" si="74"/>
        <v>0</v>
      </c>
      <c r="Z109" s="12">
        <f t="shared" si="75"/>
        <v>0</v>
      </c>
      <c r="AA109" s="44">
        <f t="shared" si="76"/>
        <v>0</v>
      </c>
      <c r="AB109" s="44">
        <f t="shared" si="77"/>
        <v>0</v>
      </c>
      <c r="AC109" s="44" t="str">
        <f t="shared" si="78"/>
        <v/>
      </c>
      <c r="AD109" s="48">
        <f t="shared" si="79"/>
        <v>0</v>
      </c>
      <c r="AF109" s="12">
        <f t="shared" si="80"/>
        <v>0</v>
      </c>
      <c r="AG109" s="44">
        <f t="shared" si="81"/>
        <v>1</v>
      </c>
      <c r="AH109" s="44">
        <f t="shared" si="82"/>
        <v>1</v>
      </c>
      <c r="AI109" s="44" t="str">
        <f t="shared" si="83"/>
        <v/>
      </c>
      <c r="AJ109" s="48">
        <f t="shared" si="84"/>
        <v>0</v>
      </c>
      <c r="AL109" s="12">
        <f t="shared" si="85"/>
        <v>0</v>
      </c>
      <c r="AM109" s="44">
        <f t="shared" si="86"/>
        <v>1</v>
      </c>
      <c r="AN109" s="44">
        <f t="shared" si="87"/>
        <v>1</v>
      </c>
      <c r="AO109" s="44" t="str">
        <f t="shared" si="88"/>
        <v/>
      </c>
      <c r="AP109" s="48">
        <f t="shared" si="89"/>
        <v>0</v>
      </c>
      <c r="AR109" s="12">
        <f t="shared" si="90"/>
        <v>0</v>
      </c>
      <c r="AS109" s="44">
        <f t="shared" si="91"/>
        <v>0</v>
      </c>
      <c r="AT109" s="44">
        <f t="shared" si="92"/>
        <v>1</v>
      </c>
      <c r="AU109" s="44" t="str">
        <f t="shared" si="93"/>
        <v/>
      </c>
      <c r="AV109" s="48">
        <f t="shared" si="94"/>
        <v>1</v>
      </c>
      <c r="AX109" s="12">
        <f t="shared" si="95"/>
        <v>0</v>
      </c>
      <c r="AY109" s="44">
        <f t="shared" si="96"/>
        <v>1</v>
      </c>
      <c r="AZ109" s="44">
        <f t="shared" si="97"/>
        <v>0</v>
      </c>
      <c r="BA109" s="44" t="str">
        <f t="shared" si="98"/>
        <v/>
      </c>
      <c r="BB109" s="48">
        <f t="shared" si="99"/>
        <v>2</v>
      </c>
      <c r="BD109" s="12">
        <f t="shared" si="100"/>
        <v>1</v>
      </c>
      <c r="BE109" s="44">
        <f t="shared" si="101"/>
        <v>0</v>
      </c>
      <c r="BF109" s="44">
        <f t="shared" si="102"/>
        <v>1</v>
      </c>
      <c r="BG109" s="44" t="str">
        <f t="shared" si="103"/>
        <v/>
      </c>
      <c r="BH109" s="48">
        <f t="shared" si="104"/>
        <v>0</v>
      </c>
      <c r="BJ109" s="12">
        <f t="shared" si="105"/>
        <v>1</v>
      </c>
      <c r="BK109" s="44">
        <f t="shared" si="106"/>
        <v>0</v>
      </c>
      <c r="BL109" s="44">
        <f t="shared" si="107"/>
        <v>0</v>
      </c>
      <c r="BM109" s="44" t="str">
        <f t="shared" si="108"/>
        <v/>
      </c>
      <c r="BN109" s="48">
        <f t="shared" si="109"/>
        <v>0</v>
      </c>
      <c r="BP109" s="12">
        <f t="shared" si="110"/>
        <v>0</v>
      </c>
      <c r="BQ109" s="44">
        <f t="shared" si="111"/>
        <v>0</v>
      </c>
      <c r="BR109" s="44">
        <f t="shared" si="112"/>
        <v>0</v>
      </c>
      <c r="BS109" s="44" t="str">
        <f t="shared" si="113"/>
        <v/>
      </c>
      <c r="BT109" s="48">
        <f t="shared" si="114"/>
        <v>0</v>
      </c>
    </row>
    <row r="110" spans="1:72" x14ac:dyDescent="0.25">
      <c r="A110" s="4">
        <v>88</v>
      </c>
      <c r="B110" s="54">
        <f>IF('Game Info'!J93="","",'Game Info'!J93)</f>
        <v>9</v>
      </c>
      <c r="C110" s="54" t="str">
        <f>IF('Game Info'!K93="","",'Game Info'!K93)</f>
        <v>K</v>
      </c>
      <c r="D110" s="54" t="str">
        <f>IF('Game Info'!L93="","",'Game Info'!L93)</f>
        <v>SYM1</v>
      </c>
      <c r="E110" s="54" t="str">
        <f>IF('Game Info'!M93="","",'Game Info'!M93)</f>
        <v/>
      </c>
      <c r="F110" s="55" t="str">
        <f>IF('Game Info'!N93="","",'Game Info'!N93)</f>
        <v>SYM4</v>
      </c>
      <c r="H110" s="12">
        <f t="shared" si="60"/>
        <v>0</v>
      </c>
      <c r="I110" s="44">
        <f t="shared" si="61"/>
        <v>0</v>
      </c>
      <c r="J110" s="44">
        <f t="shared" si="62"/>
        <v>1</v>
      </c>
      <c r="K110" s="44" t="str">
        <f t="shared" si="63"/>
        <v/>
      </c>
      <c r="L110" s="48">
        <f t="shared" si="64"/>
        <v>1</v>
      </c>
      <c r="N110" s="12">
        <f t="shared" si="65"/>
        <v>1</v>
      </c>
      <c r="O110" s="44">
        <f t="shared" si="66"/>
        <v>0</v>
      </c>
      <c r="P110" s="44">
        <f t="shared" si="67"/>
        <v>0</v>
      </c>
      <c r="Q110" s="44" t="str">
        <f t="shared" si="68"/>
        <v/>
      </c>
      <c r="R110" s="48">
        <f t="shared" si="69"/>
        <v>0</v>
      </c>
      <c r="T110" s="12">
        <f t="shared" si="70"/>
        <v>0</v>
      </c>
      <c r="U110" s="44">
        <f t="shared" si="71"/>
        <v>0</v>
      </c>
      <c r="V110" s="44">
        <f t="shared" si="72"/>
        <v>0</v>
      </c>
      <c r="W110" s="44" t="str">
        <f t="shared" si="73"/>
        <v/>
      </c>
      <c r="X110" s="48">
        <f t="shared" si="74"/>
        <v>0</v>
      </c>
      <c r="Z110" s="12">
        <f t="shared" si="75"/>
        <v>0</v>
      </c>
      <c r="AA110" s="44">
        <f t="shared" si="76"/>
        <v>0</v>
      </c>
      <c r="AB110" s="44">
        <f t="shared" si="77"/>
        <v>0</v>
      </c>
      <c r="AC110" s="44" t="str">
        <f t="shared" si="78"/>
        <v/>
      </c>
      <c r="AD110" s="48">
        <f t="shared" si="79"/>
        <v>1</v>
      </c>
      <c r="AF110" s="12">
        <f t="shared" si="80"/>
        <v>0</v>
      </c>
      <c r="AG110" s="44">
        <f t="shared" si="81"/>
        <v>1</v>
      </c>
      <c r="AH110" s="44">
        <f t="shared" si="82"/>
        <v>0</v>
      </c>
      <c r="AI110" s="44" t="str">
        <f t="shared" si="83"/>
        <v/>
      </c>
      <c r="AJ110" s="48">
        <f t="shared" si="84"/>
        <v>0</v>
      </c>
      <c r="AL110" s="12">
        <f t="shared" si="85"/>
        <v>0</v>
      </c>
      <c r="AM110" s="44">
        <f t="shared" si="86"/>
        <v>1</v>
      </c>
      <c r="AN110" s="44">
        <f t="shared" si="87"/>
        <v>1</v>
      </c>
      <c r="AO110" s="44" t="str">
        <f t="shared" si="88"/>
        <v/>
      </c>
      <c r="AP110" s="48">
        <f t="shared" si="89"/>
        <v>0</v>
      </c>
      <c r="AR110" s="12">
        <f t="shared" si="90"/>
        <v>0</v>
      </c>
      <c r="AS110" s="44">
        <f t="shared" si="91"/>
        <v>1</v>
      </c>
      <c r="AT110" s="44">
        <f t="shared" si="92"/>
        <v>1</v>
      </c>
      <c r="AU110" s="44" t="str">
        <f t="shared" si="93"/>
        <v/>
      </c>
      <c r="AV110" s="48">
        <f t="shared" si="94"/>
        <v>1</v>
      </c>
      <c r="AX110" s="12">
        <f t="shared" si="95"/>
        <v>0</v>
      </c>
      <c r="AY110" s="44">
        <f t="shared" si="96"/>
        <v>1</v>
      </c>
      <c r="AZ110" s="44">
        <f t="shared" si="97"/>
        <v>0</v>
      </c>
      <c r="BA110" s="44" t="str">
        <f t="shared" si="98"/>
        <v/>
      </c>
      <c r="BB110" s="48">
        <f t="shared" si="99"/>
        <v>1</v>
      </c>
      <c r="BD110" s="12">
        <f t="shared" si="100"/>
        <v>1</v>
      </c>
      <c r="BE110" s="44">
        <f t="shared" si="101"/>
        <v>0</v>
      </c>
      <c r="BF110" s="44">
        <f t="shared" si="102"/>
        <v>1</v>
      </c>
      <c r="BG110" s="44" t="str">
        <f t="shared" si="103"/>
        <v/>
      </c>
      <c r="BH110" s="48">
        <f t="shared" si="104"/>
        <v>0</v>
      </c>
      <c r="BJ110" s="12">
        <f t="shared" si="105"/>
        <v>1</v>
      </c>
      <c r="BK110" s="44">
        <f t="shared" si="106"/>
        <v>0</v>
      </c>
      <c r="BL110" s="44">
        <f t="shared" si="107"/>
        <v>0</v>
      </c>
      <c r="BM110" s="44" t="str">
        <f t="shared" si="108"/>
        <v/>
      </c>
      <c r="BN110" s="48">
        <f t="shared" si="109"/>
        <v>0</v>
      </c>
      <c r="BP110" s="12">
        <f t="shared" si="110"/>
        <v>1</v>
      </c>
      <c r="BQ110" s="44">
        <f t="shared" si="111"/>
        <v>0</v>
      </c>
      <c r="BR110" s="44">
        <f t="shared" si="112"/>
        <v>0</v>
      </c>
      <c r="BS110" s="44" t="str">
        <f t="shared" si="113"/>
        <v/>
      </c>
      <c r="BT110" s="48">
        <f t="shared" si="114"/>
        <v>0</v>
      </c>
    </row>
    <row r="111" spans="1:72" x14ac:dyDescent="0.25">
      <c r="A111" s="4">
        <v>89</v>
      </c>
      <c r="B111" s="54" t="str">
        <f>IF('Game Info'!J94="","",'Game Info'!J94)</f>
        <v>SYM3</v>
      </c>
      <c r="C111" s="54" t="str">
        <f>IF('Game Info'!K94="","",'Game Info'!K94)</f>
        <v>SYM5</v>
      </c>
      <c r="D111" s="54" t="str">
        <f>IF('Game Info'!L94="","",'Game Info'!L94)</f>
        <v>Q</v>
      </c>
      <c r="E111" s="54" t="str">
        <f>IF('Game Info'!M94="","",'Game Info'!M94)</f>
        <v/>
      </c>
      <c r="F111" s="55" t="str">
        <f>IF('Game Info'!N94="","",'Game Info'!N94)</f>
        <v>K</v>
      </c>
      <c r="H111" s="12">
        <f t="shared" si="60"/>
        <v>0</v>
      </c>
      <c r="I111" s="44">
        <f t="shared" si="61"/>
        <v>0</v>
      </c>
      <c r="J111" s="44">
        <f t="shared" si="62"/>
        <v>1</v>
      </c>
      <c r="K111" s="44" t="str">
        <f t="shared" si="63"/>
        <v/>
      </c>
      <c r="L111" s="48">
        <f t="shared" si="64"/>
        <v>0</v>
      </c>
      <c r="N111" s="12">
        <f t="shared" si="65"/>
        <v>1</v>
      </c>
      <c r="O111" s="44">
        <f t="shared" si="66"/>
        <v>0</v>
      </c>
      <c r="P111" s="44">
        <f t="shared" si="67"/>
        <v>0</v>
      </c>
      <c r="Q111" s="44" t="str">
        <f t="shared" si="68"/>
        <v/>
      </c>
      <c r="R111" s="48">
        <f t="shared" si="69"/>
        <v>0</v>
      </c>
      <c r="T111" s="12">
        <f t="shared" si="70"/>
        <v>1</v>
      </c>
      <c r="U111" s="44">
        <f t="shared" si="71"/>
        <v>0</v>
      </c>
      <c r="V111" s="44">
        <f t="shared" si="72"/>
        <v>0</v>
      </c>
      <c r="W111" s="44" t="str">
        <f t="shared" si="73"/>
        <v/>
      </c>
      <c r="X111" s="48">
        <f t="shared" si="74"/>
        <v>0</v>
      </c>
      <c r="Z111" s="12">
        <f t="shared" si="75"/>
        <v>0</v>
      </c>
      <c r="AA111" s="44">
        <f t="shared" si="76"/>
        <v>0</v>
      </c>
      <c r="AB111" s="44">
        <f t="shared" si="77"/>
        <v>0</v>
      </c>
      <c r="AC111" s="44" t="str">
        <f t="shared" si="78"/>
        <v/>
      </c>
      <c r="AD111" s="48">
        <f t="shared" si="79"/>
        <v>1</v>
      </c>
      <c r="AF111" s="12">
        <f t="shared" si="80"/>
        <v>0</v>
      </c>
      <c r="AG111" s="44">
        <f t="shared" si="81"/>
        <v>2</v>
      </c>
      <c r="AH111" s="44">
        <f t="shared" si="82"/>
        <v>0</v>
      </c>
      <c r="AI111" s="44" t="str">
        <f t="shared" si="83"/>
        <v/>
      </c>
      <c r="AJ111" s="48">
        <f t="shared" si="84"/>
        <v>0</v>
      </c>
      <c r="AL111" s="12">
        <f t="shared" si="85"/>
        <v>0</v>
      </c>
      <c r="AM111" s="44">
        <f t="shared" si="86"/>
        <v>0</v>
      </c>
      <c r="AN111" s="44">
        <f t="shared" si="87"/>
        <v>1</v>
      </c>
      <c r="AO111" s="44" t="str">
        <f t="shared" si="88"/>
        <v/>
      </c>
      <c r="AP111" s="48">
        <f t="shared" si="89"/>
        <v>0</v>
      </c>
      <c r="AR111" s="12">
        <f t="shared" si="90"/>
        <v>0</v>
      </c>
      <c r="AS111" s="44">
        <f t="shared" si="91"/>
        <v>1</v>
      </c>
      <c r="AT111" s="44">
        <f t="shared" si="92"/>
        <v>0</v>
      </c>
      <c r="AU111" s="44" t="str">
        <f t="shared" si="93"/>
        <v/>
      </c>
      <c r="AV111" s="48">
        <f t="shared" si="94"/>
        <v>2</v>
      </c>
      <c r="AX111" s="12">
        <f t="shared" si="95"/>
        <v>0</v>
      </c>
      <c r="AY111" s="44">
        <f t="shared" si="96"/>
        <v>1</v>
      </c>
      <c r="AZ111" s="44">
        <f t="shared" si="97"/>
        <v>1</v>
      </c>
      <c r="BA111" s="44" t="str">
        <f t="shared" si="98"/>
        <v/>
      </c>
      <c r="BB111" s="48">
        <f t="shared" si="99"/>
        <v>1</v>
      </c>
      <c r="BD111" s="12">
        <f t="shared" si="100"/>
        <v>0</v>
      </c>
      <c r="BE111" s="44">
        <f t="shared" si="101"/>
        <v>0</v>
      </c>
      <c r="BF111" s="44">
        <f t="shared" si="102"/>
        <v>1</v>
      </c>
      <c r="BG111" s="44" t="str">
        <f t="shared" si="103"/>
        <v/>
      </c>
      <c r="BH111" s="48">
        <f t="shared" si="104"/>
        <v>0</v>
      </c>
      <c r="BJ111" s="12">
        <f t="shared" si="105"/>
        <v>1</v>
      </c>
      <c r="BK111" s="44">
        <f t="shared" si="106"/>
        <v>0</v>
      </c>
      <c r="BL111" s="44">
        <f t="shared" si="107"/>
        <v>0</v>
      </c>
      <c r="BM111" s="44" t="str">
        <f t="shared" si="108"/>
        <v/>
      </c>
      <c r="BN111" s="48">
        <f t="shared" si="109"/>
        <v>0</v>
      </c>
      <c r="BP111" s="12">
        <f t="shared" si="110"/>
        <v>1</v>
      </c>
      <c r="BQ111" s="44">
        <f t="shared" si="111"/>
        <v>0</v>
      </c>
      <c r="BR111" s="44">
        <f t="shared" si="112"/>
        <v>0</v>
      </c>
      <c r="BS111" s="44" t="str">
        <f t="shared" si="113"/>
        <v/>
      </c>
      <c r="BT111" s="48">
        <f t="shared" si="114"/>
        <v>0</v>
      </c>
    </row>
    <row r="112" spans="1:72" x14ac:dyDescent="0.25">
      <c r="A112" s="4">
        <v>90</v>
      </c>
      <c r="B112" s="54" t="str">
        <f>IF('Game Info'!J95="","",'Game Info'!J95)</f>
        <v>Q</v>
      </c>
      <c r="C112" s="54" t="str">
        <f>IF('Game Info'!K95="","",'Game Info'!K95)</f>
        <v>J</v>
      </c>
      <c r="D112" s="54" t="str">
        <f>IF('Game Info'!L95="","",'Game Info'!L95)</f>
        <v>SYM3</v>
      </c>
      <c r="E112" s="54" t="str">
        <f>IF('Game Info'!M95="","",'Game Info'!M95)</f>
        <v/>
      </c>
      <c r="F112" s="55" t="str">
        <f>IF('Game Info'!N95="","",'Game Info'!N95)</f>
        <v>SYM1</v>
      </c>
      <c r="H112" s="12">
        <f t="shared" si="60"/>
        <v>0</v>
      </c>
      <c r="I112" s="44">
        <f t="shared" si="61"/>
        <v>0</v>
      </c>
      <c r="J112" s="44">
        <f t="shared" si="62"/>
        <v>1</v>
      </c>
      <c r="K112" s="44" t="str">
        <f t="shared" si="63"/>
        <v/>
      </c>
      <c r="L112" s="48">
        <f t="shared" si="64"/>
        <v>1</v>
      </c>
      <c r="N112" s="12">
        <f t="shared" si="65"/>
        <v>1</v>
      </c>
      <c r="O112" s="44">
        <f t="shared" si="66"/>
        <v>0</v>
      </c>
      <c r="P112" s="44">
        <f t="shared" si="67"/>
        <v>0</v>
      </c>
      <c r="Q112" s="44" t="str">
        <f t="shared" si="68"/>
        <v/>
      </c>
      <c r="R112" s="48">
        <f t="shared" si="69"/>
        <v>0</v>
      </c>
      <c r="T112" s="12">
        <f t="shared" si="70"/>
        <v>1</v>
      </c>
      <c r="U112" s="44">
        <f t="shared" si="71"/>
        <v>0</v>
      </c>
      <c r="V112" s="44">
        <f t="shared" si="72"/>
        <v>1</v>
      </c>
      <c r="W112" s="44" t="str">
        <f t="shared" si="73"/>
        <v/>
      </c>
      <c r="X112" s="48">
        <f t="shared" si="74"/>
        <v>0</v>
      </c>
      <c r="Z112" s="12">
        <f t="shared" si="75"/>
        <v>0</v>
      </c>
      <c r="AA112" s="44">
        <f t="shared" si="76"/>
        <v>0</v>
      </c>
      <c r="AB112" s="44">
        <f t="shared" si="77"/>
        <v>0</v>
      </c>
      <c r="AC112" s="44" t="str">
        <f t="shared" si="78"/>
        <v/>
      </c>
      <c r="AD112" s="48">
        <f t="shared" si="79"/>
        <v>1</v>
      </c>
      <c r="AF112" s="12">
        <f t="shared" si="80"/>
        <v>0</v>
      </c>
      <c r="AG112" s="44">
        <f t="shared" si="81"/>
        <v>2</v>
      </c>
      <c r="AH112" s="44">
        <f t="shared" si="82"/>
        <v>0</v>
      </c>
      <c r="AI112" s="44" t="str">
        <f t="shared" si="83"/>
        <v/>
      </c>
      <c r="AJ112" s="48">
        <f t="shared" si="84"/>
        <v>0</v>
      </c>
      <c r="AL112" s="12">
        <f t="shared" si="85"/>
        <v>0</v>
      </c>
      <c r="AM112" s="44">
        <f t="shared" si="86"/>
        <v>0</v>
      </c>
      <c r="AN112" s="44">
        <f t="shared" si="87"/>
        <v>0</v>
      </c>
      <c r="AO112" s="44" t="str">
        <f t="shared" si="88"/>
        <v/>
      </c>
      <c r="AP112" s="48">
        <f t="shared" si="89"/>
        <v>0</v>
      </c>
      <c r="AR112" s="12">
        <f t="shared" si="90"/>
        <v>0</v>
      </c>
      <c r="AS112" s="44">
        <f t="shared" si="91"/>
        <v>1</v>
      </c>
      <c r="AT112" s="44">
        <f t="shared" si="92"/>
        <v>0</v>
      </c>
      <c r="AU112" s="44" t="str">
        <f t="shared" si="93"/>
        <v/>
      </c>
      <c r="AV112" s="48">
        <f t="shared" si="94"/>
        <v>1</v>
      </c>
      <c r="AX112" s="12">
        <f t="shared" si="95"/>
        <v>1</v>
      </c>
      <c r="AY112" s="44">
        <f t="shared" si="96"/>
        <v>0</v>
      </c>
      <c r="AZ112" s="44">
        <f t="shared" si="97"/>
        <v>1</v>
      </c>
      <c r="BA112" s="44" t="str">
        <f t="shared" si="98"/>
        <v/>
      </c>
      <c r="BB112" s="48">
        <f t="shared" si="99"/>
        <v>1</v>
      </c>
      <c r="BD112" s="12">
        <f t="shared" si="100"/>
        <v>0</v>
      </c>
      <c r="BE112" s="44">
        <f t="shared" si="101"/>
        <v>1</v>
      </c>
      <c r="BF112" s="44">
        <f t="shared" si="102"/>
        <v>1</v>
      </c>
      <c r="BG112" s="44" t="str">
        <f t="shared" si="103"/>
        <v/>
      </c>
      <c r="BH112" s="48">
        <f t="shared" si="104"/>
        <v>0</v>
      </c>
      <c r="BJ112" s="12">
        <f t="shared" si="105"/>
        <v>0</v>
      </c>
      <c r="BK112" s="44">
        <f t="shared" si="106"/>
        <v>0</v>
      </c>
      <c r="BL112" s="44">
        <f t="shared" si="107"/>
        <v>0</v>
      </c>
      <c r="BM112" s="44" t="str">
        <f t="shared" si="108"/>
        <v/>
      </c>
      <c r="BN112" s="48">
        <f t="shared" si="109"/>
        <v>0</v>
      </c>
      <c r="BP112" s="12">
        <f t="shared" si="110"/>
        <v>1</v>
      </c>
      <c r="BQ112" s="44">
        <f t="shared" si="111"/>
        <v>0</v>
      </c>
      <c r="BR112" s="44">
        <f t="shared" si="112"/>
        <v>0</v>
      </c>
      <c r="BS112" s="44" t="str">
        <f t="shared" si="113"/>
        <v/>
      </c>
      <c r="BT112" s="48">
        <f t="shared" si="114"/>
        <v>0</v>
      </c>
    </row>
    <row r="113" spans="1:72" x14ac:dyDescent="0.25">
      <c r="A113" s="4">
        <v>91</v>
      </c>
      <c r="B113" s="54" t="str">
        <f>IF('Game Info'!J96="","",'Game Info'!J96)</f>
        <v>SYM1</v>
      </c>
      <c r="C113" s="54">
        <f>IF('Game Info'!K96="","",'Game Info'!K96)</f>
        <v>9</v>
      </c>
      <c r="D113" s="54" t="str">
        <f>IF('Game Info'!L96="","",'Game Info'!L96)</f>
        <v>A</v>
      </c>
      <c r="E113" s="54" t="str">
        <f>IF('Game Info'!M96="","",'Game Info'!M96)</f>
        <v/>
      </c>
      <c r="F113" s="55">
        <f>IF('Game Info'!N96="","",'Game Info'!N96)</f>
        <v>10</v>
      </c>
      <c r="H113" s="12">
        <f t="shared" si="60"/>
        <v>1</v>
      </c>
      <c r="I113" s="44">
        <f t="shared" si="61"/>
        <v>0</v>
      </c>
      <c r="J113" s="44">
        <f t="shared" si="62"/>
        <v>1</v>
      </c>
      <c r="K113" s="44" t="str">
        <f t="shared" si="63"/>
        <v/>
      </c>
      <c r="L113" s="48">
        <f t="shared" si="64"/>
        <v>1</v>
      </c>
      <c r="N113" s="12">
        <f t="shared" si="65"/>
        <v>0</v>
      </c>
      <c r="O113" s="44">
        <f t="shared" si="66"/>
        <v>0</v>
      </c>
      <c r="P113" s="44">
        <f t="shared" si="67"/>
        <v>0</v>
      </c>
      <c r="Q113" s="44" t="str">
        <f t="shared" si="68"/>
        <v/>
      </c>
      <c r="R113" s="48">
        <f t="shared" si="69"/>
        <v>0</v>
      </c>
      <c r="T113" s="12">
        <f t="shared" si="70"/>
        <v>1</v>
      </c>
      <c r="U113" s="44">
        <f t="shared" si="71"/>
        <v>0</v>
      </c>
      <c r="V113" s="44">
        <f t="shared" si="72"/>
        <v>1</v>
      </c>
      <c r="W113" s="44" t="str">
        <f t="shared" si="73"/>
        <v/>
      </c>
      <c r="X113" s="48">
        <f t="shared" si="74"/>
        <v>0</v>
      </c>
      <c r="Z113" s="12">
        <f t="shared" si="75"/>
        <v>0</v>
      </c>
      <c r="AA113" s="44">
        <f t="shared" si="76"/>
        <v>0</v>
      </c>
      <c r="AB113" s="44">
        <f t="shared" si="77"/>
        <v>0</v>
      </c>
      <c r="AC113" s="44" t="str">
        <f t="shared" si="78"/>
        <v/>
      </c>
      <c r="AD113" s="48">
        <f t="shared" si="79"/>
        <v>1</v>
      </c>
      <c r="AF113" s="12">
        <f t="shared" si="80"/>
        <v>0</v>
      </c>
      <c r="AG113" s="44">
        <f t="shared" si="81"/>
        <v>1</v>
      </c>
      <c r="AH113" s="44">
        <f t="shared" si="82"/>
        <v>0</v>
      </c>
      <c r="AI113" s="44" t="str">
        <f t="shared" si="83"/>
        <v/>
      </c>
      <c r="AJ113" s="48">
        <f t="shared" si="84"/>
        <v>0</v>
      </c>
      <c r="AL113" s="12">
        <f t="shared" si="85"/>
        <v>0</v>
      </c>
      <c r="AM113" s="44">
        <f t="shared" si="86"/>
        <v>0</v>
      </c>
      <c r="AN113" s="44">
        <f t="shared" si="87"/>
        <v>1</v>
      </c>
      <c r="AO113" s="44" t="str">
        <f t="shared" si="88"/>
        <v/>
      </c>
      <c r="AP113" s="48">
        <f t="shared" si="89"/>
        <v>0</v>
      </c>
      <c r="AR113" s="12">
        <f t="shared" si="90"/>
        <v>0</v>
      </c>
      <c r="AS113" s="44">
        <f t="shared" si="91"/>
        <v>1</v>
      </c>
      <c r="AT113" s="44">
        <f t="shared" si="92"/>
        <v>0</v>
      </c>
      <c r="AU113" s="44" t="str">
        <f t="shared" si="93"/>
        <v/>
      </c>
      <c r="AV113" s="48">
        <f t="shared" si="94"/>
        <v>1</v>
      </c>
      <c r="AX113" s="12">
        <f t="shared" si="95"/>
        <v>1</v>
      </c>
      <c r="AY113" s="44">
        <f t="shared" si="96"/>
        <v>0</v>
      </c>
      <c r="AZ113" s="44">
        <f t="shared" si="97"/>
        <v>1</v>
      </c>
      <c r="BA113" s="44" t="str">
        <f t="shared" si="98"/>
        <v/>
      </c>
      <c r="BB113" s="48">
        <f t="shared" si="99"/>
        <v>0</v>
      </c>
      <c r="BD113" s="12">
        <f t="shared" si="100"/>
        <v>0</v>
      </c>
      <c r="BE113" s="44">
        <f t="shared" si="101"/>
        <v>1</v>
      </c>
      <c r="BF113" s="44">
        <f t="shared" si="102"/>
        <v>0</v>
      </c>
      <c r="BG113" s="44" t="str">
        <f t="shared" si="103"/>
        <v/>
      </c>
      <c r="BH113" s="48">
        <f t="shared" si="104"/>
        <v>0</v>
      </c>
      <c r="BJ113" s="12">
        <f t="shared" si="105"/>
        <v>0</v>
      </c>
      <c r="BK113" s="44">
        <f t="shared" si="106"/>
        <v>0</v>
      </c>
      <c r="BL113" s="44">
        <f t="shared" si="107"/>
        <v>0</v>
      </c>
      <c r="BM113" s="44" t="str">
        <f t="shared" si="108"/>
        <v/>
      </c>
      <c r="BN113" s="48">
        <f t="shared" si="109"/>
        <v>1</v>
      </c>
      <c r="BP113" s="12">
        <f t="shared" si="110"/>
        <v>1</v>
      </c>
      <c r="BQ113" s="44">
        <f t="shared" si="111"/>
        <v>1</v>
      </c>
      <c r="BR113" s="44">
        <f t="shared" si="112"/>
        <v>0</v>
      </c>
      <c r="BS113" s="44" t="str">
        <f t="shared" si="113"/>
        <v/>
      </c>
      <c r="BT113" s="48">
        <f t="shared" si="114"/>
        <v>0</v>
      </c>
    </row>
    <row r="114" spans="1:72" x14ac:dyDescent="0.25">
      <c r="A114" s="4">
        <v>92</v>
      </c>
      <c r="B114" s="54">
        <f>IF('Game Info'!J97="","",'Game Info'!J97)</f>
        <v>10</v>
      </c>
      <c r="C114" s="54">
        <f>IF('Game Info'!K97="","",'Game Info'!K97)</f>
        <v>10</v>
      </c>
      <c r="D114" s="54" t="str">
        <f>IF('Game Info'!L97="","",'Game Info'!L97)</f>
        <v>SYM5</v>
      </c>
      <c r="E114" s="54" t="str">
        <f>IF('Game Info'!M97="","",'Game Info'!M97)</f>
        <v/>
      </c>
      <c r="F114" s="55" t="str">
        <f>IF('Game Info'!N97="","",'Game Info'!N97)</f>
        <v>SYM3</v>
      </c>
      <c r="H114" s="12">
        <f t="shared" si="60"/>
        <v>1</v>
      </c>
      <c r="I114" s="44">
        <f t="shared" si="61"/>
        <v>0</v>
      </c>
      <c r="J114" s="44">
        <f t="shared" si="62"/>
        <v>0</v>
      </c>
      <c r="K114" s="44" t="str">
        <f t="shared" si="63"/>
        <v/>
      </c>
      <c r="L114" s="48">
        <f t="shared" si="64"/>
        <v>1</v>
      </c>
      <c r="N114" s="12">
        <f t="shared" si="65"/>
        <v>0</v>
      </c>
      <c r="O114" s="44">
        <f t="shared" si="66"/>
        <v>0</v>
      </c>
      <c r="P114" s="44">
        <f t="shared" si="67"/>
        <v>0</v>
      </c>
      <c r="Q114" s="44" t="str">
        <f t="shared" si="68"/>
        <v/>
      </c>
      <c r="R114" s="48">
        <f t="shared" si="69"/>
        <v>0</v>
      </c>
      <c r="T114" s="12">
        <f t="shared" si="70"/>
        <v>1</v>
      </c>
      <c r="U114" s="44">
        <f t="shared" si="71"/>
        <v>0</v>
      </c>
      <c r="V114" s="44">
        <f t="shared" si="72"/>
        <v>1</v>
      </c>
      <c r="W114" s="44" t="str">
        <f t="shared" si="73"/>
        <v/>
      </c>
      <c r="X114" s="48">
        <f t="shared" si="74"/>
        <v>1</v>
      </c>
      <c r="Z114" s="12">
        <f t="shared" si="75"/>
        <v>0</v>
      </c>
      <c r="AA114" s="44">
        <f t="shared" si="76"/>
        <v>0</v>
      </c>
      <c r="AB114" s="44">
        <f t="shared" si="77"/>
        <v>0</v>
      </c>
      <c r="AC114" s="44" t="str">
        <f t="shared" si="78"/>
        <v/>
      </c>
      <c r="AD114" s="48">
        <f t="shared" si="79"/>
        <v>0</v>
      </c>
      <c r="AF114" s="12">
        <f t="shared" si="80"/>
        <v>0</v>
      </c>
      <c r="AG114" s="44">
        <f t="shared" si="81"/>
        <v>1</v>
      </c>
      <c r="AH114" s="44">
        <f t="shared" si="82"/>
        <v>1</v>
      </c>
      <c r="AI114" s="44" t="str">
        <f t="shared" si="83"/>
        <v/>
      </c>
      <c r="AJ114" s="48">
        <f t="shared" si="84"/>
        <v>0</v>
      </c>
      <c r="AL114" s="12">
        <f t="shared" si="85"/>
        <v>0</v>
      </c>
      <c r="AM114" s="44">
        <f t="shared" si="86"/>
        <v>0</v>
      </c>
      <c r="AN114" s="44">
        <f t="shared" si="87"/>
        <v>1</v>
      </c>
      <c r="AO114" s="44" t="str">
        <f t="shared" si="88"/>
        <v/>
      </c>
      <c r="AP114" s="48">
        <f t="shared" si="89"/>
        <v>0</v>
      </c>
      <c r="AR114" s="12">
        <f t="shared" si="90"/>
        <v>0</v>
      </c>
      <c r="AS114" s="44">
        <f t="shared" si="91"/>
        <v>0</v>
      </c>
      <c r="AT114" s="44">
        <f t="shared" si="92"/>
        <v>0</v>
      </c>
      <c r="AU114" s="44" t="str">
        <f t="shared" si="93"/>
        <v/>
      </c>
      <c r="AV114" s="48">
        <f t="shared" si="94"/>
        <v>1</v>
      </c>
      <c r="AX114" s="12">
        <f t="shared" si="95"/>
        <v>1</v>
      </c>
      <c r="AY114" s="44">
        <f t="shared" si="96"/>
        <v>0</v>
      </c>
      <c r="AZ114" s="44">
        <f t="shared" si="97"/>
        <v>1</v>
      </c>
      <c r="BA114" s="44" t="str">
        <f t="shared" si="98"/>
        <v/>
      </c>
      <c r="BB114" s="48">
        <f t="shared" si="99"/>
        <v>0</v>
      </c>
      <c r="BD114" s="12">
        <f t="shared" si="100"/>
        <v>0</v>
      </c>
      <c r="BE114" s="44">
        <f t="shared" si="101"/>
        <v>1</v>
      </c>
      <c r="BF114" s="44">
        <f t="shared" si="102"/>
        <v>0</v>
      </c>
      <c r="BG114" s="44" t="str">
        <f t="shared" si="103"/>
        <v/>
      </c>
      <c r="BH114" s="48">
        <f t="shared" si="104"/>
        <v>0</v>
      </c>
      <c r="BJ114" s="12">
        <f t="shared" si="105"/>
        <v>1</v>
      </c>
      <c r="BK114" s="44">
        <f t="shared" si="106"/>
        <v>1</v>
      </c>
      <c r="BL114" s="44">
        <f t="shared" si="107"/>
        <v>0</v>
      </c>
      <c r="BM114" s="44" t="str">
        <f t="shared" si="108"/>
        <v/>
      </c>
      <c r="BN114" s="48">
        <f t="shared" si="109"/>
        <v>1</v>
      </c>
      <c r="BP114" s="12">
        <f t="shared" si="110"/>
        <v>0</v>
      </c>
      <c r="BQ114" s="44">
        <f t="shared" si="111"/>
        <v>1</v>
      </c>
      <c r="BR114" s="44">
        <f t="shared" si="112"/>
        <v>0</v>
      </c>
      <c r="BS114" s="44" t="str">
        <f t="shared" si="113"/>
        <v/>
      </c>
      <c r="BT114" s="48">
        <f t="shared" si="114"/>
        <v>0</v>
      </c>
    </row>
    <row r="115" spans="1:72" x14ac:dyDescent="0.25">
      <c r="A115" s="4">
        <v>93</v>
      </c>
      <c r="B115" s="54" t="str">
        <f>IF('Game Info'!J98="","",'Game Info'!J98)</f>
        <v>SYM3</v>
      </c>
      <c r="C115" s="54" t="str">
        <f>IF('Game Info'!K98="","",'Game Info'!K98)</f>
        <v>SYM2</v>
      </c>
      <c r="D115" s="54" t="str">
        <f>IF('Game Info'!L98="","",'Game Info'!L98)</f>
        <v>Q</v>
      </c>
      <c r="E115" s="54" t="str">
        <f>IF('Game Info'!M98="","",'Game Info'!M98)</f>
        <v/>
      </c>
      <c r="F115" s="55" t="str">
        <f>IF('Game Info'!N98="","",'Game Info'!N98)</f>
        <v>Q</v>
      </c>
      <c r="H115" s="12">
        <f t="shared" si="60"/>
        <v>1</v>
      </c>
      <c r="I115" s="44">
        <f t="shared" si="61"/>
        <v>0</v>
      </c>
      <c r="J115" s="44">
        <f t="shared" si="62"/>
        <v>0</v>
      </c>
      <c r="K115" s="44" t="str">
        <f t="shared" si="63"/>
        <v/>
      </c>
      <c r="L115" s="48">
        <f t="shared" si="64"/>
        <v>1</v>
      </c>
      <c r="N115" s="12">
        <f t="shared" si="65"/>
        <v>0</v>
      </c>
      <c r="O115" s="44">
        <f t="shared" si="66"/>
        <v>1</v>
      </c>
      <c r="P115" s="44">
        <f t="shared" si="67"/>
        <v>0</v>
      </c>
      <c r="Q115" s="44" t="str">
        <f t="shared" si="68"/>
        <v/>
      </c>
      <c r="R115" s="48">
        <f t="shared" si="69"/>
        <v>0</v>
      </c>
      <c r="T115" s="12">
        <f t="shared" si="70"/>
        <v>1</v>
      </c>
      <c r="U115" s="44">
        <f t="shared" si="71"/>
        <v>0</v>
      </c>
      <c r="V115" s="44">
        <f t="shared" si="72"/>
        <v>1</v>
      </c>
      <c r="W115" s="44" t="str">
        <f t="shared" si="73"/>
        <v/>
      </c>
      <c r="X115" s="48">
        <f t="shared" si="74"/>
        <v>1</v>
      </c>
      <c r="Z115" s="12">
        <f t="shared" si="75"/>
        <v>0</v>
      </c>
      <c r="AA115" s="44">
        <f t="shared" si="76"/>
        <v>0</v>
      </c>
      <c r="AB115" s="44">
        <f t="shared" si="77"/>
        <v>0</v>
      </c>
      <c r="AC115" s="44" t="str">
        <f t="shared" si="78"/>
        <v/>
      </c>
      <c r="AD115" s="48">
        <f t="shared" si="79"/>
        <v>0</v>
      </c>
      <c r="AF115" s="12">
        <f t="shared" si="80"/>
        <v>0</v>
      </c>
      <c r="AG115" s="44">
        <f t="shared" si="81"/>
        <v>0</v>
      </c>
      <c r="AH115" s="44">
        <f t="shared" si="82"/>
        <v>1</v>
      </c>
      <c r="AI115" s="44" t="str">
        <f t="shared" si="83"/>
        <v/>
      </c>
      <c r="AJ115" s="48">
        <f t="shared" si="84"/>
        <v>0</v>
      </c>
      <c r="AL115" s="12">
        <f t="shared" si="85"/>
        <v>0</v>
      </c>
      <c r="AM115" s="44">
        <f t="shared" si="86"/>
        <v>0</v>
      </c>
      <c r="AN115" s="44">
        <f t="shared" si="87"/>
        <v>1</v>
      </c>
      <c r="AO115" s="44" t="str">
        <f t="shared" si="88"/>
        <v/>
      </c>
      <c r="AP115" s="48">
        <f t="shared" si="89"/>
        <v>0</v>
      </c>
      <c r="AR115" s="12">
        <f t="shared" si="90"/>
        <v>0</v>
      </c>
      <c r="AS115" s="44">
        <f t="shared" si="91"/>
        <v>0</v>
      </c>
      <c r="AT115" s="44">
        <f t="shared" si="92"/>
        <v>0</v>
      </c>
      <c r="AU115" s="44" t="str">
        <f t="shared" si="93"/>
        <v/>
      </c>
      <c r="AV115" s="48">
        <f t="shared" si="94"/>
        <v>0</v>
      </c>
      <c r="AX115" s="12">
        <f t="shared" si="95"/>
        <v>1</v>
      </c>
      <c r="AY115" s="44">
        <f t="shared" si="96"/>
        <v>0</v>
      </c>
      <c r="AZ115" s="44">
        <f t="shared" si="97"/>
        <v>1</v>
      </c>
      <c r="BA115" s="44" t="str">
        <f t="shared" si="98"/>
        <v/>
      </c>
      <c r="BB115" s="48">
        <f t="shared" si="99"/>
        <v>1</v>
      </c>
      <c r="BD115" s="12">
        <f t="shared" si="100"/>
        <v>0</v>
      </c>
      <c r="BE115" s="44">
        <f t="shared" si="101"/>
        <v>1</v>
      </c>
      <c r="BF115" s="44">
        <f t="shared" si="102"/>
        <v>0</v>
      </c>
      <c r="BG115" s="44" t="str">
        <f t="shared" si="103"/>
        <v/>
      </c>
      <c r="BH115" s="48">
        <f t="shared" si="104"/>
        <v>0</v>
      </c>
      <c r="BJ115" s="12">
        <f t="shared" si="105"/>
        <v>1</v>
      </c>
      <c r="BK115" s="44">
        <f t="shared" si="106"/>
        <v>1</v>
      </c>
      <c r="BL115" s="44">
        <f t="shared" si="107"/>
        <v>0</v>
      </c>
      <c r="BM115" s="44" t="str">
        <f t="shared" si="108"/>
        <v/>
      </c>
      <c r="BN115" s="48">
        <f t="shared" si="109"/>
        <v>1</v>
      </c>
      <c r="BP115" s="12">
        <f t="shared" si="110"/>
        <v>0</v>
      </c>
      <c r="BQ115" s="44">
        <f t="shared" si="111"/>
        <v>1</v>
      </c>
      <c r="BR115" s="44">
        <f t="shared" si="112"/>
        <v>0</v>
      </c>
      <c r="BS115" s="44" t="str">
        <f t="shared" si="113"/>
        <v/>
      </c>
      <c r="BT115" s="48">
        <f t="shared" si="114"/>
        <v>0</v>
      </c>
    </row>
    <row r="116" spans="1:72" x14ac:dyDescent="0.25">
      <c r="A116" s="4">
        <v>94</v>
      </c>
      <c r="B116" s="54">
        <f>IF('Game Info'!J99="","",'Game Info'!J99)</f>
        <v>9</v>
      </c>
      <c r="C116" s="54" t="str">
        <f>IF('Game Info'!K99="","",'Game Info'!K99)</f>
        <v>J</v>
      </c>
      <c r="D116" s="54" t="str">
        <f>IF('Game Info'!L99="","",'Game Info'!L99)</f>
        <v>SYM3</v>
      </c>
      <c r="E116" s="54" t="str">
        <f>IF('Game Info'!M99="","",'Game Info'!M99)</f>
        <v/>
      </c>
      <c r="F116" s="55" t="str">
        <f>IF('Game Info'!N99="","",'Game Info'!N99)</f>
        <v>A</v>
      </c>
      <c r="H116" s="12">
        <f t="shared" si="60"/>
        <v>1</v>
      </c>
      <c r="I116" s="44">
        <f t="shared" si="61"/>
        <v>0</v>
      </c>
      <c r="J116" s="44">
        <f t="shared" si="62"/>
        <v>0</v>
      </c>
      <c r="K116" s="44" t="str">
        <f t="shared" si="63"/>
        <v/>
      </c>
      <c r="L116" s="48">
        <f t="shared" si="64"/>
        <v>0</v>
      </c>
      <c r="N116" s="12">
        <f t="shared" si="65"/>
        <v>0</v>
      </c>
      <c r="O116" s="44">
        <f t="shared" si="66"/>
        <v>1</v>
      </c>
      <c r="P116" s="44">
        <f t="shared" si="67"/>
        <v>0</v>
      </c>
      <c r="Q116" s="44" t="str">
        <f t="shared" si="68"/>
        <v/>
      </c>
      <c r="R116" s="48">
        <f t="shared" si="69"/>
        <v>0</v>
      </c>
      <c r="T116" s="12">
        <f t="shared" si="70"/>
        <v>1</v>
      </c>
      <c r="U116" s="44">
        <f t="shared" si="71"/>
        <v>0</v>
      </c>
      <c r="V116" s="44">
        <f t="shared" si="72"/>
        <v>1</v>
      </c>
      <c r="W116" s="44" t="str">
        <f t="shared" si="73"/>
        <v/>
      </c>
      <c r="X116" s="48">
        <f t="shared" si="74"/>
        <v>1</v>
      </c>
      <c r="Z116" s="12">
        <f t="shared" si="75"/>
        <v>0</v>
      </c>
      <c r="AA116" s="44">
        <f t="shared" si="76"/>
        <v>0</v>
      </c>
      <c r="AB116" s="44">
        <f t="shared" si="77"/>
        <v>0</v>
      </c>
      <c r="AC116" s="44" t="str">
        <f t="shared" si="78"/>
        <v/>
      </c>
      <c r="AD116" s="48">
        <f t="shared" si="79"/>
        <v>0</v>
      </c>
      <c r="AF116" s="12">
        <f t="shared" si="80"/>
        <v>0</v>
      </c>
      <c r="AG116" s="44">
        <f t="shared" si="81"/>
        <v>0</v>
      </c>
      <c r="AH116" s="44">
        <f t="shared" si="82"/>
        <v>1</v>
      </c>
      <c r="AI116" s="44" t="str">
        <f t="shared" si="83"/>
        <v/>
      </c>
      <c r="AJ116" s="48">
        <f t="shared" si="84"/>
        <v>0</v>
      </c>
      <c r="AL116" s="12">
        <f t="shared" si="85"/>
        <v>0</v>
      </c>
      <c r="AM116" s="44">
        <f t="shared" si="86"/>
        <v>0</v>
      </c>
      <c r="AN116" s="44">
        <f t="shared" si="87"/>
        <v>1</v>
      </c>
      <c r="AO116" s="44" t="str">
        <f t="shared" si="88"/>
        <v/>
      </c>
      <c r="AP116" s="48">
        <f t="shared" si="89"/>
        <v>1</v>
      </c>
      <c r="AR116" s="12">
        <f t="shared" si="90"/>
        <v>0</v>
      </c>
      <c r="AS116" s="44">
        <f t="shared" si="91"/>
        <v>0</v>
      </c>
      <c r="AT116" s="44">
        <f t="shared" si="92"/>
        <v>0</v>
      </c>
      <c r="AU116" s="44" t="str">
        <f t="shared" si="93"/>
        <v/>
      </c>
      <c r="AV116" s="48">
        <f t="shared" si="94"/>
        <v>0</v>
      </c>
      <c r="AX116" s="12">
        <f t="shared" si="95"/>
        <v>0</v>
      </c>
      <c r="AY116" s="44">
        <f t="shared" si="96"/>
        <v>0</v>
      </c>
      <c r="AZ116" s="44">
        <f t="shared" si="97"/>
        <v>1</v>
      </c>
      <c r="BA116" s="44" t="str">
        <f t="shared" si="98"/>
        <v/>
      </c>
      <c r="BB116" s="48">
        <f t="shared" si="99"/>
        <v>1</v>
      </c>
      <c r="BD116" s="12">
        <f t="shared" si="100"/>
        <v>0</v>
      </c>
      <c r="BE116" s="44">
        <f t="shared" si="101"/>
        <v>1</v>
      </c>
      <c r="BF116" s="44">
        <f t="shared" si="102"/>
        <v>0</v>
      </c>
      <c r="BG116" s="44" t="str">
        <f t="shared" si="103"/>
        <v/>
      </c>
      <c r="BH116" s="48">
        <f t="shared" si="104"/>
        <v>0</v>
      </c>
      <c r="BJ116" s="12">
        <f t="shared" si="105"/>
        <v>1</v>
      </c>
      <c r="BK116" s="44">
        <f t="shared" si="106"/>
        <v>1</v>
      </c>
      <c r="BL116" s="44">
        <f t="shared" si="107"/>
        <v>0</v>
      </c>
      <c r="BM116" s="44" t="str">
        <f t="shared" si="108"/>
        <v/>
      </c>
      <c r="BN116" s="48">
        <f t="shared" si="109"/>
        <v>1</v>
      </c>
      <c r="BP116" s="12">
        <f t="shared" si="110"/>
        <v>1</v>
      </c>
      <c r="BQ116" s="44">
        <f t="shared" si="111"/>
        <v>1</v>
      </c>
      <c r="BR116" s="44">
        <f t="shared" si="112"/>
        <v>0</v>
      </c>
      <c r="BS116" s="44" t="str">
        <f t="shared" si="113"/>
        <v/>
      </c>
      <c r="BT116" s="48">
        <f t="shared" si="114"/>
        <v>0</v>
      </c>
    </row>
    <row r="117" spans="1:72" x14ac:dyDescent="0.25">
      <c r="A117" s="4">
        <v>95</v>
      </c>
      <c r="B117" s="54" t="str">
        <f>IF('Game Info'!J100="","",'Game Info'!J100)</f>
        <v>SYM2</v>
      </c>
      <c r="C117" s="54" t="str">
        <f>IF('Game Info'!K100="","",'Game Info'!K100)</f>
        <v>K</v>
      </c>
      <c r="D117" s="54">
        <f>IF('Game Info'!L100="","",'Game Info'!L100)</f>
        <v>10</v>
      </c>
      <c r="E117" s="54" t="str">
        <f>IF('Game Info'!M100="","",'Game Info'!M100)</f>
        <v/>
      </c>
      <c r="F117" s="55" t="str">
        <f>IF('Game Info'!N100="","",'Game Info'!N100)</f>
        <v>SYM4</v>
      </c>
      <c r="H117" s="12">
        <f t="shared" si="60"/>
        <v>0</v>
      </c>
      <c r="I117" s="44">
        <f t="shared" si="61"/>
        <v>0</v>
      </c>
      <c r="J117" s="44">
        <f t="shared" si="62"/>
        <v>0</v>
      </c>
      <c r="K117" s="44" t="str">
        <f t="shared" si="63"/>
        <v/>
      </c>
      <c r="L117" s="48">
        <f t="shared" si="64"/>
        <v>0</v>
      </c>
      <c r="N117" s="12">
        <f t="shared" si="65"/>
        <v>1</v>
      </c>
      <c r="O117" s="44">
        <f t="shared" si="66"/>
        <v>1</v>
      </c>
      <c r="P117" s="44">
        <f t="shared" si="67"/>
        <v>0</v>
      </c>
      <c r="Q117" s="44" t="str">
        <f t="shared" si="68"/>
        <v/>
      </c>
      <c r="R117" s="48">
        <f t="shared" si="69"/>
        <v>0</v>
      </c>
      <c r="T117" s="12">
        <f t="shared" si="70"/>
        <v>1</v>
      </c>
      <c r="U117" s="44">
        <f t="shared" si="71"/>
        <v>0</v>
      </c>
      <c r="V117" s="44">
        <f t="shared" si="72"/>
        <v>1</v>
      </c>
      <c r="W117" s="44" t="str">
        <f t="shared" si="73"/>
        <v/>
      </c>
      <c r="X117" s="48">
        <f t="shared" si="74"/>
        <v>1</v>
      </c>
      <c r="Z117" s="12">
        <f t="shared" si="75"/>
        <v>0</v>
      </c>
      <c r="AA117" s="44">
        <f t="shared" si="76"/>
        <v>0</v>
      </c>
      <c r="AB117" s="44">
        <f t="shared" si="77"/>
        <v>0</v>
      </c>
      <c r="AC117" s="44" t="str">
        <f t="shared" si="78"/>
        <v/>
      </c>
      <c r="AD117" s="48">
        <f t="shared" si="79"/>
        <v>1</v>
      </c>
      <c r="AF117" s="12">
        <f t="shared" si="80"/>
        <v>0</v>
      </c>
      <c r="AG117" s="44">
        <f t="shared" si="81"/>
        <v>0</v>
      </c>
      <c r="AH117" s="44">
        <f t="shared" si="82"/>
        <v>1</v>
      </c>
      <c r="AI117" s="44" t="str">
        <f t="shared" si="83"/>
        <v/>
      </c>
      <c r="AJ117" s="48">
        <f t="shared" si="84"/>
        <v>0</v>
      </c>
      <c r="AL117" s="12">
        <f t="shared" si="85"/>
        <v>0</v>
      </c>
      <c r="AM117" s="44">
        <f t="shared" si="86"/>
        <v>0</v>
      </c>
      <c r="AN117" s="44">
        <f t="shared" si="87"/>
        <v>0</v>
      </c>
      <c r="AO117" s="44" t="str">
        <f t="shared" si="88"/>
        <v/>
      </c>
      <c r="AP117" s="48">
        <f t="shared" si="89"/>
        <v>1</v>
      </c>
      <c r="AR117" s="12">
        <f t="shared" si="90"/>
        <v>0</v>
      </c>
      <c r="AS117" s="44">
        <f t="shared" si="91"/>
        <v>1</v>
      </c>
      <c r="AT117" s="44">
        <f t="shared" si="92"/>
        <v>0</v>
      </c>
      <c r="AU117" s="44" t="str">
        <f t="shared" si="93"/>
        <v/>
      </c>
      <c r="AV117" s="48">
        <f t="shared" si="94"/>
        <v>0</v>
      </c>
      <c r="AX117" s="12">
        <f t="shared" si="95"/>
        <v>0</v>
      </c>
      <c r="AY117" s="44">
        <f t="shared" si="96"/>
        <v>0</v>
      </c>
      <c r="AZ117" s="44">
        <f t="shared" si="97"/>
        <v>1</v>
      </c>
      <c r="BA117" s="44" t="str">
        <f t="shared" si="98"/>
        <v/>
      </c>
      <c r="BB117" s="48">
        <f t="shared" si="99"/>
        <v>1</v>
      </c>
      <c r="BD117" s="12">
        <f t="shared" si="100"/>
        <v>0</v>
      </c>
      <c r="BE117" s="44">
        <f t="shared" si="101"/>
        <v>1</v>
      </c>
      <c r="BF117" s="44">
        <f t="shared" si="102"/>
        <v>0</v>
      </c>
      <c r="BG117" s="44" t="str">
        <f t="shared" si="103"/>
        <v/>
      </c>
      <c r="BH117" s="48">
        <f t="shared" si="104"/>
        <v>0</v>
      </c>
      <c r="BJ117" s="12">
        <f t="shared" si="105"/>
        <v>1</v>
      </c>
      <c r="BK117" s="44">
        <f t="shared" si="106"/>
        <v>1</v>
      </c>
      <c r="BL117" s="44">
        <f t="shared" si="107"/>
        <v>1</v>
      </c>
      <c r="BM117" s="44" t="str">
        <f t="shared" si="108"/>
        <v/>
      </c>
      <c r="BN117" s="48">
        <f t="shared" si="109"/>
        <v>0</v>
      </c>
      <c r="BP117" s="12">
        <f t="shared" si="110"/>
        <v>1</v>
      </c>
      <c r="BQ117" s="44">
        <f t="shared" si="111"/>
        <v>0</v>
      </c>
      <c r="BR117" s="44">
        <f t="shared" si="112"/>
        <v>0</v>
      </c>
      <c r="BS117" s="44" t="str">
        <f t="shared" si="113"/>
        <v/>
      </c>
      <c r="BT117" s="48">
        <f t="shared" si="114"/>
        <v>0</v>
      </c>
    </row>
    <row r="118" spans="1:72" x14ac:dyDescent="0.25">
      <c r="A118" s="4">
        <v>96</v>
      </c>
      <c r="B118" s="54" t="str">
        <f>IF('Game Info'!J101="","",'Game Info'!J101)</f>
        <v>K</v>
      </c>
      <c r="C118" s="54" t="str">
        <f>IF('Game Info'!K101="","",'Game Info'!K101)</f>
        <v>FG</v>
      </c>
      <c r="D118" s="54" t="str">
        <f>IF('Game Info'!L101="","",'Game Info'!L101)</f>
        <v>SYM4</v>
      </c>
      <c r="E118" s="54" t="str">
        <f>IF('Game Info'!M101="","",'Game Info'!M101)</f>
        <v/>
      </c>
      <c r="F118" s="55" t="str">
        <f>IF('Game Info'!N101="","",'Game Info'!N101)</f>
        <v>K</v>
      </c>
      <c r="H118" s="12">
        <f t="shared" si="60"/>
        <v>0</v>
      </c>
      <c r="I118" s="44">
        <f t="shared" si="61"/>
        <v>0</v>
      </c>
      <c r="J118" s="44">
        <f t="shared" si="62"/>
        <v>0</v>
      </c>
      <c r="K118" s="44" t="str">
        <f t="shared" si="63"/>
        <v/>
      </c>
      <c r="L118" s="48">
        <f t="shared" si="64"/>
        <v>0</v>
      </c>
      <c r="N118" s="12">
        <f t="shared" si="65"/>
        <v>1</v>
      </c>
      <c r="O118" s="44">
        <f t="shared" si="66"/>
        <v>1</v>
      </c>
      <c r="P118" s="44">
        <f t="shared" si="67"/>
        <v>0</v>
      </c>
      <c r="Q118" s="44" t="str">
        <f t="shared" si="68"/>
        <v/>
      </c>
      <c r="R118" s="48">
        <f t="shared" si="69"/>
        <v>0</v>
      </c>
      <c r="T118" s="12">
        <f t="shared" si="70"/>
        <v>1</v>
      </c>
      <c r="U118" s="44">
        <f t="shared" si="71"/>
        <v>0</v>
      </c>
      <c r="V118" s="44">
        <f t="shared" si="72"/>
        <v>1</v>
      </c>
      <c r="W118" s="44" t="str">
        <f t="shared" si="73"/>
        <v/>
      </c>
      <c r="X118" s="48">
        <f t="shared" si="74"/>
        <v>0</v>
      </c>
      <c r="Z118" s="12">
        <f t="shared" si="75"/>
        <v>0</v>
      </c>
      <c r="AA118" s="44">
        <f t="shared" si="76"/>
        <v>0</v>
      </c>
      <c r="AB118" s="44">
        <f t="shared" si="77"/>
        <v>1</v>
      </c>
      <c r="AC118" s="44" t="str">
        <f t="shared" si="78"/>
        <v/>
      </c>
      <c r="AD118" s="48">
        <f t="shared" si="79"/>
        <v>1</v>
      </c>
      <c r="AF118" s="12">
        <f t="shared" si="80"/>
        <v>0</v>
      </c>
      <c r="AG118" s="44">
        <f t="shared" si="81"/>
        <v>0</v>
      </c>
      <c r="AH118" s="44">
        <f t="shared" si="82"/>
        <v>0</v>
      </c>
      <c r="AI118" s="44" t="str">
        <f t="shared" si="83"/>
        <v/>
      </c>
      <c r="AJ118" s="48">
        <f t="shared" si="84"/>
        <v>0</v>
      </c>
      <c r="AL118" s="12">
        <f t="shared" si="85"/>
        <v>0</v>
      </c>
      <c r="AM118" s="44">
        <f t="shared" si="86"/>
        <v>0</v>
      </c>
      <c r="AN118" s="44">
        <f t="shared" si="87"/>
        <v>0</v>
      </c>
      <c r="AO118" s="44" t="str">
        <f t="shared" si="88"/>
        <v/>
      </c>
      <c r="AP118" s="48">
        <f t="shared" si="89"/>
        <v>1</v>
      </c>
      <c r="AR118" s="12">
        <f t="shared" si="90"/>
        <v>1</v>
      </c>
      <c r="AS118" s="44">
        <f t="shared" si="91"/>
        <v>1</v>
      </c>
      <c r="AT118" s="44">
        <f t="shared" si="92"/>
        <v>0</v>
      </c>
      <c r="AU118" s="44" t="str">
        <f t="shared" si="93"/>
        <v/>
      </c>
      <c r="AV118" s="48">
        <f t="shared" si="94"/>
        <v>1</v>
      </c>
      <c r="AX118" s="12">
        <f t="shared" si="95"/>
        <v>0</v>
      </c>
      <c r="AY118" s="44">
        <f t="shared" si="96"/>
        <v>0</v>
      </c>
      <c r="AZ118" s="44">
        <f t="shared" si="97"/>
        <v>1</v>
      </c>
      <c r="BA118" s="44" t="str">
        <f t="shared" si="98"/>
        <v/>
      </c>
      <c r="BB118" s="48">
        <f t="shared" si="99"/>
        <v>1</v>
      </c>
      <c r="BD118" s="12">
        <f t="shared" si="100"/>
        <v>0</v>
      </c>
      <c r="BE118" s="44">
        <f t="shared" si="101"/>
        <v>1</v>
      </c>
      <c r="BF118" s="44">
        <f t="shared" si="102"/>
        <v>0</v>
      </c>
      <c r="BG118" s="44" t="str">
        <f t="shared" si="103"/>
        <v/>
      </c>
      <c r="BH118" s="48">
        <f t="shared" si="104"/>
        <v>0</v>
      </c>
      <c r="BJ118" s="12">
        <f t="shared" si="105"/>
        <v>0</v>
      </c>
      <c r="BK118" s="44">
        <f t="shared" si="106"/>
        <v>0</v>
      </c>
      <c r="BL118" s="44">
        <f t="shared" si="107"/>
        <v>1</v>
      </c>
      <c r="BM118" s="44" t="str">
        <f t="shared" si="108"/>
        <v/>
      </c>
      <c r="BN118" s="48">
        <f t="shared" si="109"/>
        <v>0</v>
      </c>
      <c r="BP118" s="12">
        <f t="shared" si="110"/>
        <v>1</v>
      </c>
      <c r="BQ118" s="44">
        <f t="shared" si="111"/>
        <v>0</v>
      </c>
      <c r="BR118" s="44">
        <f t="shared" si="112"/>
        <v>0</v>
      </c>
      <c r="BS118" s="44" t="str">
        <f t="shared" si="113"/>
        <v/>
      </c>
      <c r="BT118" s="48">
        <f t="shared" si="114"/>
        <v>0</v>
      </c>
    </row>
    <row r="119" spans="1:72" x14ac:dyDescent="0.25">
      <c r="A119" s="4">
        <v>97</v>
      </c>
      <c r="B119" s="54" t="str">
        <f>IF('Game Info'!J102="","",'Game Info'!J102)</f>
        <v>SYM3</v>
      </c>
      <c r="C119" s="54" t="str">
        <f>IF('Game Info'!K102="","",'Game Info'!K102)</f>
        <v>J</v>
      </c>
      <c r="D119" s="54" t="str">
        <f>IF('Game Info'!L102="","",'Game Info'!L102)</f>
        <v>Q</v>
      </c>
      <c r="E119" s="54" t="str">
        <f>IF('Game Info'!M102="","",'Game Info'!M102)</f>
        <v/>
      </c>
      <c r="F119" s="55" t="str">
        <f>IF('Game Info'!N102="","",'Game Info'!N102)</f>
        <v>SYM1</v>
      </c>
      <c r="H119" s="12">
        <f t="shared" si="60"/>
        <v>0</v>
      </c>
      <c r="I119" s="44">
        <f t="shared" si="61"/>
        <v>0</v>
      </c>
      <c r="J119" s="44">
        <f t="shared" si="62"/>
        <v>0</v>
      </c>
      <c r="K119" s="44" t="str">
        <f t="shared" si="63"/>
        <v/>
      </c>
      <c r="L119" s="48">
        <f t="shared" si="64"/>
        <v>1</v>
      </c>
      <c r="N119" s="12">
        <f t="shared" si="65"/>
        <v>1</v>
      </c>
      <c r="O119" s="44">
        <f t="shared" si="66"/>
        <v>0</v>
      </c>
      <c r="P119" s="44">
        <f t="shared" si="67"/>
        <v>0</v>
      </c>
      <c r="Q119" s="44" t="str">
        <f t="shared" si="68"/>
        <v/>
      </c>
      <c r="R119" s="48">
        <f t="shared" si="69"/>
        <v>0</v>
      </c>
      <c r="T119" s="12">
        <f t="shared" si="70"/>
        <v>1</v>
      </c>
      <c r="U119" s="44">
        <f t="shared" si="71"/>
        <v>0</v>
      </c>
      <c r="V119" s="44">
        <f t="shared" si="72"/>
        <v>1</v>
      </c>
      <c r="W119" s="44" t="str">
        <f t="shared" si="73"/>
        <v/>
      </c>
      <c r="X119" s="48">
        <f t="shared" si="74"/>
        <v>0</v>
      </c>
      <c r="Z119" s="12">
        <f t="shared" si="75"/>
        <v>0</v>
      </c>
      <c r="AA119" s="44">
        <f t="shared" si="76"/>
        <v>0</v>
      </c>
      <c r="AB119" s="44">
        <f t="shared" si="77"/>
        <v>1</v>
      </c>
      <c r="AC119" s="44" t="str">
        <f t="shared" si="78"/>
        <v/>
      </c>
      <c r="AD119" s="48">
        <f t="shared" si="79"/>
        <v>1</v>
      </c>
      <c r="AF119" s="12">
        <f t="shared" si="80"/>
        <v>0</v>
      </c>
      <c r="AG119" s="44">
        <f t="shared" si="81"/>
        <v>0</v>
      </c>
      <c r="AH119" s="44">
        <f t="shared" si="82"/>
        <v>0</v>
      </c>
      <c r="AI119" s="44" t="str">
        <f t="shared" si="83"/>
        <v/>
      </c>
      <c r="AJ119" s="48">
        <f t="shared" si="84"/>
        <v>0</v>
      </c>
      <c r="AL119" s="12">
        <f t="shared" si="85"/>
        <v>0</v>
      </c>
      <c r="AM119" s="44">
        <f t="shared" si="86"/>
        <v>0</v>
      </c>
      <c r="AN119" s="44">
        <f t="shared" si="87"/>
        <v>0</v>
      </c>
      <c r="AO119" s="44" t="str">
        <f t="shared" si="88"/>
        <v/>
      </c>
      <c r="AP119" s="48">
        <f t="shared" si="89"/>
        <v>1</v>
      </c>
      <c r="AR119" s="12">
        <f t="shared" si="90"/>
        <v>1</v>
      </c>
      <c r="AS119" s="44">
        <f t="shared" si="91"/>
        <v>1</v>
      </c>
      <c r="AT119" s="44">
        <f t="shared" si="92"/>
        <v>0</v>
      </c>
      <c r="AU119" s="44" t="str">
        <f t="shared" si="93"/>
        <v/>
      </c>
      <c r="AV119" s="48">
        <f t="shared" si="94"/>
        <v>1</v>
      </c>
      <c r="AX119" s="12">
        <f t="shared" si="95"/>
        <v>0</v>
      </c>
      <c r="AY119" s="44">
        <f t="shared" si="96"/>
        <v>0</v>
      </c>
      <c r="AZ119" s="44">
        <f t="shared" si="97"/>
        <v>1</v>
      </c>
      <c r="BA119" s="44" t="str">
        <f t="shared" si="98"/>
        <v/>
      </c>
      <c r="BB119" s="48">
        <f t="shared" si="99"/>
        <v>0</v>
      </c>
      <c r="BD119" s="12">
        <f t="shared" si="100"/>
        <v>0</v>
      </c>
      <c r="BE119" s="44">
        <f t="shared" si="101"/>
        <v>2</v>
      </c>
      <c r="BF119" s="44">
        <f t="shared" si="102"/>
        <v>0</v>
      </c>
      <c r="BG119" s="44" t="str">
        <f t="shared" si="103"/>
        <v/>
      </c>
      <c r="BH119" s="48">
        <f t="shared" si="104"/>
        <v>0</v>
      </c>
      <c r="BJ119" s="12">
        <f t="shared" si="105"/>
        <v>0</v>
      </c>
      <c r="BK119" s="44">
        <f t="shared" si="106"/>
        <v>0</v>
      </c>
      <c r="BL119" s="44">
        <f t="shared" si="107"/>
        <v>1</v>
      </c>
      <c r="BM119" s="44" t="str">
        <f t="shared" si="108"/>
        <v/>
      </c>
      <c r="BN119" s="48">
        <f t="shared" si="109"/>
        <v>0</v>
      </c>
      <c r="BP119" s="12">
        <f t="shared" si="110"/>
        <v>1</v>
      </c>
      <c r="BQ119" s="44">
        <f t="shared" si="111"/>
        <v>0</v>
      </c>
      <c r="BR119" s="44">
        <f t="shared" si="112"/>
        <v>0</v>
      </c>
      <c r="BS119" s="44" t="str">
        <f t="shared" si="113"/>
        <v/>
      </c>
      <c r="BT119" s="48">
        <f t="shared" si="114"/>
        <v>0</v>
      </c>
    </row>
    <row r="120" spans="1:72" x14ac:dyDescent="0.25">
      <c r="A120" s="4">
        <v>98</v>
      </c>
      <c r="B120" s="54" t="str">
        <f>IF('Game Info'!J103="","",'Game Info'!J103)</f>
        <v>Q</v>
      </c>
      <c r="C120" s="54" t="str">
        <f>IF('Game Info'!K103="","",'Game Info'!K103)</f>
        <v>Q</v>
      </c>
      <c r="D120" s="54" t="str">
        <f>IF('Game Info'!L103="","",'Game Info'!L103)</f>
        <v>K</v>
      </c>
      <c r="E120" s="54" t="str">
        <f>IF('Game Info'!M103="","",'Game Info'!M103)</f>
        <v/>
      </c>
      <c r="F120" s="55">
        <f>IF('Game Info'!N103="","",'Game Info'!N103)</f>
        <v>10</v>
      </c>
      <c r="H120" s="12">
        <f t="shared" si="60"/>
        <v>0</v>
      </c>
      <c r="I120" s="44">
        <f t="shared" si="61"/>
        <v>0</v>
      </c>
      <c r="J120" s="44">
        <f t="shared" si="62"/>
        <v>0</v>
      </c>
      <c r="K120" s="44" t="str">
        <f t="shared" si="63"/>
        <v/>
      </c>
      <c r="L120" s="48">
        <f t="shared" si="64"/>
        <v>1</v>
      </c>
      <c r="N120" s="12">
        <f t="shared" si="65"/>
        <v>1</v>
      </c>
      <c r="O120" s="44">
        <f t="shared" si="66"/>
        <v>0</v>
      </c>
      <c r="P120" s="44">
        <f t="shared" si="67"/>
        <v>0</v>
      </c>
      <c r="Q120" s="44" t="str">
        <f t="shared" si="68"/>
        <v/>
      </c>
      <c r="R120" s="48">
        <f t="shared" si="69"/>
        <v>0</v>
      </c>
      <c r="T120" s="12">
        <f t="shared" si="70"/>
        <v>1</v>
      </c>
      <c r="U120" s="44">
        <f t="shared" si="71"/>
        <v>0</v>
      </c>
      <c r="V120" s="44">
        <f t="shared" si="72"/>
        <v>0</v>
      </c>
      <c r="W120" s="44" t="str">
        <f t="shared" si="73"/>
        <v/>
      </c>
      <c r="X120" s="48">
        <f t="shared" si="74"/>
        <v>0</v>
      </c>
      <c r="Z120" s="12">
        <f t="shared" si="75"/>
        <v>0</v>
      </c>
      <c r="AA120" s="44">
        <f t="shared" si="76"/>
        <v>0</v>
      </c>
      <c r="AB120" s="44">
        <f t="shared" si="77"/>
        <v>1</v>
      </c>
      <c r="AC120" s="44" t="str">
        <f t="shared" si="78"/>
        <v/>
      </c>
      <c r="AD120" s="48">
        <f t="shared" si="79"/>
        <v>1</v>
      </c>
      <c r="AF120" s="12">
        <f t="shared" si="80"/>
        <v>0</v>
      </c>
      <c r="AG120" s="44">
        <f t="shared" si="81"/>
        <v>0</v>
      </c>
      <c r="AH120" s="44">
        <f t="shared" si="82"/>
        <v>0</v>
      </c>
      <c r="AI120" s="44" t="str">
        <f t="shared" si="83"/>
        <v/>
      </c>
      <c r="AJ120" s="48">
        <f t="shared" si="84"/>
        <v>0</v>
      </c>
      <c r="AL120" s="12">
        <f t="shared" si="85"/>
        <v>0</v>
      </c>
      <c r="AM120" s="44">
        <f t="shared" si="86"/>
        <v>0</v>
      </c>
      <c r="AN120" s="44">
        <f t="shared" si="87"/>
        <v>0</v>
      </c>
      <c r="AO120" s="44" t="str">
        <f t="shared" si="88"/>
        <v/>
      </c>
      <c r="AP120" s="48">
        <f t="shared" si="89"/>
        <v>0</v>
      </c>
      <c r="AR120" s="12">
        <f t="shared" si="90"/>
        <v>1</v>
      </c>
      <c r="AS120" s="44">
        <f t="shared" si="91"/>
        <v>1</v>
      </c>
      <c r="AT120" s="44">
        <f t="shared" si="92"/>
        <v>1</v>
      </c>
      <c r="AU120" s="44" t="str">
        <f t="shared" si="93"/>
        <v/>
      </c>
      <c r="AV120" s="48">
        <f t="shared" si="94"/>
        <v>1</v>
      </c>
      <c r="AX120" s="12">
        <f t="shared" si="95"/>
        <v>1</v>
      </c>
      <c r="AY120" s="44">
        <f t="shared" si="96"/>
        <v>1</v>
      </c>
      <c r="AZ120" s="44">
        <f t="shared" si="97"/>
        <v>1</v>
      </c>
      <c r="BA120" s="44" t="str">
        <f t="shared" si="98"/>
        <v/>
      </c>
      <c r="BB120" s="48">
        <f t="shared" si="99"/>
        <v>0</v>
      </c>
      <c r="BD120" s="12">
        <f t="shared" si="100"/>
        <v>0</v>
      </c>
      <c r="BE120" s="44">
        <f t="shared" si="101"/>
        <v>1</v>
      </c>
      <c r="BF120" s="44">
        <f t="shared" si="102"/>
        <v>0</v>
      </c>
      <c r="BG120" s="44" t="str">
        <f t="shared" si="103"/>
        <v/>
      </c>
      <c r="BH120" s="48">
        <f t="shared" si="104"/>
        <v>0</v>
      </c>
      <c r="BJ120" s="12">
        <f t="shared" si="105"/>
        <v>0</v>
      </c>
      <c r="BK120" s="44">
        <f t="shared" si="106"/>
        <v>0</v>
      </c>
      <c r="BL120" s="44">
        <f t="shared" si="107"/>
        <v>1</v>
      </c>
      <c r="BM120" s="44" t="str">
        <f t="shared" si="108"/>
        <v/>
      </c>
      <c r="BN120" s="48">
        <f t="shared" si="109"/>
        <v>1</v>
      </c>
      <c r="BP120" s="12">
        <f t="shared" si="110"/>
        <v>0</v>
      </c>
      <c r="BQ120" s="44">
        <f t="shared" si="111"/>
        <v>0</v>
      </c>
      <c r="BR120" s="44">
        <f t="shared" si="112"/>
        <v>0</v>
      </c>
      <c r="BS120" s="44" t="str">
        <f t="shared" si="113"/>
        <v/>
      </c>
      <c r="BT120" s="48">
        <f t="shared" si="114"/>
        <v>0</v>
      </c>
    </row>
    <row r="121" spans="1:72" x14ac:dyDescent="0.25">
      <c r="A121" s="4">
        <v>99</v>
      </c>
      <c r="B121" s="54">
        <f>IF('Game Info'!J104="","",'Game Info'!J104)</f>
        <v>10</v>
      </c>
      <c r="C121" s="54">
        <f>IF('Game Info'!K104="","",'Game Info'!K104)</f>
        <v>10</v>
      </c>
      <c r="D121" s="54" t="str">
        <f>IF('Game Info'!L104="","",'Game Info'!L104)</f>
        <v>FG</v>
      </c>
      <c r="E121" s="54" t="str">
        <f>IF('Game Info'!M104="","",'Game Info'!M104)</f>
        <v/>
      </c>
      <c r="F121" s="55" t="str">
        <f>IF('Game Info'!N104="","",'Game Info'!N104)</f>
        <v>SYM3</v>
      </c>
      <c r="H121" s="12">
        <f t="shared" si="60"/>
        <v>0</v>
      </c>
      <c r="I121" s="44">
        <f t="shared" si="61"/>
        <v>0</v>
      </c>
      <c r="J121" s="44">
        <f t="shared" si="62"/>
        <v>0</v>
      </c>
      <c r="K121" s="44" t="str">
        <f t="shared" si="63"/>
        <v/>
      </c>
      <c r="L121" s="48">
        <f t="shared" si="64"/>
        <v>1</v>
      </c>
      <c r="N121" s="12">
        <f t="shared" si="65"/>
        <v>0</v>
      </c>
      <c r="O121" s="44">
        <f t="shared" si="66"/>
        <v>0</v>
      </c>
      <c r="P121" s="44">
        <f t="shared" si="67"/>
        <v>0</v>
      </c>
      <c r="Q121" s="44" t="str">
        <f t="shared" si="68"/>
        <v/>
      </c>
      <c r="R121" s="48">
        <f t="shared" si="69"/>
        <v>0</v>
      </c>
      <c r="T121" s="12">
        <f t="shared" si="70"/>
        <v>1</v>
      </c>
      <c r="U121" s="44">
        <f t="shared" si="71"/>
        <v>0</v>
      </c>
      <c r="V121" s="44">
        <f t="shared" si="72"/>
        <v>0</v>
      </c>
      <c r="W121" s="44" t="str">
        <f t="shared" si="73"/>
        <v/>
      </c>
      <c r="X121" s="48">
        <f t="shared" si="74"/>
        <v>1</v>
      </c>
      <c r="Z121" s="12">
        <f t="shared" si="75"/>
        <v>0</v>
      </c>
      <c r="AA121" s="44">
        <f t="shared" si="76"/>
        <v>0</v>
      </c>
      <c r="AB121" s="44">
        <f t="shared" si="77"/>
        <v>1</v>
      </c>
      <c r="AC121" s="44" t="str">
        <f t="shared" si="78"/>
        <v/>
      </c>
      <c r="AD121" s="48">
        <f t="shared" si="79"/>
        <v>0</v>
      </c>
      <c r="AF121" s="12">
        <f t="shared" si="80"/>
        <v>0</v>
      </c>
      <c r="AG121" s="44">
        <f t="shared" si="81"/>
        <v>0</v>
      </c>
      <c r="AH121" s="44">
        <f t="shared" si="82"/>
        <v>0</v>
      </c>
      <c r="AI121" s="44" t="str">
        <f t="shared" si="83"/>
        <v/>
      </c>
      <c r="AJ121" s="48">
        <f t="shared" si="84"/>
        <v>0</v>
      </c>
      <c r="AL121" s="12">
        <f t="shared" si="85"/>
        <v>0</v>
      </c>
      <c r="AM121" s="44">
        <f t="shared" si="86"/>
        <v>0</v>
      </c>
      <c r="AN121" s="44">
        <f t="shared" si="87"/>
        <v>0</v>
      </c>
      <c r="AO121" s="44" t="str">
        <f t="shared" si="88"/>
        <v/>
      </c>
      <c r="AP121" s="48">
        <f t="shared" si="89"/>
        <v>0</v>
      </c>
      <c r="AR121" s="12">
        <f t="shared" si="90"/>
        <v>1</v>
      </c>
      <c r="AS121" s="44">
        <f t="shared" si="91"/>
        <v>0</v>
      </c>
      <c r="AT121" s="44">
        <f t="shared" si="92"/>
        <v>1</v>
      </c>
      <c r="AU121" s="44" t="str">
        <f t="shared" si="93"/>
        <v/>
      </c>
      <c r="AV121" s="48">
        <f t="shared" si="94"/>
        <v>1</v>
      </c>
      <c r="AX121" s="12">
        <f t="shared" si="95"/>
        <v>1</v>
      </c>
      <c r="AY121" s="44">
        <f t="shared" si="96"/>
        <v>1</v>
      </c>
      <c r="AZ121" s="44">
        <f t="shared" si="97"/>
        <v>1</v>
      </c>
      <c r="BA121" s="44" t="str">
        <f t="shared" si="98"/>
        <v/>
      </c>
      <c r="BB121" s="48">
        <f t="shared" si="99"/>
        <v>0</v>
      </c>
      <c r="BD121" s="12">
        <f t="shared" si="100"/>
        <v>0</v>
      </c>
      <c r="BE121" s="44">
        <f t="shared" si="101"/>
        <v>1</v>
      </c>
      <c r="BF121" s="44">
        <f t="shared" si="102"/>
        <v>0</v>
      </c>
      <c r="BG121" s="44" t="str">
        <f t="shared" si="103"/>
        <v/>
      </c>
      <c r="BH121" s="48">
        <f t="shared" si="104"/>
        <v>0</v>
      </c>
      <c r="BJ121" s="12">
        <f t="shared" si="105"/>
        <v>1</v>
      </c>
      <c r="BK121" s="44">
        <f t="shared" si="106"/>
        <v>1</v>
      </c>
      <c r="BL121" s="44">
        <f t="shared" si="107"/>
        <v>0</v>
      </c>
      <c r="BM121" s="44" t="str">
        <f t="shared" si="108"/>
        <v/>
      </c>
      <c r="BN121" s="48">
        <f t="shared" si="109"/>
        <v>1</v>
      </c>
      <c r="BP121" s="12">
        <f t="shared" si="110"/>
        <v>0</v>
      </c>
      <c r="BQ121" s="44">
        <f t="shared" si="111"/>
        <v>0</v>
      </c>
      <c r="BR121" s="44">
        <f t="shared" si="112"/>
        <v>0</v>
      </c>
      <c r="BS121" s="44" t="str">
        <f t="shared" si="113"/>
        <v/>
      </c>
      <c r="BT121" s="48">
        <f t="shared" si="114"/>
        <v>0</v>
      </c>
    </row>
    <row r="122" spans="1:72" x14ac:dyDescent="0.25">
      <c r="A122" s="4">
        <v>100</v>
      </c>
      <c r="B122" s="54" t="str">
        <f>IF('Game Info'!J105="","",'Game Info'!J105)</f>
        <v>SYM3</v>
      </c>
      <c r="C122" s="54" t="str">
        <f>IF('Game Info'!K105="","",'Game Info'!K105)</f>
        <v>SYM3</v>
      </c>
      <c r="D122" s="54" t="str">
        <f>IF('Game Info'!L105="","",'Game Info'!L105)</f>
        <v>J</v>
      </c>
      <c r="E122" s="54" t="str">
        <f>IF('Game Info'!M105="","",'Game Info'!M105)</f>
        <v/>
      </c>
      <c r="F122" s="55" t="str">
        <f>IF('Game Info'!N105="","",'Game Info'!N105)</f>
        <v>Q</v>
      </c>
      <c r="H122" s="12">
        <f t="shared" si="60"/>
        <v>0</v>
      </c>
      <c r="I122" s="44">
        <f t="shared" si="61"/>
        <v>0</v>
      </c>
      <c r="J122" s="44">
        <f t="shared" si="62"/>
        <v>0</v>
      </c>
      <c r="K122" s="44" t="str">
        <f t="shared" si="63"/>
        <v/>
      </c>
      <c r="L122" s="48">
        <f t="shared" si="64"/>
        <v>1</v>
      </c>
      <c r="N122" s="12">
        <f t="shared" si="65"/>
        <v>0</v>
      </c>
      <c r="O122" s="44">
        <f t="shared" si="66"/>
        <v>0</v>
      </c>
      <c r="P122" s="44">
        <f t="shared" si="67"/>
        <v>0</v>
      </c>
      <c r="Q122" s="44" t="str">
        <f t="shared" si="68"/>
        <v/>
      </c>
      <c r="R122" s="48">
        <f t="shared" si="69"/>
        <v>0</v>
      </c>
      <c r="T122" s="12">
        <f t="shared" si="70"/>
        <v>2</v>
      </c>
      <c r="U122" s="44">
        <f t="shared" si="71"/>
        <v>1</v>
      </c>
      <c r="V122" s="44">
        <f t="shared" si="72"/>
        <v>0</v>
      </c>
      <c r="W122" s="44" t="str">
        <f t="shared" si="73"/>
        <v/>
      </c>
      <c r="X122" s="48">
        <f t="shared" si="74"/>
        <v>1</v>
      </c>
      <c r="Z122" s="12">
        <f t="shared" si="75"/>
        <v>0</v>
      </c>
      <c r="AA122" s="44">
        <f t="shared" si="76"/>
        <v>0</v>
      </c>
      <c r="AB122" s="44">
        <f t="shared" si="77"/>
        <v>0</v>
      </c>
      <c r="AC122" s="44" t="str">
        <f t="shared" si="78"/>
        <v/>
      </c>
      <c r="AD122" s="48">
        <f t="shared" si="79"/>
        <v>0</v>
      </c>
      <c r="AF122" s="12">
        <f t="shared" si="80"/>
        <v>0</v>
      </c>
      <c r="AG122" s="44">
        <f t="shared" si="81"/>
        <v>0</v>
      </c>
      <c r="AH122" s="44">
        <f t="shared" si="82"/>
        <v>0</v>
      </c>
      <c r="AI122" s="44" t="str">
        <f t="shared" si="83"/>
        <v/>
      </c>
      <c r="AJ122" s="48">
        <f t="shared" si="84"/>
        <v>0</v>
      </c>
      <c r="AL122" s="12">
        <f t="shared" si="85"/>
        <v>0</v>
      </c>
      <c r="AM122" s="44">
        <f t="shared" si="86"/>
        <v>0</v>
      </c>
      <c r="AN122" s="44">
        <f t="shared" si="87"/>
        <v>0</v>
      </c>
      <c r="AO122" s="44" t="str">
        <f t="shared" si="88"/>
        <v/>
      </c>
      <c r="AP122" s="48">
        <f t="shared" si="89"/>
        <v>0</v>
      </c>
      <c r="AR122" s="12">
        <f t="shared" si="90"/>
        <v>0</v>
      </c>
      <c r="AS122" s="44">
        <f t="shared" si="91"/>
        <v>0</v>
      </c>
      <c r="AT122" s="44">
        <f t="shared" si="92"/>
        <v>1</v>
      </c>
      <c r="AU122" s="44" t="str">
        <f t="shared" si="93"/>
        <v/>
      </c>
      <c r="AV122" s="48">
        <f t="shared" si="94"/>
        <v>0</v>
      </c>
      <c r="AX122" s="12">
        <f t="shared" si="95"/>
        <v>1</v>
      </c>
      <c r="AY122" s="44">
        <f t="shared" si="96"/>
        <v>1</v>
      </c>
      <c r="AZ122" s="44">
        <f t="shared" si="97"/>
        <v>1</v>
      </c>
      <c r="BA122" s="44" t="str">
        <f t="shared" si="98"/>
        <v/>
      </c>
      <c r="BB122" s="48">
        <f t="shared" si="99"/>
        <v>1</v>
      </c>
      <c r="BD122" s="12">
        <f t="shared" si="100"/>
        <v>0</v>
      </c>
      <c r="BE122" s="44">
        <f t="shared" si="101"/>
        <v>1</v>
      </c>
      <c r="BF122" s="44">
        <f t="shared" si="102"/>
        <v>1</v>
      </c>
      <c r="BG122" s="44" t="str">
        <f t="shared" si="103"/>
        <v/>
      </c>
      <c r="BH122" s="48">
        <f t="shared" si="104"/>
        <v>0</v>
      </c>
      <c r="BJ122" s="12">
        <f t="shared" si="105"/>
        <v>1</v>
      </c>
      <c r="BK122" s="44">
        <f t="shared" si="106"/>
        <v>1</v>
      </c>
      <c r="BL122" s="44">
        <f t="shared" si="107"/>
        <v>0</v>
      </c>
      <c r="BM122" s="44" t="str">
        <f t="shared" si="108"/>
        <v/>
      </c>
      <c r="BN122" s="48">
        <f t="shared" si="109"/>
        <v>1</v>
      </c>
      <c r="BP122" s="12">
        <f t="shared" si="110"/>
        <v>0</v>
      </c>
      <c r="BQ122" s="44">
        <f t="shared" si="111"/>
        <v>0</v>
      </c>
      <c r="BR122" s="44">
        <f t="shared" si="112"/>
        <v>0</v>
      </c>
      <c r="BS122" s="44" t="str">
        <f t="shared" si="113"/>
        <v/>
      </c>
      <c r="BT122" s="48">
        <f t="shared" si="114"/>
        <v>0</v>
      </c>
    </row>
    <row r="123" spans="1:72" x14ac:dyDescent="0.25">
      <c r="A123" s="4">
        <v>101</v>
      </c>
      <c r="B123" s="54">
        <f>IF('Game Info'!J106="","",'Game Info'!J106)</f>
        <v>9</v>
      </c>
      <c r="C123" s="54" t="str">
        <f>IF('Game Info'!K106="","",'Game Info'!K106)</f>
        <v>A</v>
      </c>
      <c r="D123" s="54" t="str">
        <f>IF('Game Info'!L106="","",'Game Info'!L106)</f>
        <v>SYM1</v>
      </c>
      <c r="E123" s="54" t="str">
        <f>IF('Game Info'!M106="","",'Game Info'!M106)</f>
        <v/>
      </c>
      <c r="F123" s="55" t="str">
        <f>IF('Game Info'!N106="","",'Game Info'!N106)</f>
        <v>K</v>
      </c>
      <c r="H123" s="12">
        <f t="shared" si="60"/>
        <v>0</v>
      </c>
      <c r="I123" s="44">
        <f t="shared" si="61"/>
        <v>0</v>
      </c>
      <c r="J123" s="44">
        <f t="shared" si="62"/>
        <v>1</v>
      </c>
      <c r="K123" s="44" t="str">
        <f t="shared" si="63"/>
        <v/>
      </c>
      <c r="L123" s="48">
        <f t="shared" si="64"/>
        <v>0</v>
      </c>
      <c r="N123" s="12">
        <f t="shared" si="65"/>
        <v>0</v>
      </c>
      <c r="O123" s="44">
        <f t="shared" si="66"/>
        <v>0</v>
      </c>
      <c r="P123" s="44">
        <f t="shared" si="67"/>
        <v>0</v>
      </c>
      <c r="Q123" s="44" t="str">
        <f t="shared" si="68"/>
        <v/>
      </c>
      <c r="R123" s="48">
        <f t="shared" si="69"/>
        <v>0</v>
      </c>
      <c r="T123" s="12">
        <f t="shared" si="70"/>
        <v>1</v>
      </c>
      <c r="U123" s="44">
        <f t="shared" si="71"/>
        <v>1</v>
      </c>
      <c r="V123" s="44">
        <f t="shared" si="72"/>
        <v>0</v>
      </c>
      <c r="W123" s="44" t="str">
        <f t="shared" si="73"/>
        <v/>
      </c>
      <c r="X123" s="48">
        <f t="shared" si="74"/>
        <v>1</v>
      </c>
      <c r="Z123" s="12">
        <f t="shared" si="75"/>
        <v>0</v>
      </c>
      <c r="AA123" s="44">
        <f t="shared" si="76"/>
        <v>0</v>
      </c>
      <c r="AB123" s="44">
        <f t="shared" si="77"/>
        <v>0</v>
      </c>
      <c r="AC123" s="44" t="str">
        <f t="shared" si="78"/>
        <v/>
      </c>
      <c r="AD123" s="48">
        <f t="shared" si="79"/>
        <v>0</v>
      </c>
      <c r="AF123" s="12">
        <f t="shared" si="80"/>
        <v>0</v>
      </c>
      <c r="AG123" s="44">
        <f t="shared" si="81"/>
        <v>0</v>
      </c>
      <c r="AH123" s="44">
        <f t="shared" si="82"/>
        <v>0</v>
      </c>
      <c r="AI123" s="44" t="str">
        <f t="shared" si="83"/>
        <v/>
      </c>
      <c r="AJ123" s="48">
        <f t="shared" si="84"/>
        <v>0</v>
      </c>
      <c r="AL123" s="12">
        <f t="shared" si="85"/>
        <v>0</v>
      </c>
      <c r="AM123" s="44">
        <f t="shared" si="86"/>
        <v>1</v>
      </c>
      <c r="AN123" s="44">
        <f t="shared" si="87"/>
        <v>0</v>
      </c>
      <c r="AO123" s="44" t="str">
        <f t="shared" si="88"/>
        <v/>
      </c>
      <c r="AP123" s="48">
        <f t="shared" si="89"/>
        <v>0</v>
      </c>
      <c r="AR123" s="12">
        <f t="shared" si="90"/>
        <v>0</v>
      </c>
      <c r="AS123" s="44">
        <f t="shared" si="91"/>
        <v>0</v>
      </c>
      <c r="AT123" s="44">
        <f t="shared" si="92"/>
        <v>1</v>
      </c>
      <c r="AU123" s="44" t="str">
        <f t="shared" si="93"/>
        <v/>
      </c>
      <c r="AV123" s="48">
        <f t="shared" si="94"/>
        <v>1</v>
      </c>
      <c r="AX123" s="12">
        <f t="shared" si="95"/>
        <v>1</v>
      </c>
      <c r="AY123" s="44">
        <f t="shared" si="96"/>
        <v>1</v>
      </c>
      <c r="AZ123" s="44">
        <f t="shared" si="97"/>
        <v>0</v>
      </c>
      <c r="BA123" s="44" t="str">
        <f t="shared" si="98"/>
        <v/>
      </c>
      <c r="BB123" s="48">
        <f t="shared" si="99"/>
        <v>1</v>
      </c>
      <c r="BD123" s="12">
        <f t="shared" si="100"/>
        <v>0</v>
      </c>
      <c r="BE123" s="44">
        <f t="shared" si="101"/>
        <v>0</v>
      </c>
      <c r="BF123" s="44">
        <f t="shared" si="102"/>
        <v>1</v>
      </c>
      <c r="BG123" s="44" t="str">
        <f t="shared" si="103"/>
        <v/>
      </c>
      <c r="BH123" s="48">
        <f t="shared" si="104"/>
        <v>0</v>
      </c>
      <c r="BJ123" s="12">
        <f t="shared" si="105"/>
        <v>1</v>
      </c>
      <c r="BK123" s="44">
        <f t="shared" si="106"/>
        <v>1</v>
      </c>
      <c r="BL123" s="44">
        <f t="shared" si="107"/>
        <v>0</v>
      </c>
      <c r="BM123" s="44" t="str">
        <f t="shared" si="108"/>
        <v/>
      </c>
      <c r="BN123" s="48">
        <f t="shared" si="109"/>
        <v>1</v>
      </c>
      <c r="BP123" s="12">
        <f t="shared" si="110"/>
        <v>1</v>
      </c>
      <c r="BQ123" s="44">
        <f t="shared" si="111"/>
        <v>0</v>
      </c>
      <c r="BR123" s="44">
        <f t="shared" si="112"/>
        <v>0</v>
      </c>
      <c r="BS123" s="44" t="str">
        <f t="shared" si="113"/>
        <v/>
      </c>
      <c r="BT123" s="48">
        <f t="shared" si="114"/>
        <v>0</v>
      </c>
    </row>
    <row r="124" spans="1:72" x14ac:dyDescent="0.25">
      <c r="A124" s="4">
        <v>102</v>
      </c>
      <c r="B124" s="54" t="str">
        <f>IF('Game Info'!J107="","",'Game Info'!J107)</f>
        <v>SYM2</v>
      </c>
      <c r="C124" s="54" t="str">
        <f>IF('Game Info'!K107="","",'Game Info'!K107)</f>
        <v>SYM4</v>
      </c>
      <c r="D124" s="54" t="str">
        <f>IF('Game Info'!L107="","",'Game Info'!L107)</f>
        <v>Q</v>
      </c>
      <c r="E124" s="54" t="str">
        <f>IF('Game Info'!M107="","",'Game Info'!M107)</f>
        <v/>
      </c>
      <c r="F124" s="55" t="str">
        <f>IF('Game Info'!N107="","",'Game Info'!N107)</f>
        <v>SYM2</v>
      </c>
      <c r="H124" s="12">
        <f t="shared" si="60"/>
        <v>0</v>
      </c>
      <c r="I124" s="44">
        <f t="shared" si="61"/>
        <v>0</v>
      </c>
      <c r="J124" s="44">
        <f t="shared" si="62"/>
        <v>1</v>
      </c>
      <c r="K124" s="44" t="str">
        <f t="shared" si="63"/>
        <v/>
      </c>
      <c r="L124" s="48">
        <f t="shared" si="64"/>
        <v>0</v>
      </c>
      <c r="N124" s="12">
        <f t="shared" si="65"/>
        <v>1</v>
      </c>
      <c r="O124" s="44">
        <f t="shared" si="66"/>
        <v>0</v>
      </c>
      <c r="P124" s="44">
        <f t="shared" si="67"/>
        <v>0</v>
      </c>
      <c r="Q124" s="44" t="str">
        <f t="shared" si="68"/>
        <v/>
      </c>
      <c r="R124" s="48">
        <f t="shared" si="69"/>
        <v>1</v>
      </c>
      <c r="T124" s="12">
        <f t="shared" si="70"/>
        <v>1</v>
      </c>
      <c r="U124" s="44">
        <f t="shared" si="71"/>
        <v>1</v>
      </c>
      <c r="V124" s="44">
        <f t="shared" si="72"/>
        <v>0</v>
      </c>
      <c r="W124" s="44" t="str">
        <f t="shared" si="73"/>
        <v/>
      </c>
      <c r="X124" s="48">
        <f t="shared" si="74"/>
        <v>1</v>
      </c>
      <c r="Z124" s="12">
        <f t="shared" si="75"/>
        <v>0</v>
      </c>
      <c r="AA124" s="44">
        <f t="shared" si="76"/>
        <v>1</v>
      </c>
      <c r="AB124" s="44">
        <f t="shared" si="77"/>
        <v>0</v>
      </c>
      <c r="AC124" s="44" t="str">
        <f t="shared" si="78"/>
        <v/>
      </c>
      <c r="AD124" s="48">
        <f t="shared" si="79"/>
        <v>0</v>
      </c>
      <c r="AF124" s="12">
        <f t="shared" si="80"/>
        <v>0</v>
      </c>
      <c r="AG124" s="44">
        <f t="shared" si="81"/>
        <v>0</v>
      </c>
      <c r="AH124" s="44">
        <f t="shared" si="82"/>
        <v>0</v>
      </c>
      <c r="AI124" s="44" t="str">
        <f t="shared" si="83"/>
        <v/>
      </c>
      <c r="AJ124" s="48">
        <f t="shared" si="84"/>
        <v>0</v>
      </c>
      <c r="AL124" s="12">
        <f t="shared" si="85"/>
        <v>0</v>
      </c>
      <c r="AM124" s="44">
        <f t="shared" si="86"/>
        <v>1</v>
      </c>
      <c r="AN124" s="44">
        <f t="shared" si="87"/>
        <v>0</v>
      </c>
      <c r="AO124" s="44" t="str">
        <f t="shared" si="88"/>
        <v/>
      </c>
      <c r="AP124" s="48">
        <f t="shared" si="89"/>
        <v>0</v>
      </c>
      <c r="AR124" s="12">
        <f t="shared" si="90"/>
        <v>0</v>
      </c>
      <c r="AS124" s="44">
        <f t="shared" si="91"/>
        <v>0</v>
      </c>
      <c r="AT124" s="44">
        <f t="shared" si="92"/>
        <v>0</v>
      </c>
      <c r="AU124" s="44" t="str">
        <f t="shared" si="93"/>
        <v/>
      </c>
      <c r="AV124" s="48">
        <f t="shared" si="94"/>
        <v>1</v>
      </c>
      <c r="AX124" s="12">
        <f t="shared" si="95"/>
        <v>0</v>
      </c>
      <c r="AY124" s="44">
        <f t="shared" si="96"/>
        <v>0</v>
      </c>
      <c r="AZ124" s="44">
        <f t="shared" si="97"/>
        <v>1</v>
      </c>
      <c r="BA124" s="44" t="str">
        <f t="shared" si="98"/>
        <v/>
      </c>
      <c r="BB124" s="48">
        <f t="shared" si="99"/>
        <v>1</v>
      </c>
      <c r="BD124" s="12">
        <f t="shared" si="100"/>
        <v>0</v>
      </c>
      <c r="BE124" s="44">
        <f t="shared" si="101"/>
        <v>0</v>
      </c>
      <c r="BF124" s="44">
        <f t="shared" si="102"/>
        <v>1</v>
      </c>
      <c r="BG124" s="44" t="str">
        <f t="shared" si="103"/>
        <v/>
      </c>
      <c r="BH124" s="48">
        <f t="shared" si="104"/>
        <v>0</v>
      </c>
      <c r="BJ124" s="12">
        <f t="shared" si="105"/>
        <v>1</v>
      </c>
      <c r="BK124" s="44">
        <f t="shared" si="106"/>
        <v>1</v>
      </c>
      <c r="BL124" s="44">
        <f t="shared" si="107"/>
        <v>0</v>
      </c>
      <c r="BM124" s="44" t="str">
        <f t="shared" si="108"/>
        <v/>
      </c>
      <c r="BN124" s="48">
        <f t="shared" si="109"/>
        <v>0</v>
      </c>
      <c r="BP124" s="12">
        <f t="shared" si="110"/>
        <v>1</v>
      </c>
      <c r="BQ124" s="44">
        <f t="shared" si="111"/>
        <v>0</v>
      </c>
      <c r="BR124" s="44">
        <f t="shared" si="112"/>
        <v>0</v>
      </c>
      <c r="BS124" s="44" t="str">
        <f t="shared" si="113"/>
        <v/>
      </c>
      <c r="BT124" s="48">
        <f t="shared" si="114"/>
        <v>0</v>
      </c>
    </row>
    <row r="125" spans="1:72" x14ac:dyDescent="0.25">
      <c r="A125" s="4">
        <v>103</v>
      </c>
      <c r="B125" s="54" t="str">
        <f>IF('Game Info'!J108="","",'Game Info'!J108)</f>
        <v>K</v>
      </c>
      <c r="C125" s="54" t="str">
        <f>IF('Game Info'!K108="","",'Game Info'!K108)</f>
        <v/>
      </c>
      <c r="D125" s="54" t="str">
        <f>IF('Game Info'!L108="","",'Game Info'!L108)</f>
        <v>SYM3</v>
      </c>
      <c r="E125" s="54" t="str">
        <f>IF('Game Info'!M108="","",'Game Info'!M108)</f>
        <v/>
      </c>
      <c r="F125" s="55" t="str">
        <f>IF('Game Info'!N108="","",'Game Info'!N108)</f>
        <v>A</v>
      </c>
      <c r="H125" s="12">
        <f t="shared" si="60"/>
        <v>0</v>
      </c>
      <c r="I125" s="44" t="str">
        <f t="shared" si="61"/>
        <v/>
      </c>
      <c r="J125" s="44">
        <f t="shared" si="62"/>
        <v>1</v>
      </c>
      <c r="K125" s="44" t="str">
        <f t="shared" si="63"/>
        <v/>
      </c>
      <c r="L125" s="48">
        <f t="shared" si="64"/>
        <v>0</v>
      </c>
      <c r="N125" s="12">
        <f t="shared" si="65"/>
        <v>1</v>
      </c>
      <c r="O125" s="44" t="str">
        <f t="shared" si="66"/>
        <v/>
      </c>
      <c r="P125" s="44">
        <f t="shared" si="67"/>
        <v>0</v>
      </c>
      <c r="Q125" s="44" t="str">
        <f t="shared" si="68"/>
        <v/>
      </c>
      <c r="R125" s="48">
        <f t="shared" si="69"/>
        <v>1</v>
      </c>
      <c r="T125" s="12">
        <f t="shared" si="70"/>
        <v>1</v>
      </c>
      <c r="U125" s="44" t="str">
        <f t="shared" si="71"/>
        <v/>
      </c>
      <c r="V125" s="44">
        <f t="shared" si="72"/>
        <v>1</v>
      </c>
      <c r="W125" s="44" t="str">
        <f t="shared" si="73"/>
        <v/>
      </c>
      <c r="X125" s="48">
        <f t="shared" si="74"/>
        <v>0</v>
      </c>
      <c r="Z125" s="12">
        <f t="shared" si="75"/>
        <v>0</v>
      </c>
      <c r="AA125" s="44" t="str">
        <f t="shared" si="76"/>
        <v/>
      </c>
      <c r="AB125" s="44">
        <f t="shared" si="77"/>
        <v>0</v>
      </c>
      <c r="AC125" s="44" t="str">
        <f t="shared" si="78"/>
        <v/>
      </c>
      <c r="AD125" s="48">
        <f t="shared" si="79"/>
        <v>0</v>
      </c>
      <c r="AF125" s="12">
        <f t="shared" si="80"/>
        <v>0</v>
      </c>
      <c r="AG125" s="44" t="str">
        <f t="shared" si="81"/>
        <v/>
      </c>
      <c r="AH125" s="44">
        <f t="shared" si="82"/>
        <v>0</v>
      </c>
      <c r="AI125" s="44" t="str">
        <f t="shared" si="83"/>
        <v/>
      </c>
      <c r="AJ125" s="48">
        <f t="shared" si="84"/>
        <v>0</v>
      </c>
      <c r="AL125" s="12">
        <f t="shared" si="85"/>
        <v>0</v>
      </c>
      <c r="AM125" s="44" t="str">
        <f t="shared" si="86"/>
        <v/>
      </c>
      <c r="AN125" s="44">
        <f t="shared" si="87"/>
        <v>0</v>
      </c>
      <c r="AO125" s="44" t="str">
        <f t="shared" si="88"/>
        <v/>
      </c>
      <c r="AP125" s="48">
        <f t="shared" si="89"/>
        <v>1</v>
      </c>
      <c r="AR125" s="12">
        <f t="shared" si="90"/>
        <v>1</v>
      </c>
      <c r="AS125" s="44" t="str">
        <f t="shared" si="91"/>
        <v/>
      </c>
      <c r="AT125" s="44">
        <f t="shared" si="92"/>
        <v>0</v>
      </c>
      <c r="AU125" s="44" t="str">
        <f t="shared" si="93"/>
        <v/>
      </c>
      <c r="AV125" s="48">
        <f t="shared" si="94"/>
        <v>1</v>
      </c>
      <c r="AX125" s="12">
        <f t="shared" si="95"/>
        <v>0</v>
      </c>
      <c r="AY125" s="44" t="str">
        <f t="shared" si="96"/>
        <v/>
      </c>
      <c r="AZ125" s="44">
        <f t="shared" si="97"/>
        <v>1</v>
      </c>
      <c r="BA125" s="44" t="str">
        <f t="shared" si="98"/>
        <v/>
      </c>
      <c r="BB125" s="48">
        <f t="shared" si="99"/>
        <v>1</v>
      </c>
      <c r="BD125" s="12">
        <f t="shared" si="100"/>
        <v>0</v>
      </c>
      <c r="BE125" s="44" t="str">
        <f t="shared" si="101"/>
        <v/>
      </c>
      <c r="BF125" s="44">
        <f t="shared" si="102"/>
        <v>1</v>
      </c>
      <c r="BG125" s="44" t="str">
        <f t="shared" si="103"/>
        <v/>
      </c>
      <c r="BH125" s="48">
        <f t="shared" si="104"/>
        <v>0</v>
      </c>
      <c r="BJ125" s="12">
        <f t="shared" si="105"/>
        <v>0</v>
      </c>
      <c r="BK125" s="44" t="str">
        <f t="shared" si="106"/>
        <v/>
      </c>
      <c r="BL125" s="44">
        <f t="shared" si="107"/>
        <v>0</v>
      </c>
      <c r="BM125" s="44" t="str">
        <f t="shared" si="108"/>
        <v/>
      </c>
      <c r="BN125" s="48">
        <f t="shared" si="109"/>
        <v>0</v>
      </c>
      <c r="BP125" s="12">
        <f t="shared" si="110"/>
        <v>1</v>
      </c>
      <c r="BQ125" s="44" t="str">
        <f t="shared" si="111"/>
        <v/>
      </c>
      <c r="BR125" s="44">
        <f t="shared" si="112"/>
        <v>0</v>
      </c>
      <c r="BS125" s="44" t="str">
        <f t="shared" si="113"/>
        <v/>
      </c>
      <c r="BT125" s="48">
        <f t="shared" si="114"/>
        <v>0</v>
      </c>
    </row>
    <row r="126" spans="1:72" x14ac:dyDescent="0.25">
      <c r="A126" s="4">
        <v>104</v>
      </c>
      <c r="B126" s="54" t="str">
        <f>IF('Game Info'!J109="","",'Game Info'!J109)</f>
        <v>SYM3</v>
      </c>
      <c r="C126" s="54" t="str">
        <f>IF('Game Info'!K109="","",'Game Info'!K109)</f>
        <v/>
      </c>
      <c r="D126" s="54" t="str">
        <f>IF('Game Info'!L109="","",'Game Info'!L109)</f>
        <v>A</v>
      </c>
      <c r="E126" s="54" t="str">
        <f>IF('Game Info'!M109="","",'Game Info'!M109)</f>
        <v/>
      </c>
      <c r="F126" s="55" t="str">
        <f>IF('Game Info'!N109="","",'Game Info'!N109)</f>
        <v>SYM4</v>
      </c>
      <c r="H126" s="12">
        <f t="shared" si="60"/>
        <v>0</v>
      </c>
      <c r="I126" s="44" t="str">
        <f t="shared" si="61"/>
        <v/>
      </c>
      <c r="J126" s="44">
        <f t="shared" si="62"/>
        <v>1</v>
      </c>
      <c r="K126" s="44" t="str">
        <f t="shared" si="63"/>
        <v/>
      </c>
      <c r="L126" s="48">
        <f t="shared" si="64"/>
        <v>0</v>
      </c>
      <c r="N126" s="12">
        <f t="shared" si="65"/>
        <v>1</v>
      </c>
      <c r="O126" s="44" t="str">
        <f t="shared" si="66"/>
        <v/>
      </c>
      <c r="P126" s="44">
        <f t="shared" si="67"/>
        <v>0</v>
      </c>
      <c r="Q126" s="44" t="str">
        <f t="shared" si="68"/>
        <v/>
      </c>
      <c r="R126" s="48">
        <f t="shared" si="69"/>
        <v>1</v>
      </c>
      <c r="T126" s="12">
        <f t="shared" si="70"/>
        <v>1</v>
      </c>
      <c r="U126" s="44" t="str">
        <f t="shared" si="71"/>
        <v/>
      </c>
      <c r="V126" s="44">
        <f t="shared" si="72"/>
        <v>1</v>
      </c>
      <c r="W126" s="44" t="str">
        <f t="shared" si="73"/>
        <v/>
      </c>
      <c r="X126" s="48">
        <f t="shared" si="74"/>
        <v>0</v>
      </c>
      <c r="Z126" s="12">
        <f t="shared" si="75"/>
        <v>0</v>
      </c>
      <c r="AA126" s="44" t="str">
        <f t="shared" si="76"/>
        <v/>
      </c>
      <c r="AB126" s="44">
        <f t="shared" si="77"/>
        <v>0</v>
      </c>
      <c r="AC126" s="44" t="str">
        <f t="shared" si="78"/>
        <v/>
      </c>
      <c r="AD126" s="48">
        <f t="shared" si="79"/>
        <v>1</v>
      </c>
      <c r="AF126" s="12">
        <f t="shared" si="80"/>
        <v>0</v>
      </c>
      <c r="AG126" s="44" t="str">
        <f t="shared" si="81"/>
        <v/>
      </c>
      <c r="AH126" s="44">
        <f t="shared" si="82"/>
        <v>0</v>
      </c>
      <c r="AI126" s="44" t="str">
        <f t="shared" si="83"/>
        <v/>
      </c>
      <c r="AJ126" s="48">
        <f t="shared" si="84"/>
        <v>0</v>
      </c>
      <c r="AL126" s="12">
        <f t="shared" si="85"/>
        <v>0</v>
      </c>
      <c r="AM126" s="44" t="str">
        <f t="shared" si="86"/>
        <v/>
      </c>
      <c r="AN126" s="44">
        <f t="shared" si="87"/>
        <v>1</v>
      </c>
      <c r="AO126" s="44" t="str">
        <f t="shared" si="88"/>
        <v/>
      </c>
      <c r="AP126" s="48">
        <f t="shared" si="89"/>
        <v>1</v>
      </c>
      <c r="AR126" s="12">
        <f t="shared" si="90"/>
        <v>1</v>
      </c>
      <c r="AS126" s="44" t="str">
        <f t="shared" si="91"/>
        <v/>
      </c>
      <c r="AT126" s="44">
        <f t="shared" si="92"/>
        <v>0</v>
      </c>
      <c r="AU126" s="44" t="str">
        <f t="shared" si="93"/>
        <v/>
      </c>
      <c r="AV126" s="48">
        <f t="shared" si="94"/>
        <v>1</v>
      </c>
      <c r="AX126" s="12">
        <f t="shared" si="95"/>
        <v>0</v>
      </c>
      <c r="AY126" s="44" t="str">
        <f t="shared" si="96"/>
        <v/>
      </c>
      <c r="AZ126" s="44">
        <f t="shared" si="97"/>
        <v>1</v>
      </c>
      <c r="BA126" s="44" t="str">
        <f t="shared" si="98"/>
        <v/>
      </c>
      <c r="BB126" s="48">
        <f t="shared" si="99"/>
        <v>0</v>
      </c>
      <c r="BD126" s="12">
        <f t="shared" si="100"/>
        <v>0</v>
      </c>
      <c r="BE126" s="44" t="str">
        <f t="shared" si="101"/>
        <v/>
      </c>
      <c r="BF126" s="44">
        <f t="shared" si="102"/>
        <v>0</v>
      </c>
      <c r="BG126" s="44" t="str">
        <f t="shared" si="103"/>
        <v/>
      </c>
      <c r="BH126" s="48">
        <f t="shared" si="104"/>
        <v>0</v>
      </c>
      <c r="BJ126" s="12">
        <f t="shared" si="105"/>
        <v>0</v>
      </c>
      <c r="BK126" s="44" t="str">
        <f t="shared" si="106"/>
        <v/>
      </c>
      <c r="BL126" s="44">
        <f t="shared" si="107"/>
        <v>0</v>
      </c>
      <c r="BM126" s="44" t="str">
        <f t="shared" si="108"/>
        <v/>
      </c>
      <c r="BN126" s="48">
        <f t="shared" si="109"/>
        <v>0</v>
      </c>
      <c r="BP126" s="12">
        <f t="shared" si="110"/>
        <v>1</v>
      </c>
      <c r="BQ126" s="44" t="str">
        <f t="shared" si="111"/>
        <v/>
      </c>
      <c r="BR126" s="44">
        <f t="shared" si="112"/>
        <v>0</v>
      </c>
      <c r="BS126" s="44" t="str">
        <f t="shared" si="113"/>
        <v/>
      </c>
      <c r="BT126" s="48">
        <f t="shared" si="114"/>
        <v>0</v>
      </c>
    </row>
    <row r="127" spans="1:72" x14ac:dyDescent="0.25">
      <c r="A127" s="4">
        <v>105</v>
      </c>
      <c r="B127" s="54" t="str">
        <f>IF('Game Info'!J110="","",'Game Info'!J110)</f>
        <v>Q</v>
      </c>
      <c r="C127" s="54" t="str">
        <f>IF('Game Info'!K110="","",'Game Info'!K110)</f>
        <v/>
      </c>
      <c r="D127" s="54" t="str">
        <f>IF('Game Info'!L110="","",'Game Info'!L110)</f>
        <v>SYM5</v>
      </c>
      <c r="E127" s="54" t="str">
        <f>IF('Game Info'!M110="","",'Game Info'!M110)</f>
        <v/>
      </c>
      <c r="F127" s="55" t="str">
        <f>IF('Game Info'!N110="","",'Game Info'!N110)</f>
        <v>J</v>
      </c>
      <c r="H127" s="12">
        <f t="shared" si="60"/>
        <v>0</v>
      </c>
      <c r="I127" s="44" t="str">
        <f t="shared" si="61"/>
        <v/>
      </c>
      <c r="J127" s="44">
        <f t="shared" si="62"/>
        <v>0</v>
      </c>
      <c r="K127" s="44" t="str">
        <f t="shared" si="63"/>
        <v/>
      </c>
      <c r="L127" s="48">
        <f t="shared" si="64"/>
        <v>0</v>
      </c>
      <c r="N127" s="12">
        <f t="shared" si="65"/>
        <v>1</v>
      </c>
      <c r="O127" s="44" t="str">
        <f t="shared" si="66"/>
        <v/>
      </c>
      <c r="P127" s="44">
        <f t="shared" si="67"/>
        <v>0</v>
      </c>
      <c r="Q127" s="44" t="str">
        <f t="shared" si="68"/>
        <v/>
      </c>
      <c r="R127" s="48">
        <f t="shared" si="69"/>
        <v>1</v>
      </c>
      <c r="T127" s="12">
        <f t="shared" si="70"/>
        <v>1</v>
      </c>
      <c r="U127" s="44" t="str">
        <f t="shared" si="71"/>
        <v/>
      </c>
      <c r="V127" s="44">
        <f t="shared" si="72"/>
        <v>1</v>
      </c>
      <c r="W127" s="44" t="str">
        <f t="shared" si="73"/>
        <v/>
      </c>
      <c r="X127" s="48">
        <f t="shared" si="74"/>
        <v>0</v>
      </c>
      <c r="Z127" s="12">
        <f t="shared" si="75"/>
        <v>0</v>
      </c>
      <c r="AA127" s="44" t="str">
        <f t="shared" si="76"/>
        <v/>
      </c>
      <c r="AB127" s="44">
        <f t="shared" si="77"/>
        <v>0</v>
      </c>
      <c r="AC127" s="44" t="str">
        <f t="shared" si="78"/>
        <v/>
      </c>
      <c r="AD127" s="48">
        <f t="shared" si="79"/>
        <v>1</v>
      </c>
      <c r="AF127" s="12">
        <f t="shared" si="80"/>
        <v>0</v>
      </c>
      <c r="AG127" s="44" t="str">
        <f t="shared" si="81"/>
        <v/>
      </c>
      <c r="AH127" s="44">
        <f t="shared" si="82"/>
        <v>1</v>
      </c>
      <c r="AI127" s="44" t="str">
        <f t="shared" si="83"/>
        <v/>
      </c>
      <c r="AJ127" s="48">
        <f t="shared" si="84"/>
        <v>0</v>
      </c>
      <c r="AL127" s="12">
        <f t="shared" si="85"/>
        <v>0</v>
      </c>
      <c r="AM127" s="44" t="str">
        <f t="shared" si="86"/>
        <v/>
      </c>
      <c r="AN127" s="44">
        <f t="shared" si="87"/>
        <v>1</v>
      </c>
      <c r="AO127" s="44" t="str">
        <f t="shared" si="88"/>
        <v/>
      </c>
      <c r="AP127" s="48">
        <f t="shared" si="89"/>
        <v>1</v>
      </c>
      <c r="AR127" s="12">
        <f t="shared" si="90"/>
        <v>1</v>
      </c>
      <c r="AS127" s="44" t="str">
        <f t="shared" si="91"/>
        <v/>
      </c>
      <c r="AT127" s="44">
        <f t="shared" si="92"/>
        <v>0</v>
      </c>
      <c r="AU127" s="44" t="str">
        <f t="shared" si="93"/>
        <v/>
      </c>
      <c r="AV127" s="48">
        <f t="shared" si="94"/>
        <v>0</v>
      </c>
      <c r="AX127" s="12">
        <f t="shared" si="95"/>
        <v>1</v>
      </c>
      <c r="AY127" s="44" t="str">
        <f t="shared" si="96"/>
        <v/>
      </c>
      <c r="AZ127" s="44">
        <f t="shared" si="97"/>
        <v>1</v>
      </c>
      <c r="BA127" s="44" t="str">
        <f t="shared" si="98"/>
        <v/>
      </c>
      <c r="BB127" s="48">
        <f t="shared" si="99"/>
        <v>0</v>
      </c>
      <c r="BD127" s="12">
        <f t="shared" si="100"/>
        <v>0</v>
      </c>
      <c r="BE127" s="44" t="str">
        <f t="shared" si="101"/>
        <v/>
      </c>
      <c r="BF127" s="44">
        <f t="shared" si="102"/>
        <v>0</v>
      </c>
      <c r="BG127" s="44" t="str">
        <f t="shared" si="103"/>
        <v/>
      </c>
      <c r="BH127" s="48">
        <f t="shared" si="104"/>
        <v>1</v>
      </c>
      <c r="BJ127" s="12">
        <f t="shared" si="105"/>
        <v>0</v>
      </c>
      <c r="BK127" s="44" t="str">
        <f t="shared" si="106"/>
        <v/>
      </c>
      <c r="BL127" s="44">
        <f t="shared" si="107"/>
        <v>0</v>
      </c>
      <c r="BM127" s="44" t="str">
        <f t="shared" si="108"/>
        <v/>
      </c>
      <c r="BN127" s="48">
        <f t="shared" si="109"/>
        <v>0</v>
      </c>
      <c r="BP127" s="12">
        <f t="shared" si="110"/>
        <v>0</v>
      </c>
      <c r="BQ127" s="44" t="str">
        <f t="shared" si="111"/>
        <v/>
      </c>
      <c r="BR127" s="44">
        <f t="shared" si="112"/>
        <v>0</v>
      </c>
      <c r="BS127" s="44" t="str">
        <f t="shared" si="113"/>
        <v/>
      </c>
      <c r="BT127" s="48">
        <f t="shared" si="114"/>
        <v>0</v>
      </c>
    </row>
    <row r="128" spans="1:72" x14ac:dyDescent="0.25">
      <c r="A128" s="4">
        <v>106</v>
      </c>
      <c r="B128" s="54">
        <f>IF('Game Info'!J111="","",'Game Info'!J111)</f>
        <v>10</v>
      </c>
      <c r="C128" s="54" t="str">
        <f>IF('Game Info'!K111="","",'Game Info'!K111)</f>
        <v/>
      </c>
      <c r="D128" s="54" t="str">
        <f>IF('Game Info'!L111="","",'Game Info'!L111)</f>
        <v>Q</v>
      </c>
      <c r="E128" s="54" t="str">
        <f>IF('Game Info'!M111="","",'Game Info'!M111)</f>
        <v/>
      </c>
      <c r="F128" s="55" t="str">
        <f>IF('Game Info'!N111="","",'Game Info'!N111)</f>
        <v>SYM1</v>
      </c>
      <c r="H128" s="12">
        <f t="shared" si="60"/>
        <v>0</v>
      </c>
      <c r="I128" s="44" t="str">
        <f t="shared" si="61"/>
        <v/>
      </c>
      <c r="J128" s="44">
        <f t="shared" si="62"/>
        <v>0</v>
      </c>
      <c r="K128" s="44" t="str">
        <f t="shared" si="63"/>
        <v/>
      </c>
      <c r="L128" s="48">
        <f t="shared" si="64"/>
        <v>1</v>
      </c>
      <c r="N128" s="12">
        <f t="shared" si="65"/>
        <v>0</v>
      </c>
      <c r="O128" s="44" t="str">
        <f t="shared" si="66"/>
        <v/>
      </c>
      <c r="P128" s="44">
        <f t="shared" si="67"/>
        <v>0</v>
      </c>
      <c r="Q128" s="44" t="str">
        <f t="shared" si="68"/>
        <v/>
      </c>
      <c r="R128" s="48">
        <f t="shared" si="69"/>
        <v>0</v>
      </c>
      <c r="T128" s="12">
        <f t="shared" si="70"/>
        <v>1</v>
      </c>
      <c r="U128" s="44" t="str">
        <f t="shared" si="71"/>
        <v/>
      </c>
      <c r="V128" s="44">
        <f t="shared" si="72"/>
        <v>1</v>
      </c>
      <c r="W128" s="44" t="str">
        <f t="shared" si="73"/>
        <v/>
      </c>
      <c r="X128" s="48">
        <f t="shared" si="74"/>
        <v>0</v>
      </c>
      <c r="Z128" s="12">
        <f t="shared" si="75"/>
        <v>0</v>
      </c>
      <c r="AA128" s="44" t="str">
        <f t="shared" si="76"/>
        <v/>
      </c>
      <c r="AB128" s="44">
        <f t="shared" si="77"/>
        <v>0</v>
      </c>
      <c r="AC128" s="44" t="str">
        <f t="shared" si="78"/>
        <v/>
      </c>
      <c r="AD128" s="48">
        <f t="shared" si="79"/>
        <v>1</v>
      </c>
      <c r="AF128" s="12">
        <f t="shared" si="80"/>
        <v>0</v>
      </c>
      <c r="AG128" s="44" t="str">
        <f t="shared" si="81"/>
        <v/>
      </c>
      <c r="AH128" s="44">
        <f t="shared" si="82"/>
        <v>1</v>
      </c>
      <c r="AI128" s="44" t="str">
        <f t="shared" si="83"/>
        <v/>
      </c>
      <c r="AJ128" s="48">
        <f t="shared" si="84"/>
        <v>0</v>
      </c>
      <c r="AL128" s="12">
        <f t="shared" si="85"/>
        <v>0</v>
      </c>
      <c r="AM128" s="44" t="str">
        <f t="shared" si="86"/>
        <v/>
      </c>
      <c r="AN128" s="44">
        <f t="shared" si="87"/>
        <v>1</v>
      </c>
      <c r="AO128" s="44" t="str">
        <f t="shared" si="88"/>
        <v/>
      </c>
      <c r="AP128" s="48">
        <f t="shared" si="89"/>
        <v>1</v>
      </c>
      <c r="AR128" s="12">
        <f t="shared" si="90"/>
        <v>1</v>
      </c>
      <c r="AS128" s="44" t="str">
        <f t="shared" si="91"/>
        <v/>
      </c>
      <c r="AT128" s="44">
        <f t="shared" si="92"/>
        <v>0</v>
      </c>
      <c r="AU128" s="44" t="str">
        <f t="shared" si="93"/>
        <v/>
      </c>
      <c r="AV128" s="48">
        <f t="shared" si="94"/>
        <v>0</v>
      </c>
      <c r="AX128" s="12">
        <f t="shared" si="95"/>
        <v>1</v>
      </c>
      <c r="AY128" s="44" t="str">
        <f t="shared" si="96"/>
        <v/>
      </c>
      <c r="AZ128" s="44">
        <f t="shared" si="97"/>
        <v>1</v>
      </c>
      <c r="BA128" s="44" t="str">
        <f t="shared" si="98"/>
        <v/>
      </c>
      <c r="BB128" s="48">
        <f t="shared" si="99"/>
        <v>0</v>
      </c>
      <c r="BD128" s="12">
        <f t="shared" si="100"/>
        <v>0</v>
      </c>
      <c r="BE128" s="44" t="str">
        <f t="shared" si="101"/>
        <v/>
      </c>
      <c r="BF128" s="44">
        <f t="shared" si="102"/>
        <v>0</v>
      </c>
      <c r="BG128" s="44" t="str">
        <f t="shared" si="103"/>
        <v/>
      </c>
      <c r="BH128" s="48">
        <f t="shared" si="104"/>
        <v>1</v>
      </c>
      <c r="BJ128" s="12">
        <f t="shared" si="105"/>
        <v>1</v>
      </c>
      <c r="BK128" s="44" t="str">
        <f t="shared" si="106"/>
        <v/>
      </c>
      <c r="BL128" s="44">
        <f t="shared" si="107"/>
        <v>0</v>
      </c>
      <c r="BM128" s="44" t="str">
        <f t="shared" si="108"/>
        <v/>
      </c>
      <c r="BN128" s="48">
        <f t="shared" si="109"/>
        <v>0</v>
      </c>
      <c r="BP128" s="12">
        <f t="shared" si="110"/>
        <v>0</v>
      </c>
      <c r="BQ128" s="44" t="str">
        <f t="shared" si="111"/>
        <v/>
      </c>
      <c r="BR128" s="44">
        <f t="shared" si="112"/>
        <v>0</v>
      </c>
      <c r="BS128" s="44" t="str">
        <f t="shared" si="113"/>
        <v/>
      </c>
      <c r="BT128" s="48">
        <f t="shared" si="114"/>
        <v>0</v>
      </c>
    </row>
    <row r="129" spans="1:72" x14ac:dyDescent="0.25">
      <c r="A129" s="4">
        <v>107</v>
      </c>
      <c r="B129" s="54" t="str">
        <f>IF('Game Info'!J112="","",'Game Info'!J112)</f>
        <v>SYM2</v>
      </c>
      <c r="C129" s="54" t="str">
        <f>IF('Game Info'!K112="","",'Game Info'!K112)</f>
        <v/>
      </c>
      <c r="D129" s="54" t="str">
        <f>IF('Game Info'!L112="","",'Game Info'!L112)</f>
        <v>SYM3</v>
      </c>
      <c r="E129" s="54" t="str">
        <f>IF('Game Info'!M112="","",'Game Info'!M112)</f>
        <v/>
      </c>
      <c r="F129" s="55" t="str">
        <f>IF('Game Info'!N112="","",'Game Info'!N112)</f>
        <v>K</v>
      </c>
      <c r="H129" s="12">
        <f t="shared" si="60"/>
        <v>0</v>
      </c>
      <c r="I129" s="44" t="str">
        <f t="shared" si="61"/>
        <v/>
      </c>
      <c r="J129" s="44">
        <f t="shared" si="62"/>
        <v>0</v>
      </c>
      <c r="K129" s="44" t="str">
        <f t="shared" si="63"/>
        <v/>
      </c>
      <c r="L129" s="48">
        <f t="shared" si="64"/>
        <v>1</v>
      </c>
      <c r="N129" s="12">
        <f t="shared" si="65"/>
        <v>1</v>
      </c>
      <c r="O129" s="44" t="str">
        <f t="shared" si="66"/>
        <v/>
      </c>
      <c r="P129" s="44">
        <f t="shared" si="67"/>
        <v>0</v>
      </c>
      <c r="Q129" s="44" t="str">
        <f t="shared" si="68"/>
        <v/>
      </c>
      <c r="R129" s="48">
        <f t="shared" si="69"/>
        <v>0</v>
      </c>
      <c r="T129" s="12">
        <f t="shared" si="70"/>
        <v>1</v>
      </c>
      <c r="U129" s="44" t="str">
        <f t="shared" si="71"/>
        <v/>
      </c>
      <c r="V129" s="44">
        <f t="shared" si="72"/>
        <v>1</v>
      </c>
      <c r="W129" s="44" t="str">
        <f t="shared" si="73"/>
        <v/>
      </c>
      <c r="X129" s="48">
        <f t="shared" si="74"/>
        <v>0</v>
      </c>
      <c r="Z129" s="12">
        <f t="shared" si="75"/>
        <v>0</v>
      </c>
      <c r="AA129" s="44" t="str">
        <f t="shared" si="76"/>
        <v/>
      </c>
      <c r="AB129" s="44">
        <f t="shared" si="77"/>
        <v>0</v>
      </c>
      <c r="AC129" s="44" t="str">
        <f t="shared" si="78"/>
        <v/>
      </c>
      <c r="AD129" s="48">
        <f t="shared" si="79"/>
        <v>1</v>
      </c>
      <c r="AF129" s="12">
        <f t="shared" si="80"/>
        <v>0</v>
      </c>
      <c r="AG129" s="44" t="str">
        <f t="shared" si="81"/>
        <v/>
      </c>
      <c r="AH129" s="44">
        <f t="shared" si="82"/>
        <v>1</v>
      </c>
      <c r="AI129" s="44" t="str">
        <f t="shared" si="83"/>
        <v/>
      </c>
      <c r="AJ129" s="48">
        <f t="shared" si="84"/>
        <v>0</v>
      </c>
      <c r="AL129" s="12">
        <f t="shared" si="85"/>
        <v>0</v>
      </c>
      <c r="AM129" s="44" t="str">
        <f t="shared" si="86"/>
        <v/>
      </c>
      <c r="AN129" s="44">
        <f t="shared" si="87"/>
        <v>1</v>
      </c>
      <c r="AO129" s="44" t="str">
        <f t="shared" si="88"/>
        <v/>
      </c>
      <c r="AP129" s="48">
        <f t="shared" si="89"/>
        <v>0</v>
      </c>
      <c r="AR129" s="12">
        <f t="shared" si="90"/>
        <v>0</v>
      </c>
      <c r="AS129" s="44" t="str">
        <f t="shared" si="91"/>
        <v/>
      </c>
      <c r="AT129" s="44">
        <f t="shared" si="92"/>
        <v>0</v>
      </c>
      <c r="AU129" s="44" t="str">
        <f t="shared" si="93"/>
        <v/>
      </c>
      <c r="AV129" s="48">
        <f t="shared" si="94"/>
        <v>1</v>
      </c>
      <c r="AX129" s="12">
        <f t="shared" si="95"/>
        <v>1</v>
      </c>
      <c r="AY129" s="44" t="str">
        <f t="shared" si="96"/>
        <v/>
      </c>
      <c r="AZ129" s="44">
        <f t="shared" si="97"/>
        <v>1</v>
      </c>
      <c r="BA129" s="44" t="str">
        <f t="shared" si="98"/>
        <v/>
      </c>
      <c r="BB129" s="48">
        <f t="shared" si="99"/>
        <v>0</v>
      </c>
      <c r="BD129" s="12">
        <f t="shared" si="100"/>
        <v>0</v>
      </c>
      <c r="BE129" s="44" t="str">
        <f t="shared" si="101"/>
        <v/>
      </c>
      <c r="BF129" s="44">
        <f t="shared" si="102"/>
        <v>0</v>
      </c>
      <c r="BG129" s="44" t="str">
        <f t="shared" si="103"/>
        <v/>
      </c>
      <c r="BH129" s="48">
        <f t="shared" si="104"/>
        <v>1</v>
      </c>
      <c r="BJ129" s="12">
        <f t="shared" si="105"/>
        <v>1</v>
      </c>
      <c r="BK129" s="44" t="str">
        <f t="shared" si="106"/>
        <v/>
      </c>
      <c r="BL129" s="44">
        <f t="shared" si="107"/>
        <v>0</v>
      </c>
      <c r="BM129" s="44" t="str">
        <f t="shared" si="108"/>
        <v/>
      </c>
      <c r="BN129" s="48">
        <f t="shared" si="109"/>
        <v>0</v>
      </c>
      <c r="BP129" s="12">
        <f t="shared" si="110"/>
        <v>0</v>
      </c>
      <c r="BQ129" s="44" t="str">
        <f t="shared" si="111"/>
        <v/>
      </c>
      <c r="BR129" s="44">
        <f t="shared" si="112"/>
        <v>0</v>
      </c>
      <c r="BS129" s="44" t="str">
        <f t="shared" si="113"/>
        <v/>
      </c>
      <c r="BT129" s="48">
        <f t="shared" si="114"/>
        <v>0</v>
      </c>
    </row>
    <row r="130" spans="1:72" x14ac:dyDescent="0.25">
      <c r="A130" s="4">
        <v>108</v>
      </c>
      <c r="B130" s="54" t="str">
        <f>IF('Game Info'!J113="","",'Game Info'!J113)</f>
        <v/>
      </c>
      <c r="C130" s="54" t="str">
        <f>IF('Game Info'!K113="","",'Game Info'!K113)</f>
        <v/>
      </c>
      <c r="D130" s="54">
        <f>IF('Game Info'!L113="","",'Game Info'!L113)</f>
        <v>10</v>
      </c>
      <c r="E130" s="54" t="str">
        <f>IF('Game Info'!M113="","",'Game Info'!M113)</f>
        <v/>
      </c>
      <c r="F130" s="55" t="str">
        <f>IF('Game Info'!N113="","",'Game Info'!N113)</f>
        <v>SYM3</v>
      </c>
      <c r="H130" s="12" t="str">
        <f t="shared" si="60"/>
        <v/>
      </c>
      <c r="I130" s="44" t="str">
        <f t="shared" si="61"/>
        <v/>
      </c>
      <c r="J130" s="44">
        <f t="shared" si="62"/>
        <v>0</v>
      </c>
      <c r="K130" s="44" t="str">
        <f t="shared" si="63"/>
        <v/>
      </c>
      <c r="L130" s="48">
        <f t="shared" si="64"/>
        <v>1</v>
      </c>
      <c r="N130" s="12" t="str">
        <f t="shared" si="65"/>
        <v/>
      </c>
      <c r="O130" s="44" t="str">
        <f t="shared" si="66"/>
        <v/>
      </c>
      <c r="P130" s="44">
        <f t="shared" si="67"/>
        <v>0</v>
      </c>
      <c r="Q130" s="44" t="str">
        <f t="shared" si="68"/>
        <v/>
      </c>
      <c r="R130" s="48">
        <f t="shared" si="69"/>
        <v>0</v>
      </c>
      <c r="T130" s="12" t="str">
        <f t="shared" si="70"/>
        <v/>
      </c>
      <c r="U130" s="44" t="str">
        <f t="shared" si="71"/>
        <v/>
      </c>
      <c r="V130" s="44">
        <f t="shared" si="72"/>
        <v>1</v>
      </c>
      <c r="W130" s="44" t="str">
        <f t="shared" si="73"/>
        <v/>
      </c>
      <c r="X130" s="48">
        <f t="shared" si="74"/>
        <v>1</v>
      </c>
      <c r="Z130" s="12" t="str">
        <f t="shared" si="75"/>
        <v/>
      </c>
      <c r="AA130" s="44" t="str">
        <f t="shared" si="76"/>
        <v/>
      </c>
      <c r="AB130" s="44">
        <f t="shared" si="77"/>
        <v>0</v>
      </c>
      <c r="AC130" s="44" t="str">
        <f t="shared" si="78"/>
        <v/>
      </c>
      <c r="AD130" s="48">
        <f t="shared" si="79"/>
        <v>0</v>
      </c>
      <c r="AF130" s="12" t="str">
        <f t="shared" si="80"/>
        <v/>
      </c>
      <c r="AG130" s="44" t="str">
        <f t="shared" si="81"/>
        <v/>
      </c>
      <c r="AH130" s="44">
        <f t="shared" si="82"/>
        <v>1</v>
      </c>
      <c r="AI130" s="44" t="str">
        <f t="shared" si="83"/>
        <v/>
      </c>
      <c r="AJ130" s="48">
        <f t="shared" si="84"/>
        <v>0</v>
      </c>
      <c r="AL130" s="12" t="str">
        <f t="shared" si="85"/>
        <v/>
      </c>
      <c r="AM130" s="44" t="str">
        <f t="shared" si="86"/>
        <v/>
      </c>
      <c r="AN130" s="44">
        <f t="shared" si="87"/>
        <v>0</v>
      </c>
      <c r="AO130" s="44" t="str">
        <f t="shared" si="88"/>
        <v/>
      </c>
      <c r="AP130" s="48">
        <f t="shared" si="89"/>
        <v>0</v>
      </c>
      <c r="AR130" s="12" t="str">
        <f t="shared" si="90"/>
        <v/>
      </c>
      <c r="AS130" s="44" t="str">
        <f t="shared" si="91"/>
        <v/>
      </c>
      <c r="AT130" s="44">
        <f t="shared" si="92"/>
        <v>0</v>
      </c>
      <c r="AU130" s="44" t="str">
        <f t="shared" si="93"/>
        <v/>
      </c>
      <c r="AV130" s="48">
        <f t="shared" si="94"/>
        <v>1</v>
      </c>
      <c r="AX130" s="12" t="str">
        <f t="shared" si="95"/>
        <v/>
      </c>
      <c r="AY130" s="44" t="str">
        <f t="shared" si="96"/>
        <v/>
      </c>
      <c r="AZ130" s="44">
        <f t="shared" si="97"/>
        <v>1</v>
      </c>
      <c r="BA130" s="44" t="str">
        <f t="shared" si="98"/>
        <v/>
      </c>
      <c r="BB130" s="48">
        <f t="shared" si="99"/>
        <v>0</v>
      </c>
      <c r="BD130" s="12" t="str">
        <f t="shared" si="100"/>
        <v/>
      </c>
      <c r="BE130" s="44" t="str">
        <f t="shared" si="101"/>
        <v/>
      </c>
      <c r="BF130" s="44">
        <f t="shared" si="102"/>
        <v>0</v>
      </c>
      <c r="BG130" s="44" t="str">
        <f t="shared" si="103"/>
        <v/>
      </c>
      <c r="BH130" s="48">
        <f t="shared" si="104"/>
        <v>1</v>
      </c>
      <c r="BJ130" s="12" t="str">
        <f t="shared" si="105"/>
        <v/>
      </c>
      <c r="BK130" s="44" t="str">
        <f t="shared" si="106"/>
        <v/>
      </c>
      <c r="BL130" s="44">
        <f t="shared" si="107"/>
        <v>1</v>
      </c>
      <c r="BM130" s="44" t="str">
        <f t="shared" si="108"/>
        <v/>
      </c>
      <c r="BN130" s="48">
        <f t="shared" si="109"/>
        <v>0</v>
      </c>
      <c r="BP130" s="12" t="str">
        <f t="shared" si="110"/>
        <v/>
      </c>
      <c r="BQ130" s="44" t="str">
        <f t="shared" si="111"/>
        <v/>
      </c>
      <c r="BR130" s="44">
        <f t="shared" si="112"/>
        <v>0</v>
      </c>
      <c r="BS130" s="44" t="str">
        <f t="shared" si="113"/>
        <v/>
      </c>
      <c r="BT130" s="48">
        <f t="shared" si="114"/>
        <v>0</v>
      </c>
    </row>
    <row r="131" spans="1:72" x14ac:dyDescent="0.25">
      <c r="A131" s="4">
        <v>109</v>
      </c>
      <c r="B131" s="54" t="str">
        <f>IF('Game Info'!J114="","",'Game Info'!J114)</f>
        <v/>
      </c>
      <c r="C131" s="54" t="str">
        <f>IF('Game Info'!K114="","",'Game Info'!K114)</f>
        <v/>
      </c>
      <c r="D131" s="54" t="str">
        <f>IF('Game Info'!L114="","",'Game Info'!L114)</f>
        <v>SYM4</v>
      </c>
      <c r="E131" s="54" t="str">
        <f>IF('Game Info'!M114="","",'Game Info'!M114)</f>
        <v/>
      </c>
      <c r="F131" s="55">
        <f>IF('Game Info'!N114="","",'Game Info'!N114)</f>
        <v>10</v>
      </c>
      <c r="H131" s="12" t="str">
        <f t="shared" si="60"/>
        <v/>
      </c>
      <c r="I131" s="44" t="str">
        <f t="shared" si="61"/>
        <v/>
      </c>
      <c r="J131" s="44">
        <f t="shared" si="62"/>
        <v>0</v>
      </c>
      <c r="K131" s="44" t="str">
        <f t="shared" si="63"/>
        <v/>
      </c>
      <c r="L131" s="48">
        <f t="shared" si="64"/>
        <v>1</v>
      </c>
      <c r="N131" s="12" t="str">
        <f t="shared" si="65"/>
        <v/>
      </c>
      <c r="O131" s="44" t="str">
        <f t="shared" si="66"/>
        <v/>
      </c>
      <c r="P131" s="44">
        <f t="shared" si="67"/>
        <v>0</v>
      </c>
      <c r="Q131" s="44" t="str">
        <f t="shared" si="68"/>
        <v/>
      </c>
      <c r="R131" s="48">
        <f t="shared" si="69"/>
        <v>0</v>
      </c>
      <c r="T131" s="12" t="str">
        <f t="shared" si="70"/>
        <v/>
      </c>
      <c r="U131" s="44" t="str">
        <f t="shared" si="71"/>
        <v/>
      </c>
      <c r="V131" s="44">
        <f t="shared" si="72"/>
        <v>1</v>
      </c>
      <c r="W131" s="44" t="str">
        <f t="shared" si="73"/>
        <v/>
      </c>
      <c r="X131" s="48">
        <f t="shared" si="74"/>
        <v>1</v>
      </c>
      <c r="Z131" s="12" t="str">
        <f t="shared" si="75"/>
        <v/>
      </c>
      <c r="AA131" s="44" t="str">
        <f t="shared" si="76"/>
        <v/>
      </c>
      <c r="AB131" s="44">
        <f t="shared" si="77"/>
        <v>1</v>
      </c>
      <c r="AC131" s="44" t="str">
        <f t="shared" si="78"/>
        <v/>
      </c>
      <c r="AD131" s="48">
        <f t="shared" si="79"/>
        <v>0</v>
      </c>
      <c r="AF131" s="12" t="str">
        <f t="shared" si="80"/>
        <v/>
      </c>
      <c r="AG131" s="44" t="str">
        <f t="shared" si="81"/>
        <v/>
      </c>
      <c r="AH131" s="44">
        <f t="shared" si="82"/>
        <v>0</v>
      </c>
      <c r="AI131" s="44" t="str">
        <f t="shared" si="83"/>
        <v/>
      </c>
      <c r="AJ131" s="48">
        <f t="shared" si="84"/>
        <v>0</v>
      </c>
      <c r="AL131" s="12" t="str">
        <f t="shared" si="85"/>
        <v/>
      </c>
      <c r="AM131" s="44" t="str">
        <f t="shared" si="86"/>
        <v/>
      </c>
      <c r="AN131" s="44">
        <f t="shared" si="87"/>
        <v>0</v>
      </c>
      <c r="AO131" s="44" t="str">
        <f t="shared" si="88"/>
        <v/>
      </c>
      <c r="AP131" s="48">
        <f t="shared" si="89"/>
        <v>0</v>
      </c>
      <c r="AR131" s="12" t="str">
        <f t="shared" si="90"/>
        <v/>
      </c>
      <c r="AS131" s="44" t="str">
        <f t="shared" si="91"/>
        <v/>
      </c>
      <c r="AT131" s="44">
        <f t="shared" si="92"/>
        <v>0</v>
      </c>
      <c r="AU131" s="44" t="str">
        <f t="shared" si="93"/>
        <v/>
      </c>
      <c r="AV131" s="48">
        <f t="shared" si="94"/>
        <v>1</v>
      </c>
      <c r="AX131" s="12" t="str">
        <f t="shared" si="95"/>
        <v/>
      </c>
      <c r="AY131" s="44" t="str">
        <f t="shared" si="96"/>
        <v/>
      </c>
      <c r="AZ131" s="44">
        <f t="shared" si="97"/>
        <v>1</v>
      </c>
      <c r="BA131" s="44" t="str">
        <f t="shared" si="98"/>
        <v/>
      </c>
      <c r="BB131" s="48">
        <f t="shared" si="99"/>
        <v>0</v>
      </c>
      <c r="BD131" s="12" t="str">
        <f t="shared" si="100"/>
        <v/>
      </c>
      <c r="BE131" s="44" t="str">
        <f t="shared" si="101"/>
        <v/>
      </c>
      <c r="BF131" s="44">
        <f t="shared" si="102"/>
        <v>0</v>
      </c>
      <c r="BG131" s="44" t="str">
        <f t="shared" si="103"/>
        <v/>
      </c>
      <c r="BH131" s="48">
        <f t="shared" si="104"/>
        <v>0</v>
      </c>
      <c r="BJ131" s="12" t="str">
        <f t="shared" si="105"/>
        <v/>
      </c>
      <c r="BK131" s="44" t="str">
        <f t="shared" si="106"/>
        <v/>
      </c>
      <c r="BL131" s="44">
        <f t="shared" si="107"/>
        <v>1</v>
      </c>
      <c r="BM131" s="44" t="str">
        <f t="shared" si="108"/>
        <v/>
      </c>
      <c r="BN131" s="48">
        <f t="shared" si="109"/>
        <v>1</v>
      </c>
      <c r="BP131" s="12" t="str">
        <f t="shared" si="110"/>
        <v/>
      </c>
      <c r="BQ131" s="44" t="str">
        <f t="shared" si="111"/>
        <v/>
      </c>
      <c r="BR131" s="44">
        <f t="shared" si="112"/>
        <v>0</v>
      </c>
      <c r="BS131" s="44" t="str">
        <f t="shared" si="113"/>
        <v/>
      </c>
      <c r="BT131" s="48">
        <f t="shared" si="114"/>
        <v>0</v>
      </c>
    </row>
    <row r="132" spans="1:72" x14ac:dyDescent="0.25">
      <c r="A132" s="4">
        <v>110</v>
      </c>
      <c r="B132" s="54" t="str">
        <f>IF('Game Info'!J115="","",'Game Info'!J115)</f>
        <v/>
      </c>
      <c r="C132" s="54" t="str">
        <f>IF('Game Info'!K115="","",'Game Info'!K115)</f>
        <v/>
      </c>
      <c r="D132" s="54" t="str">
        <f>IF('Game Info'!L115="","",'Game Info'!L115)</f>
        <v>Q</v>
      </c>
      <c r="E132" s="54" t="str">
        <f>IF('Game Info'!M115="","",'Game Info'!M115)</f>
        <v/>
      </c>
      <c r="F132" s="55" t="str">
        <f>IF('Game Info'!N115="","",'Game Info'!N115)</f>
        <v>SYM2</v>
      </c>
      <c r="H132" s="12" t="str">
        <f t="shared" si="60"/>
        <v/>
      </c>
      <c r="I132" s="44" t="str">
        <f t="shared" si="61"/>
        <v/>
      </c>
      <c r="J132" s="44">
        <f t="shared" si="62"/>
        <v>0</v>
      </c>
      <c r="K132" s="44" t="str">
        <f t="shared" si="63"/>
        <v/>
      </c>
      <c r="L132" s="48">
        <f t="shared" si="64"/>
        <v>0</v>
      </c>
      <c r="N132" s="12" t="str">
        <f t="shared" si="65"/>
        <v/>
      </c>
      <c r="O132" s="44" t="str">
        <f t="shared" si="66"/>
        <v/>
      </c>
      <c r="P132" s="44">
        <f t="shared" si="67"/>
        <v>0</v>
      </c>
      <c r="Q132" s="44" t="str">
        <f t="shared" si="68"/>
        <v/>
      </c>
      <c r="R132" s="48">
        <f t="shared" si="69"/>
        <v>1</v>
      </c>
      <c r="T132" s="12" t="str">
        <f t="shared" si="70"/>
        <v/>
      </c>
      <c r="U132" s="44" t="str">
        <f t="shared" si="71"/>
        <v/>
      </c>
      <c r="V132" s="44">
        <f t="shared" si="72"/>
        <v>1</v>
      </c>
      <c r="W132" s="44" t="str">
        <f t="shared" si="73"/>
        <v/>
      </c>
      <c r="X132" s="48">
        <f t="shared" si="74"/>
        <v>1</v>
      </c>
      <c r="Z132" s="12" t="str">
        <f t="shared" si="75"/>
        <v/>
      </c>
      <c r="AA132" s="44" t="str">
        <f t="shared" si="76"/>
        <v/>
      </c>
      <c r="AB132" s="44">
        <f t="shared" si="77"/>
        <v>1</v>
      </c>
      <c r="AC132" s="44" t="str">
        <f t="shared" si="78"/>
        <v/>
      </c>
      <c r="AD132" s="48">
        <f t="shared" si="79"/>
        <v>0</v>
      </c>
      <c r="AF132" s="12" t="str">
        <f t="shared" si="80"/>
        <v/>
      </c>
      <c r="AG132" s="44" t="str">
        <f t="shared" si="81"/>
        <v/>
      </c>
      <c r="AH132" s="44">
        <f t="shared" si="82"/>
        <v>0</v>
      </c>
      <c r="AI132" s="44" t="str">
        <f t="shared" si="83"/>
        <v/>
      </c>
      <c r="AJ132" s="48">
        <f t="shared" si="84"/>
        <v>0</v>
      </c>
      <c r="AL132" s="12" t="str">
        <f t="shared" si="85"/>
        <v/>
      </c>
      <c r="AM132" s="44" t="str">
        <f t="shared" si="86"/>
        <v/>
      </c>
      <c r="AN132" s="44">
        <f t="shared" si="87"/>
        <v>0</v>
      </c>
      <c r="AO132" s="44" t="str">
        <f t="shared" si="88"/>
        <v/>
      </c>
      <c r="AP132" s="48">
        <f t="shared" si="89"/>
        <v>0</v>
      </c>
      <c r="AR132" s="12" t="str">
        <f t="shared" si="90"/>
        <v/>
      </c>
      <c r="AS132" s="44" t="str">
        <f t="shared" si="91"/>
        <v/>
      </c>
      <c r="AT132" s="44">
        <f t="shared" si="92"/>
        <v>0</v>
      </c>
      <c r="AU132" s="44" t="str">
        <f t="shared" si="93"/>
        <v/>
      </c>
      <c r="AV132" s="48">
        <f t="shared" si="94"/>
        <v>1</v>
      </c>
      <c r="AX132" s="12" t="str">
        <f t="shared" si="95"/>
        <v/>
      </c>
      <c r="AY132" s="44" t="str">
        <f t="shared" si="96"/>
        <v/>
      </c>
      <c r="AZ132" s="44">
        <f t="shared" si="97"/>
        <v>1</v>
      </c>
      <c r="BA132" s="44" t="str">
        <f t="shared" si="98"/>
        <v/>
      </c>
      <c r="BB132" s="48">
        <f t="shared" si="99"/>
        <v>0</v>
      </c>
      <c r="BD132" s="12" t="str">
        <f t="shared" si="100"/>
        <v/>
      </c>
      <c r="BE132" s="44" t="str">
        <f t="shared" si="101"/>
        <v/>
      </c>
      <c r="BF132" s="44">
        <f t="shared" si="102"/>
        <v>0</v>
      </c>
      <c r="BG132" s="44" t="str">
        <f t="shared" si="103"/>
        <v/>
      </c>
      <c r="BH132" s="48">
        <f t="shared" si="104"/>
        <v>0</v>
      </c>
      <c r="BJ132" s="12" t="str">
        <f t="shared" si="105"/>
        <v/>
      </c>
      <c r="BK132" s="44" t="str">
        <f t="shared" si="106"/>
        <v/>
      </c>
      <c r="BL132" s="44">
        <f t="shared" si="107"/>
        <v>1</v>
      </c>
      <c r="BM132" s="44" t="str">
        <f t="shared" si="108"/>
        <v/>
      </c>
      <c r="BN132" s="48">
        <f t="shared" si="109"/>
        <v>1</v>
      </c>
      <c r="BP132" s="12" t="str">
        <f t="shared" si="110"/>
        <v/>
      </c>
      <c r="BQ132" s="44" t="str">
        <f t="shared" si="111"/>
        <v/>
      </c>
      <c r="BR132" s="44">
        <f t="shared" si="112"/>
        <v>0</v>
      </c>
      <c r="BS132" s="44" t="str">
        <f t="shared" si="113"/>
        <v/>
      </c>
      <c r="BT132" s="48">
        <f t="shared" si="114"/>
        <v>0</v>
      </c>
    </row>
    <row r="133" spans="1:72" x14ac:dyDescent="0.25">
      <c r="A133" s="4">
        <v>111</v>
      </c>
      <c r="B133" s="54" t="str">
        <f>IF('Game Info'!J116="","",'Game Info'!J116)</f>
        <v/>
      </c>
      <c r="C133" s="54" t="str">
        <f>IF('Game Info'!K116="","",'Game Info'!K116)</f>
        <v/>
      </c>
      <c r="D133" s="54" t="str">
        <f>IF('Game Info'!L116="","",'Game Info'!L116)</f>
        <v/>
      </c>
      <c r="E133" s="54" t="str">
        <f>IF('Game Info'!M116="","",'Game Info'!M116)</f>
        <v/>
      </c>
      <c r="F133" s="55" t="str">
        <f>IF('Game Info'!N116="","",'Game Info'!N116)</f>
        <v>Q</v>
      </c>
      <c r="H133" s="12" t="str">
        <f t="shared" si="60"/>
        <v/>
      </c>
      <c r="I133" s="44" t="str">
        <f t="shared" si="61"/>
        <v/>
      </c>
      <c r="J133" s="44" t="str">
        <f t="shared" si="62"/>
        <v/>
      </c>
      <c r="K133" s="44" t="str">
        <f t="shared" si="63"/>
        <v/>
      </c>
      <c r="L133" s="48">
        <f t="shared" si="64"/>
        <v>0</v>
      </c>
      <c r="N133" s="12" t="str">
        <f t="shared" si="65"/>
        <v/>
      </c>
      <c r="O133" s="44" t="str">
        <f t="shared" si="66"/>
        <v/>
      </c>
      <c r="P133" s="44" t="str">
        <f t="shared" si="67"/>
        <v/>
      </c>
      <c r="Q133" s="44" t="str">
        <f t="shared" si="68"/>
        <v/>
      </c>
      <c r="R133" s="48">
        <f t="shared" si="69"/>
        <v>1</v>
      </c>
      <c r="T133" s="12" t="str">
        <f t="shared" si="70"/>
        <v/>
      </c>
      <c r="U133" s="44" t="str">
        <f t="shared" si="71"/>
        <v/>
      </c>
      <c r="V133" s="44" t="str">
        <f t="shared" si="72"/>
        <v/>
      </c>
      <c r="W133" s="44" t="str">
        <f t="shared" si="73"/>
        <v/>
      </c>
      <c r="X133" s="48">
        <f t="shared" si="74"/>
        <v>1</v>
      </c>
      <c r="Z133" s="12" t="str">
        <f t="shared" si="75"/>
        <v/>
      </c>
      <c r="AA133" s="44" t="str">
        <f t="shared" si="76"/>
        <v/>
      </c>
      <c r="AB133" s="44" t="str">
        <f t="shared" si="77"/>
        <v/>
      </c>
      <c r="AC133" s="44" t="str">
        <f t="shared" si="78"/>
        <v/>
      </c>
      <c r="AD133" s="48">
        <f t="shared" si="79"/>
        <v>0</v>
      </c>
      <c r="AF133" s="12" t="str">
        <f t="shared" si="80"/>
        <v/>
      </c>
      <c r="AG133" s="44" t="str">
        <f t="shared" si="81"/>
        <v/>
      </c>
      <c r="AH133" s="44" t="str">
        <f t="shared" si="82"/>
        <v/>
      </c>
      <c r="AI133" s="44" t="str">
        <f t="shared" si="83"/>
        <v/>
      </c>
      <c r="AJ133" s="48">
        <f t="shared" si="84"/>
        <v>0</v>
      </c>
      <c r="AL133" s="12" t="str">
        <f t="shared" si="85"/>
        <v/>
      </c>
      <c r="AM133" s="44" t="str">
        <f t="shared" si="86"/>
        <v/>
      </c>
      <c r="AN133" s="44" t="str">
        <f t="shared" si="87"/>
        <v/>
      </c>
      <c r="AO133" s="44" t="str">
        <f t="shared" si="88"/>
        <v/>
      </c>
      <c r="AP133" s="48">
        <f t="shared" si="89"/>
        <v>0</v>
      </c>
      <c r="AR133" s="12" t="str">
        <f t="shared" si="90"/>
        <v/>
      </c>
      <c r="AS133" s="44" t="str">
        <f t="shared" si="91"/>
        <v/>
      </c>
      <c r="AT133" s="44" t="str">
        <f t="shared" si="92"/>
        <v/>
      </c>
      <c r="AU133" s="44" t="str">
        <f t="shared" si="93"/>
        <v/>
      </c>
      <c r="AV133" s="48">
        <f t="shared" si="94"/>
        <v>0</v>
      </c>
      <c r="AX133" s="12" t="str">
        <f t="shared" si="95"/>
        <v/>
      </c>
      <c r="AY133" s="44" t="str">
        <f t="shared" si="96"/>
        <v/>
      </c>
      <c r="AZ133" s="44" t="str">
        <f t="shared" si="97"/>
        <v/>
      </c>
      <c r="BA133" s="44" t="str">
        <f t="shared" si="98"/>
        <v/>
      </c>
      <c r="BB133" s="48">
        <f t="shared" si="99"/>
        <v>1</v>
      </c>
      <c r="BD133" s="12" t="str">
        <f t="shared" si="100"/>
        <v/>
      </c>
      <c r="BE133" s="44" t="str">
        <f t="shared" si="101"/>
        <v/>
      </c>
      <c r="BF133" s="44" t="str">
        <f t="shared" si="102"/>
        <v/>
      </c>
      <c r="BG133" s="44" t="str">
        <f t="shared" si="103"/>
        <v/>
      </c>
      <c r="BH133" s="48">
        <f t="shared" si="104"/>
        <v>0</v>
      </c>
      <c r="BJ133" s="12" t="str">
        <f t="shared" si="105"/>
        <v/>
      </c>
      <c r="BK133" s="44" t="str">
        <f t="shared" si="106"/>
        <v/>
      </c>
      <c r="BL133" s="44" t="str">
        <f t="shared" si="107"/>
        <v/>
      </c>
      <c r="BM133" s="44" t="str">
        <f t="shared" si="108"/>
        <v/>
      </c>
      <c r="BN133" s="48">
        <f t="shared" si="109"/>
        <v>1</v>
      </c>
      <c r="BP133" s="12" t="str">
        <f t="shared" si="110"/>
        <v/>
      </c>
      <c r="BQ133" s="44" t="str">
        <f t="shared" si="111"/>
        <v/>
      </c>
      <c r="BR133" s="44" t="str">
        <f t="shared" si="112"/>
        <v/>
      </c>
      <c r="BS133" s="44" t="str">
        <f t="shared" si="113"/>
        <v/>
      </c>
      <c r="BT133" s="48">
        <f t="shared" si="114"/>
        <v>0</v>
      </c>
    </row>
    <row r="134" spans="1:72" x14ac:dyDescent="0.25">
      <c r="A134" s="4">
        <v>112</v>
      </c>
      <c r="B134" s="54" t="str">
        <f>IF('Game Info'!J117="","",'Game Info'!J117)</f>
        <v/>
      </c>
      <c r="C134" s="54" t="str">
        <f>IF('Game Info'!K117="","",'Game Info'!K117)</f>
        <v/>
      </c>
      <c r="D134" s="54" t="str">
        <f>IF('Game Info'!L117="","",'Game Info'!L117)</f>
        <v/>
      </c>
      <c r="E134" s="54" t="str">
        <f>IF('Game Info'!M117="","",'Game Info'!M117)</f>
        <v/>
      </c>
      <c r="F134" s="55" t="str">
        <f>IF('Game Info'!N117="","",'Game Info'!N117)</f>
        <v>SYM4</v>
      </c>
      <c r="H134" s="12" t="str">
        <f t="shared" si="60"/>
        <v/>
      </c>
      <c r="I134" s="44" t="str">
        <f t="shared" si="61"/>
        <v/>
      </c>
      <c r="J134" s="44" t="str">
        <f t="shared" si="62"/>
        <v/>
      </c>
      <c r="K134" s="44" t="str">
        <f t="shared" si="63"/>
        <v/>
      </c>
      <c r="L134" s="48">
        <f t="shared" si="64"/>
        <v>0</v>
      </c>
      <c r="N134" s="12" t="str">
        <f t="shared" si="65"/>
        <v/>
      </c>
      <c r="O134" s="44" t="str">
        <f t="shared" si="66"/>
        <v/>
      </c>
      <c r="P134" s="44" t="str">
        <f t="shared" si="67"/>
        <v/>
      </c>
      <c r="Q134" s="44" t="str">
        <f t="shared" si="68"/>
        <v/>
      </c>
      <c r="R134" s="48">
        <f t="shared" si="69"/>
        <v>1</v>
      </c>
      <c r="T134" s="12" t="str">
        <f t="shared" si="70"/>
        <v/>
      </c>
      <c r="U134" s="44" t="str">
        <f t="shared" si="71"/>
        <v/>
      </c>
      <c r="V134" s="44" t="str">
        <f t="shared" si="72"/>
        <v/>
      </c>
      <c r="W134" s="44" t="str">
        <f t="shared" si="73"/>
        <v/>
      </c>
      <c r="X134" s="48">
        <f t="shared" si="74"/>
        <v>0</v>
      </c>
      <c r="Z134" s="12" t="str">
        <f t="shared" si="75"/>
        <v/>
      </c>
      <c r="AA134" s="44" t="str">
        <f t="shared" si="76"/>
        <v/>
      </c>
      <c r="AB134" s="44" t="str">
        <f t="shared" si="77"/>
        <v/>
      </c>
      <c r="AC134" s="44" t="str">
        <f t="shared" si="78"/>
        <v/>
      </c>
      <c r="AD134" s="48">
        <f t="shared" si="79"/>
        <v>1</v>
      </c>
      <c r="AF134" s="12" t="str">
        <f t="shared" si="80"/>
        <v/>
      </c>
      <c r="AG134" s="44" t="str">
        <f t="shared" si="81"/>
        <v/>
      </c>
      <c r="AH134" s="44" t="str">
        <f t="shared" si="82"/>
        <v/>
      </c>
      <c r="AI134" s="44" t="str">
        <f t="shared" si="83"/>
        <v/>
      </c>
      <c r="AJ134" s="48">
        <f t="shared" si="84"/>
        <v>0</v>
      </c>
      <c r="AL134" s="12" t="str">
        <f t="shared" si="85"/>
        <v/>
      </c>
      <c r="AM134" s="44" t="str">
        <f t="shared" si="86"/>
        <v/>
      </c>
      <c r="AN134" s="44" t="str">
        <f t="shared" si="87"/>
        <v/>
      </c>
      <c r="AO134" s="44" t="str">
        <f t="shared" si="88"/>
        <v/>
      </c>
      <c r="AP134" s="48">
        <f t="shared" si="89"/>
        <v>0</v>
      </c>
      <c r="AR134" s="12" t="str">
        <f t="shared" si="90"/>
        <v/>
      </c>
      <c r="AS134" s="44" t="str">
        <f t="shared" si="91"/>
        <v/>
      </c>
      <c r="AT134" s="44" t="str">
        <f t="shared" si="92"/>
        <v/>
      </c>
      <c r="AU134" s="44" t="str">
        <f t="shared" si="93"/>
        <v/>
      </c>
      <c r="AV134" s="48">
        <f t="shared" si="94"/>
        <v>0</v>
      </c>
      <c r="AX134" s="12" t="str">
        <f t="shared" si="95"/>
        <v/>
      </c>
      <c r="AY134" s="44" t="str">
        <f t="shared" si="96"/>
        <v/>
      </c>
      <c r="AZ134" s="44" t="str">
        <f t="shared" si="97"/>
        <v/>
      </c>
      <c r="BA134" s="44" t="str">
        <f t="shared" si="98"/>
        <v/>
      </c>
      <c r="BB134" s="48">
        <f t="shared" si="99"/>
        <v>1</v>
      </c>
      <c r="BD134" s="12" t="str">
        <f t="shared" si="100"/>
        <v/>
      </c>
      <c r="BE134" s="44" t="str">
        <f t="shared" si="101"/>
        <v/>
      </c>
      <c r="BF134" s="44" t="str">
        <f t="shared" si="102"/>
        <v/>
      </c>
      <c r="BG134" s="44" t="str">
        <f t="shared" si="103"/>
        <v/>
      </c>
      <c r="BH134" s="48">
        <f t="shared" si="104"/>
        <v>0</v>
      </c>
      <c r="BJ134" s="12" t="str">
        <f t="shared" si="105"/>
        <v/>
      </c>
      <c r="BK134" s="44" t="str">
        <f t="shared" si="106"/>
        <v/>
      </c>
      <c r="BL134" s="44" t="str">
        <f t="shared" si="107"/>
        <v/>
      </c>
      <c r="BM134" s="44" t="str">
        <f t="shared" si="108"/>
        <v/>
      </c>
      <c r="BN134" s="48">
        <f t="shared" si="109"/>
        <v>1</v>
      </c>
      <c r="BP134" s="12" t="str">
        <f t="shared" si="110"/>
        <v/>
      </c>
      <c r="BQ134" s="44" t="str">
        <f t="shared" si="111"/>
        <v/>
      </c>
      <c r="BR134" s="44" t="str">
        <f t="shared" si="112"/>
        <v/>
      </c>
      <c r="BS134" s="44" t="str">
        <f t="shared" si="113"/>
        <v/>
      </c>
      <c r="BT134" s="48">
        <f t="shared" si="114"/>
        <v>0</v>
      </c>
    </row>
    <row r="135" spans="1:72" x14ac:dyDescent="0.25">
      <c r="A135" s="4">
        <v>113</v>
      </c>
      <c r="B135" s="54" t="str">
        <f>IF('Game Info'!J118="","",'Game Info'!J118)</f>
        <v/>
      </c>
      <c r="C135" s="54" t="str">
        <f>IF('Game Info'!K118="","",'Game Info'!K118)</f>
        <v/>
      </c>
      <c r="D135" s="54" t="str">
        <f>IF('Game Info'!L118="","",'Game Info'!L118)</f>
        <v/>
      </c>
      <c r="E135" s="54" t="str">
        <f>IF('Game Info'!M118="","",'Game Info'!M118)</f>
        <v/>
      </c>
      <c r="F135" s="55" t="str">
        <f>IF('Game Info'!N118="","",'Game Info'!N118)</f>
        <v>J</v>
      </c>
      <c r="H135" s="12" t="str">
        <f t="shared" si="60"/>
        <v/>
      </c>
      <c r="I135" s="44" t="str">
        <f t="shared" si="61"/>
        <v/>
      </c>
      <c r="J135" s="44" t="str">
        <f t="shared" si="62"/>
        <v/>
      </c>
      <c r="K135" s="44" t="str">
        <f t="shared" si="63"/>
        <v/>
      </c>
      <c r="L135" s="48">
        <f t="shared" si="64"/>
        <v>0</v>
      </c>
      <c r="N135" s="12" t="str">
        <f t="shared" si="65"/>
        <v/>
      </c>
      <c r="O135" s="44" t="str">
        <f t="shared" si="66"/>
        <v/>
      </c>
      <c r="P135" s="44" t="str">
        <f t="shared" si="67"/>
        <v/>
      </c>
      <c r="Q135" s="44" t="str">
        <f t="shared" si="68"/>
        <v/>
      </c>
      <c r="R135" s="48">
        <f t="shared" si="69"/>
        <v>1</v>
      </c>
      <c r="T135" s="12" t="str">
        <f t="shared" si="70"/>
        <v/>
      </c>
      <c r="U135" s="44" t="str">
        <f t="shared" si="71"/>
        <v/>
      </c>
      <c r="V135" s="44" t="str">
        <f t="shared" si="72"/>
        <v/>
      </c>
      <c r="W135" s="44" t="str">
        <f t="shared" si="73"/>
        <v/>
      </c>
      <c r="X135" s="48">
        <f t="shared" si="74"/>
        <v>0</v>
      </c>
      <c r="Z135" s="12" t="str">
        <f t="shared" si="75"/>
        <v/>
      </c>
      <c r="AA135" s="44" t="str">
        <f t="shared" si="76"/>
        <v/>
      </c>
      <c r="AB135" s="44" t="str">
        <f t="shared" si="77"/>
        <v/>
      </c>
      <c r="AC135" s="44" t="str">
        <f t="shared" si="78"/>
        <v/>
      </c>
      <c r="AD135" s="48">
        <f t="shared" si="79"/>
        <v>1</v>
      </c>
      <c r="AF135" s="12" t="str">
        <f t="shared" si="80"/>
        <v/>
      </c>
      <c r="AG135" s="44" t="str">
        <f t="shared" si="81"/>
        <v/>
      </c>
      <c r="AH135" s="44" t="str">
        <f t="shared" si="82"/>
        <v/>
      </c>
      <c r="AI135" s="44" t="str">
        <f t="shared" si="83"/>
        <v/>
      </c>
      <c r="AJ135" s="48">
        <f t="shared" si="84"/>
        <v>0</v>
      </c>
      <c r="AL135" s="12" t="str">
        <f t="shared" si="85"/>
        <v/>
      </c>
      <c r="AM135" s="44" t="str">
        <f t="shared" si="86"/>
        <v/>
      </c>
      <c r="AN135" s="44" t="str">
        <f t="shared" si="87"/>
        <v/>
      </c>
      <c r="AO135" s="44" t="str">
        <f t="shared" si="88"/>
        <v/>
      </c>
      <c r="AP135" s="48">
        <f t="shared" si="89"/>
        <v>0</v>
      </c>
      <c r="AR135" s="12" t="str">
        <f t="shared" si="90"/>
        <v/>
      </c>
      <c r="AS135" s="44" t="str">
        <f t="shared" si="91"/>
        <v/>
      </c>
      <c r="AT135" s="44" t="str">
        <f t="shared" si="92"/>
        <v/>
      </c>
      <c r="AU135" s="44" t="str">
        <f t="shared" si="93"/>
        <v/>
      </c>
      <c r="AV135" s="48">
        <f t="shared" si="94"/>
        <v>0</v>
      </c>
      <c r="AX135" s="12" t="str">
        <f t="shared" si="95"/>
        <v/>
      </c>
      <c r="AY135" s="44" t="str">
        <f t="shared" si="96"/>
        <v/>
      </c>
      <c r="AZ135" s="44" t="str">
        <f t="shared" si="97"/>
        <v/>
      </c>
      <c r="BA135" s="44" t="str">
        <f t="shared" si="98"/>
        <v/>
      </c>
      <c r="BB135" s="48">
        <f t="shared" si="99"/>
        <v>1</v>
      </c>
      <c r="BD135" s="12" t="str">
        <f t="shared" si="100"/>
        <v/>
      </c>
      <c r="BE135" s="44" t="str">
        <f t="shared" si="101"/>
        <v/>
      </c>
      <c r="BF135" s="44" t="str">
        <f t="shared" si="102"/>
        <v/>
      </c>
      <c r="BG135" s="44" t="str">
        <f t="shared" si="103"/>
        <v/>
      </c>
      <c r="BH135" s="48">
        <f t="shared" si="104"/>
        <v>1</v>
      </c>
      <c r="BJ135" s="12" t="str">
        <f t="shared" si="105"/>
        <v/>
      </c>
      <c r="BK135" s="44" t="str">
        <f t="shared" si="106"/>
        <v/>
      </c>
      <c r="BL135" s="44" t="str">
        <f t="shared" si="107"/>
        <v/>
      </c>
      <c r="BM135" s="44" t="str">
        <f t="shared" si="108"/>
        <v/>
      </c>
      <c r="BN135" s="48">
        <f t="shared" si="109"/>
        <v>0</v>
      </c>
      <c r="BP135" s="12" t="str">
        <f t="shared" si="110"/>
        <v/>
      </c>
      <c r="BQ135" s="44" t="str">
        <f t="shared" si="111"/>
        <v/>
      </c>
      <c r="BR135" s="44" t="str">
        <f t="shared" si="112"/>
        <v/>
      </c>
      <c r="BS135" s="44" t="str">
        <f t="shared" si="113"/>
        <v/>
      </c>
      <c r="BT135" s="48">
        <f t="shared" si="114"/>
        <v>0</v>
      </c>
    </row>
    <row r="136" spans="1:72" x14ac:dyDescent="0.25">
      <c r="A136" s="4">
        <v>114</v>
      </c>
      <c r="B136" s="54" t="str">
        <f>IF('Game Info'!J119="","",'Game Info'!J119)</f>
        <v/>
      </c>
      <c r="C136" s="54" t="str">
        <f>IF('Game Info'!K119="","",'Game Info'!K119)</f>
        <v/>
      </c>
      <c r="D136" s="54" t="str">
        <f>IF('Game Info'!L119="","",'Game Info'!L119)</f>
        <v/>
      </c>
      <c r="E136" s="54" t="str">
        <f>IF('Game Info'!M119="","",'Game Info'!M119)</f>
        <v/>
      </c>
      <c r="F136" s="55" t="str">
        <f>IF('Game Info'!N119="","",'Game Info'!N119)</f>
        <v/>
      </c>
      <c r="H136" s="12" t="str">
        <f t="shared" si="60"/>
        <v/>
      </c>
      <c r="I136" s="44" t="str">
        <f t="shared" si="61"/>
        <v/>
      </c>
      <c r="J136" s="44" t="str">
        <f t="shared" si="62"/>
        <v/>
      </c>
      <c r="K136" s="44" t="str">
        <f t="shared" si="63"/>
        <v/>
      </c>
      <c r="L136" s="48" t="str">
        <f t="shared" si="64"/>
        <v/>
      </c>
      <c r="N136" s="12" t="str">
        <f t="shared" si="65"/>
        <v/>
      </c>
      <c r="O136" s="44" t="str">
        <f t="shared" si="66"/>
        <v/>
      </c>
      <c r="P136" s="44" t="str">
        <f t="shared" si="67"/>
        <v/>
      </c>
      <c r="Q136" s="44" t="str">
        <f t="shared" si="68"/>
        <v/>
      </c>
      <c r="R136" s="48" t="str">
        <f t="shared" si="69"/>
        <v/>
      </c>
      <c r="T136" s="12" t="str">
        <f t="shared" si="70"/>
        <v/>
      </c>
      <c r="U136" s="44" t="str">
        <f t="shared" si="71"/>
        <v/>
      </c>
      <c r="V136" s="44" t="str">
        <f t="shared" si="72"/>
        <v/>
      </c>
      <c r="W136" s="44" t="str">
        <f t="shared" si="73"/>
        <v/>
      </c>
      <c r="X136" s="48" t="str">
        <f t="shared" si="74"/>
        <v/>
      </c>
      <c r="Z136" s="12" t="str">
        <f t="shared" si="75"/>
        <v/>
      </c>
      <c r="AA136" s="44" t="str">
        <f t="shared" si="76"/>
        <v/>
      </c>
      <c r="AB136" s="44" t="str">
        <f t="shared" si="77"/>
        <v/>
      </c>
      <c r="AC136" s="44" t="str">
        <f t="shared" si="78"/>
        <v/>
      </c>
      <c r="AD136" s="48" t="str">
        <f t="shared" si="79"/>
        <v/>
      </c>
      <c r="AF136" s="12" t="str">
        <f t="shared" si="80"/>
        <v/>
      </c>
      <c r="AG136" s="44" t="str">
        <f t="shared" si="81"/>
        <v/>
      </c>
      <c r="AH136" s="44" t="str">
        <f t="shared" si="82"/>
        <v/>
      </c>
      <c r="AI136" s="44" t="str">
        <f t="shared" si="83"/>
        <v/>
      </c>
      <c r="AJ136" s="48" t="str">
        <f t="shared" si="84"/>
        <v/>
      </c>
      <c r="AL136" s="12" t="str">
        <f t="shared" si="85"/>
        <v/>
      </c>
      <c r="AM136" s="44" t="str">
        <f t="shared" si="86"/>
        <v/>
      </c>
      <c r="AN136" s="44" t="str">
        <f t="shared" si="87"/>
        <v/>
      </c>
      <c r="AO136" s="44" t="str">
        <f t="shared" si="88"/>
        <v/>
      </c>
      <c r="AP136" s="48" t="str">
        <f t="shared" si="89"/>
        <v/>
      </c>
      <c r="AR136" s="12" t="str">
        <f t="shared" si="90"/>
        <v/>
      </c>
      <c r="AS136" s="44" t="str">
        <f t="shared" si="91"/>
        <v/>
      </c>
      <c r="AT136" s="44" t="str">
        <f t="shared" si="92"/>
        <v/>
      </c>
      <c r="AU136" s="44" t="str">
        <f t="shared" si="93"/>
        <v/>
      </c>
      <c r="AV136" s="48" t="str">
        <f t="shared" si="94"/>
        <v/>
      </c>
      <c r="AX136" s="12" t="str">
        <f t="shared" si="95"/>
        <v/>
      </c>
      <c r="AY136" s="44" t="str">
        <f t="shared" si="96"/>
        <v/>
      </c>
      <c r="AZ136" s="44" t="str">
        <f t="shared" si="97"/>
        <v/>
      </c>
      <c r="BA136" s="44" t="str">
        <f t="shared" si="98"/>
        <v/>
      </c>
      <c r="BB136" s="48" t="str">
        <f t="shared" si="99"/>
        <v/>
      </c>
      <c r="BD136" s="12" t="str">
        <f t="shared" si="100"/>
        <v/>
      </c>
      <c r="BE136" s="44" t="str">
        <f t="shared" si="101"/>
        <v/>
      </c>
      <c r="BF136" s="44" t="str">
        <f t="shared" si="102"/>
        <v/>
      </c>
      <c r="BG136" s="44" t="str">
        <f t="shared" si="103"/>
        <v/>
      </c>
      <c r="BH136" s="48" t="str">
        <f t="shared" si="104"/>
        <v/>
      </c>
      <c r="BJ136" s="12" t="str">
        <f t="shared" si="105"/>
        <v/>
      </c>
      <c r="BK136" s="44" t="str">
        <f t="shared" si="106"/>
        <v/>
      </c>
      <c r="BL136" s="44" t="str">
        <f t="shared" si="107"/>
        <v/>
      </c>
      <c r="BM136" s="44" t="str">
        <f t="shared" si="108"/>
        <v/>
      </c>
      <c r="BN136" s="48" t="str">
        <f t="shared" si="109"/>
        <v/>
      </c>
      <c r="BP136" s="12" t="str">
        <f t="shared" si="110"/>
        <v/>
      </c>
      <c r="BQ136" s="44" t="str">
        <f t="shared" si="111"/>
        <v/>
      </c>
      <c r="BR136" s="44" t="str">
        <f t="shared" si="112"/>
        <v/>
      </c>
      <c r="BS136" s="44" t="str">
        <f t="shared" si="113"/>
        <v/>
      </c>
      <c r="BT136" s="48" t="str">
        <f t="shared" si="114"/>
        <v/>
      </c>
    </row>
    <row r="137" spans="1:72" x14ac:dyDescent="0.25">
      <c r="A137" s="4">
        <v>115</v>
      </c>
      <c r="B137" s="54" t="str">
        <f>IF('Game Info'!J120="","",'Game Info'!J120)</f>
        <v/>
      </c>
      <c r="C137" s="54" t="str">
        <f>IF('Game Info'!K120="","",'Game Info'!K120)</f>
        <v/>
      </c>
      <c r="D137" s="54" t="str">
        <f>IF('Game Info'!L120="","",'Game Info'!L120)</f>
        <v/>
      </c>
      <c r="E137" s="54" t="str">
        <f>IF('Game Info'!M120="","",'Game Info'!M120)</f>
        <v/>
      </c>
      <c r="F137" s="55" t="str">
        <f>IF('Game Info'!N120="","",'Game Info'!N120)</f>
        <v/>
      </c>
      <c r="H137" s="12" t="str">
        <f t="shared" si="60"/>
        <v/>
      </c>
      <c r="I137" s="44" t="str">
        <f t="shared" si="61"/>
        <v/>
      </c>
      <c r="J137" s="44" t="str">
        <f t="shared" si="62"/>
        <v/>
      </c>
      <c r="K137" s="44" t="str">
        <f t="shared" si="63"/>
        <v/>
      </c>
      <c r="L137" s="48" t="str">
        <f t="shared" si="64"/>
        <v/>
      </c>
      <c r="N137" s="12" t="str">
        <f t="shared" si="65"/>
        <v/>
      </c>
      <c r="O137" s="44" t="str">
        <f t="shared" si="66"/>
        <v/>
      </c>
      <c r="P137" s="44" t="str">
        <f t="shared" si="67"/>
        <v/>
      </c>
      <c r="Q137" s="44" t="str">
        <f t="shared" si="68"/>
        <v/>
      </c>
      <c r="R137" s="48" t="str">
        <f t="shared" si="69"/>
        <v/>
      </c>
      <c r="T137" s="12" t="str">
        <f t="shared" si="70"/>
        <v/>
      </c>
      <c r="U137" s="44" t="str">
        <f t="shared" si="71"/>
        <v/>
      </c>
      <c r="V137" s="44" t="str">
        <f t="shared" si="72"/>
        <v/>
      </c>
      <c r="W137" s="44" t="str">
        <f t="shared" si="73"/>
        <v/>
      </c>
      <c r="X137" s="48" t="str">
        <f t="shared" si="74"/>
        <v/>
      </c>
      <c r="Z137" s="12" t="str">
        <f t="shared" si="75"/>
        <v/>
      </c>
      <c r="AA137" s="44" t="str">
        <f t="shared" si="76"/>
        <v/>
      </c>
      <c r="AB137" s="44" t="str">
        <f t="shared" si="77"/>
        <v/>
      </c>
      <c r="AC137" s="44" t="str">
        <f t="shared" si="78"/>
        <v/>
      </c>
      <c r="AD137" s="48" t="str">
        <f t="shared" si="79"/>
        <v/>
      </c>
      <c r="AF137" s="12" t="str">
        <f t="shared" si="80"/>
        <v/>
      </c>
      <c r="AG137" s="44" t="str">
        <f t="shared" si="81"/>
        <v/>
      </c>
      <c r="AH137" s="44" t="str">
        <f t="shared" si="82"/>
        <v/>
      </c>
      <c r="AI137" s="44" t="str">
        <f t="shared" si="83"/>
        <v/>
      </c>
      <c r="AJ137" s="48" t="str">
        <f t="shared" si="84"/>
        <v/>
      </c>
      <c r="AL137" s="12" t="str">
        <f t="shared" si="85"/>
        <v/>
      </c>
      <c r="AM137" s="44" t="str">
        <f t="shared" si="86"/>
        <v/>
      </c>
      <c r="AN137" s="44" t="str">
        <f t="shared" si="87"/>
        <v/>
      </c>
      <c r="AO137" s="44" t="str">
        <f t="shared" si="88"/>
        <v/>
      </c>
      <c r="AP137" s="48" t="str">
        <f t="shared" si="89"/>
        <v/>
      </c>
      <c r="AR137" s="12" t="str">
        <f t="shared" si="90"/>
        <v/>
      </c>
      <c r="AS137" s="44" t="str">
        <f t="shared" si="91"/>
        <v/>
      </c>
      <c r="AT137" s="44" t="str">
        <f t="shared" si="92"/>
        <v/>
      </c>
      <c r="AU137" s="44" t="str">
        <f t="shared" si="93"/>
        <v/>
      </c>
      <c r="AV137" s="48" t="str">
        <f t="shared" si="94"/>
        <v/>
      </c>
      <c r="AX137" s="12" t="str">
        <f t="shared" si="95"/>
        <v/>
      </c>
      <c r="AY137" s="44" t="str">
        <f t="shared" si="96"/>
        <v/>
      </c>
      <c r="AZ137" s="44" t="str">
        <f t="shared" si="97"/>
        <v/>
      </c>
      <c r="BA137" s="44" t="str">
        <f t="shared" si="98"/>
        <v/>
      </c>
      <c r="BB137" s="48" t="str">
        <f t="shared" si="99"/>
        <v/>
      </c>
      <c r="BD137" s="12" t="str">
        <f t="shared" si="100"/>
        <v/>
      </c>
      <c r="BE137" s="44" t="str">
        <f t="shared" si="101"/>
        <v/>
      </c>
      <c r="BF137" s="44" t="str">
        <f t="shared" si="102"/>
        <v/>
      </c>
      <c r="BG137" s="44" t="str">
        <f t="shared" si="103"/>
        <v/>
      </c>
      <c r="BH137" s="48" t="str">
        <f t="shared" si="104"/>
        <v/>
      </c>
      <c r="BJ137" s="12" t="str">
        <f t="shared" si="105"/>
        <v/>
      </c>
      <c r="BK137" s="44" t="str">
        <f t="shared" si="106"/>
        <v/>
      </c>
      <c r="BL137" s="44" t="str">
        <f t="shared" si="107"/>
        <v/>
      </c>
      <c r="BM137" s="44" t="str">
        <f t="shared" si="108"/>
        <v/>
      </c>
      <c r="BN137" s="48" t="str">
        <f t="shared" si="109"/>
        <v/>
      </c>
      <c r="BP137" s="12" t="str">
        <f t="shared" si="110"/>
        <v/>
      </c>
      <c r="BQ137" s="44" t="str">
        <f t="shared" si="111"/>
        <v/>
      </c>
      <c r="BR137" s="44" t="str">
        <f t="shared" si="112"/>
        <v/>
      </c>
      <c r="BS137" s="44" t="str">
        <f t="shared" si="113"/>
        <v/>
      </c>
      <c r="BT137" s="48" t="str">
        <f t="shared" si="114"/>
        <v/>
      </c>
    </row>
    <row r="138" spans="1:72" x14ac:dyDescent="0.25">
      <c r="A138" s="4">
        <v>116</v>
      </c>
      <c r="B138" s="54" t="str">
        <f>IF('Game Info'!J121="","",'Game Info'!J121)</f>
        <v/>
      </c>
      <c r="C138" s="54" t="str">
        <f>IF('Game Info'!K121="","",'Game Info'!K121)</f>
        <v/>
      </c>
      <c r="D138" s="54" t="str">
        <f>IF('Game Info'!L121="","",'Game Info'!L121)</f>
        <v/>
      </c>
      <c r="E138" s="54" t="str">
        <f>IF('Game Info'!M121="","",'Game Info'!M121)</f>
        <v/>
      </c>
      <c r="F138" s="55" t="str">
        <f>IF('Game Info'!N121="","",'Game Info'!N121)</f>
        <v/>
      </c>
      <c r="H138" s="12" t="str">
        <f t="shared" si="60"/>
        <v/>
      </c>
      <c r="I138" s="44" t="str">
        <f t="shared" si="61"/>
        <v/>
      </c>
      <c r="J138" s="44" t="str">
        <f t="shared" si="62"/>
        <v/>
      </c>
      <c r="K138" s="44" t="str">
        <f t="shared" si="63"/>
        <v/>
      </c>
      <c r="L138" s="48" t="str">
        <f t="shared" si="64"/>
        <v/>
      </c>
      <c r="N138" s="12" t="str">
        <f t="shared" si="65"/>
        <v/>
      </c>
      <c r="O138" s="44" t="str">
        <f t="shared" si="66"/>
        <v/>
      </c>
      <c r="P138" s="44" t="str">
        <f t="shared" si="67"/>
        <v/>
      </c>
      <c r="Q138" s="44" t="str">
        <f t="shared" si="68"/>
        <v/>
      </c>
      <c r="R138" s="48" t="str">
        <f t="shared" si="69"/>
        <v/>
      </c>
      <c r="T138" s="12" t="str">
        <f t="shared" si="70"/>
        <v/>
      </c>
      <c r="U138" s="44" t="str">
        <f t="shared" si="71"/>
        <v/>
      </c>
      <c r="V138" s="44" t="str">
        <f t="shared" si="72"/>
        <v/>
      </c>
      <c r="W138" s="44" t="str">
        <f t="shared" si="73"/>
        <v/>
      </c>
      <c r="X138" s="48" t="str">
        <f t="shared" si="74"/>
        <v/>
      </c>
      <c r="Z138" s="12" t="str">
        <f t="shared" si="75"/>
        <v/>
      </c>
      <c r="AA138" s="44" t="str">
        <f t="shared" si="76"/>
        <v/>
      </c>
      <c r="AB138" s="44" t="str">
        <f t="shared" si="77"/>
        <v/>
      </c>
      <c r="AC138" s="44" t="str">
        <f t="shared" si="78"/>
        <v/>
      </c>
      <c r="AD138" s="48" t="str">
        <f t="shared" si="79"/>
        <v/>
      </c>
      <c r="AF138" s="12" t="str">
        <f t="shared" si="80"/>
        <v/>
      </c>
      <c r="AG138" s="44" t="str">
        <f t="shared" si="81"/>
        <v/>
      </c>
      <c r="AH138" s="44" t="str">
        <f t="shared" si="82"/>
        <v/>
      </c>
      <c r="AI138" s="44" t="str">
        <f t="shared" si="83"/>
        <v/>
      </c>
      <c r="AJ138" s="48" t="str">
        <f t="shared" si="84"/>
        <v/>
      </c>
      <c r="AL138" s="12" t="str">
        <f t="shared" si="85"/>
        <v/>
      </c>
      <c r="AM138" s="44" t="str">
        <f t="shared" si="86"/>
        <v/>
      </c>
      <c r="AN138" s="44" t="str">
        <f t="shared" si="87"/>
        <v/>
      </c>
      <c r="AO138" s="44" t="str">
        <f t="shared" si="88"/>
        <v/>
      </c>
      <c r="AP138" s="48" t="str">
        <f t="shared" si="89"/>
        <v/>
      </c>
      <c r="AR138" s="12" t="str">
        <f t="shared" si="90"/>
        <v/>
      </c>
      <c r="AS138" s="44" t="str">
        <f t="shared" si="91"/>
        <v/>
      </c>
      <c r="AT138" s="44" t="str">
        <f t="shared" si="92"/>
        <v/>
      </c>
      <c r="AU138" s="44" t="str">
        <f t="shared" si="93"/>
        <v/>
      </c>
      <c r="AV138" s="48" t="str">
        <f t="shared" si="94"/>
        <v/>
      </c>
      <c r="AX138" s="12" t="str">
        <f t="shared" si="95"/>
        <v/>
      </c>
      <c r="AY138" s="44" t="str">
        <f t="shared" si="96"/>
        <v/>
      </c>
      <c r="AZ138" s="44" t="str">
        <f t="shared" si="97"/>
        <v/>
      </c>
      <c r="BA138" s="44" t="str">
        <f t="shared" si="98"/>
        <v/>
      </c>
      <c r="BB138" s="48" t="str">
        <f t="shared" si="99"/>
        <v/>
      </c>
      <c r="BD138" s="12" t="str">
        <f t="shared" si="100"/>
        <v/>
      </c>
      <c r="BE138" s="44" t="str">
        <f t="shared" si="101"/>
        <v/>
      </c>
      <c r="BF138" s="44" t="str">
        <f t="shared" si="102"/>
        <v/>
      </c>
      <c r="BG138" s="44" t="str">
        <f t="shared" si="103"/>
        <v/>
      </c>
      <c r="BH138" s="48" t="str">
        <f t="shared" si="104"/>
        <v/>
      </c>
      <c r="BJ138" s="12" t="str">
        <f t="shared" si="105"/>
        <v/>
      </c>
      <c r="BK138" s="44" t="str">
        <f t="shared" si="106"/>
        <v/>
      </c>
      <c r="BL138" s="44" t="str">
        <f t="shared" si="107"/>
        <v/>
      </c>
      <c r="BM138" s="44" t="str">
        <f t="shared" si="108"/>
        <v/>
      </c>
      <c r="BN138" s="48" t="str">
        <f t="shared" si="109"/>
        <v/>
      </c>
      <c r="BP138" s="12" t="str">
        <f t="shared" si="110"/>
        <v/>
      </c>
      <c r="BQ138" s="44" t="str">
        <f t="shared" si="111"/>
        <v/>
      </c>
      <c r="BR138" s="44" t="str">
        <f t="shared" si="112"/>
        <v/>
      </c>
      <c r="BS138" s="44" t="str">
        <f t="shared" si="113"/>
        <v/>
      </c>
      <c r="BT138" s="48" t="str">
        <f t="shared" si="114"/>
        <v/>
      </c>
    </row>
    <row r="139" spans="1:72" x14ac:dyDescent="0.25">
      <c r="A139" s="4">
        <v>117</v>
      </c>
      <c r="B139" s="54" t="str">
        <f>IF('Game Info'!J122="","",'Game Info'!J122)</f>
        <v/>
      </c>
      <c r="C139" s="54" t="str">
        <f>IF('Game Info'!K122="","",'Game Info'!K122)</f>
        <v/>
      </c>
      <c r="D139" s="54" t="str">
        <f>IF('Game Info'!L122="","",'Game Info'!L122)</f>
        <v/>
      </c>
      <c r="E139" s="54" t="str">
        <f>IF('Game Info'!M122="","",'Game Info'!M122)</f>
        <v/>
      </c>
      <c r="F139" s="55" t="str">
        <f>IF('Game Info'!N122="","",'Game Info'!N122)</f>
        <v/>
      </c>
      <c r="H139" s="12" t="str">
        <f t="shared" si="60"/>
        <v/>
      </c>
      <c r="I139" s="44" t="str">
        <f t="shared" si="61"/>
        <v/>
      </c>
      <c r="J139" s="44" t="str">
        <f t="shared" si="62"/>
        <v/>
      </c>
      <c r="K139" s="44" t="str">
        <f t="shared" si="63"/>
        <v/>
      </c>
      <c r="L139" s="48" t="str">
        <f t="shared" si="64"/>
        <v/>
      </c>
      <c r="N139" s="12" t="str">
        <f t="shared" si="65"/>
        <v/>
      </c>
      <c r="O139" s="44" t="str">
        <f t="shared" si="66"/>
        <v/>
      </c>
      <c r="P139" s="44" t="str">
        <f t="shared" si="67"/>
        <v/>
      </c>
      <c r="Q139" s="44" t="str">
        <f t="shared" si="68"/>
        <v/>
      </c>
      <c r="R139" s="48" t="str">
        <f t="shared" si="69"/>
        <v/>
      </c>
      <c r="T139" s="12" t="str">
        <f t="shared" si="70"/>
        <v/>
      </c>
      <c r="U139" s="44" t="str">
        <f t="shared" si="71"/>
        <v/>
      </c>
      <c r="V139" s="44" t="str">
        <f t="shared" si="72"/>
        <v/>
      </c>
      <c r="W139" s="44" t="str">
        <f t="shared" si="73"/>
        <v/>
      </c>
      <c r="X139" s="48" t="str">
        <f t="shared" si="74"/>
        <v/>
      </c>
      <c r="Z139" s="12" t="str">
        <f t="shared" si="75"/>
        <v/>
      </c>
      <c r="AA139" s="44" t="str">
        <f t="shared" si="76"/>
        <v/>
      </c>
      <c r="AB139" s="44" t="str">
        <f t="shared" si="77"/>
        <v/>
      </c>
      <c r="AC139" s="44" t="str">
        <f t="shared" si="78"/>
        <v/>
      </c>
      <c r="AD139" s="48" t="str">
        <f t="shared" si="79"/>
        <v/>
      </c>
      <c r="AF139" s="12" t="str">
        <f t="shared" si="80"/>
        <v/>
      </c>
      <c r="AG139" s="44" t="str">
        <f t="shared" si="81"/>
        <v/>
      </c>
      <c r="AH139" s="44" t="str">
        <f t="shared" si="82"/>
        <v/>
      </c>
      <c r="AI139" s="44" t="str">
        <f t="shared" si="83"/>
        <v/>
      </c>
      <c r="AJ139" s="48" t="str">
        <f t="shared" si="84"/>
        <v/>
      </c>
      <c r="AL139" s="12" t="str">
        <f t="shared" si="85"/>
        <v/>
      </c>
      <c r="AM139" s="44" t="str">
        <f t="shared" si="86"/>
        <v/>
      </c>
      <c r="AN139" s="44" t="str">
        <f t="shared" si="87"/>
        <v/>
      </c>
      <c r="AO139" s="44" t="str">
        <f t="shared" si="88"/>
        <v/>
      </c>
      <c r="AP139" s="48" t="str">
        <f t="shared" si="89"/>
        <v/>
      </c>
      <c r="AR139" s="12" t="str">
        <f t="shared" si="90"/>
        <v/>
      </c>
      <c r="AS139" s="44" t="str">
        <f t="shared" si="91"/>
        <v/>
      </c>
      <c r="AT139" s="44" t="str">
        <f t="shared" si="92"/>
        <v/>
      </c>
      <c r="AU139" s="44" t="str">
        <f t="shared" si="93"/>
        <v/>
      </c>
      <c r="AV139" s="48" t="str">
        <f t="shared" si="94"/>
        <v/>
      </c>
      <c r="AX139" s="12" t="str">
        <f t="shared" si="95"/>
        <v/>
      </c>
      <c r="AY139" s="44" t="str">
        <f t="shared" si="96"/>
        <v/>
      </c>
      <c r="AZ139" s="44" t="str">
        <f t="shared" si="97"/>
        <v/>
      </c>
      <c r="BA139" s="44" t="str">
        <f t="shared" si="98"/>
        <v/>
      </c>
      <c r="BB139" s="48" t="str">
        <f t="shared" si="99"/>
        <v/>
      </c>
      <c r="BD139" s="12" t="str">
        <f t="shared" si="100"/>
        <v/>
      </c>
      <c r="BE139" s="44" t="str">
        <f t="shared" si="101"/>
        <v/>
      </c>
      <c r="BF139" s="44" t="str">
        <f t="shared" si="102"/>
        <v/>
      </c>
      <c r="BG139" s="44" t="str">
        <f t="shared" si="103"/>
        <v/>
      </c>
      <c r="BH139" s="48" t="str">
        <f t="shared" si="104"/>
        <v/>
      </c>
      <c r="BJ139" s="12" t="str">
        <f t="shared" si="105"/>
        <v/>
      </c>
      <c r="BK139" s="44" t="str">
        <f t="shared" si="106"/>
        <v/>
      </c>
      <c r="BL139" s="44" t="str">
        <f t="shared" si="107"/>
        <v/>
      </c>
      <c r="BM139" s="44" t="str">
        <f t="shared" si="108"/>
        <v/>
      </c>
      <c r="BN139" s="48" t="str">
        <f t="shared" si="109"/>
        <v/>
      </c>
      <c r="BP139" s="12" t="str">
        <f t="shared" si="110"/>
        <v/>
      </c>
      <c r="BQ139" s="44" t="str">
        <f t="shared" si="111"/>
        <v/>
      </c>
      <c r="BR139" s="44" t="str">
        <f t="shared" si="112"/>
        <v/>
      </c>
      <c r="BS139" s="44" t="str">
        <f t="shared" si="113"/>
        <v/>
      </c>
      <c r="BT139" s="48" t="str">
        <f t="shared" si="114"/>
        <v/>
      </c>
    </row>
    <row r="140" spans="1:72" x14ac:dyDescent="0.25">
      <c r="A140" s="4">
        <v>118</v>
      </c>
      <c r="B140" s="54" t="str">
        <f>IF('Game Info'!J123="","",'Game Info'!J123)</f>
        <v/>
      </c>
      <c r="C140" s="54" t="str">
        <f>IF('Game Info'!K123="","",'Game Info'!K123)</f>
        <v/>
      </c>
      <c r="D140" s="54" t="str">
        <f>IF('Game Info'!L123="","",'Game Info'!L123)</f>
        <v/>
      </c>
      <c r="E140" s="54" t="str">
        <f>IF('Game Info'!M123="","",'Game Info'!M123)</f>
        <v/>
      </c>
      <c r="F140" s="55" t="str">
        <f>IF('Game Info'!N123="","",'Game Info'!N123)</f>
        <v/>
      </c>
      <c r="H140" s="12" t="str">
        <f t="shared" si="60"/>
        <v/>
      </c>
      <c r="I140" s="44" t="str">
        <f t="shared" si="61"/>
        <v/>
      </c>
      <c r="J140" s="44" t="str">
        <f t="shared" si="62"/>
        <v/>
      </c>
      <c r="K140" s="44" t="str">
        <f t="shared" si="63"/>
        <v/>
      </c>
      <c r="L140" s="48" t="str">
        <f t="shared" si="64"/>
        <v/>
      </c>
      <c r="N140" s="12" t="str">
        <f t="shared" si="65"/>
        <v/>
      </c>
      <c r="O140" s="44" t="str">
        <f t="shared" si="66"/>
        <v/>
      </c>
      <c r="P140" s="44" t="str">
        <f t="shared" si="67"/>
        <v/>
      </c>
      <c r="Q140" s="44" t="str">
        <f t="shared" si="68"/>
        <v/>
      </c>
      <c r="R140" s="48" t="str">
        <f t="shared" si="69"/>
        <v/>
      </c>
      <c r="T140" s="12" t="str">
        <f t="shared" si="70"/>
        <v/>
      </c>
      <c r="U140" s="44" t="str">
        <f t="shared" si="71"/>
        <v/>
      </c>
      <c r="V140" s="44" t="str">
        <f t="shared" si="72"/>
        <v/>
      </c>
      <c r="W140" s="44" t="str">
        <f t="shared" si="73"/>
        <v/>
      </c>
      <c r="X140" s="48" t="str">
        <f t="shared" si="74"/>
        <v/>
      </c>
      <c r="Z140" s="12" t="str">
        <f t="shared" si="75"/>
        <v/>
      </c>
      <c r="AA140" s="44" t="str">
        <f t="shared" si="76"/>
        <v/>
      </c>
      <c r="AB140" s="44" t="str">
        <f t="shared" si="77"/>
        <v/>
      </c>
      <c r="AC140" s="44" t="str">
        <f t="shared" si="78"/>
        <v/>
      </c>
      <c r="AD140" s="48" t="str">
        <f t="shared" si="79"/>
        <v/>
      </c>
      <c r="AF140" s="12" t="str">
        <f t="shared" si="80"/>
        <v/>
      </c>
      <c r="AG140" s="44" t="str">
        <f t="shared" si="81"/>
        <v/>
      </c>
      <c r="AH140" s="44" t="str">
        <f t="shared" si="82"/>
        <v/>
      </c>
      <c r="AI140" s="44" t="str">
        <f t="shared" si="83"/>
        <v/>
      </c>
      <c r="AJ140" s="48" t="str">
        <f t="shared" si="84"/>
        <v/>
      </c>
      <c r="AL140" s="12" t="str">
        <f t="shared" si="85"/>
        <v/>
      </c>
      <c r="AM140" s="44" t="str">
        <f t="shared" si="86"/>
        <v/>
      </c>
      <c r="AN140" s="44" t="str">
        <f t="shared" si="87"/>
        <v/>
      </c>
      <c r="AO140" s="44" t="str">
        <f t="shared" si="88"/>
        <v/>
      </c>
      <c r="AP140" s="48" t="str">
        <f t="shared" si="89"/>
        <v/>
      </c>
      <c r="AR140" s="12" t="str">
        <f t="shared" si="90"/>
        <v/>
      </c>
      <c r="AS140" s="44" t="str">
        <f t="shared" si="91"/>
        <v/>
      </c>
      <c r="AT140" s="44" t="str">
        <f t="shared" si="92"/>
        <v/>
      </c>
      <c r="AU140" s="44" t="str">
        <f t="shared" si="93"/>
        <v/>
      </c>
      <c r="AV140" s="48" t="str">
        <f t="shared" si="94"/>
        <v/>
      </c>
      <c r="AX140" s="12" t="str">
        <f t="shared" si="95"/>
        <v/>
      </c>
      <c r="AY140" s="44" t="str">
        <f t="shared" si="96"/>
        <v/>
      </c>
      <c r="AZ140" s="44" t="str">
        <f t="shared" si="97"/>
        <v/>
      </c>
      <c r="BA140" s="44" t="str">
        <f t="shared" si="98"/>
        <v/>
      </c>
      <c r="BB140" s="48" t="str">
        <f t="shared" si="99"/>
        <v/>
      </c>
      <c r="BD140" s="12" t="str">
        <f t="shared" si="100"/>
        <v/>
      </c>
      <c r="BE140" s="44" t="str">
        <f t="shared" si="101"/>
        <v/>
      </c>
      <c r="BF140" s="44" t="str">
        <f t="shared" si="102"/>
        <v/>
      </c>
      <c r="BG140" s="44" t="str">
        <f t="shared" si="103"/>
        <v/>
      </c>
      <c r="BH140" s="48" t="str">
        <f t="shared" si="104"/>
        <v/>
      </c>
      <c r="BJ140" s="12" t="str">
        <f t="shared" si="105"/>
        <v/>
      </c>
      <c r="BK140" s="44" t="str">
        <f t="shared" si="106"/>
        <v/>
      </c>
      <c r="BL140" s="44" t="str">
        <f t="shared" si="107"/>
        <v/>
      </c>
      <c r="BM140" s="44" t="str">
        <f t="shared" si="108"/>
        <v/>
      </c>
      <c r="BN140" s="48" t="str">
        <f t="shared" si="109"/>
        <v/>
      </c>
      <c r="BP140" s="12" t="str">
        <f t="shared" si="110"/>
        <v/>
      </c>
      <c r="BQ140" s="44" t="str">
        <f t="shared" si="111"/>
        <v/>
      </c>
      <c r="BR140" s="44" t="str">
        <f t="shared" si="112"/>
        <v/>
      </c>
      <c r="BS140" s="44" t="str">
        <f t="shared" si="113"/>
        <v/>
      </c>
      <c r="BT140" s="48" t="str">
        <f t="shared" si="114"/>
        <v/>
      </c>
    </row>
    <row r="141" spans="1:72" x14ac:dyDescent="0.25">
      <c r="A141" s="4">
        <v>119</v>
      </c>
      <c r="B141" s="54" t="str">
        <f>IF('Game Info'!J124="","",'Game Info'!J124)</f>
        <v/>
      </c>
      <c r="C141" s="54" t="str">
        <f>IF('Game Info'!K124="","",'Game Info'!K124)</f>
        <v/>
      </c>
      <c r="D141" s="54" t="str">
        <f>IF('Game Info'!L124="","",'Game Info'!L124)</f>
        <v/>
      </c>
      <c r="E141" s="54" t="str">
        <f>IF('Game Info'!M124="","",'Game Info'!M124)</f>
        <v/>
      </c>
      <c r="F141" s="55" t="str">
        <f>IF('Game Info'!N124="","",'Game Info'!N124)</f>
        <v/>
      </c>
      <c r="H141" s="12" t="str">
        <f t="shared" si="60"/>
        <v/>
      </c>
      <c r="I141" s="44" t="str">
        <f t="shared" si="61"/>
        <v/>
      </c>
      <c r="J141" s="44" t="str">
        <f t="shared" si="62"/>
        <v/>
      </c>
      <c r="K141" s="44" t="str">
        <f t="shared" si="63"/>
        <v/>
      </c>
      <c r="L141" s="48" t="str">
        <f t="shared" si="64"/>
        <v/>
      </c>
      <c r="N141" s="12" t="str">
        <f t="shared" si="65"/>
        <v/>
      </c>
      <c r="O141" s="44" t="str">
        <f t="shared" si="66"/>
        <v/>
      </c>
      <c r="P141" s="44" t="str">
        <f t="shared" si="67"/>
        <v/>
      </c>
      <c r="Q141" s="44" t="str">
        <f t="shared" si="68"/>
        <v/>
      </c>
      <c r="R141" s="48" t="str">
        <f t="shared" si="69"/>
        <v/>
      </c>
      <c r="T141" s="12" t="str">
        <f t="shared" si="70"/>
        <v/>
      </c>
      <c r="U141" s="44" t="str">
        <f t="shared" si="71"/>
        <v/>
      </c>
      <c r="V141" s="44" t="str">
        <f t="shared" si="72"/>
        <v/>
      </c>
      <c r="W141" s="44" t="str">
        <f t="shared" si="73"/>
        <v/>
      </c>
      <c r="X141" s="48" t="str">
        <f t="shared" si="74"/>
        <v/>
      </c>
      <c r="Z141" s="12" t="str">
        <f t="shared" si="75"/>
        <v/>
      </c>
      <c r="AA141" s="44" t="str">
        <f t="shared" si="76"/>
        <v/>
      </c>
      <c r="AB141" s="44" t="str">
        <f t="shared" si="77"/>
        <v/>
      </c>
      <c r="AC141" s="44" t="str">
        <f t="shared" si="78"/>
        <v/>
      </c>
      <c r="AD141" s="48" t="str">
        <f t="shared" si="79"/>
        <v/>
      </c>
      <c r="AF141" s="12" t="str">
        <f t="shared" si="80"/>
        <v/>
      </c>
      <c r="AG141" s="44" t="str">
        <f t="shared" si="81"/>
        <v/>
      </c>
      <c r="AH141" s="44" t="str">
        <f t="shared" si="82"/>
        <v/>
      </c>
      <c r="AI141" s="44" t="str">
        <f t="shared" si="83"/>
        <v/>
      </c>
      <c r="AJ141" s="48" t="str">
        <f t="shared" si="84"/>
        <v/>
      </c>
      <c r="AL141" s="12" t="str">
        <f t="shared" si="85"/>
        <v/>
      </c>
      <c r="AM141" s="44" t="str">
        <f t="shared" si="86"/>
        <v/>
      </c>
      <c r="AN141" s="44" t="str">
        <f t="shared" si="87"/>
        <v/>
      </c>
      <c r="AO141" s="44" t="str">
        <f t="shared" si="88"/>
        <v/>
      </c>
      <c r="AP141" s="48" t="str">
        <f t="shared" si="89"/>
        <v/>
      </c>
      <c r="AR141" s="12" t="str">
        <f t="shared" si="90"/>
        <v/>
      </c>
      <c r="AS141" s="44" t="str">
        <f t="shared" si="91"/>
        <v/>
      </c>
      <c r="AT141" s="44" t="str">
        <f t="shared" si="92"/>
        <v/>
      </c>
      <c r="AU141" s="44" t="str">
        <f t="shared" si="93"/>
        <v/>
      </c>
      <c r="AV141" s="48" t="str">
        <f t="shared" si="94"/>
        <v/>
      </c>
      <c r="AX141" s="12" t="str">
        <f t="shared" si="95"/>
        <v/>
      </c>
      <c r="AY141" s="44" t="str">
        <f t="shared" si="96"/>
        <v/>
      </c>
      <c r="AZ141" s="44" t="str">
        <f t="shared" si="97"/>
        <v/>
      </c>
      <c r="BA141" s="44" t="str">
        <f t="shared" si="98"/>
        <v/>
      </c>
      <c r="BB141" s="48" t="str">
        <f t="shared" si="99"/>
        <v/>
      </c>
      <c r="BD141" s="12" t="str">
        <f t="shared" si="100"/>
        <v/>
      </c>
      <c r="BE141" s="44" t="str">
        <f t="shared" si="101"/>
        <v/>
      </c>
      <c r="BF141" s="44" t="str">
        <f t="shared" si="102"/>
        <v/>
      </c>
      <c r="BG141" s="44" t="str">
        <f t="shared" si="103"/>
        <v/>
      </c>
      <c r="BH141" s="48" t="str">
        <f t="shared" si="104"/>
        <v/>
      </c>
      <c r="BJ141" s="12" t="str">
        <f t="shared" si="105"/>
        <v/>
      </c>
      <c r="BK141" s="44" t="str">
        <f t="shared" si="106"/>
        <v/>
      </c>
      <c r="BL141" s="44" t="str">
        <f t="shared" si="107"/>
        <v/>
      </c>
      <c r="BM141" s="44" t="str">
        <f t="shared" si="108"/>
        <v/>
      </c>
      <c r="BN141" s="48" t="str">
        <f t="shared" si="109"/>
        <v/>
      </c>
      <c r="BP141" s="12" t="str">
        <f t="shared" si="110"/>
        <v/>
      </c>
      <c r="BQ141" s="44" t="str">
        <f t="shared" si="111"/>
        <v/>
      </c>
      <c r="BR141" s="44" t="str">
        <f t="shared" si="112"/>
        <v/>
      </c>
      <c r="BS141" s="44" t="str">
        <f t="shared" si="113"/>
        <v/>
      </c>
      <c r="BT141" s="48" t="str">
        <f t="shared" si="114"/>
        <v/>
      </c>
    </row>
    <row r="142" spans="1:72" x14ac:dyDescent="0.25">
      <c r="A142" s="4">
        <v>120</v>
      </c>
      <c r="B142" s="54" t="str">
        <f>IF('Game Info'!J125="","",'Game Info'!J125)</f>
        <v/>
      </c>
      <c r="C142" s="54" t="str">
        <f>IF('Game Info'!K125="","",'Game Info'!K125)</f>
        <v/>
      </c>
      <c r="D142" s="54" t="str">
        <f>IF('Game Info'!L125="","",'Game Info'!L125)</f>
        <v/>
      </c>
      <c r="E142" s="54" t="str">
        <f>IF('Game Info'!M125="","",'Game Info'!M125)</f>
        <v/>
      </c>
      <c r="F142" s="55" t="str">
        <f>IF('Game Info'!N125="","",'Game Info'!N125)</f>
        <v/>
      </c>
      <c r="H142" s="12" t="str">
        <f t="shared" si="60"/>
        <v/>
      </c>
      <c r="I142" s="44" t="str">
        <f t="shared" si="61"/>
        <v/>
      </c>
      <c r="J142" s="44" t="str">
        <f t="shared" si="62"/>
        <v/>
      </c>
      <c r="K142" s="44" t="str">
        <f t="shared" si="63"/>
        <v/>
      </c>
      <c r="L142" s="48" t="str">
        <f t="shared" si="64"/>
        <v/>
      </c>
      <c r="N142" s="12" t="str">
        <f t="shared" si="65"/>
        <v/>
      </c>
      <c r="O142" s="44" t="str">
        <f t="shared" si="66"/>
        <v/>
      </c>
      <c r="P142" s="44" t="str">
        <f t="shared" si="67"/>
        <v/>
      </c>
      <c r="Q142" s="44" t="str">
        <f t="shared" si="68"/>
        <v/>
      </c>
      <c r="R142" s="48" t="str">
        <f t="shared" si="69"/>
        <v/>
      </c>
      <c r="T142" s="12" t="str">
        <f t="shared" si="70"/>
        <v/>
      </c>
      <c r="U142" s="44" t="str">
        <f t="shared" si="71"/>
        <v/>
      </c>
      <c r="V142" s="44" t="str">
        <f t="shared" si="72"/>
        <v/>
      </c>
      <c r="W142" s="44" t="str">
        <f t="shared" si="73"/>
        <v/>
      </c>
      <c r="X142" s="48" t="str">
        <f t="shared" si="74"/>
        <v/>
      </c>
      <c r="Z142" s="12" t="str">
        <f t="shared" si="75"/>
        <v/>
      </c>
      <c r="AA142" s="44" t="str">
        <f t="shared" si="76"/>
        <v/>
      </c>
      <c r="AB142" s="44" t="str">
        <f t="shared" si="77"/>
        <v/>
      </c>
      <c r="AC142" s="44" t="str">
        <f t="shared" si="78"/>
        <v/>
      </c>
      <c r="AD142" s="48" t="str">
        <f t="shared" si="79"/>
        <v/>
      </c>
      <c r="AF142" s="12" t="str">
        <f t="shared" si="80"/>
        <v/>
      </c>
      <c r="AG142" s="44" t="str">
        <f t="shared" si="81"/>
        <v/>
      </c>
      <c r="AH142" s="44" t="str">
        <f t="shared" si="82"/>
        <v/>
      </c>
      <c r="AI142" s="44" t="str">
        <f t="shared" si="83"/>
        <v/>
      </c>
      <c r="AJ142" s="48" t="str">
        <f t="shared" si="84"/>
        <v/>
      </c>
      <c r="AL142" s="12" t="str">
        <f t="shared" si="85"/>
        <v/>
      </c>
      <c r="AM142" s="44" t="str">
        <f t="shared" si="86"/>
        <v/>
      </c>
      <c r="AN142" s="44" t="str">
        <f t="shared" si="87"/>
        <v/>
      </c>
      <c r="AO142" s="44" t="str">
        <f t="shared" si="88"/>
        <v/>
      </c>
      <c r="AP142" s="48" t="str">
        <f t="shared" si="89"/>
        <v/>
      </c>
      <c r="AR142" s="12" t="str">
        <f t="shared" si="90"/>
        <v/>
      </c>
      <c r="AS142" s="44" t="str">
        <f t="shared" si="91"/>
        <v/>
      </c>
      <c r="AT142" s="44" t="str">
        <f t="shared" si="92"/>
        <v/>
      </c>
      <c r="AU142" s="44" t="str">
        <f t="shared" si="93"/>
        <v/>
      </c>
      <c r="AV142" s="48" t="str">
        <f t="shared" si="94"/>
        <v/>
      </c>
      <c r="AX142" s="12" t="str">
        <f t="shared" si="95"/>
        <v/>
      </c>
      <c r="AY142" s="44" t="str">
        <f t="shared" si="96"/>
        <v/>
      </c>
      <c r="AZ142" s="44" t="str">
        <f t="shared" si="97"/>
        <v/>
      </c>
      <c r="BA142" s="44" t="str">
        <f t="shared" si="98"/>
        <v/>
      </c>
      <c r="BB142" s="48" t="str">
        <f t="shared" si="99"/>
        <v/>
      </c>
      <c r="BD142" s="12" t="str">
        <f t="shared" si="100"/>
        <v/>
      </c>
      <c r="BE142" s="44" t="str">
        <f t="shared" si="101"/>
        <v/>
      </c>
      <c r="BF142" s="44" t="str">
        <f t="shared" si="102"/>
        <v/>
      </c>
      <c r="BG142" s="44" t="str">
        <f t="shared" si="103"/>
        <v/>
      </c>
      <c r="BH142" s="48" t="str">
        <f t="shared" si="104"/>
        <v/>
      </c>
      <c r="BJ142" s="12" t="str">
        <f t="shared" si="105"/>
        <v/>
      </c>
      <c r="BK142" s="44" t="str">
        <f t="shared" si="106"/>
        <v/>
      </c>
      <c r="BL142" s="44" t="str">
        <f t="shared" si="107"/>
        <v/>
      </c>
      <c r="BM142" s="44" t="str">
        <f t="shared" si="108"/>
        <v/>
      </c>
      <c r="BN142" s="48" t="str">
        <f t="shared" si="109"/>
        <v/>
      </c>
      <c r="BP142" s="12" t="str">
        <f t="shared" si="110"/>
        <v/>
      </c>
      <c r="BQ142" s="44" t="str">
        <f t="shared" si="111"/>
        <v/>
      </c>
      <c r="BR142" s="44" t="str">
        <f t="shared" si="112"/>
        <v/>
      </c>
      <c r="BS142" s="44" t="str">
        <f t="shared" si="113"/>
        <v/>
      </c>
      <c r="BT142" s="48" t="str">
        <f t="shared" si="114"/>
        <v/>
      </c>
    </row>
    <row r="143" spans="1:72" x14ac:dyDescent="0.25">
      <c r="A143" s="4">
        <v>121</v>
      </c>
      <c r="B143" s="54" t="str">
        <f>IF('Game Info'!J126="","",'Game Info'!J126)</f>
        <v/>
      </c>
      <c r="C143" s="54" t="str">
        <f>IF('Game Info'!K126="","",'Game Info'!K126)</f>
        <v/>
      </c>
      <c r="D143" s="54" t="str">
        <f>IF('Game Info'!L126="","",'Game Info'!L126)</f>
        <v/>
      </c>
      <c r="E143" s="54" t="str">
        <f>IF('Game Info'!M126="","",'Game Info'!M126)</f>
        <v/>
      </c>
      <c r="F143" s="55" t="str">
        <f>IF('Game Info'!N126="","",'Game Info'!N126)</f>
        <v/>
      </c>
      <c r="H143" s="12" t="str">
        <f t="shared" si="60"/>
        <v/>
      </c>
      <c r="I143" s="44" t="str">
        <f t="shared" si="61"/>
        <v/>
      </c>
      <c r="J143" s="44" t="str">
        <f t="shared" si="62"/>
        <v/>
      </c>
      <c r="K143" s="44" t="str">
        <f t="shared" si="63"/>
        <v/>
      </c>
      <c r="L143" s="48" t="str">
        <f t="shared" si="64"/>
        <v/>
      </c>
      <c r="N143" s="12" t="str">
        <f t="shared" si="65"/>
        <v/>
      </c>
      <c r="O143" s="44" t="str">
        <f t="shared" si="66"/>
        <v/>
      </c>
      <c r="P143" s="44" t="str">
        <f t="shared" si="67"/>
        <v/>
      </c>
      <c r="Q143" s="44" t="str">
        <f t="shared" si="68"/>
        <v/>
      </c>
      <c r="R143" s="48" t="str">
        <f t="shared" si="69"/>
        <v/>
      </c>
      <c r="T143" s="12" t="str">
        <f t="shared" si="70"/>
        <v/>
      </c>
      <c r="U143" s="44" t="str">
        <f t="shared" si="71"/>
        <v/>
      </c>
      <c r="V143" s="44" t="str">
        <f t="shared" si="72"/>
        <v/>
      </c>
      <c r="W143" s="44" t="str">
        <f t="shared" si="73"/>
        <v/>
      </c>
      <c r="X143" s="48" t="str">
        <f t="shared" si="74"/>
        <v/>
      </c>
      <c r="Z143" s="12" t="str">
        <f t="shared" si="75"/>
        <v/>
      </c>
      <c r="AA143" s="44" t="str">
        <f t="shared" si="76"/>
        <v/>
      </c>
      <c r="AB143" s="44" t="str">
        <f t="shared" si="77"/>
        <v/>
      </c>
      <c r="AC143" s="44" t="str">
        <f t="shared" si="78"/>
        <v/>
      </c>
      <c r="AD143" s="48" t="str">
        <f t="shared" si="79"/>
        <v/>
      </c>
      <c r="AF143" s="12" t="str">
        <f t="shared" si="80"/>
        <v/>
      </c>
      <c r="AG143" s="44" t="str">
        <f t="shared" si="81"/>
        <v/>
      </c>
      <c r="AH143" s="44" t="str">
        <f t="shared" si="82"/>
        <v/>
      </c>
      <c r="AI143" s="44" t="str">
        <f t="shared" si="83"/>
        <v/>
      </c>
      <c r="AJ143" s="48" t="str">
        <f t="shared" si="84"/>
        <v/>
      </c>
      <c r="AL143" s="12" t="str">
        <f t="shared" si="85"/>
        <v/>
      </c>
      <c r="AM143" s="44" t="str">
        <f t="shared" si="86"/>
        <v/>
      </c>
      <c r="AN143" s="44" t="str">
        <f t="shared" si="87"/>
        <v/>
      </c>
      <c r="AO143" s="44" t="str">
        <f t="shared" si="88"/>
        <v/>
      </c>
      <c r="AP143" s="48" t="str">
        <f t="shared" si="89"/>
        <v/>
      </c>
      <c r="AR143" s="12" t="str">
        <f t="shared" si="90"/>
        <v/>
      </c>
      <c r="AS143" s="44" t="str">
        <f t="shared" si="91"/>
        <v/>
      </c>
      <c r="AT143" s="44" t="str">
        <f t="shared" si="92"/>
        <v/>
      </c>
      <c r="AU143" s="44" t="str">
        <f t="shared" si="93"/>
        <v/>
      </c>
      <c r="AV143" s="48" t="str">
        <f t="shared" si="94"/>
        <v/>
      </c>
      <c r="AX143" s="12" t="str">
        <f t="shared" si="95"/>
        <v/>
      </c>
      <c r="AY143" s="44" t="str">
        <f t="shared" si="96"/>
        <v/>
      </c>
      <c r="AZ143" s="44" t="str">
        <f t="shared" si="97"/>
        <v/>
      </c>
      <c r="BA143" s="44" t="str">
        <f t="shared" si="98"/>
        <v/>
      </c>
      <c r="BB143" s="48" t="str">
        <f t="shared" si="99"/>
        <v/>
      </c>
      <c r="BD143" s="12" t="str">
        <f t="shared" si="100"/>
        <v/>
      </c>
      <c r="BE143" s="44" t="str">
        <f t="shared" si="101"/>
        <v/>
      </c>
      <c r="BF143" s="44" t="str">
        <f t="shared" si="102"/>
        <v/>
      </c>
      <c r="BG143" s="44" t="str">
        <f t="shared" si="103"/>
        <v/>
      </c>
      <c r="BH143" s="48" t="str">
        <f t="shared" si="104"/>
        <v/>
      </c>
      <c r="BJ143" s="12" t="str">
        <f t="shared" si="105"/>
        <v/>
      </c>
      <c r="BK143" s="44" t="str">
        <f t="shared" si="106"/>
        <v/>
      </c>
      <c r="BL143" s="44" t="str">
        <f t="shared" si="107"/>
        <v/>
      </c>
      <c r="BM143" s="44" t="str">
        <f t="shared" si="108"/>
        <v/>
      </c>
      <c r="BN143" s="48" t="str">
        <f t="shared" si="109"/>
        <v/>
      </c>
      <c r="BP143" s="12" t="str">
        <f t="shared" si="110"/>
        <v/>
      </c>
      <c r="BQ143" s="44" t="str">
        <f t="shared" si="111"/>
        <v/>
      </c>
      <c r="BR143" s="44" t="str">
        <f t="shared" si="112"/>
        <v/>
      </c>
      <c r="BS143" s="44" t="str">
        <f t="shared" si="113"/>
        <v/>
      </c>
      <c r="BT143" s="48" t="str">
        <f t="shared" si="114"/>
        <v/>
      </c>
    </row>
    <row r="144" spans="1:72" x14ac:dyDescent="0.25">
      <c r="A144" s="4">
        <v>122</v>
      </c>
      <c r="B144" s="54" t="str">
        <f>IF('Game Info'!J127="","",'Game Info'!J127)</f>
        <v/>
      </c>
      <c r="C144" s="54" t="str">
        <f>IF('Game Info'!K127="","",'Game Info'!K127)</f>
        <v/>
      </c>
      <c r="D144" s="54" t="str">
        <f>IF('Game Info'!L127="","",'Game Info'!L127)</f>
        <v/>
      </c>
      <c r="E144" s="54" t="str">
        <f>IF('Game Info'!M127="","",'Game Info'!M127)</f>
        <v/>
      </c>
      <c r="F144" s="55" t="str">
        <f>IF('Game Info'!N127="","",'Game Info'!N127)</f>
        <v/>
      </c>
      <c r="H144" s="12" t="str">
        <f t="shared" si="60"/>
        <v/>
      </c>
      <c r="I144" s="44" t="str">
        <f t="shared" si="61"/>
        <v/>
      </c>
      <c r="J144" s="44" t="str">
        <f t="shared" si="62"/>
        <v/>
      </c>
      <c r="K144" s="44" t="str">
        <f t="shared" si="63"/>
        <v/>
      </c>
      <c r="L144" s="48" t="str">
        <f t="shared" si="64"/>
        <v/>
      </c>
      <c r="N144" s="12" t="str">
        <f t="shared" si="65"/>
        <v/>
      </c>
      <c r="O144" s="44" t="str">
        <f t="shared" si="66"/>
        <v/>
      </c>
      <c r="P144" s="44" t="str">
        <f t="shared" si="67"/>
        <v/>
      </c>
      <c r="Q144" s="44" t="str">
        <f t="shared" si="68"/>
        <v/>
      </c>
      <c r="R144" s="48" t="str">
        <f t="shared" si="69"/>
        <v/>
      </c>
      <c r="T144" s="12" t="str">
        <f t="shared" si="70"/>
        <v/>
      </c>
      <c r="U144" s="44" t="str">
        <f t="shared" si="71"/>
        <v/>
      </c>
      <c r="V144" s="44" t="str">
        <f t="shared" si="72"/>
        <v/>
      </c>
      <c r="W144" s="44" t="str">
        <f t="shared" si="73"/>
        <v/>
      </c>
      <c r="X144" s="48" t="str">
        <f t="shared" si="74"/>
        <v/>
      </c>
      <c r="Z144" s="12" t="str">
        <f t="shared" si="75"/>
        <v/>
      </c>
      <c r="AA144" s="44" t="str">
        <f t="shared" si="76"/>
        <v/>
      </c>
      <c r="AB144" s="44" t="str">
        <f t="shared" si="77"/>
        <v/>
      </c>
      <c r="AC144" s="44" t="str">
        <f t="shared" si="78"/>
        <v/>
      </c>
      <c r="AD144" s="48" t="str">
        <f t="shared" si="79"/>
        <v/>
      </c>
      <c r="AF144" s="12" t="str">
        <f t="shared" si="80"/>
        <v/>
      </c>
      <c r="AG144" s="44" t="str">
        <f t="shared" si="81"/>
        <v/>
      </c>
      <c r="AH144" s="44" t="str">
        <f t="shared" si="82"/>
        <v/>
      </c>
      <c r="AI144" s="44" t="str">
        <f t="shared" si="83"/>
        <v/>
      </c>
      <c r="AJ144" s="48" t="str">
        <f t="shared" si="84"/>
        <v/>
      </c>
      <c r="AL144" s="12" t="str">
        <f t="shared" si="85"/>
        <v/>
      </c>
      <c r="AM144" s="44" t="str">
        <f t="shared" si="86"/>
        <v/>
      </c>
      <c r="AN144" s="44" t="str">
        <f t="shared" si="87"/>
        <v/>
      </c>
      <c r="AO144" s="44" t="str">
        <f t="shared" si="88"/>
        <v/>
      </c>
      <c r="AP144" s="48" t="str">
        <f t="shared" si="89"/>
        <v/>
      </c>
      <c r="AR144" s="12" t="str">
        <f t="shared" si="90"/>
        <v/>
      </c>
      <c r="AS144" s="44" t="str">
        <f t="shared" si="91"/>
        <v/>
      </c>
      <c r="AT144" s="44" t="str">
        <f t="shared" si="92"/>
        <v/>
      </c>
      <c r="AU144" s="44" t="str">
        <f t="shared" si="93"/>
        <v/>
      </c>
      <c r="AV144" s="48" t="str">
        <f t="shared" si="94"/>
        <v/>
      </c>
      <c r="AX144" s="12" t="str">
        <f t="shared" si="95"/>
        <v/>
      </c>
      <c r="AY144" s="44" t="str">
        <f t="shared" si="96"/>
        <v/>
      </c>
      <c r="AZ144" s="44" t="str">
        <f t="shared" si="97"/>
        <v/>
      </c>
      <c r="BA144" s="44" t="str">
        <f t="shared" si="98"/>
        <v/>
      </c>
      <c r="BB144" s="48" t="str">
        <f t="shared" si="99"/>
        <v/>
      </c>
      <c r="BD144" s="12" t="str">
        <f t="shared" si="100"/>
        <v/>
      </c>
      <c r="BE144" s="44" t="str">
        <f t="shared" si="101"/>
        <v/>
      </c>
      <c r="BF144" s="44" t="str">
        <f t="shared" si="102"/>
        <v/>
      </c>
      <c r="BG144" s="44" t="str">
        <f t="shared" si="103"/>
        <v/>
      </c>
      <c r="BH144" s="48" t="str">
        <f t="shared" si="104"/>
        <v/>
      </c>
      <c r="BJ144" s="12" t="str">
        <f t="shared" si="105"/>
        <v/>
      </c>
      <c r="BK144" s="44" t="str">
        <f t="shared" si="106"/>
        <v/>
      </c>
      <c r="BL144" s="44" t="str">
        <f t="shared" si="107"/>
        <v/>
      </c>
      <c r="BM144" s="44" t="str">
        <f t="shared" si="108"/>
        <v/>
      </c>
      <c r="BN144" s="48" t="str">
        <f t="shared" si="109"/>
        <v/>
      </c>
      <c r="BP144" s="12" t="str">
        <f t="shared" si="110"/>
        <v/>
      </c>
      <c r="BQ144" s="44" t="str">
        <f t="shared" si="111"/>
        <v/>
      </c>
      <c r="BR144" s="44" t="str">
        <f t="shared" si="112"/>
        <v/>
      </c>
      <c r="BS144" s="44" t="str">
        <f t="shared" si="113"/>
        <v/>
      </c>
      <c r="BT144" s="48" t="str">
        <f t="shared" si="114"/>
        <v/>
      </c>
    </row>
    <row r="145" spans="1:72" x14ac:dyDescent="0.25">
      <c r="A145" s="4">
        <v>123</v>
      </c>
      <c r="B145" s="54" t="str">
        <f>IF('Game Info'!J128="","",'Game Info'!J128)</f>
        <v/>
      </c>
      <c r="C145" s="54" t="str">
        <f>IF('Game Info'!K128="","",'Game Info'!K128)</f>
        <v/>
      </c>
      <c r="D145" s="54" t="str">
        <f>IF('Game Info'!L128="","",'Game Info'!L128)</f>
        <v/>
      </c>
      <c r="E145" s="54" t="str">
        <f>IF('Game Info'!M128="","",'Game Info'!M128)</f>
        <v/>
      </c>
      <c r="F145" s="55" t="str">
        <f>IF('Game Info'!N128="","",'Game Info'!N128)</f>
        <v/>
      </c>
      <c r="H145" s="12" t="str">
        <f t="shared" si="60"/>
        <v/>
      </c>
      <c r="I145" s="44" t="str">
        <f t="shared" si="61"/>
        <v/>
      </c>
      <c r="J145" s="44" t="str">
        <f t="shared" si="62"/>
        <v/>
      </c>
      <c r="K145" s="44" t="str">
        <f t="shared" si="63"/>
        <v/>
      </c>
      <c r="L145" s="48" t="str">
        <f t="shared" si="64"/>
        <v/>
      </c>
      <c r="N145" s="12" t="str">
        <f t="shared" si="65"/>
        <v/>
      </c>
      <c r="O145" s="44" t="str">
        <f t="shared" si="66"/>
        <v/>
      </c>
      <c r="P145" s="44" t="str">
        <f t="shared" si="67"/>
        <v/>
      </c>
      <c r="Q145" s="44" t="str">
        <f t="shared" si="68"/>
        <v/>
      </c>
      <c r="R145" s="48" t="str">
        <f t="shared" si="69"/>
        <v/>
      </c>
      <c r="T145" s="12" t="str">
        <f t="shared" si="70"/>
        <v/>
      </c>
      <c r="U145" s="44" t="str">
        <f t="shared" si="71"/>
        <v/>
      </c>
      <c r="V145" s="44" t="str">
        <f t="shared" si="72"/>
        <v/>
      </c>
      <c r="W145" s="44" t="str">
        <f t="shared" si="73"/>
        <v/>
      </c>
      <c r="X145" s="48" t="str">
        <f t="shared" si="74"/>
        <v/>
      </c>
      <c r="Z145" s="12" t="str">
        <f t="shared" si="75"/>
        <v/>
      </c>
      <c r="AA145" s="44" t="str">
        <f t="shared" si="76"/>
        <v/>
      </c>
      <c r="AB145" s="44" t="str">
        <f t="shared" si="77"/>
        <v/>
      </c>
      <c r="AC145" s="44" t="str">
        <f t="shared" si="78"/>
        <v/>
      </c>
      <c r="AD145" s="48" t="str">
        <f t="shared" si="79"/>
        <v/>
      </c>
      <c r="AF145" s="12" t="str">
        <f t="shared" si="80"/>
        <v/>
      </c>
      <c r="AG145" s="44" t="str">
        <f t="shared" si="81"/>
        <v/>
      </c>
      <c r="AH145" s="44" t="str">
        <f t="shared" si="82"/>
        <v/>
      </c>
      <c r="AI145" s="44" t="str">
        <f t="shared" si="83"/>
        <v/>
      </c>
      <c r="AJ145" s="48" t="str">
        <f t="shared" si="84"/>
        <v/>
      </c>
      <c r="AL145" s="12" t="str">
        <f t="shared" si="85"/>
        <v/>
      </c>
      <c r="AM145" s="44" t="str">
        <f t="shared" si="86"/>
        <v/>
      </c>
      <c r="AN145" s="44" t="str">
        <f t="shared" si="87"/>
        <v/>
      </c>
      <c r="AO145" s="44" t="str">
        <f t="shared" si="88"/>
        <v/>
      </c>
      <c r="AP145" s="48" t="str">
        <f t="shared" si="89"/>
        <v/>
      </c>
      <c r="AR145" s="12" t="str">
        <f t="shared" si="90"/>
        <v/>
      </c>
      <c r="AS145" s="44" t="str">
        <f t="shared" si="91"/>
        <v/>
      </c>
      <c r="AT145" s="44" t="str">
        <f t="shared" si="92"/>
        <v/>
      </c>
      <c r="AU145" s="44" t="str">
        <f t="shared" si="93"/>
        <v/>
      </c>
      <c r="AV145" s="48" t="str">
        <f t="shared" si="94"/>
        <v/>
      </c>
      <c r="AX145" s="12" t="str">
        <f t="shared" si="95"/>
        <v/>
      </c>
      <c r="AY145" s="44" t="str">
        <f t="shared" si="96"/>
        <v/>
      </c>
      <c r="AZ145" s="44" t="str">
        <f t="shared" si="97"/>
        <v/>
      </c>
      <c r="BA145" s="44" t="str">
        <f t="shared" si="98"/>
        <v/>
      </c>
      <c r="BB145" s="48" t="str">
        <f t="shared" si="99"/>
        <v/>
      </c>
      <c r="BD145" s="12" t="str">
        <f t="shared" si="100"/>
        <v/>
      </c>
      <c r="BE145" s="44" t="str">
        <f t="shared" si="101"/>
        <v/>
      </c>
      <c r="BF145" s="44" t="str">
        <f t="shared" si="102"/>
        <v/>
      </c>
      <c r="BG145" s="44" t="str">
        <f t="shared" si="103"/>
        <v/>
      </c>
      <c r="BH145" s="48" t="str">
        <f t="shared" si="104"/>
        <v/>
      </c>
      <c r="BJ145" s="12" t="str">
        <f t="shared" si="105"/>
        <v/>
      </c>
      <c r="BK145" s="44" t="str">
        <f t="shared" si="106"/>
        <v/>
      </c>
      <c r="BL145" s="44" t="str">
        <f t="shared" si="107"/>
        <v/>
      </c>
      <c r="BM145" s="44" t="str">
        <f t="shared" si="108"/>
        <v/>
      </c>
      <c r="BN145" s="48" t="str">
        <f t="shared" si="109"/>
        <v/>
      </c>
      <c r="BP145" s="12" t="str">
        <f t="shared" si="110"/>
        <v/>
      </c>
      <c r="BQ145" s="44" t="str">
        <f t="shared" si="111"/>
        <v/>
      </c>
      <c r="BR145" s="44" t="str">
        <f t="shared" si="112"/>
        <v/>
      </c>
      <c r="BS145" s="44" t="str">
        <f t="shared" si="113"/>
        <v/>
      </c>
      <c r="BT145" s="48" t="str">
        <f t="shared" si="114"/>
        <v/>
      </c>
    </row>
    <row r="146" spans="1:72" x14ac:dyDescent="0.25">
      <c r="A146" s="4">
        <v>124</v>
      </c>
      <c r="B146" s="54" t="str">
        <f>IF('Game Info'!J129="","",'Game Info'!J129)</f>
        <v/>
      </c>
      <c r="C146" s="54" t="str">
        <f>IF('Game Info'!K129="","",'Game Info'!K129)</f>
        <v/>
      </c>
      <c r="D146" s="54" t="str">
        <f>IF('Game Info'!L129="","",'Game Info'!L129)</f>
        <v/>
      </c>
      <c r="E146" s="54" t="str">
        <f>IF('Game Info'!M129="","",'Game Info'!M129)</f>
        <v/>
      </c>
      <c r="F146" s="55" t="str">
        <f>IF('Game Info'!N129="","",'Game Info'!N129)</f>
        <v/>
      </c>
      <c r="H146" s="12" t="str">
        <f t="shared" si="60"/>
        <v/>
      </c>
      <c r="I146" s="44" t="str">
        <f t="shared" si="61"/>
        <v/>
      </c>
      <c r="J146" s="44" t="str">
        <f t="shared" si="62"/>
        <v/>
      </c>
      <c r="K146" s="44" t="str">
        <f t="shared" si="63"/>
        <v/>
      </c>
      <c r="L146" s="48" t="str">
        <f t="shared" si="64"/>
        <v/>
      </c>
      <c r="N146" s="12" t="str">
        <f t="shared" si="65"/>
        <v/>
      </c>
      <c r="O146" s="44" t="str">
        <f t="shared" si="66"/>
        <v/>
      </c>
      <c r="P146" s="44" t="str">
        <f t="shared" si="67"/>
        <v/>
      </c>
      <c r="Q146" s="44" t="str">
        <f t="shared" si="68"/>
        <v/>
      </c>
      <c r="R146" s="48" t="str">
        <f t="shared" si="69"/>
        <v/>
      </c>
      <c r="T146" s="12" t="str">
        <f t="shared" si="70"/>
        <v/>
      </c>
      <c r="U146" s="44" t="str">
        <f t="shared" si="71"/>
        <v/>
      </c>
      <c r="V146" s="44" t="str">
        <f t="shared" si="72"/>
        <v/>
      </c>
      <c r="W146" s="44" t="str">
        <f t="shared" si="73"/>
        <v/>
      </c>
      <c r="X146" s="48" t="str">
        <f t="shared" si="74"/>
        <v/>
      </c>
      <c r="Z146" s="12" t="str">
        <f t="shared" si="75"/>
        <v/>
      </c>
      <c r="AA146" s="44" t="str">
        <f t="shared" si="76"/>
        <v/>
      </c>
      <c r="AB146" s="44" t="str">
        <f t="shared" si="77"/>
        <v/>
      </c>
      <c r="AC146" s="44" t="str">
        <f t="shared" si="78"/>
        <v/>
      </c>
      <c r="AD146" s="48" t="str">
        <f t="shared" si="79"/>
        <v/>
      </c>
      <c r="AF146" s="12" t="str">
        <f t="shared" si="80"/>
        <v/>
      </c>
      <c r="AG146" s="44" t="str">
        <f t="shared" si="81"/>
        <v/>
      </c>
      <c r="AH146" s="44" t="str">
        <f t="shared" si="82"/>
        <v/>
      </c>
      <c r="AI146" s="44" t="str">
        <f t="shared" si="83"/>
        <v/>
      </c>
      <c r="AJ146" s="48" t="str">
        <f t="shared" si="84"/>
        <v/>
      </c>
      <c r="AL146" s="12" t="str">
        <f t="shared" si="85"/>
        <v/>
      </c>
      <c r="AM146" s="44" t="str">
        <f t="shared" si="86"/>
        <v/>
      </c>
      <c r="AN146" s="44" t="str">
        <f t="shared" si="87"/>
        <v/>
      </c>
      <c r="AO146" s="44" t="str">
        <f t="shared" si="88"/>
        <v/>
      </c>
      <c r="AP146" s="48" t="str">
        <f t="shared" si="89"/>
        <v/>
      </c>
      <c r="AR146" s="12" t="str">
        <f t="shared" si="90"/>
        <v/>
      </c>
      <c r="AS146" s="44" t="str">
        <f t="shared" si="91"/>
        <v/>
      </c>
      <c r="AT146" s="44" t="str">
        <f t="shared" si="92"/>
        <v/>
      </c>
      <c r="AU146" s="44" t="str">
        <f t="shared" si="93"/>
        <v/>
      </c>
      <c r="AV146" s="48" t="str">
        <f t="shared" si="94"/>
        <v/>
      </c>
      <c r="AX146" s="12" t="str">
        <f t="shared" si="95"/>
        <v/>
      </c>
      <c r="AY146" s="44" t="str">
        <f t="shared" si="96"/>
        <v/>
      </c>
      <c r="AZ146" s="44" t="str">
        <f t="shared" si="97"/>
        <v/>
      </c>
      <c r="BA146" s="44" t="str">
        <f t="shared" si="98"/>
        <v/>
      </c>
      <c r="BB146" s="48" t="str">
        <f t="shared" si="99"/>
        <v/>
      </c>
      <c r="BD146" s="12" t="str">
        <f t="shared" si="100"/>
        <v/>
      </c>
      <c r="BE146" s="44" t="str">
        <f t="shared" si="101"/>
        <v/>
      </c>
      <c r="BF146" s="44" t="str">
        <f t="shared" si="102"/>
        <v/>
      </c>
      <c r="BG146" s="44" t="str">
        <f t="shared" si="103"/>
        <v/>
      </c>
      <c r="BH146" s="48" t="str">
        <f t="shared" si="104"/>
        <v/>
      </c>
      <c r="BJ146" s="12" t="str">
        <f t="shared" si="105"/>
        <v/>
      </c>
      <c r="BK146" s="44" t="str">
        <f t="shared" si="106"/>
        <v/>
      </c>
      <c r="BL146" s="44" t="str">
        <f t="shared" si="107"/>
        <v/>
      </c>
      <c r="BM146" s="44" t="str">
        <f t="shared" si="108"/>
        <v/>
      </c>
      <c r="BN146" s="48" t="str">
        <f t="shared" si="109"/>
        <v/>
      </c>
      <c r="BP146" s="12" t="str">
        <f t="shared" si="110"/>
        <v/>
      </c>
      <c r="BQ146" s="44" t="str">
        <f t="shared" si="111"/>
        <v/>
      </c>
      <c r="BR146" s="44" t="str">
        <f t="shared" si="112"/>
        <v/>
      </c>
      <c r="BS146" s="44" t="str">
        <f t="shared" si="113"/>
        <v/>
      </c>
      <c r="BT146" s="48" t="str">
        <f t="shared" si="114"/>
        <v/>
      </c>
    </row>
    <row r="147" spans="1:72" x14ac:dyDescent="0.25">
      <c r="A147" s="4">
        <v>125</v>
      </c>
      <c r="B147" s="54" t="str">
        <f>IF('Game Info'!J130="","",'Game Info'!J130)</f>
        <v/>
      </c>
      <c r="C147" s="54" t="str">
        <f>IF('Game Info'!K130="","",'Game Info'!K130)</f>
        <v/>
      </c>
      <c r="D147" s="54" t="str">
        <f>IF('Game Info'!L130="","",'Game Info'!L130)</f>
        <v/>
      </c>
      <c r="E147" s="54" t="str">
        <f>IF('Game Info'!M130="","",'Game Info'!M130)</f>
        <v/>
      </c>
      <c r="F147" s="55" t="str">
        <f>IF('Game Info'!N130="","",'Game Info'!N130)</f>
        <v/>
      </c>
      <c r="H147" s="12" t="str">
        <f t="shared" si="60"/>
        <v/>
      </c>
      <c r="I147" s="44" t="str">
        <f t="shared" si="61"/>
        <v/>
      </c>
      <c r="J147" s="44" t="str">
        <f t="shared" si="62"/>
        <v/>
      </c>
      <c r="K147" s="44" t="str">
        <f t="shared" si="63"/>
        <v/>
      </c>
      <c r="L147" s="48" t="str">
        <f t="shared" si="64"/>
        <v/>
      </c>
      <c r="N147" s="12" t="str">
        <f t="shared" si="65"/>
        <v/>
      </c>
      <c r="O147" s="44" t="str">
        <f t="shared" si="66"/>
        <v/>
      </c>
      <c r="P147" s="44" t="str">
        <f t="shared" si="67"/>
        <v/>
      </c>
      <c r="Q147" s="44" t="str">
        <f t="shared" si="68"/>
        <v/>
      </c>
      <c r="R147" s="48" t="str">
        <f t="shared" si="69"/>
        <v/>
      </c>
      <c r="T147" s="12" t="str">
        <f t="shared" si="70"/>
        <v/>
      </c>
      <c r="U147" s="44" t="str">
        <f t="shared" si="71"/>
        <v/>
      </c>
      <c r="V147" s="44" t="str">
        <f t="shared" si="72"/>
        <v/>
      </c>
      <c r="W147" s="44" t="str">
        <f t="shared" si="73"/>
        <v/>
      </c>
      <c r="X147" s="48" t="str">
        <f t="shared" si="74"/>
        <v/>
      </c>
      <c r="Z147" s="12" t="str">
        <f t="shared" si="75"/>
        <v/>
      </c>
      <c r="AA147" s="44" t="str">
        <f t="shared" si="76"/>
        <v/>
      </c>
      <c r="AB147" s="44" t="str">
        <f t="shared" si="77"/>
        <v/>
      </c>
      <c r="AC147" s="44" t="str">
        <f t="shared" si="78"/>
        <v/>
      </c>
      <c r="AD147" s="48" t="str">
        <f t="shared" si="79"/>
        <v/>
      </c>
      <c r="AF147" s="12" t="str">
        <f t="shared" si="80"/>
        <v/>
      </c>
      <c r="AG147" s="44" t="str">
        <f t="shared" si="81"/>
        <v/>
      </c>
      <c r="AH147" s="44" t="str">
        <f t="shared" si="82"/>
        <v/>
      </c>
      <c r="AI147" s="44" t="str">
        <f t="shared" si="83"/>
        <v/>
      </c>
      <c r="AJ147" s="48" t="str">
        <f t="shared" si="84"/>
        <v/>
      </c>
      <c r="AL147" s="12" t="str">
        <f t="shared" si="85"/>
        <v/>
      </c>
      <c r="AM147" s="44" t="str">
        <f t="shared" si="86"/>
        <v/>
      </c>
      <c r="AN147" s="44" t="str">
        <f t="shared" si="87"/>
        <v/>
      </c>
      <c r="AO147" s="44" t="str">
        <f t="shared" si="88"/>
        <v/>
      </c>
      <c r="AP147" s="48" t="str">
        <f t="shared" si="89"/>
        <v/>
      </c>
      <c r="AR147" s="12" t="str">
        <f t="shared" si="90"/>
        <v/>
      </c>
      <c r="AS147" s="44" t="str">
        <f t="shared" si="91"/>
        <v/>
      </c>
      <c r="AT147" s="44" t="str">
        <f t="shared" si="92"/>
        <v/>
      </c>
      <c r="AU147" s="44" t="str">
        <f t="shared" si="93"/>
        <v/>
      </c>
      <c r="AV147" s="48" t="str">
        <f t="shared" si="94"/>
        <v/>
      </c>
      <c r="AX147" s="12" t="str">
        <f t="shared" si="95"/>
        <v/>
      </c>
      <c r="AY147" s="44" t="str">
        <f t="shared" si="96"/>
        <v/>
      </c>
      <c r="AZ147" s="44" t="str">
        <f t="shared" si="97"/>
        <v/>
      </c>
      <c r="BA147" s="44" t="str">
        <f t="shared" si="98"/>
        <v/>
      </c>
      <c r="BB147" s="48" t="str">
        <f t="shared" si="99"/>
        <v/>
      </c>
      <c r="BD147" s="12" t="str">
        <f t="shared" si="100"/>
        <v/>
      </c>
      <c r="BE147" s="44" t="str">
        <f t="shared" si="101"/>
        <v/>
      </c>
      <c r="BF147" s="44" t="str">
        <f t="shared" si="102"/>
        <v/>
      </c>
      <c r="BG147" s="44" t="str">
        <f t="shared" si="103"/>
        <v/>
      </c>
      <c r="BH147" s="48" t="str">
        <f t="shared" si="104"/>
        <v/>
      </c>
      <c r="BJ147" s="12" t="str">
        <f t="shared" si="105"/>
        <v/>
      </c>
      <c r="BK147" s="44" t="str">
        <f t="shared" si="106"/>
        <v/>
      </c>
      <c r="BL147" s="44" t="str">
        <f t="shared" si="107"/>
        <v/>
      </c>
      <c r="BM147" s="44" t="str">
        <f t="shared" si="108"/>
        <v/>
      </c>
      <c r="BN147" s="48" t="str">
        <f t="shared" si="109"/>
        <v/>
      </c>
      <c r="BP147" s="12" t="str">
        <f t="shared" si="110"/>
        <v/>
      </c>
      <c r="BQ147" s="44" t="str">
        <f t="shared" si="111"/>
        <v/>
      </c>
      <c r="BR147" s="44" t="str">
        <f t="shared" si="112"/>
        <v/>
      </c>
      <c r="BS147" s="44" t="str">
        <f t="shared" si="113"/>
        <v/>
      </c>
      <c r="BT147" s="48" t="str">
        <f t="shared" si="114"/>
        <v/>
      </c>
    </row>
    <row r="148" spans="1:72" x14ac:dyDescent="0.25">
      <c r="A148" s="4">
        <v>126</v>
      </c>
      <c r="B148" s="54" t="str">
        <f>IF('Game Info'!J131="","",'Game Info'!J131)</f>
        <v/>
      </c>
      <c r="C148" s="54" t="str">
        <f>IF('Game Info'!K131="","",'Game Info'!K131)</f>
        <v/>
      </c>
      <c r="D148" s="54" t="str">
        <f>IF('Game Info'!L131="","",'Game Info'!L131)</f>
        <v/>
      </c>
      <c r="E148" s="54" t="str">
        <f>IF('Game Info'!M131="","",'Game Info'!M131)</f>
        <v/>
      </c>
      <c r="F148" s="55" t="str">
        <f>IF('Game Info'!N131="","",'Game Info'!N131)</f>
        <v/>
      </c>
      <c r="H148" s="12" t="str">
        <f t="shared" si="60"/>
        <v/>
      </c>
      <c r="I148" s="44" t="str">
        <f t="shared" si="61"/>
        <v/>
      </c>
      <c r="J148" s="44" t="str">
        <f t="shared" si="62"/>
        <v/>
      </c>
      <c r="K148" s="44" t="str">
        <f t="shared" si="63"/>
        <v/>
      </c>
      <c r="L148" s="48" t="str">
        <f t="shared" si="64"/>
        <v/>
      </c>
      <c r="N148" s="12" t="str">
        <f t="shared" si="65"/>
        <v/>
      </c>
      <c r="O148" s="44" t="str">
        <f t="shared" si="66"/>
        <v/>
      </c>
      <c r="P148" s="44" t="str">
        <f t="shared" si="67"/>
        <v/>
      </c>
      <c r="Q148" s="44" t="str">
        <f t="shared" si="68"/>
        <v/>
      </c>
      <c r="R148" s="48" t="str">
        <f t="shared" si="69"/>
        <v/>
      </c>
      <c r="T148" s="12" t="str">
        <f t="shared" si="70"/>
        <v/>
      </c>
      <c r="U148" s="44" t="str">
        <f t="shared" si="71"/>
        <v/>
      </c>
      <c r="V148" s="44" t="str">
        <f t="shared" si="72"/>
        <v/>
      </c>
      <c r="W148" s="44" t="str">
        <f t="shared" si="73"/>
        <v/>
      </c>
      <c r="X148" s="48" t="str">
        <f t="shared" si="74"/>
        <v/>
      </c>
      <c r="Z148" s="12" t="str">
        <f t="shared" si="75"/>
        <v/>
      </c>
      <c r="AA148" s="44" t="str">
        <f t="shared" si="76"/>
        <v/>
      </c>
      <c r="AB148" s="44" t="str">
        <f t="shared" si="77"/>
        <v/>
      </c>
      <c r="AC148" s="44" t="str">
        <f t="shared" si="78"/>
        <v/>
      </c>
      <c r="AD148" s="48" t="str">
        <f t="shared" si="79"/>
        <v/>
      </c>
      <c r="AF148" s="12" t="str">
        <f t="shared" si="80"/>
        <v/>
      </c>
      <c r="AG148" s="44" t="str">
        <f t="shared" si="81"/>
        <v/>
      </c>
      <c r="AH148" s="44" t="str">
        <f t="shared" si="82"/>
        <v/>
      </c>
      <c r="AI148" s="44" t="str">
        <f t="shared" si="83"/>
        <v/>
      </c>
      <c r="AJ148" s="48" t="str">
        <f t="shared" si="84"/>
        <v/>
      </c>
      <c r="AL148" s="12" t="str">
        <f t="shared" si="85"/>
        <v/>
      </c>
      <c r="AM148" s="44" t="str">
        <f t="shared" si="86"/>
        <v/>
      </c>
      <c r="AN148" s="44" t="str">
        <f t="shared" si="87"/>
        <v/>
      </c>
      <c r="AO148" s="44" t="str">
        <f t="shared" si="88"/>
        <v/>
      </c>
      <c r="AP148" s="48" t="str">
        <f t="shared" si="89"/>
        <v/>
      </c>
      <c r="AR148" s="12" t="str">
        <f t="shared" si="90"/>
        <v/>
      </c>
      <c r="AS148" s="44" t="str">
        <f t="shared" si="91"/>
        <v/>
      </c>
      <c r="AT148" s="44" t="str">
        <f t="shared" si="92"/>
        <v/>
      </c>
      <c r="AU148" s="44" t="str">
        <f t="shared" si="93"/>
        <v/>
      </c>
      <c r="AV148" s="48" t="str">
        <f t="shared" si="94"/>
        <v/>
      </c>
      <c r="AX148" s="12" t="str">
        <f t="shared" si="95"/>
        <v/>
      </c>
      <c r="AY148" s="44" t="str">
        <f t="shared" si="96"/>
        <v/>
      </c>
      <c r="AZ148" s="44" t="str">
        <f t="shared" si="97"/>
        <v/>
      </c>
      <c r="BA148" s="44" t="str">
        <f t="shared" si="98"/>
        <v/>
      </c>
      <c r="BB148" s="48" t="str">
        <f t="shared" si="99"/>
        <v/>
      </c>
      <c r="BD148" s="12" t="str">
        <f t="shared" si="100"/>
        <v/>
      </c>
      <c r="BE148" s="44" t="str">
        <f t="shared" si="101"/>
        <v/>
      </c>
      <c r="BF148" s="44" t="str">
        <f t="shared" si="102"/>
        <v/>
      </c>
      <c r="BG148" s="44" t="str">
        <f t="shared" si="103"/>
        <v/>
      </c>
      <c r="BH148" s="48" t="str">
        <f t="shared" si="104"/>
        <v/>
      </c>
      <c r="BJ148" s="12" t="str">
        <f t="shared" si="105"/>
        <v/>
      </c>
      <c r="BK148" s="44" t="str">
        <f t="shared" si="106"/>
        <v/>
      </c>
      <c r="BL148" s="44" t="str">
        <f t="shared" si="107"/>
        <v/>
      </c>
      <c r="BM148" s="44" t="str">
        <f t="shared" si="108"/>
        <v/>
      </c>
      <c r="BN148" s="48" t="str">
        <f t="shared" si="109"/>
        <v/>
      </c>
      <c r="BP148" s="12" t="str">
        <f t="shared" si="110"/>
        <v/>
      </c>
      <c r="BQ148" s="44" t="str">
        <f t="shared" si="111"/>
        <v/>
      </c>
      <c r="BR148" s="44" t="str">
        <f t="shared" si="112"/>
        <v/>
      </c>
      <c r="BS148" s="44" t="str">
        <f t="shared" si="113"/>
        <v/>
      </c>
      <c r="BT148" s="48" t="str">
        <f t="shared" si="114"/>
        <v/>
      </c>
    </row>
    <row r="149" spans="1:72" x14ac:dyDescent="0.25">
      <c r="A149" s="4">
        <v>127</v>
      </c>
      <c r="B149" s="54" t="str">
        <f>IF('Game Info'!J132="","",'Game Info'!J132)</f>
        <v/>
      </c>
      <c r="C149" s="54" t="str">
        <f>IF('Game Info'!K132="","",'Game Info'!K132)</f>
        <v/>
      </c>
      <c r="D149" s="54" t="str">
        <f>IF('Game Info'!L132="","",'Game Info'!L132)</f>
        <v/>
      </c>
      <c r="E149" s="54" t="str">
        <f>IF('Game Info'!M132="","",'Game Info'!M132)</f>
        <v/>
      </c>
      <c r="F149" s="55" t="str">
        <f>IF('Game Info'!N132="","",'Game Info'!N132)</f>
        <v/>
      </c>
      <c r="H149" s="12" t="str">
        <f t="shared" si="60"/>
        <v/>
      </c>
      <c r="I149" s="44" t="str">
        <f t="shared" si="61"/>
        <v/>
      </c>
      <c r="J149" s="44" t="str">
        <f t="shared" si="62"/>
        <v/>
      </c>
      <c r="K149" s="44" t="str">
        <f t="shared" si="63"/>
        <v/>
      </c>
      <c r="L149" s="48" t="str">
        <f t="shared" si="64"/>
        <v/>
      </c>
      <c r="N149" s="12" t="str">
        <f t="shared" si="65"/>
        <v/>
      </c>
      <c r="O149" s="44" t="str">
        <f t="shared" si="66"/>
        <v/>
      </c>
      <c r="P149" s="44" t="str">
        <f t="shared" si="67"/>
        <v/>
      </c>
      <c r="Q149" s="44" t="str">
        <f t="shared" si="68"/>
        <v/>
      </c>
      <c r="R149" s="48" t="str">
        <f t="shared" si="69"/>
        <v/>
      </c>
      <c r="T149" s="12" t="str">
        <f t="shared" si="70"/>
        <v/>
      </c>
      <c r="U149" s="44" t="str">
        <f t="shared" si="71"/>
        <v/>
      </c>
      <c r="V149" s="44" t="str">
        <f t="shared" si="72"/>
        <v/>
      </c>
      <c r="W149" s="44" t="str">
        <f t="shared" si="73"/>
        <v/>
      </c>
      <c r="X149" s="48" t="str">
        <f t="shared" si="74"/>
        <v/>
      </c>
      <c r="Z149" s="12" t="str">
        <f t="shared" si="75"/>
        <v/>
      </c>
      <c r="AA149" s="44" t="str">
        <f t="shared" si="76"/>
        <v/>
      </c>
      <c r="AB149" s="44" t="str">
        <f t="shared" si="77"/>
        <v/>
      </c>
      <c r="AC149" s="44" t="str">
        <f t="shared" si="78"/>
        <v/>
      </c>
      <c r="AD149" s="48" t="str">
        <f t="shared" si="79"/>
        <v/>
      </c>
      <c r="AF149" s="12" t="str">
        <f t="shared" si="80"/>
        <v/>
      </c>
      <c r="AG149" s="44" t="str">
        <f t="shared" si="81"/>
        <v/>
      </c>
      <c r="AH149" s="44" t="str">
        <f t="shared" si="82"/>
        <v/>
      </c>
      <c r="AI149" s="44" t="str">
        <f t="shared" si="83"/>
        <v/>
      </c>
      <c r="AJ149" s="48" t="str">
        <f t="shared" si="84"/>
        <v/>
      </c>
      <c r="AL149" s="12" t="str">
        <f t="shared" si="85"/>
        <v/>
      </c>
      <c r="AM149" s="44" t="str">
        <f t="shared" si="86"/>
        <v/>
      </c>
      <c r="AN149" s="44" t="str">
        <f t="shared" si="87"/>
        <v/>
      </c>
      <c r="AO149" s="44" t="str">
        <f t="shared" si="88"/>
        <v/>
      </c>
      <c r="AP149" s="48" t="str">
        <f t="shared" si="89"/>
        <v/>
      </c>
      <c r="AR149" s="12" t="str">
        <f t="shared" si="90"/>
        <v/>
      </c>
      <c r="AS149" s="44" t="str">
        <f t="shared" si="91"/>
        <v/>
      </c>
      <c r="AT149" s="44" t="str">
        <f t="shared" si="92"/>
        <v/>
      </c>
      <c r="AU149" s="44" t="str">
        <f t="shared" si="93"/>
        <v/>
      </c>
      <c r="AV149" s="48" t="str">
        <f t="shared" si="94"/>
        <v/>
      </c>
      <c r="AX149" s="12" t="str">
        <f t="shared" si="95"/>
        <v/>
      </c>
      <c r="AY149" s="44" t="str">
        <f t="shared" si="96"/>
        <v/>
      </c>
      <c r="AZ149" s="44" t="str">
        <f t="shared" si="97"/>
        <v/>
      </c>
      <c r="BA149" s="44" t="str">
        <f t="shared" si="98"/>
        <v/>
      </c>
      <c r="BB149" s="48" t="str">
        <f t="shared" si="99"/>
        <v/>
      </c>
      <c r="BD149" s="12" t="str">
        <f t="shared" si="100"/>
        <v/>
      </c>
      <c r="BE149" s="44" t="str">
        <f t="shared" si="101"/>
        <v/>
      </c>
      <c r="BF149" s="44" t="str">
        <f t="shared" si="102"/>
        <v/>
      </c>
      <c r="BG149" s="44" t="str">
        <f t="shared" si="103"/>
        <v/>
      </c>
      <c r="BH149" s="48" t="str">
        <f t="shared" si="104"/>
        <v/>
      </c>
      <c r="BJ149" s="12" t="str">
        <f t="shared" si="105"/>
        <v/>
      </c>
      <c r="BK149" s="44" t="str">
        <f t="shared" si="106"/>
        <v/>
      </c>
      <c r="BL149" s="44" t="str">
        <f t="shared" si="107"/>
        <v/>
      </c>
      <c r="BM149" s="44" t="str">
        <f t="shared" si="108"/>
        <v/>
      </c>
      <c r="BN149" s="48" t="str">
        <f t="shared" si="109"/>
        <v/>
      </c>
      <c r="BP149" s="12" t="str">
        <f t="shared" si="110"/>
        <v/>
      </c>
      <c r="BQ149" s="44" t="str">
        <f t="shared" si="111"/>
        <v/>
      </c>
      <c r="BR149" s="44" t="str">
        <f t="shared" si="112"/>
        <v/>
      </c>
      <c r="BS149" s="44" t="str">
        <f t="shared" si="113"/>
        <v/>
      </c>
      <c r="BT149" s="48" t="str">
        <f t="shared" si="114"/>
        <v/>
      </c>
    </row>
    <row r="150" spans="1:72" x14ac:dyDescent="0.25">
      <c r="A150" s="4">
        <v>128</v>
      </c>
      <c r="B150" s="54" t="str">
        <f>IF('Game Info'!J133="","",'Game Info'!J133)</f>
        <v/>
      </c>
      <c r="C150" s="54" t="str">
        <f>IF('Game Info'!K133="","",'Game Info'!K133)</f>
        <v/>
      </c>
      <c r="D150" s="54" t="str">
        <f>IF('Game Info'!L133="","",'Game Info'!L133)</f>
        <v/>
      </c>
      <c r="E150" s="54" t="str">
        <f>IF('Game Info'!M133="","",'Game Info'!M133)</f>
        <v/>
      </c>
      <c r="F150" s="55" t="str">
        <f>IF('Game Info'!N133="","",'Game Info'!N133)</f>
        <v/>
      </c>
      <c r="H150" s="12" t="str">
        <f t="shared" si="60"/>
        <v/>
      </c>
      <c r="I150" s="44" t="str">
        <f t="shared" si="61"/>
        <v/>
      </c>
      <c r="J150" s="44" t="str">
        <f t="shared" si="62"/>
        <v/>
      </c>
      <c r="K150" s="44" t="str">
        <f t="shared" si="63"/>
        <v/>
      </c>
      <c r="L150" s="48" t="str">
        <f t="shared" si="64"/>
        <v/>
      </c>
      <c r="N150" s="12" t="str">
        <f t="shared" si="65"/>
        <v/>
      </c>
      <c r="O150" s="44" t="str">
        <f t="shared" si="66"/>
        <v/>
      </c>
      <c r="P150" s="44" t="str">
        <f t="shared" si="67"/>
        <v/>
      </c>
      <c r="Q150" s="44" t="str">
        <f t="shared" si="68"/>
        <v/>
      </c>
      <c r="R150" s="48" t="str">
        <f t="shared" si="69"/>
        <v/>
      </c>
      <c r="T150" s="12" t="str">
        <f t="shared" si="70"/>
        <v/>
      </c>
      <c r="U150" s="44" t="str">
        <f t="shared" si="71"/>
        <v/>
      </c>
      <c r="V150" s="44" t="str">
        <f t="shared" si="72"/>
        <v/>
      </c>
      <c r="W150" s="44" t="str">
        <f t="shared" si="73"/>
        <v/>
      </c>
      <c r="X150" s="48" t="str">
        <f t="shared" si="74"/>
        <v/>
      </c>
      <c r="Z150" s="12" t="str">
        <f t="shared" si="75"/>
        <v/>
      </c>
      <c r="AA150" s="44" t="str">
        <f t="shared" si="76"/>
        <v/>
      </c>
      <c r="AB150" s="44" t="str">
        <f t="shared" si="77"/>
        <v/>
      </c>
      <c r="AC150" s="44" t="str">
        <f t="shared" si="78"/>
        <v/>
      </c>
      <c r="AD150" s="48" t="str">
        <f t="shared" si="79"/>
        <v/>
      </c>
      <c r="AF150" s="12" t="str">
        <f t="shared" si="80"/>
        <v/>
      </c>
      <c r="AG150" s="44" t="str">
        <f t="shared" si="81"/>
        <v/>
      </c>
      <c r="AH150" s="44" t="str">
        <f t="shared" si="82"/>
        <v/>
      </c>
      <c r="AI150" s="44" t="str">
        <f t="shared" si="83"/>
        <v/>
      </c>
      <c r="AJ150" s="48" t="str">
        <f t="shared" si="84"/>
        <v/>
      </c>
      <c r="AL150" s="12" t="str">
        <f t="shared" si="85"/>
        <v/>
      </c>
      <c r="AM150" s="44" t="str">
        <f t="shared" si="86"/>
        <v/>
      </c>
      <c r="AN150" s="44" t="str">
        <f t="shared" si="87"/>
        <v/>
      </c>
      <c r="AO150" s="44" t="str">
        <f t="shared" si="88"/>
        <v/>
      </c>
      <c r="AP150" s="48" t="str">
        <f t="shared" si="89"/>
        <v/>
      </c>
      <c r="AR150" s="12" t="str">
        <f t="shared" si="90"/>
        <v/>
      </c>
      <c r="AS150" s="44" t="str">
        <f t="shared" si="91"/>
        <v/>
      </c>
      <c r="AT150" s="44" t="str">
        <f t="shared" si="92"/>
        <v/>
      </c>
      <c r="AU150" s="44" t="str">
        <f t="shared" si="93"/>
        <v/>
      </c>
      <c r="AV150" s="48" t="str">
        <f t="shared" si="94"/>
        <v/>
      </c>
      <c r="AX150" s="12" t="str">
        <f t="shared" si="95"/>
        <v/>
      </c>
      <c r="AY150" s="44" t="str">
        <f t="shared" si="96"/>
        <v/>
      </c>
      <c r="AZ150" s="44" t="str">
        <f t="shared" si="97"/>
        <v/>
      </c>
      <c r="BA150" s="44" t="str">
        <f t="shared" si="98"/>
        <v/>
      </c>
      <c r="BB150" s="48" t="str">
        <f t="shared" si="99"/>
        <v/>
      </c>
      <c r="BD150" s="12" t="str">
        <f t="shared" si="100"/>
        <v/>
      </c>
      <c r="BE150" s="44" t="str">
        <f t="shared" si="101"/>
        <v/>
      </c>
      <c r="BF150" s="44" t="str">
        <f t="shared" si="102"/>
        <v/>
      </c>
      <c r="BG150" s="44" t="str">
        <f t="shared" si="103"/>
        <v/>
      </c>
      <c r="BH150" s="48" t="str">
        <f t="shared" si="104"/>
        <v/>
      </c>
      <c r="BJ150" s="12" t="str">
        <f t="shared" si="105"/>
        <v/>
      </c>
      <c r="BK150" s="44" t="str">
        <f t="shared" si="106"/>
        <v/>
      </c>
      <c r="BL150" s="44" t="str">
        <f t="shared" si="107"/>
        <v/>
      </c>
      <c r="BM150" s="44" t="str">
        <f t="shared" si="108"/>
        <v/>
      </c>
      <c r="BN150" s="48" t="str">
        <f t="shared" si="109"/>
        <v/>
      </c>
      <c r="BP150" s="12" t="str">
        <f t="shared" si="110"/>
        <v/>
      </c>
      <c r="BQ150" s="44" t="str">
        <f t="shared" si="111"/>
        <v/>
      </c>
      <c r="BR150" s="44" t="str">
        <f t="shared" si="112"/>
        <v/>
      </c>
      <c r="BS150" s="44" t="str">
        <f t="shared" si="113"/>
        <v/>
      </c>
      <c r="BT150" s="48" t="str">
        <f t="shared" si="114"/>
        <v/>
      </c>
    </row>
    <row r="151" spans="1:72" x14ac:dyDescent="0.25">
      <c r="A151" s="4">
        <v>129</v>
      </c>
      <c r="B151" s="54" t="str">
        <f>IF('Game Info'!J134="","",'Game Info'!J134)</f>
        <v/>
      </c>
      <c r="C151" s="54" t="str">
        <f>IF('Game Info'!K134="","",'Game Info'!K134)</f>
        <v/>
      </c>
      <c r="D151" s="54" t="str">
        <f>IF('Game Info'!L134="","",'Game Info'!L134)</f>
        <v/>
      </c>
      <c r="E151" s="54" t="str">
        <f>IF('Game Info'!M134="","",'Game Info'!M134)</f>
        <v/>
      </c>
      <c r="F151" s="55" t="str">
        <f>IF('Game Info'!N134="","",'Game Info'!N134)</f>
        <v/>
      </c>
      <c r="H151" s="12" t="str">
        <f t="shared" si="60"/>
        <v/>
      </c>
      <c r="I151" s="44" t="str">
        <f t="shared" si="61"/>
        <v/>
      </c>
      <c r="J151" s="44" t="str">
        <f t="shared" si="62"/>
        <v/>
      </c>
      <c r="K151" s="44" t="str">
        <f t="shared" si="63"/>
        <v/>
      </c>
      <c r="L151" s="48" t="str">
        <f t="shared" si="64"/>
        <v/>
      </c>
      <c r="N151" s="12" t="str">
        <f t="shared" si="65"/>
        <v/>
      </c>
      <c r="O151" s="44" t="str">
        <f t="shared" si="66"/>
        <v/>
      </c>
      <c r="P151" s="44" t="str">
        <f t="shared" si="67"/>
        <v/>
      </c>
      <c r="Q151" s="44" t="str">
        <f t="shared" si="68"/>
        <v/>
      </c>
      <c r="R151" s="48" t="str">
        <f t="shared" si="69"/>
        <v/>
      </c>
      <c r="T151" s="12" t="str">
        <f t="shared" si="70"/>
        <v/>
      </c>
      <c r="U151" s="44" t="str">
        <f t="shared" si="71"/>
        <v/>
      </c>
      <c r="V151" s="44" t="str">
        <f t="shared" si="72"/>
        <v/>
      </c>
      <c r="W151" s="44" t="str">
        <f t="shared" si="73"/>
        <v/>
      </c>
      <c r="X151" s="48" t="str">
        <f t="shared" si="74"/>
        <v/>
      </c>
      <c r="Z151" s="12" t="str">
        <f t="shared" si="75"/>
        <v/>
      </c>
      <c r="AA151" s="44" t="str">
        <f t="shared" si="76"/>
        <v/>
      </c>
      <c r="AB151" s="44" t="str">
        <f t="shared" si="77"/>
        <v/>
      </c>
      <c r="AC151" s="44" t="str">
        <f t="shared" si="78"/>
        <v/>
      </c>
      <c r="AD151" s="48" t="str">
        <f t="shared" si="79"/>
        <v/>
      </c>
      <c r="AF151" s="12" t="str">
        <f t="shared" si="80"/>
        <v/>
      </c>
      <c r="AG151" s="44" t="str">
        <f t="shared" si="81"/>
        <v/>
      </c>
      <c r="AH151" s="44" t="str">
        <f t="shared" si="82"/>
        <v/>
      </c>
      <c r="AI151" s="44" t="str">
        <f t="shared" si="83"/>
        <v/>
      </c>
      <c r="AJ151" s="48" t="str">
        <f t="shared" si="84"/>
        <v/>
      </c>
      <c r="AL151" s="12" t="str">
        <f t="shared" si="85"/>
        <v/>
      </c>
      <c r="AM151" s="44" t="str">
        <f t="shared" si="86"/>
        <v/>
      </c>
      <c r="AN151" s="44" t="str">
        <f t="shared" si="87"/>
        <v/>
      </c>
      <c r="AO151" s="44" t="str">
        <f t="shared" si="88"/>
        <v/>
      </c>
      <c r="AP151" s="48" t="str">
        <f t="shared" si="89"/>
        <v/>
      </c>
      <c r="AR151" s="12" t="str">
        <f t="shared" si="90"/>
        <v/>
      </c>
      <c r="AS151" s="44" t="str">
        <f t="shared" si="91"/>
        <v/>
      </c>
      <c r="AT151" s="44" t="str">
        <f t="shared" si="92"/>
        <v/>
      </c>
      <c r="AU151" s="44" t="str">
        <f t="shared" si="93"/>
        <v/>
      </c>
      <c r="AV151" s="48" t="str">
        <f t="shared" si="94"/>
        <v/>
      </c>
      <c r="AX151" s="12" t="str">
        <f t="shared" si="95"/>
        <v/>
      </c>
      <c r="AY151" s="44" t="str">
        <f t="shared" si="96"/>
        <v/>
      </c>
      <c r="AZ151" s="44" t="str">
        <f t="shared" si="97"/>
        <v/>
      </c>
      <c r="BA151" s="44" t="str">
        <f t="shared" si="98"/>
        <v/>
      </c>
      <c r="BB151" s="48" t="str">
        <f t="shared" si="99"/>
        <v/>
      </c>
      <c r="BD151" s="12" t="str">
        <f t="shared" si="100"/>
        <v/>
      </c>
      <c r="BE151" s="44" t="str">
        <f t="shared" si="101"/>
        <v/>
      </c>
      <c r="BF151" s="44" t="str">
        <f t="shared" si="102"/>
        <v/>
      </c>
      <c r="BG151" s="44" t="str">
        <f t="shared" si="103"/>
        <v/>
      </c>
      <c r="BH151" s="48" t="str">
        <f t="shared" si="104"/>
        <v/>
      </c>
      <c r="BJ151" s="12" t="str">
        <f t="shared" si="105"/>
        <v/>
      </c>
      <c r="BK151" s="44" t="str">
        <f t="shared" si="106"/>
        <v/>
      </c>
      <c r="BL151" s="44" t="str">
        <f t="shared" si="107"/>
        <v/>
      </c>
      <c r="BM151" s="44" t="str">
        <f t="shared" si="108"/>
        <v/>
      </c>
      <c r="BN151" s="48" t="str">
        <f t="shared" si="109"/>
        <v/>
      </c>
      <c r="BP151" s="12" t="str">
        <f t="shared" si="110"/>
        <v/>
      </c>
      <c r="BQ151" s="44" t="str">
        <f t="shared" si="111"/>
        <v/>
      </c>
      <c r="BR151" s="44" t="str">
        <f t="shared" si="112"/>
        <v/>
      </c>
      <c r="BS151" s="44" t="str">
        <f t="shared" si="113"/>
        <v/>
      </c>
      <c r="BT151" s="48" t="str">
        <f t="shared" si="114"/>
        <v/>
      </c>
    </row>
    <row r="152" spans="1:72" x14ac:dyDescent="0.25">
      <c r="A152" s="4">
        <v>130</v>
      </c>
      <c r="B152" s="54" t="str">
        <f>IF('Game Info'!J135="","",'Game Info'!J135)</f>
        <v/>
      </c>
      <c r="C152" s="54" t="str">
        <f>IF('Game Info'!K135="","",'Game Info'!K135)</f>
        <v/>
      </c>
      <c r="D152" s="54" t="str">
        <f>IF('Game Info'!L135="","",'Game Info'!L135)</f>
        <v/>
      </c>
      <c r="E152" s="54" t="str">
        <f>IF('Game Info'!M135="","",'Game Info'!M135)</f>
        <v/>
      </c>
      <c r="F152" s="55" t="str">
        <f>IF('Game Info'!N135="","",'Game Info'!N135)</f>
        <v/>
      </c>
      <c r="H152" s="12" t="str">
        <f t="shared" ref="H152:H172" si="115">IF($B152="","",COUNTIF($B149:$B152,H$21)+COUNTIF($B149:$B152,$A$3))</f>
        <v/>
      </c>
      <c r="I152" s="44" t="str">
        <f t="shared" ref="I152:I172" si="116">IF($C152="","",COUNTIF($C149:$C152,H$21)+COUNTIF($C149:$C152,$A$3))</f>
        <v/>
      </c>
      <c r="J152" s="44" t="str">
        <f t="shared" ref="J152:J172" si="117">IF($D152="","",COUNTIF($D149:$D152,H$21)+COUNTIF($D149:$D152,$A$3))</f>
        <v/>
      </c>
      <c r="K152" s="44" t="str">
        <f t="shared" ref="K152:K172" si="118">IF($E152="","",COUNTIF($E149:$E152,H$21)+COUNTIF($E149:$E152,$A$3))</f>
        <v/>
      </c>
      <c r="L152" s="48" t="str">
        <f t="shared" ref="L152:L172" si="119">IF($F152="","",COUNTIF($F149:$F152,H$21)+COUNTIF($F149:$F152,$A$3))</f>
        <v/>
      </c>
      <c r="N152" s="12" t="str">
        <f t="shared" ref="N152:N172" si="120">IF($B152="","",COUNTIF($B149:$B152,N$21)+COUNTIF($B149:$B152,$A$3))</f>
        <v/>
      </c>
      <c r="O152" s="44" t="str">
        <f t="shared" ref="O152:O172" si="121">IF($C152="","",COUNTIF($C149:$C152,N$21)+COUNTIF($C149:$C152,$A$3))</f>
        <v/>
      </c>
      <c r="P152" s="44" t="str">
        <f t="shared" ref="P152:P172" si="122">IF($D152="","",COUNTIF($D149:$D152,N$21)+COUNTIF($D149:$D152,$A$3))</f>
        <v/>
      </c>
      <c r="Q152" s="44" t="str">
        <f t="shared" ref="Q152:Q172" si="123">IF($E152="","",COUNTIF($E149:$E152,N$21)+COUNTIF($E149:$E152,$A$3))</f>
        <v/>
      </c>
      <c r="R152" s="48" t="str">
        <f t="shared" ref="R152:R172" si="124">IF($F152="","",COUNTIF($F149:$F152,N$21)+COUNTIF($F149:$F152,$A$3))</f>
        <v/>
      </c>
      <c r="T152" s="12" t="str">
        <f t="shared" ref="T152:T172" si="125">IF($B152="","",COUNTIF($B149:$B152,T$21)+COUNTIF($B149:$B152,$A$3))</f>
        <v/>
      </c>
      <c r="U152" s="44" t="str">
        <f t="shared" ref="U152:U172" si="126">IF($C152="","",COUNTIF($C149:$C152,T$21)+COUNTIF($C149:$C152,$A$3))</f>
        <v/>
      </c>
      <c r="V152" s="44" t="str">
        <f t="shared" ref="V152:V172" si="127">IF($D152="","",COUNTIF($D149:$D152,T$21)+COUNTIF($D149:$D152,$A$3))</f>
        <v/>
      </c>
      <c r="W152" s="44" t="str">
        <f t="shared" ref="W152:W172" si="128">IF($E152="","",COUNTIF($E149:$E152,T$21)+COUNTIF($E149:$E152,$A$3))</f>
        <v/>
      </c>
      <c r="X152" s="48" t="str">
        <f t="shared" ref="X152:X172" si="129">IF($F152="","",COUNTIF($F149:$F152,T$21)+COUNTIF($F149:$F152,$A$3))</f>
        <v/>
      </c>
      <c r="Z152" s="12" t="str">
        <f t="shared" ref="Z152:Z172" si="130">IF($B152="","",COUNTIF($B149:$B152,Z$21)+COUNTIF($B149:$B152,$A$3))</f>
        <v/>
      </c>
      <c r="AA152" s="44" t="str">
        <f t="shared" ref="AA152:AA172" si="131">IF($C152="","",COUNTIF($C149:$C152,Z$21)+COUNTIF($C149:$C152,$A$3))</f>
        <v/>
      </c>
      <c r="AB152" s="44" t="str">
        <f t="shared" ref="AB152:AB172" si="132">IF($D152="","",COUNTIF($D149:$D152,Z$21)+COUNTIF($D149:$D152,$A$3))</f>
        <v/>
      </c>
      <c r="AC152" s="44" t="str">
        <f t="shared" ref="AC152:AC172" si="133">IF($E152="","",COUNTIF($E149:$E152,Z$21)+COUNTIF($E149:$E152,$A$3))</f>
        <v/>
      </c>
      <c r="AD152" s="48" t="str">
        <f t="shared" ref="AD152:AD172" si="134">IF($F152="","",COUNTIF($F149:$F152,Z$21)+COUNTIF($F149:$F152,$A$3))</f>
        <v/>
      </c>
      <c r="AF152" s="12" t="str">
        <f t="shared" ref="AF152:AF172" si="135">IF($B152="","",COUNTIF($B149:$B152,AF$21)+COUNTIF($B149:$B152,$A$3))</f>
        <v/>
      </c>
      <c r="AG152" s="44" t="str">
        <f t="shared" ref="AG152:AG172" si="136">IF($C152="","",COUNTIF($C149:$C152,AF$21)+COUNTIF($C149:$C152,$A$3))</f>
        <v/>
      </c>
      <c r="AH152" s="44" t="str">
        <f t="shared" ref="AH152:AH172" si="137">IF($D152="","",COUNTIF($D149:$D152,AF$21)+COUNTIF($D149:$D152,$A$3))</f>
        <v/>
      </c>
      <c r="AI152" s="44" t="str">
        <f t="shared" ref="AI152:AI172" si="138">IF($E152="","",COUNTIF($E149:$E152,AF$21)+COUNTIF($E149:$E152,$A$3))</f>
        <v/>
      </c>
      <c r="AJ152" s="48" t="str">
        <f t="shared" ref="AJ152:AJ172" si="139">IF($F152="","",COUNTIF($F149:$F152,AF$21)+COUNTIF($F149:$F152,$A$3))</f>
        <v/>
      </c>
      <c r="AL152" s="12" t="str">
        <f t="shared" ref="AL152:AL172" si="140">IF($B152="","",COUNTIF($B149:$B152,AL$21)+COUNTIF($B149:$B152,$A$3))</f>
        <v/>
      </c>
      <c r="AM152" s="44" t="str">
        <f t="shared" ref="AM152:AM172" si="141">IF($C152="","",COUNTIF($C149:$C152,AL$21)+COUNTIF($C149:$C152,$A$3))</f>
        <v/>
      </c>
      <c r="AN152" s="44" t="str">
        <f t="shared" ref="AN152:AN172" si="142">IF($D152="","",COUNTIF($D149:$D152,AL$21)+COUNTIF($D149:$D152,$A$3))</f>
        <v/>
      </c>
      <c r="AO152" s="44" t="str">
        <f t="shared" ref="AO152:AO172" si="143">IF($E152="","",COUNTIF($E149:$E152,AL$21)+COUNTIF($E149:$E152,$A$3))</f>
        <v/>
      </c>
      <c r="AP152" s="48" t="str">
        <f t="shared" ref="AP152:AP172" si="144">IF($F152="","",COUNTIF($F149:$F152,AL$21)+COUNTIF($F149:$F152,$A$3))</f>
        <v/>
      </c>
      <c r="AR152" s="12" t="str">
        <f t="shared" ref="AR152:AR172" si="145">IF($B152="","",COUNTIF($B149:$B152,AR$21)+COUNTIF($B149:$B152,$A$3))</f>
        <v/>
      </c>
      <c r="AS152" s="44" t="str">
        <f t="shared" ref="AS152:AS172" si="146">IF($C152="","",COUNTIF($C149:$C152,AR$21)+COUNTIF($C149:$C152,$A$3))</f>
        <v/>
      </c>
      <c r="AT152" s="44" t="str">
        <f t="shared" ref="AT152:AT172" si="147">IF($D152="","",COUNTIF($D149:$D152,AR$21)+COUNTIF($D149:$D152,$A$3))</f>
        <v/>
      </c>
      <c r="AU152" s="44" t="str">
        <f t="shared" ref="AU152:AU172" si="148">IF($E152="","",COUNTIF($E149:$E152,AR$21)+COUNTIF($E149:$E152,$A$3))</f>
        <v/>
      </c>
      <c r="AV152" s="48" t="str">
        <f t="shared" ref="AV152:AV172" si="149">IF($F152="","",COUNTIF($F149:$F152,AR$21)+COUNTIF($F149:$F152,$A$3))</f>
        <v/>
      </c>
      <c r="AX152" s="12" t="str">
        <f t="shared" ref="AX152:AX172" si="150">IF($B152="","",COUNTIF($B149:$B152,AX$21)+COUNTIF($B149:$B152,$A$3))</f>
        <v/>
      </c>
      <c r="AY152" s="44" t="str">
        <f t="shared" ref="AY152:AY172" si="151">IF($C152="","",COUNTIF($C149:$C152,AX$21)+COUNTIF($C149:$C152,$A$3))</f>
        <v/>
      </c>
      <c r="AZ152" s="44" t="str">
        <f t="shared" ref="AZ152:AZ172" si="152">IF($D152="","",COUNTIF($D149:$D152,AX$21)+COUNTIF($D149:$D152,$A$3))</f>
        <v/>
      </c>
      <c r="BA152" s="44" t="str">
        <f t="shared" ref="BA152:BA172" si="153">IF($E152="","",COUNTIF($E149:$E152,AX$21)+COUNTIF($E149:$E152,$A$3))</f>
        <v/>
      </c>
      <c r="BB152" s="48" t="str">
        <f t="shared" ref="BB152:BB172" si="154">IF($F152="","",COUNTIF($F149:$F152,AX$21)+COUNTIF($F149:$F152,$A$3))</f>
        <v/>
      </c>
      <c r="BD152" s="12" t="str">
        <f t="shared" ref="BD152:BD172" si="155">IF($B152="","",COUNTIF($B149:$B152,BD$21)+COUNTIF($B149:$B152,$A$3))</f>
        <v/>
      </c>
      <c r="BE152" s="44" t="str">
        <f t="shared" ref="BE152:BE172" si="156">IF($C152="","",COUNTIF($C149:$C152,BD$21)+COUNTIF($C149:$C152,$A$3))</f>
        <v/>
      </c>
      <c r="BF152" s="44" t="str">
        <f t="shared" ref="BF152:BF172" si="157">IF($D152="","",COUNTIF($D149:$D152,BD$21)+COUNTIF($D149:$D152,$A$3))</f>
        <v/>
      </c>
      <c r="BG152" s="44" t="str">
        <f t="shared" ref="BG152:BG172" si="158">IF($E152="","",COUNTIF($E149:$E152,BD$21)+COUNTIF($E149:$E152,$A$3))</f>
        <v/>
      </c>
      <c r="BH152" s="48" t="str">
        <f t="shared" ref="BH152:BH172" si="159">IF($F152="","",COUNTIF($F149:$F152,BD$21)+COUNTIF($F149:$F152,$A$3))</f>
        <v/>
      </c>
      <c r="BJ152" s="12" t="str">
        <f t="shared" ref="BJ152:BJ172" si="160">IF($B152="","",COUNTIF($B149:$B152,BJ$21)+COUNTIF($B149:$B152,$A$3))</f>
        <v/>
      </c>
      <c r="BK152" s="44" t="str">
        <f t="shared" ref="BK152:BK172" si="161">IF($C152="","",COUNTIF($C149:$C152,BJ$21)+COUNTIF($C149:$C152,$A$3))</f>
        <v/>
      </c>
      <c r="BL152" s="44" t="str">
        <f t="shared" ref="BL152:BL172" si="162">IF($D152="","",COUNTIF($D149:$D152,BJ$21)+COUNTIF($D149:$D152,$A$3))</f>
        <v/>
      </c>
      <c r="BM152" s="44" t="str">
        <f t="shared" ref="BM152:BM172" si="163">IF($E152="","",COUNTIF($E149:$E152,BJ$21)+COUNTIF($E149:$E152,$A$3))</f>
        <v/>
      </c>
      <c r="BN152" s="48" t="str">
        <f t="shared" ref="BN152:BN172" si="164">IF($F152="","",COUNTIF($F149:$F152,BJ$21)+COUNTIF($F149:$F152,$A$3))</f>
        <v/>
      </c>
      <c r="BP152" s="12" t="str">
        <f t="shared" ref="BP152:BP172" si="165">IF($B152="","",COUNTIF($B149:$B152,BP$21)+COUNTIF($B149:$B152,$A$3))</f>
        <v/>
      </c>
      <c r="BQ152" s="44" t="str">
        <f t="shared" ref="BQ152:BQ172" si="166">IF($C152="","",COUNTIF($C149:$C152,BP$21)+COUNTIF($C149:$C152,$A$3))</f>
        <v/>
      </c>
      <c r="BR152" s="44" t="str">
        <f t="shared" ref="BR152:BR172" si="167">IF($D152="","",COUNTIF($D149:$D152,BP$21)+COUNTIF($D149:$D152,$A$3))</f>
        <v/>
      </c>
      <c r="BS152" s="44" t="str">
        <f t="shared" ref="BS152:BS172" si="168">IF($E152="","",COUNTIF($E149:$E152,BP$21)+COUNTIF($E149:$E152,$A$3))</f>
        <v/>
      </c>
      <c r="BT152" s="48" t="str">
        <f t="shared" ref="BT152:BT172" si="169">IF($F152="","",COUNTIF($F149:$F152,BP$21)+COUNTIF($F149:$F152,$A$3))</f>
        <v/>
      </c>
    </row>
    <row r="153" spans="1:72" x14ac:dyDescent="0.25">
      <c r="A153" s="4">
        <v>131</v>
      </c>
      <c r="B153" s="54" t="str">
        <f>IF('Game Info'!J136="","",'Game Info'!J136)</f>
        <v/>
      </c>
      <c r="C153" s="54" t="str">
        <f>IF('Game Info'!K136="","",'Game Info'!K136)</f>
        <v/>
      </c>
      <c r="D153" s="54" t="str">
        <f>IF('Game Info'!L136="","",'Game Info'!L136)</f>
        <v/>
      </c>
      <c r="E153" s="54" t="str">
        <f>IF('Game Info'!M136="","",'Game Info'!M136)</f>
        <v/>
      </c>
      <c r="F153" s="55" t="str">
        <f>IF('Game Info'!N136="","",'Game Info'!N136)</f>
        <v/>
      </c>
      <c r="H153" s="12" t="str">
        <f t="shared" si="115"/>
        <v/>
      </c>
      <c r="I153" s="44" t="str">
        <f t="shared" si="116"/>
        <v/>
      </c>
      <c r="J153" s="44" t="str">
        <f t="shared" si="117"/>
        <v/>
      </c>
      <c r="K153" s="44" t="str">
        <f t="shared" si="118"/>
        <v/>
      </c>
      <c r="L153" s="48" t="str">
        <f t="shared" si="119"/>
        <v/>
      </c>
      <c r="N153" s="12" t="str">
        <f t="shared" si="120"/>
        <v/>
      </c>
      <c r="O153" s="44" t="str">
        <f t="shared" si="121"/>
        <v/>
      </c>
      <c r="P153" s="44" t="str">
        <f t="shared" si="122"/>
        <v/>
      </c>
      <c r="Q153" s="44" t="str">
        <f t="shared" si="123"/>
        <v/>
      </c>
      <c r="R153" s="48" t="str">
        <f t="shared" si="124"/>
        <v/>
      </c>
      <c r="T153" s="12" t="str">
        <f t="shared" si="125"/>
        <v/>
      </c>
      <c r="U153" s="44" t="str">
        <f t="shared" si="126"/>
        <v/>
      </c>
      <c r="V153" s="44" t="str">
        <f t="shared" si="127"/>
        <v/>
      </c>
      <c r="W153" s="44" t="str">
        <f t="shared" si="128"/>
        <v/>
      </c>
      <c r="X153" s="48" t="str">
        <f t="shared" si="129"/>
        <v/>
      </c>
      <c r="Z153" s="12" t="str">
        <f t="shared" si="130"/>
        <v/>
      </c>
      <c r="AA153" s="44" t="str">
        <f t="shared" si="131"/>
        <v/>
      </c>
      <c r="AB153" s="44" t="str">
        <f t="shared" si="132"/>
        <v/>
      </c>
      <c r="AC153" s="44" t="str">
        <f t="shared" si="133"/>
        <v/>
      </c>
      <c r="AD153" s="48" t="str">
        <f t="shared" si="134"/>
        <v/>
      </c>
      <c r="AF153" s="12" t="str">
        <f t="shared" si="135"/>
        <v/>
      </c>
      <c r="AG153" s="44" t="str">
        <f t="shared" si="136"/>
        <v/>
      </c>
      <c r="AH153" s="44" t="str">
        <f t="shared" si="137"/>
        <v/>
      </c>
      <c r="AI153" s="44" t="str">
        <f t="shared" si="138"/>
        <v/>
      </c>
      <c r="AJ153" s="48" t="str">
        <f t="shared" si="139"/>
        <v/>
      </c>
      <c r="AL153" s="12" t="str">
        <f t="shared" si="140"/>
        <v/>
      </c>
      <c r="AM153" s="44" t="str">
        <f t="shared" si="141"/>
        <v/>
      </c>
      <c r="AN153" s="44" t="str">
        <f t="shared" si="142"/>
        <v/>
      </c>
      <c r="AO153" s="44" t="str">
        <f t="shared" si="143"/>
        <v/>
      </c>
      <c r="AP153" s="48" t="str">
        <f t="shared" si="144"/>
        <v/>
      </c>
      <c r="AR153" s="12" t="str">
        <f t="shared" si="145"/>
        <v/>
      </c>
      <c r="AS153" s="44" t="str">
        <f t="shared" si="146"/>
        <v/>
      </c>
      <c r="AT153" s="44" t="str">
        <f t="shared" si="147"/>
        <v/>
      </c>
      <c r="AU153" s="44" t="str">
        <f t="shared" si="148"/>
        <v/>
      </c>
      <c r="AV153" s="48" t="str">
        <f t="shared" si="149"/>
        <v/>
      </c>
      <c r="AX153" s="12" t="str">
        <f t="shared" si="150"/>
        <v/>
      </c>
      <c r="AY153" s="44" t="str">
        <f t="shared" si="151"/>
        <v/>
      </c>
      <c r="AZ153" s="44" t="str">
        <f t="shared" si="152"/>
        <v/>
      </c>
      <c r="BA153" s="44" t="str">
        <f t="shared" si="153"/>
        <v/>
      </c>
      <c r="BB153" s="48" t="str">
        <f t="shared" si="154"/>
        <v/>
      </c>
      <c r="BD153" s="12" t="str">
        <f t="shared" si="155"/>
        <v/>
      </c>
      <c r="BE153" s="44" t="str">
        <f t="shared" si="156"/>
        <v/>
      </c>
      <c r="BF153" s="44" t="str">
        <f t="shared" si="157"/>
        <v/>
      </c>
      <c r="BG153" s="44" t="str">
        <f t="shared" si="158"/>
        <v/>
      </c>
      <c r="BH153" s="48" t="str">
        <f t="shared" si="159"/>
        <v/>
      </c>
      <c r="BJ153" s="12" t="str">
        <f t="shared" si="160"/>
        <v/>
      </c>
      <c r="BK153" s="44" t="str">
        <f t="shared" si="161"/>
        <v/>
      </c>
      <c r="BL153" s="44" t="str">
        <f t="shared" si="162"/>
        <v/>
      </c>
      <c r="BM153" s="44" t="str">
        <f t="shared" si="163"/>
        <v/>
      </c>
      <c r="BN153" s="48" t="str">
        <f t="shared" si="164"/>
        <v/>
      </c>
      <c r="BP153" s="12" t="str">
        <f t="shared" si="165"/>
        <v/>
      </c>
      <c r="BQ153" s="44" t="str">
        <f t="shared" si="166"/>
        <v/>
      </c>
      <c r="BR153" s="44" t="str">
        <f t="shared" si="167"/>
        <v/>
      </c>
      <c r="BS153" s="44" t="str">
        <f t="shared" si="168"/>
        <v/>
      </c>
      <c r="BT153" s="48" t="str">
        <f t="shared" si="169"/>
        <v/>
      </c>
    </row>
    <row r="154" spans="1:72" x14ac:dyDescent="0.25">
      <c r="A154" s="4">
        <v>132</v>
      </c>
      <c r="B154" s="54" t="str">
        <f>IF('Game Info'!J137="","",'Game Info'!J137)</f>
        <v/>
      </c>
      <c r="C154" s="54" t="str">
        <f>IF('Game Info'!K137="","",'Game Info'!K137)</f>
        <v/>
      </c>
      <c r="D154" s="54" t="str">
        <f>IF('Game Info'!L137="","",'Game Info'!L137)</f>
        <v/>
      </c>
      <c r="E154" s="54" t="str">
        <f>IF('Game Info'!M137="","",'Game Info'!M137)</f>
        <v/>
      </c>
      <c r="F154" s="55" t="str">
        <f>IF('Game Info'!N137="","",'Game Info'!N137)</f>
        <v/>
      </c>
      <c r="H154" s="12" t="str">
        <f t="shared" si="115"/>
        <v/>
      </c>
      <c r="I154" s="44" t="str">
        <f t="shared" si="116"/>
        <v/>
      </c>
      <c r="J154" s="44" t="str">
        <f t="shared" si="117"/>
        <v/>
      </c>
      <c r="K154" s="44" t="str">
        <f t="shared" si="118"/>
        <v/>
      </c>
      <c r="L154" s="48" t="str">
        <f t="shared" si="119"/>
        <v/>
      </c>
      <c r="N154" s="12" t="str">
        <f t="shared" si="120"/>
        <v/>
      </c>
      <c r="O154" s="44" t="str">
        <f t="shared" si="121"/>
        <v/>
      </c>
      <c r="P154" s="44" t="str">
        <f t="shared" si="122"/>
        <v/>
      </c>
      <c r="Q154" s="44" t="str">
        <f t="shared" si="123"/>
        <v/>
      </c>
      <c r="R154" s="48" t="str">
        <f t="shared" si="124"/>
        <v/>
      </c>
      <c r="T154" s="12" t="str">
        <f t="shared" si="125"/>
        <v/>
      </c>
      <c r="U154" s="44" t="str">
        <f t="shared" si="126"/>
        <v/>
      </c>
      <c r="V154" s="44" t="str">
        <f t="shared" si="127"/>
        <v/>
      </c>
      <c r="W154" s="44" t="str">
        <f t="shared" si="128"/>
        <v/>
      </c>
      <c r="X154" s="48" t="str">
        <f t="shared" si="129"/>
        <v/>
      </c>
      <c r="Z154" s="12" t="str">
        <f t="shared" si="130"/>
        <v/>
      </c>
      <c r="AA154" s="44" t="str">
        <f t="shared" si="131"/>
        <v/>
      </c>
      <c r="AB154" s="44" t="str">
        <f t="shared" si="132"/>
        <v/>
      </c>
      <c r="AC154" s="44" t="str">
        <f t="shared" si="133"/>
        <v/>
      </c>
      <c r="AD154" s="48" t="str">
        <f t="shared" si="134"/>
        <v/>
      </c>
      <c r="AF154" s="12" t="str">
        <f t="shared" si="135"/>
        <v/>
      </c>
      <c r="AG154" s="44" t="str">
        <f t="shared" si="136"/>
        <v/>
      </c>
      <c r="AH154" s="44" t="str">
        <f t="shared" si="137"/>
        <v/>
      </c>
      <c r="AI154" s="44" t="str">
        <f t="shared" si="138"/>
        <v/>
      </c>
      <c r="AJ154" s="48" t="str">
        <f t="shared" si="139"/>
        <v/>
      </c>
      <c r="AL154" s="12" t="str">
        <f t="shared" si="140"/>
        <v/>
      </c>
      <c r="AM154" s="44" t="str">
        <f t="shared" si="141"/>
        <v/>
      </c>
      <c r="AN154" s="44" t="str">
        <f t="shared" si="142"/>
        <v/>
      </c>
      <c r="AO154" s="44" t="str">
        <f t="shared" si="143"/>
        <v/>
      </c>
      <c r="AP154" s="48" t="str">
        <f t="shared" si="144"/>
        <v/>
      </c>
      <c r="AR154" s="12" t="str">
        <f t="shared" si="145"/>
        <v/>
      </c>
      <c r="AS154" s="44" t="str">
        <f t="shared" si="146"/>
        <v/>
      </c>
      <c r="AT154" s="44" t="str">
        <f t="shared" si="147"/>
        <v/>
      </c>
      <c r="AU154" s="44" t="str">
        <f t="shared" si="148"/>
        <v/>
      </c>
      <c r="AV154" s="48" t="str">
        <f t="shared" si="149"/>
        <v/>
      </c>
      <c r="AX154" s="12" t="str">
        <f t="shared" si="150"/>
        <v/>
      </c>
      <c r="AY154" s="44" t="str">
        <f t="shared" si="151"/>
        <v/>
      </c>
      <c r="AZ154" s="44" t="str">
        <f t="shared" si="152"/>
        <v/>
      </c>
      <c r="BA154" s="44" t="str">
        <f t="shared" si="153"/>
        <v/>
      </c>
      <c r="BB154" s="48" t="str">
        <f t="shared" si="154"/>
        <v/>
      </c>
      <c r="BD154" s="12" t="str">
        <f t="shared" si="155"/>
        <v/>
      </c>
      <c r="BE154" s="44" t="str">
        <f t="shared" si="156"/>
        <v/>
      </c>
      <c r="BF154" s="44" t="str">
        <f t="shared" si="157"/>
        <v/>
      </c>
      <c r="BG154" s="44" t="str">
        <f t="shared" si="158"/>
        <v/>
      </c>
      <c r="BH154" s="48" t="str">
        <f t="shared" si="159"/>
        <v/>
      </c>
      <c r="BJ154" s="12" t="str">
        <f t="shared" si="160"/>
        <v/>
      </c>
      <c r="BK154" s="44" t="str">
        <f t="shared" si="161"/>
        <v/>
      </c>
      <c r="BL154" s="44" t="str">
        <f t="shared" si="162"/>
        <v/>
      </c>
      <c r="BM154" s="44" t="str">
        <f t="shared" si="163"/>
        <v/>
      </c>
      <c r="BN154" s="48" t="str">
        <f t="shared" si="164"/>
        <v/>
      </c>
      <c r="BP154" s="12" t="str">
        <f t="shared" si="165"/>
        <v/>
      </c>
      <c r="BQ154" s="44" t="str">
        <f t="shared" si="166"/>
        <v/>
      </c>
      <c r="BR154" s="44" t="str">
        <f t="shared" si="167"/>
        <v/>
      </c>
      <c r="BS154" s="44" t="str">
        <f t="shared" si="168"/>
        <v/>
      </c>
      <c r="BT154" s="48" t="str">
        <f t="shared" si="169"/>
        <v/>
      </c>
    </row>
    <row r="155" spans="1:72" x14ac:dyDescent="0.25">
      <c r="A155" s="4">
        <v>133</v>
      </c>
      <c r="B155" s="54" t="str">
        <f>IF('Game Info'!J138="","",'Game Info'!J138)</f>
        <v/>
      </c>
      <c r="C155" s="54" t="str">
        <f>IF('Game Info'!K138="","",'Game Info'!K138)</f>
        <v/>
      </c>
      <c r="D155" s="54" t="str">
        <f>IF('Game Info'!L138="","",'Game Info'!L138)</f>
        <v/>
      </c>
      <c r="E155" s="54" t="str">
        <f>IF('Game Info'!M138="","",'Game Info'!M138)</f>
        <v/>
      </c>
      <c r="F155" s="55" t="str">
        <f>IF('Game Info'!N138="","",'Game Info'!N138)</f>
        <v/>
      </c>
      <c r="H155" s="12" t="str">
        <f t="shared" si="115"/>
        <v/>
      </c>
      <c r="I155" s="44" t="str">
        <f t="shared" si="116"/>
        <v/>
      </c>
      <c r="J155" s="44" t="str">
        <f t="shared" si="117"/>
        <v/>
      </c>
      <c r="K155" s="44" t="str">
        <f t="shared" si="118"/>
        <v/>
      </c>
      <c r="L155" s="48" t="str">
        <f t="shared" si="119"/>
        <v/>
      </c>
      <c r="N155" s="12" t="str">
        <f t="shared" si="120"/>
        <v/>
      </c>
      <c r="O155" s="44" t="str">
        <f t="shared" si="121"/>
        <v/>
      </c>
      <c r="P155" s="44" t="str">
        <f t="shared" si="122"/>
        <v/>
      </c>
      <c r="Q155" s="44" t="str">
        <f t="shared" si="123"/>
        <v/>
      </c>
      <c r="R155" s="48" t="str">
        <f t="shared" si="124"/>
        <v/>
      </c>
      <c r="T155" s="12" t="str">
        <f t="shared" si="125"/>
        <v/>
      </c>
      <c r="U155" s="44" t="str">
        <f t="shared" si="126"/>
        <v/>
      </c>
      <c r="V155" s="44" t="str">
        <f t="shared" si="127"/>
        <v/>
      </c>
      <c r="W155" s="44" t="str">
        <f t="shared" si="128"/>
        <v/>
      </c>
      <c r="X155" s="48" t="str">
        <f t="shared" si="129"/>
        <v/>
      </c>
      <c r="Z155" s="12" t="str">
        <f t="shared" si="130"/>
        <v/>
      </c>
      <c r="AA155" s="44" t="str">
        <f t="shared" si="131"/>
        <v/>
      </c>
      <c r="AB155" s="44" t="str">
        <f t="shared" si="132"/>
        <v/>
      </c>
      <c r="AC155" s="44" t="str">
        <f t="shared" si="133"/>
        <v/>
      </c>
      <c r="AD155" s="48" t="str">
        <f t="shared" si="134"/>
        <v/>
      </c>
      <c r="AF155" s="12" t="str">
        <f t="shared" si="135"/>
        <v/>
      </c>
      <c r="AG155" s="44" t="str">
        <f t="shared" si="136"/>
        <v/>
      </c>
      <c r="AH155" s="44" t="str">
        <f t="shared" si="137"/>
        <v/>
      </c>
      <c r="AI155" s="44" t="str">
        <f t="shared" si="138"/>
        <v/>
      </c>
      <c r="AJ155" s="48" t="str">
        <f t="shared" si="139"/>
        <v/>
      </c>
      <c r="AL155" s="12" t="str">
        <f t="shared" si="140"/>
        <v/>
      </c>
      <c r="AM155" s="44" t="str">
        <f t="shared" si="141"/>
        <v/>
      </c>
      <c r="AN155" s="44" t="str">
        <f t="shared" si="142"/>
        <v/>
      </c>
      <c r="AO155" s="44" t="str">
        <f t="shared" si="143"/>
        <v/>
      </c>
      <c r="AP155" s="48" t="str">
        <f t="shared" si="144"/>
        <v/>
      </c>
      <c r="AR155" s="12" t="str">
        <f t="shared" si="145"/>
        <v/>
      </c>
      <c r="AS155" s="44" t="str">
        <f t="shared" si="146"/>
        <v/>
      </c>
      <c r="AT155" s="44" t="str">
        <f t="shared" si="147"/>
        <v/>
      </c>
      <c r="AU155" s="44" t="str">
        <f t="shared" si="148"/>
        <v/>
      </c>
      <c r="AV155" s="48" t="str">
        <f t="shared" si="149"/>
        <v/>
      </c>
      <c r="AX155" s="12" t="str">
        <f t="shared" si="150"/>
        <v/>
      </c>
      <c r="AY155" s="44" t="str">
        <f t="shared" si="151"/>
        <v/>
      </c>
      <c r="AZ155" s="44" t="str">
        <f t="shared" si="152"/>
        <v/>
      </c>
      <c r="BA155" s="44" t="str">
        <f t="shared" si="153"/>
        <v/>
      </c>
      <c r="BB155" s="48" t="str">
        <f t="shared" si="154"/>
        <v/>
      </c>
      <c r="BD155" s="12" t="str">
        <f t="shared" si="155"/>
        <v/>
      </c>
      <c r="BE155" s="44" t="str">
        <f t="shared" si="156"/>
        <v/>
      </c>
      <c r="BF155" s="44" t="str">
        <f t="shared" si="157"/>
        <v/>
      </c>
      <c r="BG155" s="44" t="str">
        <f t="shared" si="158"/>
        <v/>
      </c>
      <c r="BH155" s="48" t="str">
        <f t="shared" si="159"/>
        <v/>
      </c>
      <c r="BJ155" s="12" t="str">
        <f t="shared" si="160"/>
        <v/>
      </c>
      <c r="BK155" s="44" t="str">
        <f t="shared" si="161"/>
        <v/>
      </c>
      <c r="BL155" s="44" t="str">
        <f t="shared" si="162"/>
        <v/>
      </c>
      <c r="BM155" s="44" t="str">
        <f t="shared" si="163"/>
        <v/>
      </c>
      <c r="BN155" s="48" t="str">
        <f t="shared" si="164"/>
        <v/>
      </c>
      <c r="BP155" s="12" t="str">
        <f t="shared" si="165"/>
        <v/>
      </c>
      <c r="BQ155" s="44" t="str">
        <f t="shared" si="166"/>
        <v/>
      </c>
      <c r="BR155" s="44" t="str">
        <f t="shared" si="167"/>
        <v/>
      </c>
      <c r="BS155" s="44" t="str">
        <f t="shared" si="168"/>
        <v/>
      </c>
      <c r="BT155" s="48" t="str">
        <f t="shared" si="169"/>
        <v/>
      </c>
    </row>
    <row r="156" spans="1:72" x14ac:dyDescent="0.25">
      <c r="A156" s="4">
        <v>134</v>
      </c>
      <c r="B156" s="54" t="str">
        <f>IF('Game Info'!J139="","",'Game Info'!J139)</f>
        <v/>
      </c>
      <c r="C156" s="54" t="str">
        <f>IF('Game Info'!K139="","",'Game Info'!K139)</f>
        <v/>
      </c>
      <c r="D156" s="54" t="str">
        <f>IF('Game Info'!L139="","",'Game Info'!L139)</f>
        <v/>
      </c>
      <c r="E156" s="54" t="str">
        <f>IF('Game Info'!M139="","",'Game Info'!M139)</f>
        <v/>
      </c>
      <c r="F156" s="55" t="str">
        <f>IF('Game Info'!N139="","",'Game Info'!N139)</f>
        <v/>
      </c>
      <c r="H156" s="12" t="str">
        <f t="shared" si="115"/>
        <v/>
      </c>
      <c r="I156" s="44" t="str">
        <f t="shared" si="116"/>
        <v/>
      </c>
      <c r="J156" s="44" t="str">
        <f t="shared" si="117"/>
        <v/>
      </c>
      <c r="K156" s="44" t="str">
        <f t="shared" si="118"/>
        <v/>
      </c>
      <c r="L156" s="48" t="str">
        <f t="shared" si="119"/>
        <v/>
      </c>
      <c r="N156" s="12" t="str">
        <f t="shared" si="120"/>
        <v/>
      </c>
      <c r="O156" s="44" t="str">
        <f t="shared" si="121"/>
        <v/>
      </c>
      <c r="P156" s="44" t="str">
        <f t="shared" si="122"/>
        <v/>
      </c>
      <c r="Q156" s="44" t="str">
        <f t="shared" si="123"/>
        <v/>
      </c>
      <c r="R156" s="48" t="str">
        <f t="shared" si="124"/>
        <v/>
      </c>
      <c r="T156" s="12" t="str">
        <f t="shared" si="125"/>
        <v/>
      </c>
      <c r="U156" s="44" t="str">
        <f t="shared" si="126"/>
        <v/>
      </c>
      <c r="V156" s="44" t="str">
        <f t="shared" si="127"/>
        <v/>
      </c>
      <c r="W156" s="44" t="str">
        <f t="shared" si="128"/>
        <v/>
      </c>
      <c r="X156" s="48" t="str">
        <f t="shared" si="129"/>
        <v/>
      </c>
      <c r="Z156" s="12" t="str">
        <f t="shared" si="130"/>
        <v/>
      </c>
      <c r="AA156" s="44" t="str">
        <f t="shared" si="131"/>
        <v/>
      </c>
      <c r="AB156" s="44" t="str">
        <f t="shared" si="132"/>
        <v/>
      </c>
      <c r="AC156" s="44" t="str">
        <f t="shared" si="133"/>
        <v/>
      </c>
      <c r="AD156" s="48" t="str">
        <f t="shared" si="134"/>
        <v/>
      </c>
      <c r="AF156" s="12" t="str">
        <f t="shared" si="135"/>
        <v/>
      </c>
      <c r="AG156" s="44" t="str">
        <f t="shared" si="136"/>
        <v/>
      </c>
      <c r="AH156" s="44" t="str">
        <f t="shared" si="137"/>
        <v/>
      </c>
      <c r="AI156" s="44" t="str">
        <f t="shared" si="138"/>
        <v/>
      </c>
      <c r="AJ156" s="48" t="str">
        <f t="shared" si="139"/>
        <v/>
      </c>
      <c r="AL156" s="12" t="str">
        <f t="shared" si="140"/>
        <v/>
      </c>
      <c r="AM156" s="44" t="str">
        <f t="shared" si="141"/>
        <v/>
      </c>
      <c r="AN156" s="44" t="str">
        <f t="shared" si="142"/>
        <v/>
      </c>
      <c r="AO156" s="44" t="str">
        <f t="shared" si="143"/>
        <v/>
      </c>
      <c r="AP156" s="48" t="str">
        <f t="shared" si="144"/>
        <v/>
      </c>
      <c r="AR156" s="12" t="str">
        <f t="shared" si="145"/>
        <v/>
      </c>
      <c r="AS156" s="44" t="str">
        <f t="shared" si="146"/>
        <v/>
      </c>
      <c r="AT156" s="44" t="str">
        <f t="shared" si="147"/>
        <v/>
      </c>
      <c r="AU156" s="44" t="str">
        <f t="shared" si="148"/>
        <v/>
      </c>
      <c r="AV156" s="48" t="str">
        <f t="shared" si="149"/>
        <v/>
      </c>
      <c r="AX156" s="12" t="str">
        <f t="shared" si="150"/>
        <v/>
      </c>
      <c r="AY156" s="44" t="str">
        <f t="shared" si="151"/>
        <v/>
      </c>
      <c r="AZ156" s="44" t="str">
        <f t="shared" si="152"/>
        <v/>
      </c>
      <c r="BA156" s="44" t="str">
        <f t="shared" si="153"/>
        <v/>
      </c>
      <c r="BB156" s="48" t="str">
        <f t="shared" si="154"/>
        <v/>
      </c>
      <c r="BD156" s="12" t="str">
        <f t="shared" si="155"/>
        <v/>
      </c>
      <c r="BE156" s="44" t="str">
        <f t="shared" si="156"/>
        <v/>
      </c>
      <c r="BF156" s="44" t="str">
        <f t="shared" si="157"/>
        <v/>
      </c>
      <c r="BG156" s="44" t="str">
        <f t="shared" si="158"/>
        <v/>
      </c>
      <c r="BH156" s="48" t="str">
        <f t="shared" si="159"/>
        <v/>
      </c>
      <c r="BJ156" s="12" t="str">
        <f t="shared" si="160"/>
        <v/>
      </c>
      <c r="BK156" s="44" t="str">
        <f t="shared" si="161"/>
        <v/>
      </c>
      <c r="BL156" s="44" t="str">
        <f t="shared" si="162"/>
        <v/>
      </c>
      <c r="BM156" s="44" t="str">
        <f t="shared" si="163"/>
        <v/>
      </c>
      <c r="BN156" s="48" t="str">
        <f t="shared" si="164"/>
        <v/>
      </c>
      <c r="BP156" s="12" t="str">
        <f t="shared" si="165"/>
        <v/>
      </c>
      <c r="BQ156" s="44" t="str">
        <f t="shared" si="166"/>
        <v/>
      </c>
      <c r="BR156" s="44" t="str">
        <f t="shared" si="167"/>
        <v/>
      </c>
      <c r="BS156" s="44" t="str">
        <f t="shared" si="168"/>
        <v/>
      </c>
      <c r="BT156" s="48" t="str">
        <f t="shared" si="169"/>
        <v/>
      </c>
    </row>
    <row r="157" spans="1:72" x14ac:dyDescent="0.25">
      <c r="A157" s="4">
        <v>135</v>
      </c>
      <c r="B157" s="54" t="str">
        <f>IF('Game Info'!J140="","",'Game Info'!J140)</f>
        <v/>
      </c>
      <c r="C157" s="54" t="str">
        <f>IF('Game Info'!K140="","",'Game Info'!K140)</f>
        <v/>
      </c>
      <c r="D157" s="54" t="str">
        <f>IF('Game Info'!L140="","",'Game Info'!L140)</f>
        <v/>
      </c>
      <c r="E157" s="54" t="str">
        <f>IF('Game Info'!M140="","",'Game Info'!M140)</f>
        <v/>
      </c>
      <c r="F157" s="55" t="str">
        <f>IF('Game Info'!N140="","",'Game Info'!N140)</f>
        <v/>
      </c>
      <c r="H157" s="12" t="str">
        <f t="shared" si="115"/>
        <v/>
      </c>
      <c r="I157" s="44" t="str">
        <f t="shared" si="116"/>
        <v/>
      </c>
      <c r="J157" s="44" t="str">
        <f t="shared" si="117"/>
        <v/>
      </c>
      <c r="K157" s="44" t="str">
        <f t="shared" si="118"/>
        <v/>
      </c>
      <c r="L157" s="48" t="str">
        <f t="shared" si="119"/>
        <v/>
      </c>
      <c r="N157" s="12" t="str">
        <f t="shared" si="120"/>
        <v/>
      </c>
      <c r="O157" s="44" t="str">
        <f t="shared" si="121"/>
        <v/>
      </c>
      <c r="P157" s="44" t="str">
        <f t="shared" si="122"/>
        <v/>
      </c>
      <c r="Q157" s="44" t="str">
        <f t="shared" si="123"/>
        <v/>
      </c>
      <c r="R157" s="48" t="str">
        <f t="shared" si="124"/>
        <v/>
      </c>
      <c r="T157" s="12" t="str">
        <f t="shared" si="125"/>
        <v/>
      </c>
      <c r="U157" s="44" t="str">
        <f t="shared" si="126"/>
        <v/>
      </c>
      <c r="V157" s="44" t="str">
        <f t="shared" si="127"/>
        <v/>
      </c>
      <c r="W157" s="44" t="str">
        <f t="shared" si="128"/>
        <v/>
      </c>
      <c r="X157" s="48" t="str">
        <f t="shared" si="129"/>
        <v/>
      </c>
      <c r="Z157" s="12" t="str">
        <f t="shared" si="130"/>
        <v/>
      </c>
      <c r="AA157" s="44" t="str">
        <f t="shared" si="131"/>
        <v/>
      </c>
      <c r="AB157" s="44" t="str">
        <f t="shared" si="132"/>
        <v/>
      </c>
      <c r="AC157" s="44" t="str">
        <f t="shared" si="133"/>
        <v/>
      </c>
      <c r="AD157" s="48" t="str">
        <f t="shared" si="134"/>
        <v/>
      </c>
      <c r="AF157" s="12" t="str">
        <f t="shared" si="135"/>
        <v/>
      </c>
      <c r="AG157" s="44" t="str">
        <f t="shared" si="136"/>
        <v/>
      </c>
      <c r="AH157" s="44" t="str">
        <f t="shared" si="137"/>
        <v/>
      </c>
      <c r="AI157" s="44" t="str">
        <f t="shared" si="138"/>
        <v/>
      </c>
      <c r="AJ157" s="48" t="str">
        <f t="shared" si="139"/>
        <v/>
      </c>
      <c r="AL157" s="12" t="str">
        <f t="shared" si="140"/>
        <v/>
      </c>
      <c r="AM157" s="44" t="str">
        <f t="shared" si="141"/>
        <v/>
      </c>
      <c r="AN157" s="44" t="str">
        <f t="shared" si="142"/>
        <v/>
      </c>
      <c r="AO157" s="44" t="str">
        <f t="shared" si="143"/>
        <v/>
      </c>
      <c r="AP157" s="48" t="str">
        <f t="shared" si="144"/>
        <v/>
      </c>
      <c r="AR157" s="12" t="str">
        <f t="shared" si="145"/>
        <v/>
      </c>
      <c r="AS157" s="44" t="str">
        <f t="shared" si="146"/>
        <v/>
      </c>
      <c r="AT157" s="44" t="str">
        <f t="shared" si="147"/>
        <v/>
      </c>
      <c r="AU157" s="44" t="str">
        <f t="shared" si="148"/>
        <v/>
      </c>
      <c r="AV157" s="48" t="str">
        <f t="shared" si="149"/>
        <v/>
      </c>
      <c r="AX157" s="12" t="str">
        <f t="shared" si="150"/>
        <v/>
      </c>
      <c r="AY157" s="44" t="str">
        <f t="shared" si="151"/>
        <v/>
      </c>
      <c r="AZ157" s="44" t="str">
        <f t="shared" si="152"/>
        <v/>
      </c>
      <c r="BA157" s="44" t="str">
        <f t="shared" si="153"/>
        <v/>
      </c>
      <c r="BB157" s="48" t="str">
        <f t="shared" si="154"/>
        <v/>
      </c>
      <c r="BD157" s="12" t="str">
        <f t="shared" si="155"/>
        <v/>
      </c>
      <c r="BE157" s="44" t="str">
        <f t="shared" si="156"/>
        <v/>
      </c>
      <c r="BF157" s="44" t="str">
        <f t="shared" si="157"/>
        <v/>
      </c>
      <c r="BG157" s="44" t="str">
        <f t="shared" si="158"/>
        <v/>
      </c>
      <c r="BH157" s="48" t="str">
        <f t="shared" si="159"/>
        <v/>
      </c>
      <c r="BJ157" s="12" t="str">
        <f t="shared" si="160"/>
        <v/>
      </c>
      <c r="BK157" s="44" t="str">
        <f t="shared" si="161"/>
        <v/>
      </c>
      <c r="BL157" s="44" t="str">
        <f t="shared" si="162"/>
        <v/>
      </c>
      <c r="BM157" s="44" t="str">
        <f t="shared" si="163"/>
        <v/>
      </c>
      <c r="BN157" s="48" t="str">
        <f t="shared" si="164"/>
        <v/>
      </c>
      <c r="BP157" s="12" t="str">
        <f t="shared" si="165"/>
        <v/>
      </c>
      <c r="BQ157" s="44" t="str">
        <f t="shared" si="166"/>
        <v/>
      </c>
      <c r="BR157" s="44" t="str">
        <f t="shared" si="167"/>
        <v/>
      </c>
      <c r="BS157" s="44" t="str">
        <f t="shared" si="168"/>
        <v/>
      </c>
      <c r="BT157" s="48" t="str">
        <f t="shared" si="169"/>
        <v/>
      </c>
    </row>
    <row r="158" spans="1:72" x14ac:dyDescent="0.25">
      <c r="A158" s="4">
        <v>136</v>
      </c>
      <c r="B158" s="54" t="str">
        <f>IF('Game Info'!J141="","",'Game Info'!J141)</f>
        <v/>
      </c>
      <c r="C158" s="54" t="str">
        <f>IF('Game Info'!K141="","",'Game Info'!K141)</f>
        <v/>
      </c>
      <c r="D158" s="54" t="str">
        <f>IF('Game Info'!L141="","",'Game Info'!L141)</f>
        <v/>
      </c>
      <c r="E158" s="54" t="str">
        <f>IF('Game Info'!M141="","",'Game Info'!M141)</f>
        <v/>
      </c>
      <c r="F158" s="55" t="str">
        <f>IF('Game Info'!N141="","",'Game Info'!N141)</f>
        <v/>
      </c>
      <c r="H158" s="12" t="str">
        <f t="shared" si="115"/>
        <v/>
      </c>
      <c r="I158" s="44" t="str">
        <f t="shared" si="116"/>
        <v/>
      </c>
      <c r="J158" s="44" t="str">
        <f t="shared" si="117"/>
        <v/>
      </c>
      <c r="K158" s="44" t="str">
        <f t="shared" si="118"/>
        <v/>
      </c>
      <c r="L158" s="48" t="str">
        <f t="shared" si="119"/>
        <v/>
      </c>
      <c r="N158" s="12" t="str">
        <f t="shared" si="120"/>
        <v/>
      </c>
      <c r="O158" s="44" t="str">
        <f t="shared" si="121"/>
        <v/>
      </c>
      <c r="P158" s="44" t="str">
        <f t="shared" si="122"/>
        <v/>
      </c>
      <c r="Q158" s="44" t="str">
        <f t="shared" si="123"/>
        <v/>
      </c>
      <c r="R158" s="48" t="str">
        <f t="shared" si="124"/>
        <v/>
      </c>
      <c r="T158" s="12" t="str">
        <f t="shared" si="125"/>
        <v/>
      </c>
      <c r="U158" s="44" t="str">
        <f t="shared" si="126"/>
        <v/>
      </c>
      <c r="V158" s="44" t="str">
        <f t="shared" si="127"/>
        <v/>
      </c>
      <c r="W158" s="44" t="str">
        <f t="shared" si="128"/>
        <v/>
      </c>
      <c r="X158" s="48" t="str">
        <f t="shared" si="129"/>
        <v/>
      </c>
      <c r="Z158" s="12" t="str">
        <f t="shared" si="130"/>
        <v/>
      </c>
      <c r="AA158" s="44" t="str">
        <f t="shared" si="131"/>
        <v/>
      </c>
      <c r="AB158" s="44" t="str">
        <f t="shared" si="132"/>
        <v/>
      </c>
      <c r="AC158" s="44" t="str">
        <f t="shared" si="133"/>
        <v/>
      </c>
      <c r="AD158" s="48" t="str">
        <f t="shared" si="134"/>
        <v/>
      </c>
      <c r="AF158" s="12" t="str">
        <f t="shared" si="135"/>
        <v/>
      </c>
      <c r="AG158" s="44" t="str">
        <f t="shared" si="136"/>
        <v/>
      </c>
      <c r="AH158" s="44" t="str">
        <f t="shared" si="137"/>
        <v/>
      </c>
      <c r="AI158" s="44" t="str">
        <f t="shared" si="138"/>
        <v/>
      </c>
      <c r="AJ158" s="48" t="str">
        <f t="shared" si="139"/>
        <v/>
      </c>
      <c r="AL158" s="12" t="str">
        <f t="shared" si="140"/>
        <v/>
      </c>
      <c r="AM158" s="44" t="str">
        <f t="shared" si="141"/>
        <v/>
      </c>
      <c r="AN158" s="44" t="str">
        <f t="shared" si="142"/>
        <v/>
      </c>
      <c r="AO158" s="44" t="str">
        <f t="shared" si="143"/>
        <v/>
      </c>
      <c r="AP158" s="48" t="str">
        <f t="shared" si="144"/>
        <v/>
      </c>
      <c r="AR158" s="12" t="str">
        <f t="shared" si="145"/>
        <v/>
      </c>
      <c r="AS158" s="44" t="str">
        <f t="shared" si="146"/>
        <v/>
      </c>
      <c r="AT158" s="44" t="str">
        <f t="shared" si="147"/>
        <v/>
      </c>
      <c r="AU158" s="44" t="str">
        <f t="shared" si="148"/>
        <v/>
      </c>
      <c r="AV158" s="48" t="str">
        <f t="shared" si="149"/>
        <v/>
      </c>
      <c r="AX158" s="12" t="str">
        <f t="shared" si="150"/>
        <v/>
      </c>
      <c r="AY158" s="44" t="str">
        <f t="shared" si="151"/>
        <v/>
      </c>
      <c r="AZ158" s="44" t="str">
        <f t="shared" si="152"/>
        <v/>
      </c>
      <c r="BA158" s="44" t="str">
        <f t="shared" si="153"/>
        <v/>
      </c>
      <c r="BB158" s="48" t="str">
        <f t="shared" si="154"/>
        <v/>
      </c>
      <c r="BD158" s="12" t="str">
        <f t="shared" si="155"/>
        <v/>
      </c>
      <c r="BE158" s="44" t="str">
        <f t="shared" si="156"/>
        <v/>
      </c>
      <c r="BF158" s="44" t="str">
        <f t="shared" si="157"/>
        <v/>
      </c>
      <c r="BG158" s="44" t="str">
        <f t="shared" si="158"/>
        <v/>
      </c>
      <c r="BH158" s="48" t="str">
        <f t="shared" si="159"/>
        <v/>
      </c>
      <c r="BJ158" s="12" t="str">
        <f t="shared" si="160"/>
        <v/>
      </c>
      <c r="BK158" s="44" t="str">
        <f t="shared" si="161"/>
        <v/>
      </c>
      <c r="BL158" s="44" t="str">
        <f t="shared" si="162"/>
        <v/>
      </c>
      <c r="BM158" s="44" t="str">
        <f t="shared" si="163"/>
        <v/>
      </c>
      <c r="BN158" s="48" t="str">
        <f t="shared" si="164"/>
        <v/>
      </c>
      <c r="BP158" s="12" t="str">
        <f t="shared" si="165"/>
        <v/>
      </c>
      <c r="BQ158" s="44" t="str">
        <f t="shared" si="166"/>
        <v/>
      </c>
      <c r="BR158" s="44" t="str">
        <f t="shared" si="167"/>
        <v/>
      </c>
      <c r="BS158" s="44" t="str">
        <f t="shared" si="168"/>
        <v/>
      </c>
      <c r="BT158" s="48" t="str">
        <f t="shared" si="169"/>
        <v/>
      </c>
    </row>
    <row r="159" spans="1:72" x14ac:dyDescent="0.25">
      <c r="A159" s="4">
        <v>137</v>
      </c>
      <c r="B159" s="54" t="str">
        <f>IF('Game Info'!J142="","",'Game Info'!J142)</f>
        <v/>
      </c>
      <c r="C159" s="54" t="str">
        <f>IF('Game Info'!K142="","",'Game Info'!K142)</f>
        <v/>
      </c>
      <c r="D159" s="54" t="str">
        <f>IF('Game Info'!L142="","",'Game Info'!L142)</f>
        <v/>
      </c>
      <c r="E159" s="54" t="str">
        <f>IF('Game Info'!M142="","",'Game Info'!M142)</f>
        <v/>
      </c>
      <c r="F159" s="55" t="str">
        <f>IF('Game Info'!N142="","",'Game Info'!N142)</f>
        <v/>
      </c>
      <c r="H159" s="12" t="str">
        <f t="shared" si="115"/>
        <v/>
      </c>
      <c r="I159" s="44" t="str">
        <f t="shared" si="116"/>
        <v/>
      </c>
      <c r="J159" s="44" t="str">
        <f t="shared" si="117"/>
        <v/>
      </c>
      <c r="K159" s="44" t="str">
        <f t="shared" si="118"/>
        <v/>
      </c>
      <c r="L159" s="48" t="str">
        <f t="shared" si="119"/>
        <v/>
      </c>
      <c r="N159" s="12" t="str">
        <f t="shared" si="120"/>
        <v/>
      </c>
      <c r="O159" s="44" t="str">
        <f t="shared" si="121"/>
        <v/>
      </c>
      <c r="P159" s="44" t="str">
        <f t="shared" si="122"/>
        <v/>
      </c>
      <c r="Q159" s="44" t="str">
        <f t="shared" si="123"/>
        <v/>
      </c>
      <c r="R159" s="48" t="str">
        <f t="shared" si="124"/>
        <v/>
      </c>
      <c r="T159" s="12" t="str">
        <f t="shared" si="125"/>
        <v/>
      </c>
      <c r="U159" s="44" t="str">
        <f t="shared" si="126"/>
        <v/>
      </c>
      <c r="V159" s="44" t="str">
        <f t="shared" si="127"/>
        <v/>
      </c>
      <c r="W159" s="44" t="str">
        <f t="shared" si="128"/>
        <v/>
      </c>
      <c r="X159" s="48" t="str">
        <f t="shared" si="129"/>
        <v/>
      </c>
      <c r="Z159" s="12" t="str">
        <f t="shared" si="130"/>
        <v/>
      </c>
      <c r="AA159" s="44" t="str">
        <f t="shared" si="131"/>
        <v/>
      </c>
      <c r="AB159" s="44" t="str">
        <f t="shared" si="132"/>
        <v/>
      </c>
      <c r="AC159" s="44" t="str">
        <f t="shared" si="133"/>
        <v/>
      </c>
      <c r="AD159" s="48" t="str">
        <f t="shared" si="134"/>
        <v/>
      </c>
      <c r="AF159" s="12" t="str">
        <f t="shared" si="135"/>
        <v/>
      </c>
      <c r="AG159" s="44" t="str">
        <f t="shared" si="136"/>
        <v/>
      </c>
      <c r="AH159" s="44" t="str">
        <f t="shared" si="137"/>
        <v/>
      </c>
      <c r="AI159" s="44" t="str">
        <f t="shared" si="138"/>
        <v/>
      </c>
      <c r="AJ159" s="48" t="str">
        <f t="shared" si="139"/>
        <v/>
      </c>
      <c r="AL159" s="12" t="str">
        <f t="shared" si="140"/>
        <v/>
      </c>
      <c r="AM159" s="44" t="str">
        <f t="shared" si="141"/>
        <v/>
      </c>
      <c r="AN159" s="44" t="str">
        <f t="shared" si="142"/>
        <v/>
      </c>
      <c r="AO159" s="44" t="str">
        <f t="shared" si="143"/>
        <v/>
      </c>
      <c r="AP159" s="48" t="str">
        <f t="shared" si="144"/>
        <v/>
      </c>
      <c r="AR159" s="12" t="str">
        <f t="shared" si="145"/>
        <v/>
      </c>
      <c r="AS159" s="44" t="str">
        <f t="shared" si="146"/>
        <v/>
      </c>
      <c r="AT159" s="44" t="str">
        <f t="shared" si="147"/>
        <v/>
      </c>
      <c r="AU159" s="44" t="str">
        <f t="shared" si="148"/>
        <v/>
      </c>
      <c r="AV159" s="48" t="str">
        <f t="shared" si="149"/>
        <v/>
      </c>
      <c r="AX159" s="12" t="str">
        <f t="shared" si="150"/>
        <v/>
      </c>
      <c r="AY159" s="44" t="str">
        <f t="shared" si="151"/>
        <v/>
      </c>
      <c r="AZ159" s="44" t="str">
        <f t="shared" si="152"/>
        <v/>
      </c>
      <c r="BA159" s="44" t="str">
        <f t="shared" si="153"/>
        <v/>
      </c>
      <c r="BB159" s="48" t="str">
        <f t="shared" si="154"/>
        <v/>
      </c>
      <c r="BD159" s="12" t="str">
        <f t="shared" si="155"/>
        <v/>
      </c>
      <c r="BE159" s="44" t="str">
        <f t="shared" si="156"/>
        <v/>
      </c>
      <c r="BF159" s="44" t="str">
        <f t="shared" si="157"/>
        <v/>
      </c>
      <c r="BG159" s="44" t="str">
        <f t="shared" si="158"/>
        <v/>
      </c>
      <c r="BH159" s="48" t="str">
        <f t="shared" si="159"/>
        <v/>
      </c>
      <c r="BJ159" s="12" t="str">
        <f t="shared" si="160"/>
        <v/>
      </c>
      <c r="BK159" s="44" t="str">
        <f t="shared" si="161"/>
        <v/>
      </c>
      <c r="BL159" s="44" t="str">
        <f t="shared" si="162"/>
        <v/>
      </c>
      <c r="BM159" s="44" t="str">
        <f t="shared" si="163"/>
        <v/>
      </c>
      <c r="BN159" s="48" t="str">
        <f t="shared" si="164"/>
        <v/>
      </c>
      <c r="BP159" s="12" t="str">
        <f t="shared" si="165"/>
        <v/>
      </c>
      <c r="BQ159" s="44" t="str">
        <f t="shared" si="166"/>
        <v/>
      </c>
      <c r="BR159" s="44" t="str">
        <f t="shared" si="167"/>
        <v/>
      </c>
      <c r="BS159" s="44" t="str">
        <f t="shared" si="168"/>
        <v/>
      </c>
      <c r="BT159" s="48" t="str">
        <f t="shared" si="169"/>
        <v/>
      </c>
    </row>
    <row r="160" spans="1:72" x14ac:dyDescent="0.25">
      <c r="A160" s="4">
        <v>138</v>
      </c>
      <c r="B160" s="54" t="str">
        <f>IF('Game Info'!J143="","",'Game Info'!J143)</f>
        <v/>
      </c>
      <c r="C160" s="54" t="str">
        <f>IF('Game Info'!K143="","",'Game Info'!K143)</f>
        <v/>
      </c>
      <c r="D160" s="54" t="str">
        <f>IF('Game Info'!L143="","",'Game Info'!L143)</f>
        <v/>
      </c>
      <c r="E160" s="54" t="str">
        <f>IF('Game Info'!M143="","",'Game Info'!M143)</f>
        <v/>
      </c>
      <c r="F160" s="55" t="str">
        <f>IF('Game Info'!N143="","",'Game Info'!N143)</f>
        <v/>
      </c>
      <c r="H160" s="12" t="str">
        <f t="shared" si="115"/>
        <v/>
      </c>
      <c r="I160" s="44" t="str">
        <f t="shared" si="116"/>
        <v/>
      </c>
      <c r="J160" s="44" t="str">
        <f t="shared" si="117"/>
        <v/>
      </c>
      <c r="K160" s="44" t="str">
        <f t="shared" si="118"/>
        <v/>
      </c>
      <c r="L160" s="48" t="str">
        <f t="shared" si="119"/>
        <v/>
      </c>
      <c r="N160" s="12" t="str">
        <f t="shared" si="120"/>
        <v/>
      </c>
      <c r="O160" s="44" t="str">
        <f t="shared" si="121"/>
        <v/>
      </c>
      <c r="P160" s="44" t="str">
        <f t="shared" si="122"/>
        <v/>
      </c>
      <c r="Q160" s="44" t="str">
        <f t="shared" si="123"/>
        <v/>
      </c>
      <c r="R160" s="48" t="str">
        <f t="shared" si="124"/>
        <v/>
      </c>
      <c r="T160" s="12" t="str">
        <f t="shared" si="125"/>
        <v/>
      </c>
      <c r="U160" s="44" t="str">
        <f t="shared" si="126"/>
        <v/>
      </c>
      <c r="V160" s="44" t="str">
        <f t="shared" si="127"/>
        <v/>
      </c>
      <c r="W160" s="44" t="str">
        <f t="shared" si="128"/>
        <v/>
      </c>
      <c r="X160" s="48" t="str">
        <f t="shared" si="129"/>
        <v/>
      </c>
      <c r="Z160" s="12" t="str">
        <f t="shared" si="130"/>
        <v/>
      </c>
      <c r="AA160" s="44" t="str">
        <f t="shared" si="131"/>
        <v/>
      </c>
      <c r="AB160" s="44" t="str">
        <f t="shared" si="132"/>
        <v/>
      </c>
      <c r="AC160" s="44" t="str">
        <f t="shared" si="133"/>
        <v/>
      </c>
      <c r="AD160" s="48" t="str">
        <f t="shared" si="134"/>
        <v/>
      </c>
      <c r="AF160" s="12" t="str">
        <f t="shared" si="135"/>
        <v/>
      </c>
      <c r="AG160" s="44" t="str">
        <f t="shared" si="136"/>
        <v/>
      </c>
      <c r="AH160" s="44" t="str">
        <f t="shared" si="137"/>
        <v/>
      </c>
      <c r="AI160" s="44" t="str">
        <f t="shared" si="138"/>
        <v/>
      </c>
      <c r="AJ160" s="48" t="str">
        <f t="shared" si="139"/>
        <v/>
      </c>
      <c r="AL160" s="12" t="str">
        <f t="shared" si="140"/>
        <v/>
      </c>
      <c r="AM160" s="44" t="str">
        <f t="shared" si="141"/>
        <v/>
      </c>
      <c r="AN160" s="44" t="str">
        <f t="shared" si="142"/>
        <v/>
      </c>
      <c r="AO160" s="44" t="str">
        <f t="shared" si="143"/>
        <v/>
      </c>
      <c r="AP160" s="48" t="str">
        <f t="shared" si="144"/>
        <v/>
      </c>
      <c r="AR160" s="12" t="str">
        <f t="shared" si="145"/>
        <v/>
      </c>
      <c r="AS160" s="44" t="str">
        <f t="shared" si="146"/>
        <v/>
      </c>
      <c r="AT160" s="44" t="str">
        <f t="shared" si="147"/>
        <v/>
      </c>
      <c r="AU160" s="44" t="str">
        <f t="shared" si="148"/>
        <v/>
      </c>
      <c r="AV160" s="48" t="str">
        <f t="shared" si="149"/>
        <v/>
      </c>
      <c r="AX160" s="12" t="str">
        <f t="shared" si="150"/>
        <v/>
      </c>
      <c r="AY160" s="44" t="str">
        <f t="shared" si="151"/>
        <v/>
      </c>
      <c r="AZ160" s="44" t="str">
        <f t="shared" si="152"/>
        <v/>
      </c>
      <c r="BA160" s="44" t="str">
        <f t="shared" si="153"/>
        <v/>
      </c>
      <c r="BB160" s="48" t="str">
        <f t="shared" si="154"/>
        <v/>
      </c>
      <c r="BD160" s="12" t="str">
        <f t="shared" si="155"/>
        <v/>
      </c>
      <c r="BE160" s="44" t="str">
        <f t="shared" si="156"/>
        <v/>
      </c>
      <c r="BF160" s="44" t="str">
        <f t="shared" si="157"/>
        <v/>
      </c>
      <c r="BG160" s="44" t="str">
        <f t="shared" si="158"/>
        <v/>
      </c>
      <c r="BH160" s="48" t="str">
        <f t="shared" si="159"/>
        <v/>
      </c>
      <c r="BJ160" s="12" t="str">
        <f t="shared" si="160"/>
        <v/>
      </c>
      <c r="BK160" s="44" t="str">
        <f t="shared" si="161"/>
        <v/>
      </c>
      <c r="BL160" s="44" t="str">
        <f t="shared" si="162"/>
        <v/>
      </c>
      <c r="BM160" s="44" t="str">
        <f t="shared" si="163"/>
        <v/>
      </c>
      <c r="BN160" s="48" t="str">
        <f t="shared" si="164"/>
        <v/>
      </c>
      <c r="BP160" s="12" t="str">
        <f t="shared" si="165"/>
        <v/>
      </c>
      <c r="BQ160" s="44" t="str">
        <f t="shared" si="166"/>
        <v/>
      </c>
      <c r="BR160" s="44" t="str">
        <f t="shared" si="167"/>
        <v/>
      </c>
      <c r="BS160" s="44" t="str">
        <f t="shared" si="168"/>
        <v/>
      </c>
      <c r="BT160" s="48" t="str">
        <f t="shared" si="169"/>
        <v/>
      </c>
    </row>
    <row r="161" spans="1:72" x14ac:dyDescent="0.25">
      <c r="A161" s="4">
        <v>139</v>
      </c>
      <c r="B161" s="54" t="str">
        <f>IF('Game Info'!J144="","",'Game Info'!J144)</f>
        <v/>
      </c>
      <c r="C161" s="54" t="str">
        <f>IF('Game Info'!K144="","",'Game Info'!K144)</f>
        <v/>
      </c>
      <c r="D161" s="54" t="str">
        <f>IF('Game Info'!L144="","",'Game Info'!L144)</f>
        <v/>
      </c>
      <c r="E161" s="54" t="str">
        <f>IF('Game Info'!M144="","",'Game Info'!M144)</f>
        <v/>
      </c>
      <c r="F161" s="55" t="str">
        <f>IF('Game Info'!N144="","",'Game Info'!N144)</f>
        <v/>
      </c>
      <c r="H161" s="12" t="str">
        <f t="shared" si="115"/>
        <v/>
      </c>
      <c r="I161" s="44" t="str">
        <f t="shared" si="116"/>
        <v/>
      </c>
      <c r="J161" s="44" t="str">
        <f t="shared" si="117"/>
        <v/>
      </c>
      <c r="K161" s="44" t="str">
        <f t="shared" si="118"/>
        <v/>
      </c>
      <c r="L161" s="48" t="str">
        <f t="shared" si="119"/>
        <v/>
      </c>
      <c r="N161" s="12" t="str">
        <f t="shared" si="120"/>
        <v/>
      </c>
      <c r="O161" s="44" t="str">
        <f t="shared" si="121"/>
        <v/>
      </c>
      <c r="P161" s="44" t="str">
        <f t="shared" si="122"/>
        <v/>
      </c>
      <c r="Q161" s="44" t="str">
        <f t="shared" si="123"/>
        <v/>
      </c>
      <c r="R161" s="48" t="str">
        <f t="shared" si="124"/>
        <v/>
      </c>
      <c r="T161" s="12" t="str">
        <f t="shared" si="125"/>
        <v/>
      </c>
      <c r="U161" s="44" t="str">
        <f t="shared" si="126"/>
        <v/>
      </c>
      <c r="V161" s="44" t="str">
        <f t="shared" si="127"/>
        <v/>
      </c>
      <c r="W161" s="44" t="str">
        <f t="shared" si="128"/>
        <v/>
      </c>
      <c r="X161" s="48" t="str">
        <f t="shared" si="129"/>
        <v/>
      </c>
      <c r="Z161" s="12" t="str">
        <f t="shared" si="130"/>
        <v/>
      </c>
      <c r="AA161" s="44" t="str">
        <f t="shared" si="131"/>
        <v/>
      </c>
      <c r="AB161" s="44" t="str">
        <f t="shared" si="132"/>
        <v/>
      </c>
      <c r="AC161" s="44" t="str">
        <f t="shared" si="133"/>
        <v/>
      </c>
      <c r="AD161" s="48" t="str">
        <f t="shared" si="134"/>
        <v/>
      </c>
      <c r="AF161" s="12" t="str">
        <f t="shared" si="135"/>
        <v/>
      </c>
      <c r="AG161" s="44" t="str">
        <f t="shared" si="136"/>
        <v/>
      </c>
      <c r="AH161" s="44" t="str">
        <f t="shared" si="137"/>
        <v/>
      </c>
      <c r="AI161" s="44" t="str">
        <f t="shared" si="138"/>
        <v/>
      </c>
      <c r="AJ161" s="48" t="str">
        <f t="shared" si="139"/>
        <v/>
      </c>
      <c r="AL161" s="12" t="str">
        <f t="shared" si="140"/>
        <v/>
      </c>
      <c r="AM161" s="44" t="str">
        <f t="shared" si="141"/>
        <v/>
      </c>
      <c r="AN161" s="44" t="str">
        <f t="shared" si="142"/>
        <v/>
      </c>
      <c r="AO161" s="44" t="str">
        <f t="shared" si="143"/>
        <v/>
      </c>
      <c r="AP161" s="48" t="str">
        <f t="shared" si="144"/>
        <v/>
      </c>
      <c r="AR161" s="12" t="str">
        <f t="shared" si="145"/>
        <v/>
      </c>
      <c r="AS161" s="44" t="str">
        <f t="shared" si="146"/>
        <v/>
      </c>
      <c r="AT161" s="44" t="str">
        <f t="shared" si="147"/>
        <v/>
      </c>
      <c r="AU161" s="44" t="str">
        <f t="shared" si="148"/>
        <v/>
      </c>
      <c r="AV161" s="48" t="str">
        <f t="shared" si="149"/>
        <v/>
      </c>
      <c r="AX161" s="12" t="str">
        <f t="shared" si="150"/>
        <v/>
      </c>
      <c r="AY161" s="44" t="str">
        <f t="shared" si="151"/>
        <v/>
      </c>
      <c r="AZ161" s="44" t="str">
        <f t="shared" si="152"/>
        <v/>
      </c>
      <c r="BA161" s="44" t="str">
        <f t="shared" si="153"/>
        <v/>
      </c>
      <c r="BB161" s="48" t="str">
        <f t="shared" si="154"/>
        <v/>
      </c>
      <c r="BD161" s="12" t="str">
        <f t="shared" si="155"/>
        <v/>
      </c>
      <c r="BE161" s="44" t="str">
        <f t="shared" si="156"/>
        <v/>
      </c>
      <c r="BF161" s="44" t="str">
        <f t="shared" si="157"/>
        <v/>
      </c>
      <c r="BG161" s="44" t="str">
        <f t="shared" si="158"/>
        <v/>
      </c>
      <c r="BH161" s="48" t="str">
        <f t="shared" si="159"/>
        <v/>
      </c>
      <c r="BJ161" s="12" t="str">
        <f t="shared" si="160"/>
        <v/>
      </c>
      <c r="BK161" s="44" t="str">
        <f t="shared" si="161"/>
        <v/>
      </c>
      <c r="BL161" s="44" t="str">
        <f t="shared" si="162"/>
        <v/>
      </c>
      <c r="BM161" s="44" t="str">
        <f t="shared" si="163"/>
        <v/>
      </c>
      <c r="BN161" s="48" t="str">
        <f t="shared" si="164"/>
        <v/>
      </c>
      <c r="BP161" s="12" t="str">
        <f t="shared" si="165"/>
        <v/>
      </c>
      <c r="BQ161" s="44" t="str">
        <f t="shared" si="166"/>
        <v/>
      </c>
      <c r="BR161" s="44" t="str">
        <f t="shared" si="167"/>
        <v/>
      </c>
      <c r="BS161" s="44" t="str">
        <f t="shared" si="168"/>
        <v/>
      </c>
      <c r="BT161" s="48" t="str">
        <f t="shared" si="169"/>
        <v/>
      </c>
    </row>
    <row r="162" spans="1:72" x14ac:dyDescent="0.25">
      <c r="A162" s="4">
        <v>140</v>
      </c>
      <c r="B162" s="54" t="str">
        <f>IF('Game Info'!J145="","",'Game Info'!J145)</f>
        <v/>
      </c>
      <c r="C162" s="54" t="str">
        <f>IF('Game Info'!K145="","",'Game Info'!K145)</f>
        <v/>
      </c>
      <c r="D162" s="54" t="str">
        <f>IF('Game Info'!L145="","",'Game Info'!L145)</f>
        <v/>
      </c>
      <c r="E162" s="54" t="str">
        <f>IF('Game Info'!M145="","",'Game Info'!M145)</f>
        <v/>
      </c>
      <c r="F162" s="55" t="str">
        <f>IF('Game Info'!N145="","",'Game Info'!N145)</f>
        <v/>
      </c>
      <c r="H162" s="12" t="str">
        <f t="shared" si="115"/>
        <v/>
      </c>
      <c r="I162" s="44" t="str">
        <f t="shared" si="116"/>
        <v/>
      </c>
      <c r="J162" s="44" t="str">
        <f t="shared" si="117"/>
        <v/>
      </c>
      <c r="K162" s="44" t="str">
        <f t="shared" si="118"/>
        <v/>
      </c>
      <c r="L162" s="48" t="str">
        <f t="shared" si="119"/>
        <v/>
      </c>
      <c r="N162" s="12" t="str">
        <f t="shared" si="120"/>
        <v/>
      </c>
      <c r="O162" s="44" t="str">
        <f t="shared" si="121"/>
        <v/>
      </c>
      <c r="P162" s="44" t="str">
        <f t="shared" si="122"/>
        <v/>
      </c>
      <c r="Q162" s="44" t="str">
        <f t="shared" si="123"/>
        <v/>
      </c>
      <c r="R162" s="48" t="str">
        <f t="shared" si="124"/>
        <v/>
      </c>
      <c r="T162" s="12" t="str">
        <f t="shared" si="125"/>
        <v/>
      </c>
      <c r="U162" s="44" t="str">
        <f t="shared" si="126"/>
        <v/>
      </c>
      <c r="V162" s="44" t="str">
        <f t="shared" si="127"/>
        <v/>
      </c>
      <c r="W162" s="44" t="str">
        <f t="shared" si="128"/>
        <v/>
      </c>
      <c r="X162" s="48" t="str">
        <f t="shared" si="129"/>
        <v/>
      </c>
      <c r="Z162" s="12" t="str">
        <f t="shared" si="130"/>
        <v/>
      </c>
      <c r="AA162" s="44" t="str">
        <f t="shared" si="131"/>
        <v/>
      </c>
      <c r="AB162" s="44" t="str">
        <f t="shared" si="132"/>
        <v/>
      </c>
      <c r="AC162" s="44" t="str">
        <f t="shared" si="133"/>
        <v/>
      </c>
      <c r="AD162" s="48" t="str">
        <f t="shared" si="134"/>
        <v/>
      </c>
      <c r="AF162" s="12" t="str">
        <f t="shared" si="135"/>
        <v/>
      </c>
      <c r="AG162" s="44" t="str">
        <f t="shared" si="136"/>
        <v/>
      </c>
      <c r="AH162" s="44" t="str">
        <f t="shared" si="137"/>
        <v/>
      </c>
      <c r="AI162" s="44" t="str">
        <f t="shared" si="138"/>
        <v/>
      </c>
      <c r="AJ162" s="48" t="str">
        <f t="shared" si="139"/>
        <v/>
      </c>
      <c r="AL162" s="12" t="str">
        <f t="shared" si="140"/>
        <v/>
      </c>
      <c r="AM162" s="44" t="str">
        <f t="shared" si="141"/>
        <v/>
      </c>
      <c r="AN162" s="44" t="str">
        <f t="shared" si="142"/>
        <v/>
      </c>
      <c r="AO162" s="44" t="str">
        <f t="shared" si="143"/>
        <v/>
      </c>
      <c r="AP162" s="48" t="str">
        <f t="shared" si="144"/>
        <v/>
      </c>
      <c r="AR162" s="12" t="str">
        <f t="shared" si="145"/>
        <v/>
      </c>
      <c r="AS162" s="44" t="str">
        <f t="shared" si="146"/>
        <v/>
      </c>
      <c r="AT162" s="44" t="str">
        <f t="shared" si="147"/>
        <v/>
      </c>
      <c r="AU162" s="44" t="str">
        <f t="shared" si="148"/>
        <v/>
      </c>
      <c r="AV162" s="48" t="str">
        <f t="shared" si="149"/>
        <v/>
      </c>
      <c r="AX162" s="12" t="str">
        <f t="shared" si="150"/>
        <v/>
      </c>
      <c r="AY162" s="44" t="str">
        <f t="shared" si="151"/>
        <v/>
      </c>
      <c r="AZ162" s="44" t="str">
        <f t="shared" si="152"/>
        <v/>
      </c>
      <c r="BA162" s="44" t="str">
        <f t="shared" si="153"/>
        <v/>
      </c>
      <c r="BB162" s="48" t="str">
        <f t="shared" si="154"/>
        <v/>
      </c>
      <c r="BD162" s="12" t="str">
        <f t="shared" si="155"/>
        <v/>
      </c>
      <c r="BE162" s="44" t="str">
        <f t="shared" si="156"/>
        <v/>
      </c>
      <c r="BF162" s="44" t="str">
        <f t="shared" si="157"/>
        <v/>
      </c>
      <c r="BG162" s="44" t="str">
        <f t="shared" si="158"/>
        <v/>
      </c>
      <c r="BH162" s="48" t="str">
        <f t="shared" si="159"/>
        <v/>
      </c>
      <c r="BJ162" s="12" t="str">
        <f t="shared" si="160"/>
        <v/>
      </c>
      <c r="BK162" s="44" t="str">
        <f t="shared" si="161"/>
        <v/>
      </c>
      <c r="BL162" s="44" t="str">
        <f t="shared" si="162"/>
        <v/>
      </c>
      <c r="BM162" s="44" t="str">
        <f t="shared" si="163"/>
        <v/>
      </c>
      <c r="BN162" s="48" t="str">
        <f t="shared" si="164"/>
        <v/>
      </c>
      <c r="BP162" s="12" t="str">
        <f t="shared" si="165"/>
        <v/>
      </c>
      <c r="BQ162" s="44" t="str">
        <f t="shared" si="166"/>
        <v/>
      </c>
      <c r="BR162" s="44" t="str">
        <f t="shared" si="167"/>
        <v/>
      </c>
      <c r="BS162" s="44" t="str">
        <f t="shared" si="168"/>
        <v/>
      </c>
      <c r="BT162" s="48" t="str">
        <f t="shared" si="169"/>
        <v/>
      </c>
    </row>
    <row r="163" spans="1:72" x14ac:dyDescent="0.25">
      <c r="A163" s="4">
        <v>141</v>
      </c>
      <c r="B163" s="54" t="str">
        <f>IF('Game Info'!J146="","",'Game Info'!J146)</f>
        <v/>
      </c>
      <c r="C163" s="54" t="str">
        <f>IF('Game Info'!K146="","",'Game Info'!K146)</f>
        <v/>
      </c>
      <c r="D163" s="54" t="str">
        <f>IF('Game Info'!L146="","",'Game Info'!L146)</f>
        <v/>
      </c>
      <c r="E163" s="54" t="str">
        <f>IF('Game Info'!M146="","",'Game Info'!M146)</f>
        <v/>
      </c>
      <c r="F163" s="55" t="str">
        <f>IF('Game Info'!N146="","",'Game Info'!N146)</f>
        <v/>
      </c>
      <c r="H163" s="12" t="str">
        <f t="shared" si="115"/>
        <v/>
      </c>
      <c r="I163" s="44" t="str">
        <f t="shared" si="116"/>
        <v/>
      </c>
      <c r="J163" s="44" t="str">
        <f t="shared" si="117"/>
        <v/>
      </c>
      <c r="K163" s="44" t="str">
        <f t="shared" si="118"/>
        <v/>
      </c>
      <c r="L163" s="48" t="str">
        <f t="shared" si="119"/>
        <v/>
      </c>
      <c r="N163" s="12" t="str">
        <f t="shared" si="120"/>
        <v/>
      </c>
      <c r="O163" s="44" t="str">
        <f t="shared" si="121"/>
        <v/>
      </c>
      <c r="P163" s="44" t="str">
        <f t="shared" si="122"/>
        <v/>
      </c>
      <c r="Q163" s="44" t="str">
        <f t="shared" si="123"/>
        <v/>
      </c>
      <c r="R163" s="48" t="str">
        <f t="shared" si="124"/>
        <v/>
      </c>
      <c r="T163" s="12" t="str">
        <f t="shared" si="125"/>
        <v/>
      </c>
      <c r="U163" s="44" t="str">
        <f t="shared" si="126"/>
        <v/>
      </c>
      <c r="V163" s="44" t="str">
        <f t="shared" si="127"/>
        <v/>
      </c>
      <c r="W163" s="44" t="str">
        <f t="shared" si="128"/>
        <v/>
      </c>
      <c r="X163" s="48" t="str">
        <f t="shared" si="129"/>
        <v/>
      </c>
      <c r="Z163" s="12" t="str">
        <f t="shared" si="130"/>
        <v/>
      </c>
      <c r="AA163" s="44" t="str">
        <f t="shared" si="131"/>
        <v/>
      </c>
      <c r="AB163" s="44" t="str">
        <f t="shared" si="132"/>
        <v/>
      </c>
      <c r="AC163" s="44" t="str">
        <f t="shared" si="133"/>
        <v/>
      </c>
      <c r="AD163" s="48" t="str">
        <f t="shared" si="134"/>
        <v/>
      </c>
      <c r="AF163" s="12" t="str">
        <f t="shared" si="135"/>
        <v/>
      </c>
      <c r="AG163" s="44" t="str">
        <f t="shared" si="136"/>
        <v/>
      </c>
      <c r="AH163" s="44" t="str">
        <f t="shared" si="137"/>
        <v/>
      </c>
      <c r="AI163" s="44" t="str">
        <f t="shared" si="138"/>
        <v/>
      </c>
      <c r="AJ163" s="48" t="str">
        <f t="shared" si="139"/>
        <v/>
      </c>
      <c r="AL163" s="12" t="str">
        <f t="shared" si="140"/>
        <v/>
      </c>
      <c r="AM163" s="44" t="str">
        <f t="shared" si="141"/>
        <v/>
      </c>
      <c r="AN163" s="44" t="str">
        <f t="shared" si="142"/>
        <v/>
      </c>
      <c r="AO163" s="44" t="str">
        <f t="shared" si="143"/>
        <v/>
      </c>
      <c r="AP163" s="48" t="str">
        <f t="shared" si="144"/>
        <v/>
      </c>
      <c r="AR163" s="12" t="str">
        <f t="shared" si="145"/>
        <v/>
      </c>
      <c r="AS163" s="44" t="str">
        <f t="shared" si="146"/>
        <v/>
      </c>
      <c r="AT163" s="44" t="str">
        <f t="shared" si="147"/>
        <v/>
      </c>
      <c r="AU163" s="44" t="str">
        <f t="shared" si="148"/>
        <v/>
      </c>
      <c r="AV163" s="48" t="str">
        <f t="shared" si="149"/>
        <v/>
      </c>
      <c r="AX163" s="12" t="str">
        <f t="shared" si="150"/>
        <v/>
      </c>
      <c r="AY163" s="44" t="str">
        <f t="shared" si="151"/>
        <v/>
      </c>
      <c r="AZ163" s="44" t="str">
        <f t="shared" si="152"/>
        <v/>
      </c>
      <c r="BA163" s="44" t="str">
        <f t="shared" si="153"/>
        <v/>
      </c>
      <c r="BB163" s="48" t="str">
        <f t="shared" si="154"/>
        <v/>
      </c>
      <c r="BD163" s="12" t="str">
        <f t="shared" si="155"/>
        <v/>
      </c>
      <c r="BE163" s="44" t="str">
        <f t="shared" si="156"/>
        <v/>
      </c>
      <c r="BF163" s="44" t="str">
        <f t="shared" si="157"/>
        <v/>
      </c>
      <c r="BG163" s="44" t="str">
        <f t="shared" si="158"/>
        <v/>
      </c>
      <c r="BH163" s="48" t="str">
        <f t="shared" si="159"/>
        <v/>
      </c>
      <c r="BJ163" s="12" t="str">
        <f t="shared" si="160"/>
        <v/>
      </c>
      <c r="BK163" s="44" t="str">
        <f t="shared" si="161"/>
        <v/>
      </c>
      <c r="BL163" s="44" t="str">
        <f t="shared" si="162"/>
        <v/>
      </c>
      <c r="BM163" s="44" t="str">
        <f t="shared" si="163"/>
        <v/>
      </c>
      <c r="BN163" s="48" t="str">
        <f t="shared" si="164"/>
        <v/>
      </c>
      <c r="BP163" s="12" t="str">
        <f t="shared" si="165"/>
        <v/>
      </c>
      <c r="BQ163" s="44" t="str">
        <f t="shared" si="166"/>
        <v/>
      </c>
      <c r="BR163" s="44" t="str">
        <f t="shared" si="167"/>
        <v/>
      </c>
      <c r="BS163" s="44" t="str">
        <f t="shared" si="168"/>
        <v/>
      </c>
      <c r="BT163" s="48" t="str">
        <f t="shared" si="169"/>
        <v/>
      </c>
    </row>
    <row r="164" spans="1:72" x14ac:dyDescent="0.25">
      <c r="A164" s="4">
        <v>142</v>
      </c>
      <c r="B164" s="54" t="str">
        <f>IF('Game Info'!J147="","",'Game Info'!J147)</f>
        <v/>
      </c>
      <c r="C164" s="54" t="str">
        <f>IF('Game Info'!K147="","",'Game Info'!K147)</f>
        <v/>
      </c>
      <c r="D164" s="54" t="str">
        <f>IF('Game Info'!L147="","",'Game Info'!L147)</f>
        <v/>
      </c>
      <c r="E164" s="54" t="str">
        <f>IF('Game Info'!M147="","",'Game Info'!M147)</f>
        <v/>
      </c>
      <c r="F164" s="55" t="str">
        <f>IF('Game Info'!N147="","",'Game Info'!N147)</f>
        <v/>
      </c>
      <c r="H164" s="12" t="str">
        <f t="shared" si="115"/>
        <v/>
      </c>
      <c r="I164" s="44" t="str">
        <f t="shared" si="116"/>
        <v/>
      </c>
      <c r="J164" s="44" t="str">
        <f t="shared" si="117"/>
        <v/>
      </c>
      <c r="K164" s="44" t="str">
        <f t="shared" si="118"/>
        <v/>
      </c>
      <c r="L164" s="48" t="str">
        <f t="shared" si="119"/>
        <v/>
      </c>
      <c r="N164" s="12" t="str">
        <f t="shared" si="120"/>
        <v/>
      </c>
      <c r="O164" s="44" t="str">
        <f t="shared" si="121"/>
        <v/>
      </c>
      <c r="P164" s="44" t="str">
        <f t="shared" si="122"/>
        <v/>
      </c>
      <c r="Q164" s="44" t="str">
        <f t="shared" si="123"/>
        <v/>
      </c>
      <c r="R164" s="48" t="str">
        <f t="shared" si="124"/>
        <v/>
      </c>
      <c r="T164" s="12" t="str">
        <f t="shared" si="125"/>
        <v/>
      </c>
      <c r="U164" s="44" t="str">
        <f t="shared" si="126"/>
        <v/>
      </c>
      <c r="V164" s="44" t="str">
        <f t="shared" si="127"/>
        <v/>
      </c>
      <c r="W164" s="44" t="str">
        <f t="shared" si="128"/>
        <v/>
      </c>
      <c r="X164" s="48" t="str">
        <f t="shared" si="129"/>
        <v/>
      </c>
      <c r="Z164" s="12" t="str">
        <f t="shared" si="130"/>
        <v/>
      </c>
      <c r="AA164" s="44" t="str">
        <f t="shared" si="131"/>
        <v/>
      </c>
      <c r="AB164" s="44" t="str">
        <f t="shared" si="132"/>
        <v/>
      </c>
      <c r="AC164" s="44" t="str">
        <f t="shared" si="133"/>
        <v/>
      </c>
      <c r="AD164" s="48" t="str">
        <f t="shared" si="134"/>
        <v/>
      </c>
      <c r="AF164" s="12" t="str">
        <f t="shared" si="135"/>
        <v/>
      </c>
      <c r="AG164" s="44" t="str">
        <f t="shared" si="136"/>
        <v/>
      </c>
      <c r="AH164" s="44" t="str">
        <f t="shared" si="137"/>
        <v/>
      </c>
      <c r="AI164" s="44" t="str">
        <f t="shared" si="138"/>
        <v/>
      </c>
      <c r="AJ164" s="48" t="str">
        <f t="shared" si="139"/>
        <v/>
      </c>
      <c r="AL164" s="12" t="str">
        <f t="shared" si="140"/>
        <v/>
      </c>
      <c r="AM164" s="44" t="str">
        <f t="shared" si="141"/>
        <v/>
      </c>
      <c r="AN164" s="44" t="str">
        <f t="shared" si="142"/>
        <v/>
      </c>
      <c r="AO164" s="44" t="str">
        <f t="shared" si="143"/>
        <v/>
      </c>
      <c r="AP164" s="48" t="str">
        <f t="shared" si="144"/>
        <v/>
      </c>
      <c r="AR164" s="12" t="str">
        <f t="shared" si="145"/>
        <v/>
      </c>
      <c r="AS164" s="44" t="str">
        <f t="shared" si="146"/>
        <v/>
      </c>
      <c r="AT164" s="44" t="str">
        <f t="shared" si="147"/>
        <v/>
      </c>
      <c r="AU164" s="44" t="str">
        <f t="shared" si="148"/>
        <v/>
      </c>
      <c r="AV164" s="48" t="str">
        <f t="shared" si="149"/>
        <v/>
      </c>
      <c r="AX164" s="12" t="str">
        <f t="shared" si="150"/>
        <v/>
      </c>
      <c r="AY164" s="44" t="str">
        <f t="shared" si="151"/>
        <v/>
      </c>
      <c r="AZ164" s="44" t="str">
        <f t="shared" si="152"/>
        <v/>
      </c>
      <c r="BA164" s="44" t="str">
        <f t="shared" si="153"/>
        <v/>
      </c>
      <c r="BB164" s="48" t="str">
        <f t="shared" si="154"/>
        <v/>
      </c>
      <c r="BD164" s="12" t="str">
        <f t="shared" si="155"/>
        <v/>
      </c>
      <c r="BE164" s="44" t="str">
        <f t="shared" si="156"/>
        <v/>
      </c>
      <c r="BF164" s="44" t="str">
        <f t="shared" si="157"/>
        <v/>
      </c>
      <c r="BG164" s="44" t="str">
        <f t="shared" si="158"/>
        <v/>
      </c>
      <c r="BH164" s="48" t="str">
        <f t="shared" si="159"/>
        <v/>
      </c>
      <c r="BJ164" s="12" t="str">
        <f t="shared" si="160"/>
        <v/>
      </c>
      <c r="BK164" s="44" t="str">
        <f t="shared" si="161"/>
        <v/>
      </c>
      <c r="BL164" s="44" t="str">
        <f t="shared" si="162"/>
        <v/>
      </c>
      <c r="BM164" s="44" t="str">
        <f t="shared" si="163"/>
        <v/>
      </c>
      <c r="BN164" s="48" t="str">
        <f t="shared" si="164"/>
        <v/>
      </c>
      <c r="BP164" s="12" t="str">
        <f t="shared" si="165"/>
        <v/>
      </c>
      <c r="BQ164" s="44" t="str">
        <f t="shared" si="166"/>
        <v/>
      </c>
      <c r="BR164" s="44" t="str">
        <f t="shared" si="167"/>
        <v/>
      </c>
      <c r="BS164" s="44" t="str">
        <f t="shared" si="168"/>
        <v/>
      </c>
      <c r="BT164" s="48" t="str">
        <f t="shared" si="169"/>
        <v/>
      </c>
    </row>
    <row r="165" spans="1:72" x14ac:dyDescent="0.25">
      <c r="A165" s="4">
        <v>143</v>
      </c>
      <c r="B165" s="54" t="str">
        <f>IF('Game Info'!J148="","",'Game Info'!J148)</f>
        <v/>
      </c>
      <c r="C165" s="54" t="str">
        <f>IF('Game Info'!K148="","",'Game Info'!K148)</f>
        <v/>
      </c>
      <c r="D165" s="54" t="str">
        <f>IF('Game Info'!L148="","",'Game Info'!L148)</f>
        <v/>
      </c>
      <c r="E165" s="54" t="str">
        <f>IF('Game Info'!M148="","",'Game Info'!M148)</f>
        <v/>
      </c>
      <c r="F165" s="55" t="str">
        <f>IF('Game Info'!N148="","",'Game Info'!N148)</f>
        <v/>
      </c>
      <c r="H165" s="12" t="str">
        <f t="shared" si="115"/>
        <v/>
      </c>
      <c r="I165" s="44" t="str">
        <f t="shared" si="116"/>
        <v/>
      </c>
      <c r="J165" s="44" t="str">
        <f t="shared" si="117"/>
        <v/>
      </c>
      <c r="K165" s="44" t="str">
        <f t="shared" si="118"/>
        <v/>
      </c>
      <c r="L165" s="48" t="str">
        <f t="shared" si="119"/>
        <v/>
      </c>
      <c r="N165" s="12" t="str">
        <f t="shared" si="120"/>
        <v/>
      </c>
      <c r="O165" s="44" t="str">
        <f t="shared" si="121"/>
        <v/>
      </c>
      <c r="P165" s="44" t="str">
        <f t="shared" si="122"/>
        <v/>
      </c>
      <c r="Q165" s="44" t="str">
        <f t="shared" si="123"/>
        <v/>
      </c>
      <c r="R165" s="48" t="str">
        <f t="shared" si="124"/>
        <v/>
      </c>
      <c r="T165" s="12" t="str">
        <f t="shared" si="125"/>
        <v/>
      </c>
      <c r="U165" s="44" t="str">
        <f t="shared" si="126"/>
        <v/>
      </c>
      <c r="V165" s="44" t="str">
        <f t="shared" si="127"/>
        <v/>
      </c>
      <c r="W165" s="44" t="str">
        <f t="shared" si="128"/>
        <v/>
      </c>
      <c r="X165" s="48" t="str">
        <f t="shared" si="129"/>
        <v/>
      </c>
      <c r="Z165" s="12" t="str">
        <f t="shared" si="130"/>
        <v/>
      </c>
      <c r="AA165" s="44" t="str">
        <f t="shared" si="131"/>
        <v/>
      </c>
      <c r="AB165" s="44" t="str">
        <f t="shared" si="132"/>
        <v/>
      </c>
      <c r="AC165" s="44" t="str">
        <f t="shared" si="133"/>
        <v/>
      </c>
      <c r="AD165" s="48" t="str">
        <f t="shared" si="134"/>
        <v/>
      </c>
      <c r="AF165" s="12" t="str">
        <f t="shared" si="135"/>
        <v/>
      </c>
      <c r="AG165" s="44" t="str">
        <f t="shared" si="136"/>
        <v/>
      </c>
      <c r="AH165" s="44" t="str">
        <f t="shared" si="137"/>
        <v/>
      </c>
      <c r="AI165" s="44" t="str">
        <f t="shared" si="138"/>
        <v/>
      </c>
      <c r="AJ165" s="48" t="str">
        <f t="shared" si="139"/>
        <v/>
      </c>
      <c r="AL165" s="12" t="str">
        <f t="shared" si="140"/>
        <v/>
      </c>
      <c r="AM165" s="44" t="str">
        <f t="shared" si="141"/>
        <v/>
      </c>
      <c r="AN165" s="44" t="str">
        <f t="shared" si="142"/>
        <v/>
      </c>
      <c r="AO165" s="44" t="str">
        <f t="shared" si="143"/>
        <v/>
      </c>
      <c r="AP165" s="48" t="str">
        <f t="shared" si="144"/>
        <v/>
      </c>
      <c r="AR165" s="12" t="str">
        <f t="shared" si="145"/>
        <v/>
      </c>
      <c r="AS165" s="44" t="str">
        <f t="shared" si="146"/>
        <v/>
      </c>
      <c r="AT165" s="44" t="str">
        <f t="shared" si="147"/>
        <v/>
      </c>
      <c r="AU165" s="44" t="str">
        <f t="shared" si="148"/>
        <v/>
      </c>
      <c r="AV165" s="48" t="str">
        <f t="shared" si="149"/>
        <v/>
      </c>
      <c r="AX165" s="12" t="str">
        <f t="shared" si="150"/>
        <v/>
      </c>
      <c r="AY165" s="44" t="str">
        <f t="shared" si="151"/>
        <v/>
      </c>
      <c r="AZ165" s="44" t="str">
        <f t="shared" si="152"/>
        <v/>
      </c>
      <c r="BA165" s="44" t="str">
        <f t="shared" si="153"/>
        <v/>
      </c>
      <c r="BB165" s="48" t="str">
        <f t="shared" si="154"/>
        <v/>
      </c>
      <c r="BD165" s="12" t="str">
        <f t="shared" si="155"/>
        <v/>
      </c>
      <c r="BE165" s="44" t="str">
        <f t="shared" si="156"/>
        <v/>
      </c>
      <c r="BF165" s="44" t="str">
        <f t="shared" si="157"/>
        <v/>
      </c>
      <c r="BG165" s="44" t="str">
        <f t="shared" si="158"/>
        <v/>
      </c>
      <c r="BH165" s="48" t="str">
        <f t="shared" si="159"/>
        <v/>
      </c>
      <c r="BJ165" s="12" t="str">
        <f t="shared" si="160"/>
        <v/>
      </c>
      <c r="BK165" s="44" t="str">
        <f t="shared" si="161"/>
        <v/>
      </c>
      <c r="BL165" s="44" t="str">
        <f t="shared" si="162"/>
        <v/>
      </c>
      <c r="BM165" s="44" t="str">
        <f t="shared" si="163"/>
        <v/>
      </c>
      <c r="BN165" s="48" t="str">
        <f t="shared" si="164"/>
        <v/>
      </c>
      <c r="BP165" s="12" t="str">
        <f t="shared" si="165"/>
        <v/>
      </c>
      <c r="BQ165" s="44" t="str">
        <f t="shared" si="166"/>
        <v/>
      </c>
      <c r="BR165" s="44" t="str">
        <f t="shared" si="167"/>
        <v/>
      </c>
      <c r="BS165" s="44" t="str">
        <f t="shared" si="168"/>
        <v/>
      </c>
      <c r="BT165" s="48" t="str">
        <f t="shared" si="169"/>
        <v/>
      </c>
    </row>
    <row r="166" spans="1:72" x14ac:dyDescent="0.25">
      <c r="A166" s="4">
        <v>144</v>
      </c>
      <c r="B166" s="54" t="str">
        <f>IF('Game Info'!J149="","",'Game Info'!J149)</f>
        <v/>
      </c>
      <c r="C166" s="54" t="str">
        <f>IF('Game Info'!K149="","",'Game Info'!K149)</f>
        <v/>
      </c>
      <c r="D166" s="54" t="str">
        <f>IF('Game Info'!L149="","",'Game Info'!L149)</f>
        <v/>
      </c>
      <c r="E166" s="54" t="str">
        <f>IF('Game Info'!M149="","",'Game Info'!M149)</f>
        <v/>
      </c>
      <c r="F166" s="55" t="str">
        <f>IF('Game Info'!N149="","",'Game Info'!N149)</f>
        <v/>
      </c>
      <c r="H166" s="12" t="str">
        <f t="shared" si="115"/>
        <v/>
      </c>
      <c r="I166" s="44" t="str">
        <f t="shared" si="116"/>
        <v/>
      </c>
      <c r="J166" s="44" t="str">
        <f t="shared" si="117"/>
        <v/>
      </c>
      <c r="K166" s="44" t="str">
        <f t="shared" si="118"/>
        <v/>
      </c>
      <c r="L166" s="48" t="str">
        <f t="shared" si="119"/>
        <v/>
      </c>
      <c r="N166" s="12" t="str">
        <f t="shared" si="120"/>
        <v/>
      </c>
      <c r="O166" s="44" t="str">
        <f t="shared" si="121"/>
        <v/>
      </c>
      <c r="P166" s="44" t="str">
        <f t="shared" si="122"/>
        <v/>
      </c>
      <c r="Q166" s="44" t="str">
        <f t="shared" si="123"/>
        <v/>
      </c>
      <c r="R166" s="48" t="str">
        <f t="shared" si="124"/>
        <v/>
      </c>
      <c r="T166" s="12" t="str">
        <f t="shared" si="125"/>
        <v/>
      </c>
      <c r="U166" s="44" t="str">
        <f t="shared" si="126"/>
        <v/>
      </c>
      <c r="V166" s="44" t="str">
        <f t="shared" si="127"/>
        <v/>
      </c>
      <c r="W166" s="44" t="str">
        <f t="shared" si="128"/>
        <v/>
      </c>
      <c r="X166" s="48" t="str">
        <f t="shared" si="129"/>
        <v/>
      </c>
      <c r="Z166" s="12" t="str">
        <f t="shared" si="130"/>
        <v/>
      </c>
      <c r="AA166" s="44" t="str">
        <f t="shared" si="131"/>
        <v/>
      </c>
      <c r="AB166" s="44" t="str">
        <f t="shared" si="132"/>
        <v/>
      </c>
      <c r="AC166" s="44" t="str">
        <f t="shared" si="133"/>
        <v/>
      </c>
      <c r="AD166" s="48" t="str">
        <f t="shared" si="134"/>
        <v/>
      </c>
      <c r="AF166" s="12" t="str">
        <f t="shared" si="135"/>
        <v/>
      </c>
      <c r="AG166" s="44" t="str">
        <f t="shared" si="136"/>
        <v/>
      </c>
      <c r="AH166" s="44" t="str">
        <f t="shared" si="137"/>
        <v/>
      </c>
      <c r="AI166" s="44" t="str">
        <f t="shared" si="138"/>
        <v/>
      </c>
      <c r="AJ166" s="48" t="str">
        <f t="shared" si="139"/>
        <v/>
      </c>
      <c r="AL166" s="12" t="str">
        <f t="shared" si="140"/>
        <v/>
      </c>
      <c r="AM166" s="44" t="str">
        <f t="shared" si="141"/>
        <v/>
      </c>
      <c r="AN166" s="44" t="str">
        <f t="shared" si="142"/>
        <v/>
      </c>
      <c r="AO166" s="44" t="str">
        <f t="shared" si="143"/>
        <v/>
      </c>
      <c r="AP166" s="48" t="str">
        <f t="shared" si="144"/>
        <v/>
      </c>
      <c r="AR166" s="12" t="str">
        <f t="shared" si="145"/>
        <v/>
      </c>
      <c r="AS166" s="44" t="str">
        <f t="shared" si="146"/>
        <v/>
      </c>
      <c r="AT166" s="44" t="str">
        <f t="shared" si="147"/>
        <v/>
      </c>
      <c r="AU166" s="44" t="str">
        <f t="shared" si="148"/>
        <v/>
      </c>
      <c r="AV166" s="48" t="str">
        <f t="shared" si="149"/>
        <v/>
      </c>
      <c r="AX166" s="12" t="str">
        <f t="shared" si="150"/>
        <v/>
      </c>
      <c r="AY166" s="44" t="str">
        <f t="shared" si="151"/>
        <v/>
      </c>
      <c r="AZ166" s="44" t="str">
        <f t="shared" si="152"/>
        <v/>
      </c>
      <c r="BA166" s="44" t="str">
        <f t="shared" si="153"/>
        <v/>
      </c>
      <c r="BB166" s="48" t="str">
        <f t="shared" si="154"/>
        <v/>
      </c>
      <c r="BD166" s="12" t="str">
        <f t="shared" si="155"/>
        <v/>
      </c>
      <c r="BE166" s="44" t="str">
        <f t="shared" si="156"/>
        <v/>
      </c>
      <c r="BF166" s="44" t="str">
        <f t="shared" si="157"/>
        <v/>
      </c>
      <c r="BG166" s="44" t="str">
        <f t="shared" si="158"/>
        <v/>
      </c>
      <c r="BH166" s="48" t="str">
        <f t="shared" si="159"/>
        <v/>
      </c>
      <c r="BJ166" s="12" t="str">
        <f t="shared" si="160"/>
        <v/>
      </c>
      <c r="BK166" s="44" t="str">
        <f t="shared" si="161"/>
        <v/>
      </c>
      <c r="BL166" s="44" t="str">
        <f t="shared" si="162"/>
        <v/>
      </c>
      <c r="BM166" s="44" t="str">
        <f t="shared" si="163"/>
        <v/>
      </c>
      <c r="BN166" s="48" t="str">
        <f t="shared" si="164"/>
        <v/>
      </c>
      <c r="BP166" s="12" t="str">
        <f t="shared" si="165"/>
        <v/>
      </c>
      <c r="BQ166" s="44" t="str">
        <f t="shared" si="166"/>
        <v/>
      </c>
      <c r="BR166" s="44" t="str">
        <f t="shared" si="167"/>
        <v/>
      </c>
      <c r="BS166" s="44" t="str">
        <f t="shared" si="168"/>
        <v/>
      </c>
      <c r="BT166" s="48" t="str">
        <f t="shared" si="169"/>
        <v/>
      </c>
    </row>
    <row r="167" spans="1:72" x14ac:dyDescent="0.25">
      <c r="A167" s="4">
        <v>145</v>
      </c>
      <c r="B167" s="54" t="str">
        <f>IF('Game Info'!J150="","",'Game Info'!J150)</f>
        <v/>
      </c>
      <c r="C167" s="54" t="str">
        <f>IF('Game Info'!K150="","",'Game Info'!K150)</f>
        <v/>
      </c>
      <c r="D167" s="54" t="str">
        <f>IF('Game Info'!L150="","",'Game Info'!L150)</f>
        <v/>
      </c>
      <c r="E167" s="54" t="str">
        <f>IF('Game Info'!M150="","",'Game Info'!M150)</f>
        <v/>
      </c>
      <c r="F167" s="55" t="str">
        <f>IF('Game Info'!N150="","",'Game Info'!N150)</f>
        <v/>
      </c>
      <c r="H167" s="12" t="str">
        <f t="shared" si="115"/>
        <v/>
      </c>
      <c r="I167" s="44" t="str">
        <f t="shared" si="116"/>
        <v/>
      </c>
      <c r="J167" s="44" t="str">
        <f t="shared" si="117"/>
        <v/>
      </c>
      <c r="K167" s="44" t="str">
        <f t="shared" si="118"/>
        <v/>
      </c>
      <c r="L167" s="48" t="str">
        <f t="shared" si="119"/>
        <v/>
      </c>
      <c r="N167" s="12" t="str">
        <f t="shared" si="120"/>
        <v/>
      </c>
      <c r="O167" s="44" t="str">
        <f t="shared" si="121"/>
        <v/>
      </c>
      <c r="P167" s="44" t="str">
        <f t="shared" si="122"/>
        <v/>
      </c>
      <c r="Q167" s="44" t="str">
        <f t="shared" si="123"/>
        <v/>
      </c>
      <c r="R167" s="48" t="str">
        <f t="shared" si="124"/>
        <v/>
      </c>
      <c r="T167" s="12" t="str">
        <f t="shared" si="125"/>
        <v/>
      </c>
      <c r="U167" s="44" t="str">
        <f t="shared" si="126"/>
        <v/>
      </c>
      <c r="V167" s="44" t="str">
        <f t="shared" si="127"/>
        <v/>
      </c>
      <c r="W167" s="44" t="str">
        <f t="shared" si="128"/>
        <v/>
      </c>
      <c r="X167" s="48" t="str">
        <f t="shared" si="129"/>
        <v/>
      </c>
      <c r="Z167" s="12" t="str">
        <f t="shared" si="130"/>
        <v/>
      </c>
      <c r="AA167" s="44" t="str">
        <f t="shared" si="131"/>
        <v/>
      </c>
      <c r="AB167" s="44" t="str">
        <f t="shared" si="132"/>
        <v/>
      </c>
      <c r="AC167" s="44" t="str">
        <f t="shared" si="133"/>
        <v/>
      </c>
      <c r="AD167" s="48" t="str">
        <f t="shared" si="134"/>
        <v/>
      </c>
      <c r="AF167" s="12" t="str">
        <f t="shared" si="135"/>
        <v/>
      </c>
      <c r="AG167" s="44" t="str">
        <f t="shared" si="136"/>
        <v/>
      </c>
      <c r="AH167" s="44" t="str">
        <f t="shared" si="137"/>
        <v/>
      </c>
      <c r="AI167" s="44" t="str">
        <f t="shared" si="138"/>
        <v/>
      </c>
      <c r="AJ167" s="48" t="str">
        <f t="shared" si="139"/>
        <v/>
      </c>
      <c r="AL167" s="12" t="str">
        <f t="shared" si="140"/>
        <v/>
      </c>
      <c r="AM167" s="44" t="str">
        <f t="shared" si="141"/>
        <v/>
      </c>
      <c r="AN167" s="44" t="str">
        <f t="shared" si="142"/>
        <v/>
      </c>
      <c r="AO167" s="44" t="str">
        <f t="shared" si="143"/>
        <v/>
      </c>
      <c r="AP167" s="48" t="str">
        <f t="shared" si="144"/>
        <v/>
      </c>
      <c r="AR167" s="12" t="str">
        <f t="shared" si="145"/>
        <v/>
      </c>
      <c r="AS167" s="44" t="str">
        <f t="shared" si="146"/>
        <v/>
      </c>
      <c r="AT167" s="44" t="str">
        <f t="shared" si="147"/>
        <v/>
      </c>
      <c r="AU167" s="44" t="str">
        <f t="shared" si="148"/>
        <v/>
      </c>
      <c r="AV167" s="48" t="str">
        <f t="shared" si="149"/>
        <v/>
      </c>
      <c r="AX167" s="12" t="str">
        <f t="shared" si="150"/>
        <v/>
      </c>
      <c r="AY167" s="44" t="str">
        <f t="shared" si="151"/>
        <v/>
      </c>
      <c r="AZ167" s="44" t="str">
        <f t="shared" si="152"/>
        <v/>
      </c>
      <c r="BA167" s="44" t="str">
        <f t="shared" si="153"/>
        <v/>
      </c>
      <c r="BB167" s="48" t="str">
        <f t="shared" si="154"/>
        <v/>
      </c>
      <c r="BD167" s="12" t="str">
        <f t="shared" si="155"/>
        <v/>
      </c>
      <c r="BE167" s="44" t="str">
        <f t="shared" si="156"/>
        <v/>
      </c>
      <c r="BF167" s="44" t="str">
        <f t="shared" si="157"/>
        <v/>
      </c>
      <c r="BG167" s="44" t="str">
        <f t="shared" si="158"/>
        <v/>
      </c>
      <c r="BH167" s="48" t="str">
        <f t="shared" si="159"/>
        <v/>
      </c>
      <c r="BJ167" s="12" t="str">
        <f t="shared" si="160"/>
        <v/>
      </c>
      <c r="BK167" s="44" t="str">
        <f t="shared" si="161"/>
        <v/>
      </c>
      <c r="BL167" s="44" t="str">
        <f t="shared" si="162"/>
        <v/>
      </c>
      <c r="BM167" s="44" t="str">
        <f t="shared" si="163"/>
        <v/>
      </c>
      <c r="BN167" s="48" t="str">
        <f t="shared" si="164"/>
        <v/>
      </c>
      <c r="BP167" s="12" t="str">
        <f t="shared" si="165"/>
        <v/>
      </c>
      <c r="BQ167" s="44" t="str">
        <f t="shared" si="166"/>
        <v/>
      </c>
      <c r="BR167" s="44" t="str">
        <f t="shared" si="167"/>
        <v/>
      </c>
      <c r="BS167" s="44" t="str">
        <f t="shared" si="168"/>
        <v/>
      </c>
      <c r="BT167" s="48" t="str">
        <f t="shared" si="169"/>
        <v/>
      </c>
    </row>
    <row r="168" spans="1:72" x14ac:dyDescent="0.25">
      <c r="A168" s="4">
        <v>146</v>
      </c>
      <c r="B168" s="54" t="str">
        <f>IF('Game Info'!J151="","",'Game Info'!J151)</f>
        <v/>
      </c>
      <c r="C168" s="54" t="str">
        <f>IF('Game Info'!K151="","",'Game Info'!K151)</f>
        <v/>
      </c>
      <c r="D168" s="54" t="str">
        <f>IF('Game Info'!L151="","",'Game Info'!L151)</f>
        <v/>
      </c>
      <c r="E168" s="54" t="str">
        <f>IF('Game Info'!M151="","",'Game Info'!M151)</f>
        <v/>
      </c>
      <c r="F168" s="55" t="str">
        <f>IF('Game Info'!N151="","",'Game Info'!N151)</f>
        <v/>
      </c>
      <c r="H168" s="12" t="str">
        <f t="shared" si="115"/>
        <v/>
      </c>
      <c r="I168" s="44" t="str">
        <f t="shared" si="116"/>
        <v/>
      </c>
      <c r="J168" s="44" t="str">
        <f t="shared" si="117"/>
        <v/>
      </c>
      <c r="K168" s="44" t="str">
        <f t="shared" si="118"/>
        <v/>
      </c>
      <c r="L168" s="48" t="str">
        <f t="shared" si="119"/>
        <v/>
      </c>
      <c r="N168" s="12" t="str">
        <f t="shared" si="120"/>
        <v/>
      </c>
      <c r="O168" s="44" t="str">
        <f t="shared" si="121"/>
        <v/>
      </c>
      <c r="P168" s="44" t="str">
        <f t="shared" si="122"/>
        <v/>
      </c>
      <c r="Q168" s="44" t="str">
        <f t="shared" si="123"/>
        <v/>
      </c>
      <c r="R168" s="48" t="str">
        <f t="shared" si="124"/>
        <v/>
      </c>
      <c r="T168" s="12" t="str">
        <f t="shared" si="125"/>
        <v/>
      </c>
      <c r="U168" s="44" t="str">
        <f t="shared" si="126"/>
        <v/>
      </c>
      <c r="V168" s="44" t="str">
        <f t="shared" si="127"/>
        <v/>
      </c>
      <c r="W168" s="44" t="str">
        <f t="shared" si="128"/>
        <v/>
      </c>
      <c r="X168" s="48" t="str">
        <f t="shared" si="129"/>
        <v/>
      </c>
      <c r="Z168" s="12" t="str">
        <f t="shared" si="130"/>
        <v/>
      </c>
      <c r="AA168" s="44" t="str">
        <f t="shared" si="131"/>
        <v/>
      </c>
      <c r="AB168" s="44" t="str">
        <f t="shared" si="132"/>
        <v/>
      </c>
      <c r="AC168" s="44" t="str">
        <f t="shared" si="133"/>
        <v/>
      </c>
      <c r="AD168" s="48" t="str">
        <f t="shared" si="134"/>
        <v/>
      </c>
      <c r="AF168" s="12" t="str">
        <f t="shared" si="135"/>
        <v/>
      </c>
      <c r="AG168" s="44" t="str">
        <f t="shared" si="136"/>
        <v/>
      </c>
      <c r="AH168" s="44" t="str">
        <f t="shared" si="137"/>
        <v/>
      </c>
      <c r="AI168" s="44" t="str">
        <f t="shared" si="138"/>
        <v/>
      </c>
      <c r="AJ168" s="48" t="str">
        <f t="shared" si="139"/>
        <v/>
      </c>
      <c r="AL168" s="12" t="str">
        <f t="shared" si="140"/>
        <v/>
      </c>
      <c r="AM168" s="44" t="str">
        <f t="shared" si="141"/>
        <v/>
      </c>
      <c r="AN168" s="44" t="str">
        <f t="shared" si="142"/>
        <v/>
      </c>
      <c r="AO168" s="44" t="str">
        <f t="shared" si="143"/>
        <v/>
      </c>
      <c r="AP168" s="48" t="str">
        <f t="shared" si="144"/>
        <v/>
      </c>
      <c r="AR168" s="12" t="str">
        <f t="shared" si="145"/>
        <v/>
      </c>
      <c r="AS168" s="44" t="str">
        <f t="shared" si="146"/>
        <v/>
      </c>
      <c r="AT168" s="44" t="str">
        <f t="shared" si="147"/>
        <v/>
      </c>
      <c r="AU168" s="44" t="str">
        <f t="shared" si="148"/>
        <v/>
      </c>
      <c r="AV168" s="48" t="str">
        <f t="shared" si="149"/>
        <v/>
      </c>
      <c r="AX168" s="12" t="str">
        <f t="shared" si="150"/>
        <v/>
      </c>
      <c r="AY168" s="44" t="str">
        <f t="shared" si="151"/>
        <v/>
      </c>
      <c r="AZ168" s="44" t="str">
        <f t="shared" si="152"/>
        <v/>
      </c>
      <c r="BA168" s="44" t="str">
        <f t="shared" si="153"/>
        <v/>
      </c>
      <c r="BB168" s="48" t="str">
        <f t="shared" si="154"/>
        <v/>
      </c>
      <c r="BD168" s="12" t="str">
        <f t="shared" si="155"/>
        <v/>
      </c>
      <c r="BE168" s="44" t="str">
        <f t="shared" si="156"/>
        <v/>
      </c>
      <c r="BF168" s="44" t="str">
        <f t="shared" si="157"/>
        <v/>
      </c>
      <c r="BG168" s="44" t="str">
        <f t="shared" si="158"/>
        <v/>
      </c>
      <c r="BH168" s="48" t="str">
        <f t="shared" si="159"/>
        <v/>
      </c>
      <c r="BJ168" s="12" t="str">
        <f t="shared" si="160"/>
        <v/>
      </c>
      <c r="BK168" s="44" t="str">
        <f t="shared" si="161"/>
        <v/>
      </c>
      <c r="BL168" s="44" t="str">
        <f t="shared" si="162"/>
        <v/>
      </c>
      <c r="BM168" s="44" t="str">
        <f t="shared" si="163"/>
        <v/>
      </c>
      <c r="BN168" s="48" t="str">
        <f t="shared" si="164"/>
        <v/>
      </c>
      <c r="BP168" s="12" t="str">
        <f t="shared" si="165"/>
        <v/>
      </c>
      <c r="BQ168" s="44" t="str">
        <f t="shared" si="166"/>
        <v/>
      </c>
      <c r="BR168" s="44" t="str">
        <f t="shared" si="167"/>
        <v/>
      </c>
      <c r="BS168" s="44" t="str">
        <f t="shared" si="168"/>
        <v/>
      </c>
      <c r="BT168" s="48" t="str">
        <f t="shared" si="169"/>
        <v/>
      </c>
    </row>
    <row r="169" spans="1:72" x14ac:dyDescent="0.25">
      <c r="A169" s="4">
        <v>147</v>
      </c>
      <c r="B169" s="54" t="str">
        <f>IF('Game Info'!J152="","",'Game Info'!J152)</f>
        <v/>
      </c>
      <c r="C169" s="54" t="str">
        <f>IF('Game Info'!K152="","",'Game Info'!K152)</f>
        <v/>
      </c>
      <c r="D169" s="54" t="str">
        <f>IF('Game Info'!L152="","",'Game Info'!L152)</f>
        <v/>
      </c>
      <c r="E169" s="54" t="str">
        <f>IF('Game Info'!M152="","",'Game Info'!M152)</f>
        <v/>
      </c>
      <c r="F169" s="55" t="str">
        <f>IF('Game Info'!N152="","",'Game Info'!N152)</f>
        <v/>
      </c>
      <c r="H169" s="12" t="str">
        <f t="shared" si="115"/>
        <v/>
      </c>
      <c r="I169" s="44" t="str">
        <f t="shared" si="116"/>
        <v/>
      </c>
      <c r="J169" s="44" t="str">
        <f t="shared" si="117"/>
        <v/>
      </c>
      <c r="K169" s="44" t="str">
        <f t="shared" si="118"/>
        <v/>
      </c>
      <c r="L169" s="48" t="str">
        <f t="shared" si="119"/>
        <v/>
      </c>
      <c r="N169" s="12" t="str">
        <f t="shared" si="120"/>
        <v/>
      </c>
      <c r="O169" s="44" t="str">
        <f t="shared" si="121"/>
        <v/>
      </c>
      <c r="P169" s="44" t="str">
        <f t="shared" si="122"/>
        <v/>
      </c>
      <c r="Q169" s="44" t="str">
        <f t="shared" si="123"/>
        <v/>
      </c>
      <c r="R169" s="48" t="str">
        <f t="shared" si="124"/>
        <v/>
      </c>
      <c r="T169" s="12" t="str">
        <f t="shared" si="125"/>
        <v/>
      </c>
      <c r="U169" s="44" t="str">
        <f t="shared" si="126"/>
        <v/>
      </c>
      <c r="V169" s="44" t="str">
        <f t="shared" si="127"/>
        <v/>
      </c>
      <c r="W169" s="44" t="str">
        <f t="shared" si="128"/>
        <v/>
      </c>
      <c r="X169" s="48" t="str">
        <f t="shared" si="129"/>
        <v/>
      </c>
      <c r="Z169" s="12" t="str">
        <f t="shared" si="130"/>
        <v/>
      </c>
      <c r="AA169" s="44" t="str">
        <f t="shared" si="131"/>
        <v/>
      </c>
      <c r="AB169" s="44" t="str">
        <f t="shared" si="132"/>
        <v/>
      </c>
      <c r="AC169" s="44" t="str">
        <f t="shared" si="133"/>
        <v/>
      </c>
      <c r="AD169" s="48" t="str">
        <f t="shared" si="134"/>
        <v/>
      </c>
      <c r="AF169" s="12" t="str">
        <f t="shared" si="135"/>
        <v/>
      </c>
      <c r="AG169" s="44" t="str">
        <f t="shared" si="136"/>
        <v/>
      </c>
      <c r="AH169" s="44" t="str">
        <f t="shared" si="137"/>
        <v/>
      </c>
      <c r="AI169" s="44" t="str">
        <f t="shared" si="138"/>
        <v/>
      </c>
      <c r="AJ169" s="48" t="str">
        <f t="shared" si="139"/>
        <v/>
      </c>
      <c r="AL169" s="12" t="str">
        <f t="shared" si="140"/>
        <v/>
      </c>
      <c r="AM169" s="44" t="str">
        <f t="shared" si="141"/>
        <v/>
      </c>
      <c r="AN169" s="44" t="str">
        <f t="shared" si="142"/>
        <v/>
      </c>
      <c r="AO169" s="44" t="str">
        <f t="shared" si="143"/>
        <v/>
      </c>
      <c r="AP169" s="48" t="str">
        <f t="shared" si="144"/>
        <v/>
      </c>
      <c r="AR169" s="12" t="str">
        <f t="shared" si="145"/>
        <v/>
      </c>
      <c r="AS169" s="44" t="str">
        <f t="shared" si="146"/>
        <v/>
      </c>
      <c r="AT169" s="44" t="str">
        <f t="shared" si="147"/>
        <v/>
      </c>
      <c r="AU169" s="44" t="str">
        <f t="shared" si="148"/>
        <v/>
      </c>
      <c r="AV169" s="48" t="str">
        <f t="shared" si="149"/>
        <v/>
      </c>
      <c r="AX169" s="12" t="str">
        <f t="shared" si="150"/>
        <v/>
      </c>
      <c r="AY169" s="44" t="str">
        <f t="shared" si="151"/>
        <v/>
      </c>
      <c r="AZ169" s="44" t="str">
        <f t="shared" si="152"/>
        <v/>
      </c>
      <c r="BA169" s="44" t="str">
        <f t="shared" si="153"/>
        <v/>
      </c>
      <c r="BB169" s="48" t="str">
        <f t="shared" si="154"/>
        <v/>
      </c>
      <c r="BD169" s="12" t="str">
        <f t="shared" si="155"/>
        <v/>
      </c>
      <c r="BE169" s="44" t="str">
        <f t="shared" si="156"/>
        <v/>
      </c>
      <c r="BF169" s="44" t="str">
        <f t="shared" si="157"/>
        <v/>
      </c>
      <c r="BG169" s="44" t="str">
        <f t="shared" si="158"/>
        <v/>
      </c>
      <c r="BH169" s="48" t="str">
        <f t="shared" si="159"/>
        <v/>
      </c>
      <c r="BJ169" s="12" t="str">
        <f t="shared" si="160"/>
        <v/>
      </c>
      <c r="BK169" s="44" t="str">
        <f t="shared" si="161"/>
        <v/>
      </c>
      <c r="BL169" s="44" t="str">
        <f t="shared" si="162"/>
        <v/>
      </c>
      <c r="BM169" s="44" t="str">
        <f t="shared" si="163"/>
        <v/>
      </c>
      <c r="BN169" s="48" t="str">
        <f t="shared" si="164"/>
        <v/>
      </c>
      <c r="BP169" s="12" t="str">
        <f t="shared" si="165"/>
        <v/>
      </c>
      <c r="BQ169" s="44" t="str">
        <f t="shared" si="166"/>
        <v/>
      </c>
      <c r="BR169" s="44" t="str">
        <f t="shared" si="167"/>
        <v/>
      </c>
      <c r="BS169" s="44" t="str">
        <f t="shared" si="168"/>
        <v/>
      </c>
      <c r="BT169" s="48" t="str">
        <f t="shared" si="169"/>
        <v/>
      </c>
    </row>
    <row r="170" spans="1:72" x14ac:dyDescent="0.25">
      <c r="A170" s="4">
        <v>148</v>
      </c>
      <c r="B170" s="54" t="str">
        <f>IF('Game Info'!J153="","",'Game Info'!J153)</f>
        <v/>
      </c>
      <c r="C170" s="54" t="str">
        <f>IF('Game Info'!K153="","",'Game Info'!K153)</f>
        <v/>
      </c>
      <c r="D170" s="54" t="str">
        <f>IF('Game Info'!L153="","",'Game Info'!L153)</f>
        <v/>
      </c>
      <c r="E170" s="54" t="str">
        <f>IF('Game Info'!M153="","",'Game Info'!M153)</f>
        <v/>
      </c>
      <c r="F170" s="55" t="str">
        <f>IF('Game Info'!N153="","",'Game Info'!N153)</f>
        <v/>
      </c>
      <c r="H170" s="12" t="str">
        <f t="shared" si="115"/>
        <v/>
      </c>
      <c r="I170" s="44" t="str">
        <f t="shared" si="116"/>
        <v/>
      </c>
      <c r="J170" s="44" t="str">
        <f t="shared" si="117"/>
        <v/>
      </c>
      <c r="K170" s="44" t="str">
        <f t="shared" si="118"/>
        <v/>
      </c>
      <c r="L170" s="48" t="str">
        <f t="shared" si="119"/>
        <v/>
      </c>
      <c r="N170" s="12" t="str">
        <f t="shared" si="120"/>
        <v/>
      </c>
      <c r="O170" s="44" t="str">
        <f t="shared" si="121"/>
        <v/>
      </c>
      <c r="P170" s="44" t="str">
        <f t="shared" si="122"/>
        <v/>
      </c>
      <c r="Q170" s="44" t="str">
        <f t="shared" si="123"/>
        <v/>
      </c>
      <c r="R170" s="48" t="str">
        <f t="shared" si="124"/>
        <v/>
      </c>
      <c r="T170" s="12" t="str">
        <f t="shared" si="125"/>
        <v/>
      </c>
      <c r="U170" s="44" t="str">
        <f t="shared" si="126"/>
        <v/>
      </c>
      <c r="V170" s="44" t="str">
        <f t="shared" si="127"/>
        <v/>
      </c>
      <c r="W170" s="44" t="str">
        <f t="shared" si="128"/>
        <v/>
      </c>
      <c r="X170" s="48" t="str">
        <f t="shared" si="129"/>
        <v/>
      </c>
      <c r="Z170" s="12" t="str">
        <f t="shared" si="130"/>
        <v/>
      </c>
      <c r="AA170" s="44" t="str">
        <f t="shared" si="131"/>
        <v/>
      </c>
      <c r="AB170" s="44" t="str">
        <f t="shared" si="132"/>
        <v/>
      </c>
      <c r="AC170" s="44" t="str">
        <f t="shared" si="133"/>
        <v/>
      </c>
      <c r="AD170" s="48" t="str">
        <f t="shared" si="134"/>
        <v/>
      </c>
      <c r="AF170" s="12" t="str">
        <f t="shared" si="135"/>
        <v/>
      </c>
      <c r="AG170" s="44" t="str">
        <f t="shared" si="136"/>
        <v/>
      </c>
      <c r="AH170" s="44" t="str">
        <f t="shared" si="137"/>
        <v/>
      </c>
      <c r="AI170" s="44" t="str">
        <f t="shared" si="138"/>
        <v/>
      </c>
      <c r="AJ170" s="48" t="str">
        <f t="shared" si="139"/>
        <v/>
      </c>
      <c r="AL170" s="12" t="str">
        <f t="shared" si="140"/>
        <v/>
      </c>
      <c r="AM170" s="44" t="str">
        <f t="shared" si="141"/>
        <v/>
      </c>
      <c r="AN170" s="44" t="str">
        <f t="shared" si="142"/>
        <v/>
      </c>
      <c r="AO170" s="44" t="str">
        <f t="shared" si="143"/>
        <v/>
      </c>
      <c r="AP170" s="48" t="str">
        <f t="shared" si="144"/>
        <v/>
      </c>
      <c r="AR170" s="12" t="str">
        <f t="shared" si="145"/>
        <v/>
      </c>
      <c r="AS170" s="44" t="str">
        <f t="shared" si="146"/>
        <v/>
      </c>
      <c r="AT170" s="44" t="str">
        <f t="shared" si="147"/>
        <v/>
      </c>
      <c r="AU170" s="44" t="str">
        <f t="shared" si="148"/>
        <v/>
      </c>
      <c r="AV170" s="48" t="str">
        <f t="shared" si="149"/>
        <v/>
      </c>
      <c r="AX170" s="12" t="str">
        <f t="shared" si="150"/>
        <v/>
      </c>
      <c r="AY170" s="44" t="str">
        <f t="shared" si="151"/>
        <v/>
      </c>
      <c r="AZ170" s="44" t="str">
        <f t="shared" si="152"/>
        <v/>
      </c>
      <c r="BA170" s="44" t="str">
        <f t="shared" si="153"/>
        <v/>
      </c>
      <c r="BB170" s="48" t="str">
        <f t="shared" si="154"/>
        <v/>
      </c>
      <c r="BD170" s="12" t="str">
        <f t="shared" si="155"/>
        <v/>
      </c>
      <c r="BE170" s="44" t="str">
        <f t="shared" si="156"/>
        <v/>
      </c>
      <c r="BF170" s="44" t="str">
        <f t="shared" si="157"/>
        <v/>
      </c>
      <c r="BG170" s="44" t="str">
        <f t="shared" si="158"/>
        <v/>
      </c>
      <c r="BH170" s="48" t="str">
        <f t="shared" si="159"/>
        <v/>
      </c>
      <c r="BJ170" s="12" t="str">
        <f t="shared" si="160"/>
        <v/>
      </c>
      <c r="BK170" s="44" t="str">
        <f t="shared" si="161"/>
        <v/>
      </c>
      <c r="BL170" s="44" t="str">
        <f t="shared" si="162"/>
        <v/>
      </c>
      <c r="BM170" s="44" t="str">
        <f t="shared" si="163"/>
        <v/>
      </c>
      <c r="BN170" s="48" t="str">
        <f t="shared" si="164"/>
        <v/>
      </c>
      <c r="BP170" s="12" t="str">
        <f t="shared" si="165"/>
        <v/>
      </c>
      <c r="BQ170" s="44" t="str">
        <f t="shared" si="166"/>
        <v/>
      </c>
      <c r="BR170" s="44" t="str">
        <f t="shared" si="167"/>
        <v/>
      </c>
      <c r="BS170" s="44" t="str">
        <f t="shared" si="168"/>
        <v/>
      </c>
      <c r="BT170" s="48" t="str">
        <f t="shared" si="169"/>
        <v/>
      </c>
    </row>
    <row r="171" spans="1:72" x14ac:dyDescent="0.25">
      <c r="A171" s="4">
        <v>149</v>
      </c>
      <c r="B171" s="56" t="str">
        <f>IF('Game Info'!J154="","",'Game Info'!J154)</f>
        <v/>
      </c>
      <c r="C171" s="56" t="str">
        <f>IF('Game Info'!K154="","",'Game Info'!K154)</f>
        <v/>
      </c>
      <c r="D171" s="56" t="str">
        <f>IF('Game Info'!L154="","",'Game Info'!L154)</f>
        <v/>
      </c>
      <c r="E171" s="56" t="str">
        <f>IF('Game Info'!M154="","",'Game Info'!M154)</f>
        <v/>
      </c>
      <c r="F171" s="57" t="str">
        <f>IF('Game Info'!N154="","",'Game Info'!N154)</f>
        <v/>
      </c>
      <c r="H171" s="12" t="str">
        <f t="shared" si="115"/>
        <v/>
      </c>
      <c r="I171" s="44" t="str">
        <f t="shared" si="116"/>
        <v/>
      </c>
      <c r="J171" s="44" t="str">
        <f t="shared" si="117"/>
        <v/>
      </c>
      <c r="K171" s="44" t="str">
        <f t="shared" si="118"/>
        <v/>
      </c>
      <c r="L171" s="48" t="str">
        <f t="shared" si="119"/>
        <v/>
      </c>
      <c r="N171" s="12" t="str">
        <f t="shared" si="120"/>
        <v/>
      </c>
      <c r="O171" s="44" t="str">
        <f t="shared" si="121"/>
        <v/>
      </c>
      <c r="P171" s="44" t="str">
        <f t="shared" si="122"/>
        <v/>
      </c>
      <c r="Q171" s="44" t="str">
        <f t="shared" si="123"/>
        <v/>
      </c>
      <c r="R171" s="48" t="str">
        <f t="shared" si="124"/>
        <v/>
      </c>
      <c r="T171" s="12" t="str">
        <f t="shared" si="125"/>
        <v/>
      </c>
      <c r="U171" s="44" t="str">
        <f t="shared" si="126"/>
        <v/>
      </c>
      <c r="V171" s="44" t="str">
        <f t="shared" si="127"/>
        <v/>
      </c>
      <c r="W171" s="44" t="str">
        <f t="shared" si="128"/>
        <v/>
      </c>
      <c r="X171" s="48" t="str">
        <f t="shared" si="129"/>
        <v/>
      </c>
      <c r="Z171" s="12" t="str">
        <f t="shared" si="130"/>
        <v/>
      </c>
      <c r="AA171" s="44" t="str">
        <f t="shared" si="131"/>
        <v/>
      </c>
      <c r="AB171" s="44" t="str">
        <f t="shared" si="132"/>
        <v/>
      </c>
      <c r="AC171" s="44" t="str">
        <f t="shared" si="133"/>
        <v/>
      </c>
      <c r="AD171" s="48" t="str">
        <f t="shared" si="134"/>
        <v/>
      </c>
      <c r="AF171" s="12" t="str">
        <f t="shared" si="135"/>
        <v/>
      </c>
      <c r="AG171" s="44" t="str">
        <f t="shared" si="136"/>
        <v/>
      </c>
      <c r="AH171" s="44" t="str">
        <f t="shared" si="137"/>
        <v/>
      </c>
      <c r="AI171" s="44" t="str">
        <f t="shared" si="138"/>
        <v/>
      </c>
      <c r="AJ171" s="48" t="str">
        <f t="shared" si="139"/>
        <v/>
      </c>
      <c r="AL171" s="12" t="str">
        <f t="shared" si="140"/>
        <v/>
      </c>
      <c r="AM171" s="44" t="str">
        <f t="shared" si="141"/>
        <v/>
      </c>
      <c r="AN171" s="44" t="str">
        <f t="shared" si="142"/>
        <v/>
      </c>
      <c r="AO171" s="44" t="str">
        <f t="shared" si="143"/>
        <v/>
      </c>
      <c r="AP171" s="48" t="str">
        <f t="shared" si="144"/>
        <v/>
      </c>
      <c r="AR171" s="12" t="str">
        <f t="shared" si="145"/>
        <v/>
      </c>
      <c r="AS171" s="44" t="str">
        <f t="shared" si="146"/>
        <v/>
      </c>
      <c r="AT171" s="44" t="str">
        <f t="shared" si="147"/>
        <v/>
      </c>
      <c r="AU171" s="44" t="str">
        <f t="shared" si="148"/>
        <v/>
      </c>
      <c r="AV171" s="48" t="str">
        <f t="shared" si="149"/>
        <v/>
      </c>
      <c r="AX171" s="12" t="str">
        <f t="shared" si="150"/>
        <v/>
      </c>
      <c r="AY171" s="44" t="str">
        <f t="shared" si="151"/>
        <v/>
      </c>
      <c r="AZ171" s="44" t="str">
        <f t="shared" si="152"/>
        <v/>
      </c>
      <c r="BA171" s="44" t="str">
        <f t="shared" si="153"/>
        <v/>
      </c>
      <c r="BB171" s="48" t="str">
        <f t="shared" si="154"/>
        <v/>
      </c>
      <c r="BD171" s="12" t="str">
        <f t="shared" si="155"/>
        <v/>
      </c>
      <c r="BE171" s="44" t="str">
        <f t="shared" si="156"/>
        <v/>
      </c>
      <c r="BF171" s="44" t="str">
        <f t="shared" si="157"/>
        <v/>
      </c>
      <c r="BG171" s="44" t="str">
        <f t="shared" si="158"/>
        <v/>
      </c>
      <c r="BH171" s="48" t="str">
        <f t="shared" si="159"/>
        <v/>
      </c>
      <c r="BJ171" s="12" t="str">
        <f t="shared" si="160"/>
        <v/>
      </c>
      <c r="BK171" s="44" t="str">
        <f t="shared" si="161"/>
        <v/>
      </c>
      <c r="BL171" s="44" t="str">
        <f t="shared" si="162"/>
        <v/>
      </c>
      <c r="BM171" s="44" t="str">
        <f t="shared" si="163"/>
        <v/>
      </c>
      <c r="BN171" s="48" t="str">
        <f t="shared" si="164"/>
        <v/>
      </c>
      <c r="BP171" s="12" t="str">
        <f t="shared" si="165"/>
        <v/>
      </c>
      <c r="BQ171" s="44" t="str">
        <f t="shared" si="166"/>
        <v/>
      </c>
      <c r="BR171" s="44" t="str">
        <f t="shared" si="167"/>
        <v/>
      </c>
      <c r="BS171" s="44" t="str">
        <f t="shared" si="168"/>
        <v/>
      </c>
      <c r="BT171" s="48" t="str">
        <f t="shared" si="169"/>
        <v/>
      </c>
    </row>
    <row r="172" spans="1:72" x14ac:dyDescent="0.25">
      <c r="A172" s="5">
        <v>150</v>
      </c>
      <c r="B172" s="58" t="str">
        <f>IF('Game Info'!J155="","",'Game Info'!J155)</f>
        <v/>
      </c>
      <c r="C172" s="58" t="str">
        <f>IF('Game Info'!K155="","",'Game Info'!K155)</f>
        <v/>
      </c>
      <c r="D172" s="58" t="str">
        <f>IF('Game Info'!L155="","",'Game Info'!L155)</f>
        <v/>
      </c>
      <c r="E172" s="58" t="str">
        <f>IF('Game Info'!M155="","",'Game Info'!M155)</f>
        <v/>
      </c>
      <c r="F172" s="76" t="str">
        <f>IF('Game Info'!N155="","",'Game Info'!N155)</f>
        <v/>
      </c>
      <c r="H172" s="13" t="str">
        <f t="shared" si="115"/>
        <v/>
      </c>
      <c r="I172" s="49" t="str">
        <f t="shared" si="116"/>
        <v/>
      </c>
      <c r="J172" s="49" t="str">
        <f t="shared" si="117"/>
        <v/>
      </c>
      <c r="K172" s="49" t="str">
        <f t="shared" si="118"/>
        <v/>
      </c>
      <c r="L172" s="70" t="str">
        <f t="shared" si="119"/>
        <v/>
      </c>
      <c r="N172" s="13" t="str">
        <f t="shared" si="120"/>
        <v/>
      </c>
      <c r="O172" s="49" t="str">
        <f t="shared" si="121"/>
        <v/>
      </c>
      <c r="P172" s="49" t="str">
        <f t="shared" si="122"/>
        <v/>
      </c>
      <c r="Q172" s="49" t="str">
        <f t="shared" si="123"/>
        <v/>
      </c>
      <c r="R172" s="70" t="str">
        <f t="shared" si="124"/>
        <v/>
      </c>
      <c r="T172" s="13" t="str">
        <f t="shared" si="125"/>
        <v/>
      </c>
      <c r="U172" s="49" t="str">
        <f t="shared" si="126"/>
        <v/>
      </c>
      <c r="V172" s="49" t="str">
        <f t="shared" si="127"/>
        <v/>
      </c>
      <c r="W172" s="49" t="str">
        <f t="shared" si="128"/>
        <v/>
      </c>
      <c r="X172" s="70" t="str">
        <f t="shared" si="129"/>
        <v/>
      </c>
      <c r="Z172" s="13" t="str">
        <f t="shared" si="130"/>
        <v/>
      </c>
      <c r="AA172" s="49" t="str">
        <f t="shared" si="131"/>
        <v/>
      </c>
      <c r="AB172" s="49" t="str">
        <f t="shared" si="132"/>
        <v/>
      </c>
      <c r="AC172" s="49" t="str">
        <f t="shared" si="133"/>
        <v/>
      </c>
      <c r="AD172" s="70" t="str">
        <f t="shared" si="134"/>
        <v/>
      </c>
      <c r="AF172" s="13" t="str">
        <f t="shared" si="135"/>
        <v/>
      </c>
      <c r="AG172" s="49" t="str">
        <f t="shared" si="136"/>
        <v/>
      </c>
      <c r="AH172" s="49" t="str">
        <f t="shared" si="137"/>
        <v/>
      </c>
      <c r="AI172" s="49" t="str">
        <f t="shared" si="138"/>
        <v/>
      </c>
      <c r="AJ172" s="70" t="str">
        <f t="shared" si="139"/>
        <v/>
      </c>
      <c r="AL172" s="13" t="str">
        <f t="shared" si="140"/>
        <v/>
      </c>
      <c r="AM172" s="49" t="str">
        <f t="shared" si="141"/>
        <v/>
      </c>
      <c r="AN172" s="49" t="str">
        <f t="shared" si="142"/>
        <v/>
      </c>
      <c r="AO172" s="49" t="str">
        <f t="shared" si="143"/>
        <v/>
      </c>
      <c r="AP172" s="70" t="str">
        <f t="shared" si="144"/>
        <v/>
      </c>
      <c r="AR172" s="13" t="str">
        <f t="shared" si="145"/>
        <v/>
      </c>
      <c r="AS172" s="49" t="str">
        <f t="shared" si="146"/>
        <v/>
      </c>
      <c r="AT172" s="49" t="str">
        <f t="shared" si="147"/>
        <v/>
      </c>
      <c r="AU172" s="49" t="str">
        <f t="shared" si="148"/>
        <v/>
      </c>
      <c r="AV172" s="70" t="str">
        <f t="shared" si="149"/>
        <v/>
      </c>
      <c r="AX172" s="13" t="str">
        <f t="shared" si="150"/>
        <v/>
      </c>
      <c r="AY172" s="49" t="str">
        <f t="shared" si="151"/>
        <v/>
      </c>
      <c r="AZ172" s="49" t="str">
        <f t="shared" si="152"/>
        <v/>
      </c>
      <c r="BA172" s="49" t="str">
        <f t="shared" si="153"/>
        <v/>
      </c>
      <c r="BB172" s="70" t="str">
        <f t="shared" si="154"/>
        <v/>
      </c>
      <c r="BD172" s="13" t="str">
        <f t="shared" si="155"/>
        <v/>
      </c>
      <c r="BE172" s="49" t="str">
        <f t="shared" si="156"/>
        <v/>
      </c>
      <c r="BF172" s="49" t="str">
        <f t="shared" si="157"/>
        <v/>
      </c>
      <c r="BG172" s="49" t="str">
        <f t="shared" si="158"/>
        <v/>
      </c>
      <c r="BH172" s="70" t="str">
        <f t="shared" si="159"/>
        <v/>
      </c>
      <c r="BJ172" s="13" t="str">
        <f t="shared" si="160"/>
        <v/>
      </c>
      <c r="BK172" s="49" t="str">
        <f t="shared" si="161"/>
        <v/>
      </c>
      <c r="BL172" s="49" t="str">
        <f t="shared" si="162"/>
        <v/>
      </c>
      <c r="BM172" s="49" t="str">
        <f t="shared" si="163"/>
        <v/>
      </c>
      <c r="BN172" s="70" t="str">
        <f t="shared" si="164"/>
        <v/>
      </c>
      <c r="BP172" s="13" t="str">
        <f t="shared" si="165"/>
        <v/>
      </c>
      <c r="BQ172" s="49" t="str">
        <f t="shared" si="166"/>
        <v/>
      </c>
      <c r="BR172" s="49" t="str">
        <f t="shared" si="167"/>
        <v/>
      </c>
      <c r="BS172" s="49" t="str">
        <f t="shared" si="168"/>
        <v/>
      </c>
      <c r="BT172" s="70" t="str">
        <f t="shared" si="169"/>
        <v/>
      </c>
    </row>
  </sheetData>
  <phoneticPr fontId="6" type="noConversion"/>
  <conditionalFormatting sqref="H21 B16:F19 B21:F22">
    <cfRule type="containsText" dxfId="25" priority="14" operator="containsText" text="MYST">
      <formula>NOT(ISERROR(SEARCH("MYST",B16)))</formula>
    </cfRule>
  </conditionalFormatting>
  <conditionalFormatting sqref="A23:A172 H21 A18:F19 A21:F22 A20">
    <cfRule type="containsText" dxfId="24" priority="13" operator="containsText" text="SCAT">
      <formula>NOT(ISERROR(SEARCH("SCAT",A18)))</formula>
    </cfRule>
  </conditionalFormatting>
  <conditionalFormatting sqref="B2:F2">
    <cfRule type="containsText" dxfId="23" priority="12" operator="containsText" text="MYST">
      <formula>NOT(ISERROR(SEARCH("MYST",B2)))</formula>
    </cfRule>
  </conditionalFormatting>
  <conditionalFormatting sqref="B2:F2">
    <cfRule type="containsText" dxfId="22" priority="11" operator="containsText" text="SCAT">
      <formula>NOT(ISERROR(SEARCH("SCAT",B2)))</formula>
    </cfRule>
  </conditionalFormatting>
  <conditionalFormatting sqref="N21">
    <cfRule type="containsText" dxfId="21" priority="10" operator="containsText" text="MYST">
      <formula>NOT(ISERROR(SEARCH("MYST",N21)))</formula>
    </cfRule>
  </conditionalFormatting>
  <conditionalFormatting sqref="N21">
    <cfRule type="containsText" dxfId="20" priority="9" operator="containsText" text="SCAT">
      <formula>NOT(ISERROR(SEARCH("SCAT",N21)))</formula>
    </cfRule>
  </conditionalFormatting>
  <conditionalFormatting sqref="T21 Z21 AF21 AL21 AR21 AX21 BD21">
    <cfRule type="containsText" dxfId="19" priority="8" operator="containsText" text="MYST">
      <formula>NOT(ISERROR(SEARCH("MYST",T21)))</formula>
    </cfRule>
  </conditionalFormatting>
  <conditionalFormatting sqref="T21 Z21 AF21 AL21 AR21 AX21 BD21">
    <cfRule type="containsText" dxfId="18" priority="7" operator="containsText" text="SCAT">
      <formula>NOT(ISERROR(SEARCH("SCAT",T21)))</formula>
    </cfRule>
  </conditionalFormatting>
  <conditionalFormatting sqref="BJ21">
    <cfRule type="containsText" dxfId="17" priority="6" operator="containsText" text="MYST">
      <formula>NOT(ISERROR(SEARCH("MYST",BJ21)))</formula>
    </cfRule>
  </conditionalFormatting>
  <conditionalFormatting sqref="BJ21">
    <cfRule type="containsText" dxfId="16" priority="5" operator="containsText" text="SCAT">
      <formula>NOT(ISERROR(SEARCH("SCAT",BJ21)))</formula>
    </cfRule>
  </conditionalFormatting>
  <conditionalFormatting sqref="BP21">
    <cfRule type="containsText" dxfId="15" priority="4" operator="containsText" text="MYST">
      <formula>NOT(ISERROR(SEARCH("MYST",BP21)))</formula>
    </cfRule>
  </conditionalFormatting>
  <conditionalFormatting sqref="BP21">
    <cfRule type="containsText" dxfId="14" priority="3" operator="containsText" text="SCAT">
      <formula>NOT(ISERROR(SEARCH("SCAT",BP21)))</formula>
    </cfRule>
  </conditionalFormatting>
  <conditionalFormatting sqref="B20:F20">
    <cfRule type="containsText" dxfId="13" priority="2" operator="containsText" text="MYST">
      <formula>NOT(ISERROR(SEARCH("MYST",B20)))</formula>
    </cfRule>
  </conditionalFormatting>
  <conditionalFormatting sqref="B20:F20">
    <cfRule type="containsText" dxfId="12" priority="1" operator="containsText" text="SCAT">
      <formula>NOT(ISERROR(SEARCH("SCAT",B20)))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DAB99-BA9D-433A-B113-579C27244294}">
  <dimension ref="A2:BT172"/>
  <sheetViews>
    <sheetView zoomScale="85" zoomScaleNormal="85" workbookViewId="0">
      <selection activeCell="A19" sqref="A19"/>
    </sheetView>
  </sheetViews>
  <sheetFormatPr defaultColWidth="8.85546875" defaultRowHeight="15" x14ac:dyDescent="0.25"/>
  <cols>
    <col min="1" max="6" width="8.85546875" style="50"/>
  </cols>
  <sheetData>
    <row r="2" spans="1:13" x14ac:dyDescent="0.25">
      <c r="A2" s="19" t="s">
        <v>11</v>
      </c>
      <c r="B2" s="33" t="s">
        <v>1</v>
      </c>
      <c r="C2" s="33" t="s">
        <v>2</v>
      </c>
      <c r="D2" s="33" t="s">
        <v>3</v>
      </c>
      <c r="E2" s="33" t="s">
        <v>4</v>
      </c>
      <c r="F2" s="34" t="s">
        <v>5</v>
      </c>
    </row>
    <row r="3" spans="1:13" x14ac:dyDescent="0.25">
      <c r="A3" s="20" t="s">
        <v>39</v>
      </c>
      <c r="B3" s="39">
        <f t="shared" ref="B3:F15" si="0">COUNTIF(B$23:B$172,$A3)</f>
        <v>0</v>
      </c>
      <c r="C3" s="39">
        <f t="shared" si="0"/>
        <v>3</v>
      </c>
      <c r="D3" s="39">
        <f t="shared" si="0"/>
        <v>3</v>
      </c>
      <c r="E3" s="39">
        <f t="shared" si="0"/>
        <v>2</v>
      </c>
      <c r="F3" s="61">
        <f t="shared" si="0"/>
        <v>0</v>
      </c>
      <c r="H3" s="71" t="s">
        <v>26</v>
      </c>
    </row>
    <row r="4" spans="1:13" x14ac:dyDescent="0.25">
      <c r="A4" s="20" t="s">
        <v>33</v>
      </c>
      <c r="B4" s="39">
        <f t="shared" si="0"/>
        <v>8</v>
      </c>
      <c r="C4" s="39">
        <f t="shared" si="0"/>
        <v>5</v>
      </c>
      <c r="D4" s="39">
        <f t="shared" si="0"/>
        <v>12</v>
      </c>
      <c r="E4" s="39">
        <f t="shared" si="0"/>
        <v>8</v>
      </c>
      <c r="F4" s="61">
        <f t="shared" si="0"/>
        <v>17</v>
      </c>
      <c r="H4" s="22" t="s">
        <v>33</v>
      </c>
      <c r="I4" s="11">
        <f>COUNTIF(H23:H172,"&gt;0")</f>
        <v>0</v>
      </c>
      <c r="J4" s="47">
        <f>COUNTIF(I23:I172,"&gt;0")</f>
        <v>0</v>
      </c>
      <c r="K4" s="47">
        <f>COUNTIF(J23:J172,"&gt;0")</f>
        <v>0</v>
      </c>
      <c r="L4" s="47">
        <f>COUNTIF(K23:K172,"&gt;0")</f>
        <v>0</v>
      </c>
      <c r="M4" s="69">
        <f>COUNTIF(L23:L172,"&gt;0")</f>
        <v>0</v>
      </c>
    </row>
    <row r="5" spans="1:13" x14ac:dyDescent="0.25">
      <c r="A5" s="20" t="s">
        <v>34</v>
      </c>
      <c r="B5" s="39">
        <f t="shared" si="0"/>
        <v>12</v>
      </c>
      <c r="C5" s="39">
        <f t="shared" si="0"/>
        <v>12</v>
      </c>
      <c r="D5" s="39">
        <f t="shared" si="0"/>
        <v>4</v>
      </c>
      <c r="E5" s="39">
        <f t="shared" si="0"/>
        <v>9</v>
      </c>
      <c r="F5" s="61">
        <f t="shared" si="0"/>
        <v>8</v>
      </c>
      <c r="H5" s="20" t="s">
        <v>34</v>
      </c>
      <c r="I5" s="12">
        <f>COUNTIF(N23:N172,"&gt;0")</f>
        <v>0</v>
      </c>
      <c r="J5" s="44">
        <f>COUNTIF(O23:O172,"&gt;0")</f>
        <v>0</v>
      </c>
      <c r="K5" s="44">
        <f>COUNTIF(P23:P172,"&gt;0")</f>
        <v>0</v>
      </c>
      <c r="L5" s="44">
        <f>COUNTIF(Q23:Q172,"&gt;0")</f>
        <v>0</v>
      </c>
      <c r="M5" s="48">
        <f>COUNTIF(R23:R172,"&gt;0")</f>
        <v>0</v>
      </c>
    </row>
    <row r="6" spans="1:13" x14ac:dyDescent="0.25">
      <c r="A6" s="20" t="s">
        <v>35</v>
      </c>
      <c r="B6" s="39">
        <f t="shared" si="0"/>
        <v>14</v>
      </c>
      <c r="C6" s="39">
        <f t="shared" si="0"/>
        <v>6</v>
      </c>
      <c r="D6" s="39">
        <f t="shared" si="0"/>
        <v>11</v>
      </c>
      <c r="E6" s="39">
        <f t="shared" si="0"/>
        <v>7</v>
      </c>
      <c r="F6" s="61">
        <f t="shared" si="0"/>
        <v>15</v>
      </c>
      <c r="H6" s="20" t="s">
        <v>35</v>
      </c>
      <c r="I6" s="12">
        <f>COUNTIF(T23:T172,"&gt;0")</f>
        <v>0</v>
      </c>
      <c r="J6" s="44">
        <f>COUNTIF(U23:U172,"&gt;0")</f>
        <v>0</v>
      </c>
      <c r="K6" s="44">
        <f>COUNTIF(V23:V172,"&gt;0")</f>
        <v>0</v>
      </c>
      <c r="L6" s="44">
        <f>COUNTIF(W23:W172,"&gt;0")</f>
        <v>0</v>
      </c>
      <c r="M6" s="48">
        <f>COUNTIF(X23:X172,"&gt;0")</f>
        <v>0</v>
      </c>
    </row>
    <row r="7" spans="1:13" x14ac:dyDescent="0.25">
      <c r="A7" s="20" t="s">
        <v>36</v>
      </c>
      <c r="B7" s="39">
        <f t="shared" si="0"/>
        <v>6</v>
      </c>
      <c r="C7" s="39">
        <f t="shared" si="0"/>
        <v>10</v>
      </c>
      <c r="D7" s="39">
        <f t="shared" si="0"/>
        <v>11</v>
      </c>
      <c r="E7" s="39">
        <f t="shared" si="0"/>
        <v>10</v>
      </c>
      <c r="F7" s="61">
        <f t="shared" si="0"/>
        <v>8</v>
      </c>
      <c r="H7" s="20" t="s">
        <v>36</v>
      </c>
      <c r="I7" s="12">
        <f>COUNTIF(Z23:Z172,"&gt;0")</f>
        <v>0</v>
      </c>
      <c r="J7" s="44">
        <f>COUNTIF(AA23:AA172,"&gt;0")</f>
        <v>0</v>
      </c>
      <c r="K7" s="44">
        <f>COUNTIF(AB23:AB172,"&gt;0")</f>
        <v>0</v>
      </c>
      <c r="L7" s="44">
        <f>COUNTIF(AC23:AC172,"&gt;0")</f>
        <v>0</v>
      </c>
      <c r="M7" s="48">
        <f>COUNTIF(AD23:AD172,"&gt;0")</f>
        <v>0</v>
      </c>
    </row>
    <row r="8" spans="1:13" x14ac:dyDescent="0.25">
      <c r="A8" s="20" t="s">
        <v>37</v>
      </c>
      <c r="B8" s="39">
        <f t="shared" si="0"/>
        <v>6</v>
      </c>
      <c r="C8" s="39">
        <f t="shared" si="0"/>
        <v>8</v>
      </c>
      <c r="D8" s="39">
        <f t="shared" si="0"/>
        <v>10</v>
      </c>
      <c r="E8" s="39">
        <f t="shared" si="0"/>
        <v>9</v>
      </c>
      <c r="F8" s="61">
        <f t="shared" si="0"/>
        <v>5</v>
      </c>
      <c r="H8" s="20" t="s">
        <v>37</v>
      </c>
      <c r="I8" s="12">
        <f>COUNTIF(AF23:AF172,"&gt;0")</f>
        <v>0</v>
      </c>
      <c r="J8" s="44">
        <f>COUNTIF(AG23:AG172,"&gt;0")</f>
        <v>0</v>
      </c>
      <c r="K8" s="44">
        <f>COUNTIF(AH23:AH172,"&gt;0")</f>
        <v>0</v>
      </c>
      <c r="L8" s="44">
        <f>COUNTIF(AI23:AI172,"&gt;0")</f>
        <v>0</v>
      </c>
      <c r="M8" s="48">
        <f>COUNTIF(AJ23:AJ172,"&gt;0")</f>
        <v>0</v>
      </c>
    </row>
    <row r="9" spans="1:13" x14ac:dyDescent="0.25">
      <c r="A9" s="20" t="s">
        <v>22</v>
      </c>
      <c r="B9" s="39">
        <f t="shared" si="0"/>
        <v>8</v>
      </c>
      <c r="C9" s="39">
        <f t="shared" si="0"/>
        <v>8</v>
      </c>
      <c r="D9" s="39">
        <f t="shared" si="0"/>
        <v>6</v>
      </c>
      <c r="E9" s="39">
        <f t="shared" si="0"/>
        <v>5</v>
      </c>
      <c r="F9" s="61">
        <f t="shared" si="0"/>
        <v>7</v>
      </c>
      <c r="H9" s="20" t="s">
        <v>22</v>
      </c>
      <c r="I9" s="12">
        <f>COUNTIF(AL23:AL172,"&gt;0")</f>
        <v>0</v>
      </c>
      <c r="J9" s="44">
        <f>COUNTIF(AM23:AM172,"&gt;0")</f>
        <v>0</v>
      </c>
      <c r="K9" s="44">
        <f>COUNTIF(AN23:AN172,"&gt;0")</f>
        <v>0</v>
      </c>
      <c r="L9" s="44">
        <f>COUNTIF(AO23:AO172,"&gt;0")</f>
        <v>0</v>
      </c>
      <c r="M9" s="48">
        <f>COUNTIF(AP23:AP172,"&gt;0")</f>
        <v>0</v>
      </c>
    </row>
    <row r="10" spans="1:13" x14ac:dyDescent="0.25">
      <c r="A10" s="20" t="s">
        <v>6</v>
      </c>
      <c r="B10" s="39">
        <f t="shared" si="0"/>
        <v>7</v>
      </c>
      <c r="C10" s="39">
        <f t="shared" si="0"/>
        <v>13</v>
      </c>
      <c r="D10" s="39">
        <f t="shared" si="0"/>
        <v>9</v>
      </c>
      <c r="E10" s="39">
        <f t="shared" si="0"/>
        <v>6</v>
      </c>
      <c r="F10" s="61">
        <f t="shared" si="0"/>
        <v>15</v>
      </c>
      <c r="H10" s="20" t="s">
        <v>6</v>
      </c>
      <c r="I10" s="12">
        <f>COUNTIF(AR23:AR172,"&gt;0")</f>
        <v>0</v>
      </c>
      <c r="J10" s="44">
        <f>COUNTIF(AS23:AS172,"&gt;0")</f>
        <v>0</v>
      </c>
      <c r="K10" s="44">
        <f>COUNTIF(AT23:AT172,"&gt;0")</f>
        <v>0</v>
      </c>
      <c r="L10" s="44">
        <f>COUNTIF(AU23:AU172,"&gt;0")</f>
        <v>0</v>
      </c>
      <c r="M10" s="48">
        <f>COUNTIF(AV23:AV172,"&gt;0")</f>
        <v>0</v>
      </c>
    </row>
    <row r="11" spans="1:13" x14ac:dyDescent="0.25">
      <c r="A11" s="20" t="s">
        <v>8</v>
      </c>
      <c r="B11" s="39">
        <f t="shared" si="0"/>
        <v>11</v>
      </c>
      <c r="C11" s="39">
        <f t="shared" si="0"/>
        <v>10</v>
      </c>
      <c r="D11" s="39">
        <f t="shared" si="0"/>
        <v>16</v>
      </c>
      <c r="E11" s="39">
        <f t="shared" si="0"/>
        <v>9</v>
      </c>
      <c r="F11" s="61">
        <f t="shared" si="0"/>
        <v>14</v>
      </c>
      <c r="H11" s="20" t="s">
        <v>8</v>
      </c>
      <c r="I11" s="12">
        <f>COUNTIF(AX23:AX172,"&gt;0")</f>
        <v>0</v>
      </c>
      <c r="J11" s="44">
        <f>COUNTIF(AY23:AY172,"&gt;0")</f>
        <v>0</v>
      </c>
      <c r="K11" s="44">
        <f>COUNTIF(AZ23:AZ172,"&gt;0")</f>
        <v>0</v>
      </c>
      <c r="L11" s="44">
        <f>COUNTIF(BA23:BA172,"&gt;0")</f>
        <v>0</v>
      </c>
      <c r="M11" s="48">
        <f>COUNTIF(BB23:BB172,"&gt;0")</f>
        <v>0</v>
      </c>
    </row>
    <row r="12" spans="1:13" x14ac:dyDescent="0.25">
      <c r="A12" s="20" t="s">
        <v>7</v>
      </c>
      <c r="B12" s="39">
        <f t="shared" si="0"/>
        <v>8</v>
      </c>
      <c r="C12" s="39">
        <f t="shared" si="0"/>
        <v>13</v>
      </c>
      <c r="D12" s="39">
        <f t="shared" si="0"/>
        <v>9</v>
      </c>
      <c r="E12" s="39">
        <f t="shared" si="0"/>
        <v>6</v>
      </c>
      <c r="F12" s="61">
        <f t="shared" si="0"/>
        <v>9</v>
      </c>
      <c r="H12" s="20" t="s">
        <v>7</v>
      </c>
      <c r="I12" s="12">
        <f>COUNTIF(BD23:BD172,"&gt;0")</f>
        <v>0</v>
      </c>
      <c r="J12" s="44">
        <f>COUNTIF(BE23:BE172,"&gt;0")</f>
        <v>0</v>
      </c>
      <c r="K12" s="44">
        <f>COUNTIF(BF23:BF172,"&gt;0")</f>
        <v>0</v>
      </c>
      <c r="L12" s="44">
        <f>COUNTIF(BG23:BG172,"&gt;0")</f>
        <v>0</v>
      </c>
      <c r="M12" s="48">
        <f>COUNTIF(BH23:BH172,"&gt;0")</f>
        <v>0</v>
      </c>
    </row>
    <row r="13" spans="1:13" x14ac:dyDescent="0.25">
      <c r="A13" s="20">
        <v>10</v>
      </c>
      <c r="B13" s="39">
        <f t="shared" si="0"/>
        <v>15</v>
      </c>
      <c r="C13" s="39">
        <f t="shared" si="0"/>
        <v>7</v>
      </c>
      <c r="D13" s="39">
        <f t="shared" si="0"/>
        <v>13</v>
      </c>
      <c r="E13" s="39">
        <f t="shared" si="0"/>
        <v>6</v>
      </c>
      <c r="F13" s="61">
        <f t="shared" si="0"/>
        <v>10</v>
      </c>
      <c r="H13" s="20">
        <v>10</v>
      </c>
      <c r="I13" s="12">
        <f>COUNTIF(BJ23:BJ172,"&gt;0")</f>
        <v>0</v>
      </c>
      <c r="J13" s="44">
        <f>COUNTIF(BK23:BK172,"&gt;0")</f>
        <v>0</v>
      </c>
      <c r="K13" s="44">
        <f>COUNTIF(BL23:BL172,"&gt;0")</f>
        <v>0</v>
      </c>
      <c r="L13" s="44">
        <f>COUNTIF(BM23:BM172,"&gt;0")</f>
        <v>0</v>
      </c>
      <c r="M13" s="48">
        <f>COUNTIF(BN23:BN172,"&gt;0")</f>
        <v>0</v>
      </c>
    </row>
    <row r="14" spans="1:13" x14ac:dyDescent="0.25">
      <c r="A14" s="20">
        <v>9</v>
      </c>
      <c r="B14" s="39">
        <f t="shared" si="0"/>
        <v>9</v>
      </c>
      <c r="C14" s="39">
        <f t="shared" si="0"/>
        <v>4</v>
      </c>
      <c r="D14" s="39">
        <f t="shared" si="0"/>
        <v>3</v>
      </c>
      <c r="E14" s="39">
        <f t="shared" si="0"/>
        <v>8</v>
      </c>
      <c r="F14" s="61">
        <f t="shared" si="0"/>
        <v>4</v>
      </c>
      <c r="H14" s="21">
        <v>9</v>
      </c>
      <c r="I14" s="13">
        <f>COUNTIF(BP23:BP172,"&gt;0")</f>
        <v>0</v>
      </c>
      <c r="J14" s="49">
        <f>COUNTIF(BQ23:BQ172,"&gt;0")</f>
        <v>0</v>
      </c>
      <c r="K14" s="49">
        <f>COUNTIF(BR23:BR172,"&gt;0")</f>
        <v>0</v>
      </c>
      <c r="L14" s="49">
        <f>COUNTIF(BS23:BS172,"&gt;0")</f>
        <v>0</v>
      </c>
      <c r="M14" s="70">
        <f>COUNTIF(BT23:BT172,"&gt;0")</f>
        <v>0</v>
      </c>
    </row>
    <row r="15" spans="1:13" x14ac:dyDescent="0.25">
      <c r="A15" s="20" t="s">
        <v>29</v>
      </c>
      <c r="B15" s="39">
        <f t="shared" si="0"/>
        <v>3</v>
      </c>
      <c r="C15" s="39">
        <f t="shared" si="0"/>
        <v>3</v>
      </c>
      <c r="D15" s="39">
        <f t="shared" si="0"/>
        <v>3</v>
      </c>
      <c r="E15" s="39">
        <f t="shared" si="0"/>
        <v>1</v>
      </c>
      <c r="F15" s="61">
        <f t="shared" si="0"/>
        <v>1</v>
      </c>
    </row>
    <row r="16" spans="1:13" x14ac:dyDescent="0.25">
      <c r="A16" s="51" t="s">
        <v>10</v>
      </c>
      <c r="B16" s="6">
        <f>SUM(B3:B15)</f>
        <v>107</v>
      </c>
      <c r="C16" s="6">
        <f t="shared" ref="C16:F16" si="1">SUM(C3:C15)</f>
        <v>102</v>
      </c>
      <c r="D16" s="6">
        <f t="shared" si="1"/>
        <v>110</v>
      </c>
      <c r="E16" s="6">
        <f t="shared" si="1"/>
        <v>86</v>
      </c>
      <c r="F16" s="62">
        <f t="shared" si="1"/>
        <v>113</v>
      </c>
    </row>
    <row r="17" spans="1:72" x14ac:dyDescent="0.25">
      <c r="A17" s="44"/>
    </row>
    <row r="18" spans="1:72" x14ac:dyDescent="0.25">
      <c r="A18" s="35" t="s">
        <v>38</v>
      </c>
    </row>
    <row r="19" spans="1:72" x14ac:dyDescent="0.25">
      <c r="A19" s="32" t="s">
        <v>0</v>
      </c>
      <c r="B19" s="33" t="s">
        <v>1</v>
      </c>
      <c r="C19" s="33" t="s">
        <v>2</v>
      </c>
      <c r="D19" s="33" t="s">
        <v>3</v>
      </c>
      <c r="E19" s="33" t="s">
        <v>4</v>
      </c>
      <c r="F19" s="34" t="s">
        <v>5</v>
      </c>
    </row>
    <row r="20" spans="1:72" x14ac:dyDescent="0.25">
      <c r="A20" s="66">
        <v>-3</v>
      </c>
      <c r="B20" s="117"/>
      <c r="C20" s="117"/>
      <c r="D20" s="117"/>
      <c r="E20" s="117"/>
      <c r="F20" s="118"/>
    </row>
    <row r="21" spans="1:72" s="59" customFormat="1" x14ac:dyDescent="0.25">
      <c r="A21" s="66">
        <v>-2</v>
      </c>
      <c r="B21" s="117"/>
      <c r="C21" s="117"/>
      <c r="D21" s="117"/>
      <c r="E21" s="117"/>
      <c r="F21" s="118"/>
      <c r="H21" s="68" t="str">
        <f>$A$4</f>
        <v>SYM1</v>
      </c>
      <c r="I21"/>
      <c r="N21" s="68" t="str">
        <f>$A$5</f>
        <v>SYM2</v>
      </c>
      <c r="O21"/>
      <c r="T21" s="68" t="str">
        <f>$A$6</f>
        <v>SYM3</v>
      </c>
      <c r="U21"/>
      <c r="Z21" s="68" t="str">
        <f>$A$7</f>
        <v>SYM4</v>
      </c>
      <c r="AA21"/>
      <c r="AF21" s="68" t="str">
        <f>$A$8</f>
        <v>SYM5</v>
      </c>
      <c r="AG21"/>
      <c r="AL21" s="68" t="str">
        <f>$A$9</f>
        <v>A</v>
      </c>
      <c r="AM21"/>
      <c r="AR21" s="68" t="str">
        <f>$A$10</f>
        <v>K</v>
      </c>
      <c r="AS21"/>
      <c r="AX21" s="68" t="str">
        <f>$A$11</f>
        <v>Q</v>
      </c>
      <c r="AY21"/>
      <c r="BD21" s="68" t="str">
        <f>$A$12</f>
        <v>J</v>
      </c>
      <c r="BE21"/>
      <c r="BJ21" s="68">
        <f>$A$13</f>
        <v>10</v>
      </c>
      <c r="BK21"/>
      <c r="BP21" s="68">
        <f>$A$14</f>
        <v>9</v>
      </c>
      <c r="BQ21"/>
    </row>
    <row r="22" spans="1:72" s="59" customFormat="1" x14ac:dyDescent="0.25">
      <c r="A22" s="67">
        <v>-1</v>
      </c>
      <c r="B22" s="119"/>
      <c r="C22" s="119"/>
      <c r="D22" s="119"/>
      <c r="E22" s="119"/>
      <c r="F22" s="120"/>
      <c r="I22"/>
      <c r="O22"/>
      <c r="U22"/>
      <c r="AA22"/>
      <c r="AG22"/>
      <c r="AM22"/>
      <c r="AS22"/>
      <c r="AY22"/>
      <c r="BE22"/>
      <c r="BK22"/>
      <c r="BQ22"/>
    </row>
    <row r="23" spans="1:72" x14ac:dyDescent="0.25">
      <c r="A23" s="4">
        <v>1</v>
      </c>
      <c r="B23" s="54">
        <f>IF('Game Info'!Q6="","",'Game Info'!Q6)</f>
        <v>10</v>
      </c>
      <c r="C23" s="54" t="str">
        <f>IF('Game Info'!R6="","",'Game Info'!R6)</f>
        <v>SYM4</v>
      </c>
      <c r="D23" s="54" t="str">
        <f>IF('Game Info'!S6="","",'Game Info'!S6)</f>
        <v>SYM1</v>
      </c>
      <c r="E23" s="54">
        <f>IF('Game Info'!T6="","",'Game Info'!T6)</f>
        <v>10</v>
      </c>
      <c r="F23" s="55">
        <f>IF('Game Info'!U6="","",'Game Info'!U6)</f>
        <v>10</v>
      </c>
      <c r="H23" s="100"/>
      <c r="I23" s="99"/>
      <c r="J23" s="99"/>
      <c r="K23" s="99"/>
      <c r="L23" s="101"/>
      <c r="N23" s="100"/>
      <c r="O23" s="99"/>
      <c r="P23" s="99"/>
      <c r="Q23" s="99"/>
      <c r="R23" s="101"/>
      <c r="T23" s="100"/>
      <c r="U23" s="99"/>
      <c r="V23" s="99"/>
      <c r="W23" s="99"/>
      <c r="X23" s="101"/>
      <c r="Z23" s="100"/>
      <c r="AA23" s="99"/>
      <c r="AB23" s="99"/>
      <c r="AC23" s="99"/>
      <c r="AD23" s="101"/>
      <c r="AF23" s="100"/>
      <c r="AG23" s="99"/>
      <c r="AH23" s="99"/>
      <c r="AI23" s="99"/>
      <c r="AJ23" s="101"/>
      <c r="AL23" s="100"/>
      <c r="AM23" s="99"/>
      <c r="AN23" s="99"/>
      <c r="AO23" s="99"/>
      <c r="AP23" s="101"/>
      <c r="AR23" s="100"/>
      <c r="AS23" s="99"/>
      <c r="AT23" s="99"/>
      <c r="AU23" s="99"/>
      <c r="AV23" s="101"/>
      <c r="AX23" s="100"/>
      <c r="AY23" s="99"/>
      <c r="AZ23" s="99"/>
      <c r="BA23" s="99"/>
      <c r="BB23" s="101"/>
      <c r="BD23" s="100"/>
      <c r="BE23" s="99"/>
      <c r="BF23" s="99"/>
      <c r="BG23" s="99"/>
      <c r="BH23" s="101"/>
      <c r="BJ23" s="100"/>
      <c r="BK23" s="99"/>
      <c r="BL23" s="99"/>
      <c r="BM23" s="99"/>
      <c r="BN23" s="101"/>
      <c r="BP23" s="100"/>
      <c r="BQ23" s="99"/>
      <c r="BR23" s="99"/>
      <c r="BS23" s="99"/>
      <c r="BT23" s="101"/>
    </row>
    <row r="24" spans="1:72" x14ac:dyDescent="0.25">
      <c r="A24" s="4">
        <v>2</v>
      </c>
      <c r="B24" s="54" t="str">
        <f>IF('Game Info'!Q7="","",'Game Info'!Q7)</f>
        <v>SYM3</v>
      </c>
      <c r="C24" s="54">
        <f>IF('Game Info'!R7="","",'Game Info'!R7)</f>
        <v>9</v>
      </c>
      <c r="D24" s="54" t="str">
        <f>IF('Game Info'!S7="","",'Game Info'!S7)</f>
        <v>K</v>
      </c>
      <c r="E24" s="54" t="str">
        <f>IF('Game Info'!T7="","",'Game Info'!T7)</f>
        <v>SYM3</v>
      </c>
      <c r="F24" s="55" t="str">
        <f>IF('Game Info'!U7="","",'Game Info'!U7)</f>
        <v>SYM5</v>
      </c>
      <c r="H24" s="102"/>
      <c r="I24" s="97"/>
      <c r="J24" s="97"/>
      <c r="K24" s="97"/>
      <c r="L24" s="103"/>
      <c r="N24" s="102"/>
      <c r="O24" s="97"/>
      <c r="P24" s="97"/>
      <c r="Q24" s="97"/>
      <c r="R24" s="103"/>
      <c r="T24" s="102"/>
      <c r="U24" s="97"/>
      <c r="V24" s="97"/>
      <c r="W24" s="97"/>
      <c r="X24" s="103"/>
      <c r="Z24" s="102"/>
      <c r="AA24" s="97"/>
      <c r="AB24" s="97"/>
      <c r="AC24" s="97"/>
      <c r="AD24" s="103"/>
      <c r="AF24" s="102"/>
      <c r="AG24" s="97"/>
      <c r="AH24" s="97"/>
      <c r="AI24" s="97"/>
      <c r="AJ24" s="103"/>
      <c r="AL24" s="102"/>
      <c r="AM24" s="97"/>
      <c r="AN24" s="97"/>
      <c r="AO24" s="97"/>
      <c r="AP24" s="103"/>
      <c r="AR24" s="102"/>
      <c r="AS24" s="97"/>
      <c r="AT24" s="97"/>
      <c r="AU24" s="97"/>
      <c r="AV24" s="103"/>
      <c r="AX24" s="102"/>
      <c r="AY24" s="97"/>
      <c r="AZ24" s="97"/>
      <c r="BA24" s="97"/>
      <c r="BB24" s="103"/>
      <c r="BD24" s="102"/>
      <c r="BE24" s="97"/>
      <c r="BF24" s="97"/>
      <c r="BG24" s="97"/>
      <c r="BH24" s="103"/>
      <c r="BJ24" s="102"/>
      <c r="BK24" s="97"/>
      <c r="BL24" s="97"/>
      <c r="BM24" s="97"/>
      <c r="BN24" s="103"/>
      <c r="BP24" s="102"/>
      <c r="BQ24" s="97"/>
      <c r="BR24" s="97"/>
      <c r="BS24" s="97"/>
      <c r="BT24" s="103"/>
    </row>
    <row r="25" spans="1:72" x14ac:dyDescent="0.25">
      <c r="A25" s="4">
        <v>3</v>
      </c>
      <c r="B25" s="54">
        <f>IF('Game Info'!Q8="","",'Game Info'!Q8)</f>
        <v>9</v>
      </c>
      <c r="C25" s="54" t="str">
        <f>IF('Game Info'!R8="","",'Game Info'!R8)</f>
        <v>SYM2</v>
      </c>
      <c r="D25" s="54">
        <f>IF('Game Info'!S8="","",'Game Info'!S8)</f>
        <v>10</v>
      </c>
      <c r="E25" s="54" t="str">
        <f>IF('Game Info'!T8="","",'Game Info'!T8)</f>
        <v>J</v>
      </c>
      <c r="F25" s="55" t="str">
        <f>IF('Game Info'!U8="","",'Game Info'!U8)</f>
        <v>Q</v>
      </c>
      <c r="H25" s="102"/>
      <c r="I25" s="97"/>
      <c r="J25" s="97"/>
      <c r="K25" s="97"/>
      <c r="L25" s="103"/>
      <c r="N25" s="102"/>
      <c r="O25" s="97"/>
      <c r="P25" s="97"/>
      <c r="Q25" s="97"/>
      <c r="R25" s="103"/>
      <c r="T25" s="102"/>
      <c r="U25" s="97"/>
      <c r="V25" s="97"/>
      <c r="W25" s="97"/>
      <c r="X25" s="103"/>
      <c r="Z25" s="102"/>
      <c r="AA25" s="97"/>
      <c r="AB25" s="97"/>
      <c r="AC25" s="97"/>
      <c r="AD25" s="103"/>
      <c r="AF25" s="102"/>
      <c r="AG25" s="97"/>
      <c r="AH25" s="97"/>
      <c r="AI25" s="97"/>
      <c r="AJ25" s="103"/>
      <c r="AL25" s="102"/>
      <c r="AM25" s="97"/>
      <c r="AN25" s="97"/>
      <c r="AO25" s="97"/>
      <c r="AP25" s="103"/>
      <c r="AR25" s="102"/>
      <c r="AS25" s="97"/>
      <c r="AT25" s="97"/>
      <c r="AU25" s="97"/>
      <c r="AV25" s="103"/>
      <c r="AX25" s="102"/>
      <c r="AY25" s="97"/>
      <c r="AZ25" s="97"/>
      <c r="BA25" s="97"/>
      <c r="BB25" s="103"/>
      <c r="BD25" s="102"/>
      <c r="BE25" s="97"/>
      <c r="BF25" s="97"/>
      <c r="BG25" s="97"/>
      <c r="BH25" s="103"/>
      <c r="BJ25" s="102"/>
      <c r="BK25" s="97"/>
      <c r="BL25" s="97"/>
      <c r="BM25" s="97"/>
      <c r="BN25" s="103"/>
      <c r="BP25" s="102"/>
      <c r="BQ25" s="97"/>
      <c r="BR25" s="97"/>
      <c r="BS25" s="97"/>
      <c r="BT25" s="103"/>
    </row>
    <row r="26" spans="1:72" x14ac:dyDescent="0.25">
      <c r="A26" s="4">
        <v>4</v>
      </c>
      <c r="B26" s="54" t="str">
        <f>IF('Game Info'!Q9="","",'Game Info'!Q9)</f>
        <v>SYM2</v>
      </c>
      <c r="C26" s="54" t="str">
        <f>IF('Game Info'!R9="","",'Game Info'!R9)</f>
        <v>J</v>
      </c>
      <c r="D26" s="54" t="str">
        <f>IF('Game Info'!S9="","",'Game Info'!S9)</f>
        <v>Q</v>
      </c>
      <c r="E26" s="54" t="str">
        <f>IF('Game Info'!T9="","",'Game Info'!T9)</f>
        <v>SYM2</v>
      </c>
      <c r="F26" s="55" t="str">
        <f>IF('Game Info'!U9="","",'Game Info'!U9)</f>
        <v>K</v>
      </c>
      <c r="H26" s="102"/>
      <c r="I26" s="97"/>
      <c r="J26" s="97"/>
      <c r="K26" s="97"/>
      <c r="L26" s="103"/>
      <c r="N26" s="102"/>
      <c r="O26" s="97"/>
      <c r="P26" s="97"/>
      <c r="Q26" s="97"/>
      <c r="R26" s="103"/>
      <c r="T26" s="102"/>
      <c r="U26" s="97"/>
      <c r="V26" s="97"/>
      <c r="W26" s="97"/>
      <c r="X26" s="103"/>
      <c r="Z26" s="102"/>
      <c r="AA26" s="97"/>
      <c r="AB26" s="97"/>
      <c r="AC26" s="97"/>
      <c r="AD26" s="103"/>
      <c r="AF26" s="102"/>
      <c r="AG26" s="97"/>
      <c r="AH26" s="97"/>
      <c r="AI26" s="97"/>
      <c r="AJ26" s="103"/>
      <c r="AL26" s="102"/>
      <c r="AM26" s="97"/>
      <c r="AN26" s="97"/>
      <c r="AO26" s="97"/>
      <c r="AP26" s="103"/>
      <c r="AR26" s="102"/>
      <c r="AS26" s="97"/>
      <c r="AT26" s="97"/>
      <c r="AU26" s="97"/>
      <c r="AV26" s="103"/>
      <c r="AX26" s="102"/>
      <c r="AY26" s="97"/>
      <c r="AZ26" s="97"/>
      <c r="BA26" s="97"/>
      <c r="BB26" s="103"/>
      <c r="BD26" s="102"/>
      <c r="BE26" s="97"/>
      <c r="BF26" s="97"/>
      <c r="BG26" s="97"/>
      <c r="BH26" s="103"/>
      <c r="BJ26" s="102"/>
      <c r="BK26" s="97"/>
      <c r="BL26" s="97"/>
      <c r="BM26" s="97"/>
      <c r="BN26" s="103"/>
      <c r="BP26" s="102"/>
      <c r="BQ26" s="97"/>
      <c r="BR26" s="97"/>
      <c r="BS26" s="97"/>
      <c r="BT26" s="103"/>
    </row>
    <row r="27" spans="1:72" x14ac:dyDescent="0.25">
      <c r="A27" s="4">
        <v>5</v>
      </c>
      <c r="B27" s="54" t="str">
        <f>IF('Game Info'!Q10="","",'Game Info'!Q10)</f>
        <v>Q</v>
      </c>
      <c r="C27" s="54" t="str">
        <f>IF('Game Info'!R10="","",'Game Info'!R10)</f>
        <v>K</v>
      </c>
      <c r="D27" s="54" t="str">
        <f>IF('Game Info'!S10="","",'Game Info'!S10)</f>
        <v>SYM5</v>
      </c>
      <c r="E27" s="54" t="str">
        <f>IF('Game Info'!T10="","",'Game Info'!T10)</f>
        <v>SYM2</v>
      </c>
      <c r="F27" s="55" t="str">
        <f>IF('Game Info'!U10="","",'Game Info'!U10)</f>
        <v>J</v>
      </c>
      <c r="H27" s="102"/>
      <c r="I27" s="97"/>
      <c r="J27" s="97"/>
      <c r="K27" s="97"/>
      <c r="L27" s="103"/>
      <c r="N27" s="102"/>
      <c r="O27" s="97"/>
      <c r="P27" s="97"/>
      <c r="Q27" s="97"/>
      <c r="R27" s="103"/>
      <c r="T27" s="102"/>
      <c r="U27" s="97"/>
      <c r="V27" s="97"/>
      <c r="W27" s="97"/>
      <c r="X27" s="103"/>
      <c r="Z27" s="102"/>
      <c r="AA27" s="97"/>
      <c r="AB27" s="97"/>
      <c r="AC27" s="97"/>
      <c r="AD27" s="103"/>
      <c r="AF27" s="102"/>
      <c r="AG27" s="97"/>
      <c r="AH27" s="97"/>
      <c r="AI27" s="97"/>
      <c r="AJ27" s="103"/>
      <c r="AL27" s="102"/>
      <c r="AM27" s="97"/>
      <c r="AN27" s="97"/>
      <c r="AO27" s="97"/>
      <c r="AP27" s="103"/>
      <c r="AR27" s="102"/>
      <c r="AS27" s="97"/>
      <c r="AT27" s="97"/>
      <c r="AU27" s="97"/>
      <c r="AV27" s="103"/>
      <c r="AX27" s="102"/>
      <c r="AY27" s="97"/>
      <c r="AZ27" s="97"/>
      <c r="BA27" s="97"/>
      <c r="BB27" s="103"/>
      <c r="BD27" s="102"/>
      <c r="BE27" s="97"/>
      <c r="BF27" s="97"/>
      <c r="BG27" s="97"/>
      <c r="BH27" s="103"/>
      <c r="BJ27" s="102"/>
      <c r="BK27" s="97"/>
      <c r="BL27" s="97"/>
      <c r="BM27" s="97"/>
      <c r="BN27" s="103"/>
      <c r="BP27" s="102"/>
      <c r="BQ27" s="97"/>
      <c r="BR27" s="97"/>
      <c r="BS27" s="97"/>
      <c r="BT27" s="103"/>
    </row>
    <row r="28" spans="1:72" x14ac:dyDescent="0.25">
      <c r="A28" s="4">
        <v>6</v>
      </c>
      <c r="B28" s="54">
        <f>IF('Game Info'!Q11="","",'Game Info'!Q11)</f>
        <v>10</v>
      </c>
      <c r="C28" s="54" t="str">
        <f>IF('Game Info'!R11="","",'Game Info'!R11)</f>
        <v>SYM1</v>
      </c>
      <c r="D28" s="54" t="str">
        <f>IF('Game Info'!S11="","",'Game Info'!S11)</f>
        <v>J</v>
      </c>
      <c r="E28" s="54" t="str">
        <f>IF('Game Info'!T11="","",'Game Info'!T11)</f>
        <v>SYM2</v>
      </c>
      <c r="F28" s="55" t="str">
        <f>IF('Game Info'!U11="","",'Game Info'!U11)</f>
        <v>SYM3</v>
      </c>
      <c r="H28" s="102"/>
      <c r="I28" s="97"/>
      <c r="J28" s="97"/>
      <c r="K28" s="97"/>
      <c r="L28" s="103"/>
      <c r="N28" s="102"/>
      <c r="O28" s="97"/>
      <c r="P28" s="97"/>
      <c r="Q28" s="97"/>
      <c r="R28" s="103"/>
      <c r="T28" s="102"/>
      <c r="U28" s="97"/>
      <c r="V28" s="97"/>
      <c r="W28" s="97"/>
      <c r="X28" s="103"/>
      <c r="Z28" s="102"/>
      <c r="AA28" s="97"/>
      <c r="AB28" s="97"/>
      <c r="AC28" s="97"/>
      <c r="AD28" s="103"/>
      <c r="AF28" s="102"/>
      <c r="AG28" s="97"/>
      <c r="AH28" s="97"/>
      <c r="AI28" s="97"/>
      <c r="AJ28" s="103"/>
      <c r="AL28" s="102"/>
      <c r="AM28" s="97"/>
      <c r="AN28" s="97"/>
      <c r="AO28" s="97"/>
      <c r="AP28" s="103"/>
      <c r="AR28" s="102"/>
      <c r="AS28" s="97"/>
      <c r="AT28" s="97"/>
      <c r="AU28" s="97"/>
      <c r="AV28" s="103"/>
      <c r="AX28" s="102"/>
      <c r="AY28" s="97"/>
      <c r="AZ28" s="97"/>
      <c r="BA28" s="97"/>
      <c r="BB28" s="103"/>
      <c r="BD28" s="102"/>
      <c r="BE28" s="97"/>
      <c r="BF28" s="97"/>
      <c r="BG28" s="97"/>
      <c r="BH28" s="103"/>
      <c r="BJ28" s="102"/>
      <c r="BK28" s="97"/>
      <c r="BL28" s="97"/>
      <c r="BM28" s="97"/>
      <c r="BN28" s="103"/>
      <c r="BP28" s="102"/>
      <c r="BQ28" s="97"/>
      <c r="BR28" s="97"/>
      <c r="BS28" s="97"/>
      <c r="BT28" s="103"/>
    </row>
    <row r="29" spans="1:72" x14ac:dyDescent="0.25">
      <c r="A29" s="4">
        <v>7</v>
      </c>
      <c r="B29" s="54" t="str">
        <f>IF('Game Info'!Q12="","",'Game Info'!Q12)</f>
        <v>SYM1</v>
      </c>
      <c r="C29" s="54" t="str">
        <f>IF('Game Info'!R12="","",'Game Info'!R12)</f>
        <v>A</v>
      </c>
      <c r="D29" s="54" t="str">
        <f>IF('Game Info'!S12="","",'Game Info'!S12)</f>
        <v>WILD</v>
      </c>
      <c r="E29" s="54">
        <f>IF('Game Info'!T12="","",'Game Info'!T12)</f>
        <v>9</v>
      </c>
      <c r="F29" s="55">
        <f>IF('Game Info'!U12="","",'Game Info'!U12)</f>
        <v>9</v>
      </c>
      <c r="H29" s="102"/>
      <c r="I29" s="97"/>
      <c r="J29" s="97"/>
      <c r="K29" s="97"/>
      <c r="L29" s="103"/>
      <c r="N29" s="102"/>
      <c r="O29" s="97"/>
      <c r="P29" s="97"/>
      <c r="Q29" s="97"/>
      <c r="R29" s="103"/>
      <c r="T29" s="102"/>
      <c r="U29" s="97"/>
      <c r="V29" s="97"/>
      <c r="W29" s="97"/>
      <c r="X29" s="103"/>
      <c r="Z29" s="102"/>
      <c r="AA29" s="97"/>
      <c r="AB29" s="97"/>
      <c r="AC29" s="97"/>
      <c r="AD29" s="103"/>
      <c r="AF29" s="102"/>
      <c r="AG29" s="97"/>
      <c r="AH29" s="97"/>
      <c r="AI29" s="97"/>
      <c r="AJ29" s="103"/>
      <c r="AL29" s="102"/>
      <c r="AM29" s="97"/>
      <c r="AN29" s="97"/>
      <c r="AO29" s="97"/>
      <c r="AP29" s="103"/>
      <c r="AR29" s="102"/>
      <c r="AS29" s="97"/>
      <c r="AT29" s="97"/>
      <c r="AU29" s="97"/>
      <c r="AV29" s="103"/>
      <c r="AX29" s="102"/>
      <c r="AY29" s="97"/>
      <c r="AZ29" s="97"/>
      <c r="BA29" s="97"/>
      <c r="BB29" s="103"/>
      <c r="BD29" s="102"/>
      <c r="BE29" s="97"/>
      <c r="BF29" s="97"/>
      <c r="BG29" s="97"/>
      <c r="BH29" s="103"/>
      <c r="BJ29" s="102"/>
      <c r="BK29" s="97"/>
      <c r="BL29" s="97"/>
      <c r="BM29" s="97"/>
      <c r="BN29" s="103"/>
      <c r="BP29" s="102"/>
      <c r="BQ29" s="97"/>
      <c r="BR29" s="97"/>
      <c r="BS29" s="97"/>
      <c r="BT29" s="103"/>
    </row>
    <row r="30" spans="1:72" x14ac:dyDescent="0.25">
      <c r="A30" s="4">
        <v>8</v>
      </c>
      <c r="B30" s="54" t="str">
        <f>IF('Game Info'!Q13="","",'Game Info'!Q13)</f>
        <v>SYM5</v>
      </c>
      <c r="C30" s="54" t="str">
        <f>IF('Game Info'!R13="","",'Game Info'!R13)</f>
        <v>SYM3</v>
      </c>
      <c r="D30" s="54" t="str">
        <f>IF('Game Info'!S13="","",'Game Info'!S13)</f>
        <v>Q</v>
      </c>
      <c r="E30" s="54" t="str">
        <f>IF('Game Info'!T13="","",'Game Info'!T13)</f>
        <v>Q</v>
      </c>
      <c r="F30" s="55" t="str">
        <f>IF('Game Info'!U13="","",'Game Info'!U13)</f>
        <v>SYM1</v>
      </c>
      <c r="H30" s="102"/>
      <c r="I30" s="97"/>
      <c r="J30" s="97"/>
      <c r="K30" s="97"/>
      <c r="L30" s="103"/>
      <c r="N30" s="102"/>
      <c r="O30" s="97"/>
      <c r="P30" s="97"/>
      <c r="Q30" s="97"/>
      <c r="R30" s="103"/>
      <c r="T30" s="102"/>
      <c r="U30" s="97"/>
      <c r="V30" s="97"/>
      <c r="W30" s="97"/>
      <c r="X30" s="103"/>
      <c r="Z30" s="102"/>
      <c r="AA30" s="97"/>
      <c r="AB30" s="97"/>
      <c r="AC30" s="97"/>
      <c r="AD30" s="103"/>
      <c r="AF30" s="102"/>
      <c r="AG30" s="97"/>
      <c r="AH30" s="97"/>
      <c r="AI30" s="97"/>
      <c r="AJ30" s="103"/>
      <c r="AL30" s="102"/>
      <c r="AM30" s="97"/>
      <c r="AN30" s="97"/>
      <c r="AO30" s="97"/>
      <c r="AP30" s="103"/>
      <c r="AR30" s="102"/>
      <c r="AS30" s="97"/>
      <c r="AT30" s="97"/>
      <c r="AU30" s="97"/>
      <c r="AV30" s="103"/>
      <c r="AX30" s="102"/>
      <c r="AY30" s="97"/>
      <c r="AZ30" s="97"/>
      <c r="BA30" s="97"/>
      <c r="BB30" s="103"/>
      <c r="BD30" s="102"/>
      <c r="BE30" s="97"/>
      <c r="BF30" s="97"/>
      <c r="BG30" s="97"/>
      <c r="BH30" s="103"/>
      <c r="BJ30" s="102"/>
      <c r="BK30" s="97"/>
      <c r="BL30" s="97"/>
      <c r="BM30" s="97"/>
      <c r="BN30" s="103"/>
      <c r="BP30" s="102"/>
      <c r="BQ30" s="97"/>
      <c r="BR30" s="97"/>
      <c r="BS30" s="97"/>
      <c r="BT30" s="103"/>
    </row>
    <row r="31" spans="1:72" x14ac:dyDescent="0.25">
      <c r="A31" s="4">
        <v>9</v>
      </c>
      <c r="B31" s="54" t="str">
        <f>IF('Game Info'!Q14="","",'Game Info'!Q14)</f>
        <v>FG</v>
      </c>
      <c r="C31" s="54">
        <f>IF('Game Info'!R14="","",'Game Info'!R14)</f>
        <v>10</v>
      </c>
      <c r="D31" s="54" t="str">
        <f>IF('Game Info'!S14="","",'Game Info'!S14)</f>
        <v>SYM5</v>
      </c>
      <c r="E31" s="54" t="str">
        <f>IF('Game Info'!T14="","",'Game Info'!T14)</f>
        <v>SYM5</v>
      </c>
      <c r="F31" s="55" t="str">
        <f>IF('Game Info'!U14="","",'Game Info'!U14)</f>
        <v>Q</v>
      </c>
      <c r="H31" s="102"/>
      <c r="I31" s="97"/>
      <c r="J31" s="97"/>
      <c r="K31" s="97"/>
      <c r="L31" s="103"/>
      <c r="N31" s="102"/>
      <c r="O31" s="97"/>
      <c r="P31" s="97"/>
      <c r="Q31" s="97"/>
      <c r="R31" s="103"/>
      <c r="T31" s="102"/>
      <c r="U31" s="97"/>
      <c r="V31" s="97"/>
      <c r="W31" s="97"/>
      <c r="X31" s="103"/>
      <c r="Z31" s="102"/>
      <c r="AA31" s="97"/>
      <c r="AB31" s="97"/>
      <c r="AC31" s="97"/>
      <c r="AD31" s="103"/>
      <c r="AF31" s="102"/>
      <c r="AG31" s="97"/>
      <c r="AH31" s="97"/>
      <c r="AI31" s="97"/>
      <c r="AJ31" s="103"/>
      <c r="AL31" s="102"/>
      <c r="AM31" s="97"/>
      <c r="AN31" s="97"/>
      <c r="AO31" s="97"/>
      <c r="AP31" s="103"/>
      <c r="AR31" s="102"/>
      <c r="AS31" s="97"/>
      <c r="AT31" s="97"/>
      <c r="AU31" s="97"/>
      <c r="AV31" s="103"/>
      <c r="AX31" s="102"/>
      <c r="AY31" s="97"/>
      <c r="AZ31" s="97"/>
      <c r="BA31" s="97"/>
      <c r="BB31" s="103"/>
      <c r="BD31" s="102"/>
      <c r="BE31" s="97"/>
      <c r="BF31" s="97"/>
      <c r="BG31" s="97"/>
      <c r="BH31" s="103"/>
      <c r="BJ31" s="102"/>
      <c r="BK31" s="97"/>
      <c r="BL31" s="97"/>
      <c r="BM31" s="97"/>
      <c r="BN31" s="103"/>
      <c r="BP31" s="102"/>
      <c r="BQ31" s="97"/>
      <c r="BR31" s="97"/>
      <c r="BS31" s="97"/>
      <c r="BT31" s="103"/>
    </row>
    <row r="32" spans="1:72" x14ac:dyDescent="0.25">
      <c r="A32" s="4">
        <v>10</v>
      </c>
      <c r="B32" s="54" t="str">
        <f>IF('Game Info'!Q15="","",'Game Info'!Q15)</f>
        <v>A</v>
      </c>
      <c r="C32" s="54" t="str">
        <f>IF('Game Info'!R15="","",'Game Info'!R15)</f>
        <v>SYM4</v>
      </c>
      <c r="D32" s="54" t="str">
        <f>IF('Game Info'!S15="","",'Game Info'!S15)</f>
        <v>K</v>
      </c>
      <c r="E32" s="54">
        <f>IF('Game Info'!T15="","",'Game Info'!T15)</f>
        <v>9</v>
      </c>
      <c r="F32" s="55">
        <f>IF('Game Info'!U15="","",'Game Info'!U15)</f>
        <v>9</v>
      </c>
      <c r="H32" s="102"/>
      <c r="I32" s="97"/>
      <c r="J32" s="97"/>
      <c r="K32" s="97"/>
      <c r="L32" s="103"/>
      <c r="N32" s="102"/>
      <c r="O32" s="97"/>
      <c r="P32" s="97"/>
      <c r="Q32" s="97"/>
      <c r="R32" s="103"/>
      <c r="T32" s="102"/>
      <c r="U32" s="97"/>
      <c r="V32" s="97"/>
      <c r="W32" s="97"/>
      <c r="X32" s="103"/>
      <c r="Z32" s="102"/>
      <c r="AA32" s="97"/>
      <c r="AB32" s="97"/>
      <c r="AC32" s="97"/>
      <c r="AD32" s="103"/>
      <c r="AF32" s="102"/>
      <c r="AG32" s="97"/>
      <c r="AH32" s="97"/>
      <c r="AI32" s="97"/>
      <c r="AJ32" s="103"/>
      <c r="AL32" s="102"/>
      <c r="AM32" s="97"/>
      <c r="AN32" s="97"/>
      <c r="AO32" s="97"/>
      <c r="AP32" s="103"/>
      <c r="AR32" s="102"/>
      <c r="AS32" s="97"/>
      <c r="AT32" s="97"/>
      <c r="AU32" s="97"/>
      <c r="AV32" s="103"/>
      <c r="AX32" s="102"/>
      <c r="AY32" s="97"/>
      <c r="AZ32" s="97"/>
      <c r="BA32" s="97"/>
      <c r="BB32" s="103"/>
      <c r="BD32" s="102"/>
      <c r="BE32" s="97"/>
      <c r="BF32" s="97"/>
      <c r="BG32" s="97"/>
      <c r="BH32" s="103"/>
      <c r="BJ32" s="102"/>
      <c r="BK32" s="97"/>
      <c r="BL32" s="97"/>
      <c r="BM32" s="97"/>
      <c r="BN32" s="103"/>
      <c r="BP32" s="102"/>
      <c r="BQ32" s="97"/>
      <c r="BR32" s="97"/>
      <c r="BS32" s="97"/>
      <c r="BT32" s="103"/>
    </row>
    <row r="33" spans="1:72" x14ac:dyDescent="0.25">
      <c r="A33" s="4">
        <v>11</v>
      </c>
      <c r="B33" s="54" t="str">
        <f>IF('Game Info'!Q16="","",'Game Info'!Q16)</f>
        <v>K</v>
      </c>
      <c r="C33" s="54" t="str">
        <f>IF('Game Info'!R16="","",'Game Info'!R16)</f>
        <v>K</v>
      </c>
      <c r="D33" s="54" t="str">
        <f>IF('Game Info'!S16="","",'Game Info'!S16)</f>
        <v>FG</v>
      </c>
      <c r="E33" s="54" t="str">
        <f>IF('Game Info'!T16="","",'Game Info'!T16)</f>
        <v>WILD</v>
      </c>
      <c r="F33" s="55" t="str">
        <f>IF('Game Info'!U16="","",'Game Info'!U16)</f>
        <v>SYM2</v>
      </c>
      <c r="H33" s="102"/>
      <c r="I33" s="97"/>
      <c r="J33" s="97"/>
      <c r="K33" s="97"/>
      <c r="L33" s="103"/>
      <c r="N33" s="102"/>
      <c r="O33" s="97"/>
      <c r="P33" s="97"/>
      <c r="Q33" s="97"/>
      <c r="R33" s="103"/>
      <c r="T33" s="102"/>
      <c r="U33" s="97"/>
      <c r="V33" s="97"/>
      <c r="W33" s="97"/>
      <c r="X33" s="103"/>
      <c r="Z33" s="102"/>
      <c r="AA33" s="97"/>
      <c r="AB33" s="97"/>
      <c r="AC33" s="97"/>
      <c r="AD33" s="103"/>
      <c r="AF33" s="102"/>
      <c r="AG33" s="97"/>
      <c r="AH33" s="97"/>
      <c r="AI33" s="97"/>
      <c r="AJ33" s="103"/>
      <c r="AL33" s="102"/>
      <c r="AM33" s="97"/>
      <c r="AN33" s="97"/>
      <c r="AO33" s="97"/>
      <c r="AP33" s="103"/>
      <c r="AR33" s="102"/>
      <c r="AS33" s="97"/>
      <c r="AT33" s="97"/>
      <c r="AU33" s="97"/>
      <c r="AV33" s="103"/>
      <c r="AX33" s="102"/>
      <c r="AY33" s="97"/>
      <c r="AZ33" s="97"/>
      <c r="BA33" s="97"/>
      <c r="BB33" s="103"/>
      <c r="BD33" s="102"/>
      <c r="BE33" s="97"/>
      <c r="BF33" s="97"/>
      <c r="BG33" s="97"/>
      <c r="BH33" s="103"/>
      <c r="BJ33" s="102"/>
      <c r="BK33" s="97"/>
      <c r="BL33" s="97"/>
      <c r="BM33" s="97"/>
      <c r="BN33" s="103"/>
      <c r="BP33" s="102"/>
      <c r="BQ33" s="97"/>
      <c r="BR33" s="97"/>
      <c r="BS33" s="97"/>
      <c r="BT33" s="103"/>
    </row>
    <row r="34" spans="1:72" x14ac:dyDescent="0.25">
      <c r="A34" s="4">
        <v>12</v>
      </c>
      <c r="B34" s="54" t="str">
        <f>IF('Game Info'!Q17="","",'Game Info'!Q17)</f>
        <v>SYM4</v>
      </c>
      <c r="C34" s="54" t="str">
        <f>IF('Game Info'!R17="","",'Game Info'!R17)</f>
        <v>SYM3</v>
      </c>
      <c r="D34" s="54">
        <f>IF('Game Info'!S17="","",'Game Info'!S17)</f>
        <v>10</v>
      </c>
      <c r="E34" s="54" t="str">
        <f>IF('Game Info'!T17="","",'Game Info'!T17)</f>
        <v>A</v>
      </c>
      <c r="F34" s="55" t="str">
        <f>IF('Game Info'!U17="","",'Game Info'!U17)</f>
        <v>J</v>
      </c>
      <c r="H34" s="102"/>
      <c r="I34" s="97"/>
      <c r="J34" s="97"/>
      <c r="K34" s="97"/>
      <c r="L34" s="103"/>
      <c r="N34" s="102"/>
      <c r="O34" s="97"/>
      <c r="P34" s="97"/>
      <c r="Q34" s="97"/>
      <c r="R34" s="103"/>
      <c r="T34" s="102"/>
      <c r="U34" s="97"/>
      <c r="V34" s="97"/>
      <c r="W34" s="97"/>
      <c r="X34" s="103"/>
      <c r="Z34" s="102"/>
      <c r="AA34" s="97"/>
      <c r="AB34" s="97"/>
      <c r="AC34" s="97"/>
      <c r="AD34" s="103"/>
      <c r="AF34" s="102"/>
      <c r="AG34" s="97"/>
      <c r="AH34" s="97"/>
      <c r="AI34" s="97"/>
      <c r="AJ34" s="103"/>
      <c r="AL34" s="102"/>
      <c r="AM34" s="97"/>
      <c r="AN34" s="97"/>
      <c r="AO34" s="97"/>
      <c r="AP34" s="103"/>
      <c r="AR34" s="102"/>
      <c r="AS34" s="97"/>
      <c r="AT34" s="97"/>
      <c r="AU34" s="97"/>
      <c r="AV34" s="103"/>
      <c r="AX34" s="102"/>
      <c r="AY34" s="97"/>
      <c r="AZ34" s="97"/>
      <c r="BA34" s="97"/>
      <c r="BB34" s="103"/>
      <c r="BD34" s="102"/>
      <c r="BE34" s="97"/>
      <c r="BF34" s="97"/>
      <c r="BG34" s="97"/>
      <c r="BH34" s="103"/>
      <c r="BJ34" s="102"/>
      <c r="BK34" s="97"/>
      <c r="BL34" s="97"/>
      <c r="BM34" s="97"/>
      <c r="BN34" s="103"/>
      <c r="BP34" s="102"/>
      <c r="BQ34" s="97"/>
      <c r="BR34" s="97"/>
      <c r="BS34" s="97"/>
      <c r="BT34" s="103"/>
    </row>
    <row r="35" spans="1:72" x14ac:dyDescent="0.25">
      <c r="A35" s="4">
        <v>13</v>
      </c>
      <c r="B35" s="54">
        <f>IF('Game Info'!Q18="","",'Game Info'!Q18)</f>
        <v>9</v>
      </c>
      <c r="C35" s="54" t="str">
        <f>IF('Game Info'!R18="","",'Game Info'!R18)</f>
        <v>A</v>
      </c>
      <c r="D35" s="54" t="str">
        <f>IF('Game Info'!S18="","",'Game Info'!S18)</f>
        <v>Q</v>
      </c>
      <c r="E35" s="54" t="str">
        <f>IF('Game Info'!T18="","",'Game Info'!T18)</f>
        <v>SYM2</v>
      </c>
      <c r="F35" s="55" t="str">
        <f>IF('Game Info'!U18="","",'Game Info'!U18)</f>
        <v>SYM3</v>
      </c>
      <c r="H35" s="102"/>
      <c r="I35" s="97"/>
      <c r="J35" s="97"/>
      <c r="K35" s="97"/>
      <c r="L35" s="103"/>
      <c r="N35" s="102"/>
      <c r="O35" s="97"/>
      <c r="P35" s="97"/>
      <c r="Q35" s="97"/>
      <c r="R35" s="103"/>
      <c r="T35" s="102"/>
      <c r="U35" s="97"/>
      <c r="V35" s="97"/>
      <c r="W35" s="97"/>
      <c r="X35" s="103"/>
      <c r="Z35" s="102"/>
      <c r="AA35" s="97"/>
      <c r="AB35" s="97"/>
      <c r="AC35" s="97"/>
      <c r="AD35" s="103"/>
      <c r="AF35" s="102"/>
      <c r="AG35" s="97"/>
      <c r="AH35" s="97"/>
      <c r="AI35" s="97"/>
      <c r="AJ35" s="103"/>
      <c r="AL35" s="102"/>
      <c r="AM35" s="97"/>
      <c r="AN35" s="97"/>
      <c r="AO35" s="97"/>
      <c r="AP35" s="103"/>
      <c r="AR35" s="102"/>
      <c r="AS35" s="97"/>
      <c r="AT35" s="97"/>
      <c r="AU35" s="97"/>
      <c r="AV35" s="103"/>
      <c r="AX35" s="102"/>
      <c r="AY35" s="97"/>
      <c r="AZ35" s="97"/>
      <c r="BA35" s="97"/>
      <c r="BB35" s="103"/>
      <c r="BD35" s="102"/>
      <c r="BE35" s="97"/>
      <c r="BF35" s="97"/>
      <c r="BG35" s="97"/>
      <c r="BH35" s="103"/>
      <c r="BJ35" s="102"/>
      <c r="BK35" s="97"/>
      <c r="BL35" s="97"/>
      <c r="BM35" s="97"/>
      <c r="BN35" s="103"/>
      <c r="BP35" s="102"/>
      <c r="BQ35" s="97"/>
      <c r="BR35" s="97"/>
      <c r="BS35" s="97"/>
      <c r="BT35" s="103"/>
    </row>
    <row r="36" spans="1:72" x14ac:dyDescent="0.25">
      <c r="A36" s="4">
        <v>14</v>
      </c>
      <c r="B36" s="54" t="str">
        <f>IF('Game Info'!Q19="","",'Game Info'!Q19)</f>
        <v>J</v>
      </c>
      <c r="C36" s="54" t="str">
        <f>IF('Game Info'!R19="","",'Game Info'!R19)</f>
        <v>WILD</v>
      </c>
      <c r="D36" s="54" t="str">
        <f>IF('Game Info'!S19="","",'Game Info'!S19)</f>
        <v>SYM3</v>
      </c>
      <c r="E36" s="54" t="str">
        <f>IF('Game Info'!T19="","",'Game Info'!T19)</f>
        <v>K</v>
      </c>
      <c r="F36" s="55" t="str">
        <f>IF('Game Info'!U19="","",'Game Info'!U19)</f>
        <v>Q</v>
      </c>
      <c r="H36" s="102"/>
      <c r="I36" s="97"/>
      <c r="J36" s="97"/>
      <c r="K36" s="97"/>
      <c r="L36" s="103"/>
      <c r="N36" s="102"/>
      <c r="O36" s="97"/>
      <c r="P36" s="97"/>
      <c r="Q36" s="97"/>
      <c r="R36" s="103"/>
      <c r="T36" s="102"/>
      <c r="U36" s="97"/>
      <c r="V36" s="97"/>
      <c r="W36" s="97"/>
      <c r="X36" s="103"/>
      <c r="Z36" s="102"/>
      <c r="AA36" s="97"/>
      <c r="AB36" s="97"/>
      <c r="AC36" s="97"/>
      <c r="AD36" s="103"/>
      <c r="AF36" s="102"/>
      <c r="AG36" s="97"/>
      <c r="AH36" s="97"/>
      <c r="AI36" s="97"/>
      <c r="AJ36" s="103"/>
      <c r="AL36" s="102"/>
      <c r="AM36" s="97"/>
      <c r="AN36" s="97"/>
      <c r="AO36" s="97"/>
      <c r="AP36" s="103"/>
      <c r="AR36" s="102"/>
      <c r="AS36" s="97"/>
      <c r="AT36" s="97"/>
      <c r="AU36" s="97"/>
      <c r="AV36" s="103"/>
      <c r="AX36" s="102"/>
      <c r="AY36" s="97"/>
      <c r="AZ36" s="97"/>
      <c r="BA36" s="97"/>
      <c r="BB36" s="103"/>
      <c r="BD36" s="102"/>
      <c r="BE36" s="97"/>
      <c r="BF36" s="97"/>
      <c r="BG36" s="97"/>
      <c r="BH36" s="103"/>
      <c r="BJ36" s="102"/>
      <c r="BK36" s="97"/>
      <c r="BL36" s="97"/>
      <c r="BM36" s="97"/>
      <c r="BN36" s="103"/>
      <c r="BP36" s="102"/>
      <c r="BQ36" s="97"/>
      <c r="BR36" s="97"/>
      <c r="BS36" s="97"/>
      <c r="BT36" s="103"/>
    </row>
    <row r="37" spans="1:72" x14ac:dyDescent="0.25">
      <c r="A37" s="4">
        <v>15</v>
      </c>
      <c r="B37" s="54" t="str">
        <f>IF('Game Info'!Q20="","",'Game Info'!Q20)</f>
        <v>A</v>
      </c>
      <c r="C37" s="54" t="str">
        <f>IF('Game Info'!R20="","",'Game Info'!R20)</f>
        <v>K</v>
      </c>
      <c r="D37" s="54" t="str">
        <f>IF('Game Info'!S20="","",'Game Info'!S20)</f>
        <v>A</v>
      </c>
      <c r="E37" s="54" t="str">
        <f>IF('Game Info'!T20="","",'Game Info'!T20)</f>
        <v>SYM4</v>
      </c>
      <c r="F37" s="55" t="str">
        <f>IF('Game Info'!U20="","",'Game Info'!U20)</f>
        <v>SYM1</v>
      </c>
      <c r="H37" s="102"/>
      <c r="I37" s="97"/>
      <c r="J37" s="97"/>
      <c r="K37" s="97"/>
      <c r="L37" s="103"/>
      <c r="N37" s="102"/>
      <c r="O37" s="97"/>
      <c r="P37" s="97"/>
      <c r="Q37" s="97"/>
      <c r="R37" s="103"/>
      <c r="T37" s="102"/>
      <c r="U37" s="97"/>
      <c r="V37" s="97"/>
      <c r="W37" s="97"/>
      <c r="X37" s="103"/>
      <c r="Z37" s="102"/>
      <c r="AA37" s="97"/>
      <c r="AB37" s="97"/>
      <c r="AC37" s="97"/>
      <c r="AD37" s="103"/>
      <c r="AF37" s="102"/>
      <c r="AG37" s="97"/>
      <c r="AH37" s="97"/>
      <c r="AI37" s="97"/>
      <c r="AJ37" s="103"/>
      <c r="AL37" s="102"/>
      <c r="AM37" s="97"/>
      <c r="AN37" s="97"/>
      <c r="AO37" s="97"/>
      <c r="AP37" s="103"/>
      <c r="AR37" s="102"/>
      <c r="AS37" s="97"/>
      <c r="AT37" s="97"/>
      <c r="AU37" s="97"/>
      <c r="AV37" s="103"/>
      <c r="AX37" s="102"/>
      <c r="AY37" s="97"/>
      <c r="AZ37" s="97"/>
      <c r="BA37" s="97"/>
      <c r="BB37" s="103"/>
      <c r="BD37" s="102"/>
      <c r="BE37" s="97"/>
      <c r="BF37" s="97"/>
      <c r="BG37" s="97"/>
      <c r="BH37" s="103"/>
      <c r="BJ37" s="102"/>
      <c r="BK37" s="97"/>
      <c r="BL37" s="97"/>
      <c r="BM37" s="97"/>
      <c r="BN37" s="103"/>
      <c r="BP37" s="102"/>
      <c r="BQ37" s="97"/>
      <c r="BR37" s="97"/>
      <c r="BS37" s="97"/>
      <c r="BT37" s="103"/>
    </row>
    <row r="38" spans="1:72" x14ac:dyDescent="0.25">
      <c r="A38" s="4">
        <v>16</v>
      </c>
      <c r="B38" s="54" t="str">
        <f>IF('Game Info'!Q21="","",'Game Info'!Q21)</f>
        <v>SYM5</v>
      </c>
      <c r="C38" s="54" t="str">
        <f>IF('Game Info'!R21="","",'Game Info'!R21)</f>
        <v>SYM1</v>
      </c>
      <c r="D38" s="54" t="str">
        <f>IF('Game Info'!S21="","",'Game Info'!S21)</f>
        <v>SYM4</v>
      </c>
      <c r="E38" s="54" t="str">
        <f>IF('Game Info'!T21="","",'Game Info'!T21)</f>
        <v>J</v>
      </c>
      <c r="F38" s="55" t="str">
        <f>IF('Game Info'!U21="","",'Game Info'!U21)</f>
        <v>K</v>
      </c>
      <c r="H38" s="102"/>
      <c r="I38" s="97"/>
      <c r="J38" s="97"/>
      <c r="K38" s="97"/>
      <c r="L38" s="103"/>
      <c r="N38" s="102"/>
      <c r="O38" s="97"/>
      <c r="P38" s="97"/>
      <c r="Q38" s="97"/>
      <c r="R38" s="103"/>
      <c r="T38" s="102"/>
      <c r="U38" s="97"/>
      <c r="V38" s="97"/>
      <c r="W38" s="97"/>
      <c r="X38" s="103"/>
      <c r="Z38" s="102"/>
      <c r="AA38" s="97"/>
      <c r="AB38" s="97"/>
      <c r="AC38" s="97"/>
      <c r="AD38" s="103"/>
      <c r="AF38" s="102"/>
      <c r="AG38" s="97"/>
      <c r="AH38" s="97"/>
      <c r="AI38" s="97"/>
      <c r="AJ38" s="103"/>
      <c r="AL38" s="102"/>
      <c r="AM38" s="97"/>
      <c r="AN38" s="97"/>
      <c r="AO38" s="97"/>
      <c r="AP38" s="103"/>
      <c r="AR38" s="102"/>
      <c r="AS38" s="97"/>
      <c r="AT38" s="97"/>
      <c r="AU38" s="97"/>
      <c r="AV38" s="103"/>
      <c r="AX38" s="102"/>
      <c r="AY38" s="97"/>
      <c r="AZ38" s="97"/>
      <c r="BA38" s="97"/>
      <c r="BB38" s="103"/>
      <c r="BD38" s="102"/>
      <c r="BE38" s="97"/>
      <c r="BF38" s="97"/>
      <c r="BG38" s="97"/>
      <c r="BH38" s="103"/>
      <c r="BJ38" s="102"/>
      <c r="BK38" s="97"/>
      <c r="BL38" s="97"/>
      <c r="BM38" s="97"/>
      <c r="BN38" s="103"/>
      <c r="BP38" s="102"/>
      <c r="BQ38" s="97"/>
      <c r="BR38" s="97"/>
      <c r="BS38" s="97"/>
      <c r="BT38" s="103"/>
    </row>
    <row r="39" spans="1:72" x14ac:dyDescent="0.25">
      <c r="A39" s="4">
        <v>17</v>
      </c>
      <c r="B39" s="54" t="str">
        <f>IF('Game Info'!Q22="","",'Game Info'!Q22)</f>
        <v>SYM5</v>
      </c>
      <c r="C39" s="54" t="str">
        <f>IF('Game Info'!R22="","",'Game Info'!R22)</f>
        <v>Q</v>
      </c>
      <c r="D39" s="54" t="str">
        <f>IF('Game Info'!S22="","",'Game Info'!S22)</f>
        <v>SYM4</v>
      </c>
      <c r="E39" s="54" t="str">
        <f>IF('Game Info'!T22="","",'Game Info'!T22)</f>
        <v>SYM1</v>
      </c>
      <c r="F39" s="55" t="str">
        <f>IF('Game Info'!U22="","",'Game Info'!U22)</f>
        <v>Q</v>
      </c>
      <c r="H39" s="102"/>
      <c r="I39" s="97"/>
      <c r="J39" s="97"/>
      <c r="K39" s="97"/>
      <c r="L39" s="103"/>
      <c r="N39" s="102"/>
      <c r="O39" s="97"/>
      <c r="P39" s="97"/>
      <c r="Q39" s="97"/>
      <c r="R39" s="103"/>
      <c r="T39" s="102"/>
      <c r="U39" s="97"/>
      <c r="V39" s="97"/>
      <c r="W39" s="97"/>
      <c r="X39" s="103"/>
      <c r="Z39" s="102"/>
      <c r="AA39" s="97"/>
      <c r="AB39" s="97"/>
      <c r="AC39" s="97"/>
      <c r="AD39" s="103"/>
      <c r="AF39" s="102"/>
      <c r="AG39" s="97"/>
      <c r="AH39" s="97"/>
      <c r="AI39" s="97"/>
      <c r="AJ39" s="103"/>
      <c r="AL39" s="102"/>
      <c r="AM39" s="97"/>
      <c r="AN39" s="97"/>
      <c r="AO39" s="97"/>
      <c r="AP39" s="103"/>
      <c r="AR39" s="102"/>
      <c r="AS39" s="97"/>
      <c r="AT39" s="97"/>
      <c r="AU39" s="97"/>
      <c r="AV39" s="103"/>
      <c r="AX39" s="102"/>
      <c r="AY39" s="97"/>
      <c r="AZ39" s="97"/>
      <c r="BA39" s="97"/>
      <c r="BB39" s="103"/>
      <c r="BD39" s="102"/>
      <c r="BE39" s="97"/>
      <c r="BF39" s="97"/>
      <c r="BG39" s="97"/>
      <c r="BH39" s="103"/>
      <c r="BJ39" s="102"/>
      <c r="BK39" s="97"/>
      <c r="BL39" s="97"/>
      <c r="BM39" s="97"/>
      <c r="BN39" s="103"/>
      <c r="BP39" s="102"/>
      <c r="BQ39" s="97"/>
      <c r="BR39" s="97"/>
      <c r="BS39" s="97"/>
      <c r="BT39" s="103"/>
    </row>
    <row r="40" spans="1:72" x14ac:dyDescent="0.25">
      <c r="A40" s="4">
        <v>18</v>
      </c>
      <c r="B40" s="54" t="str">
        <f>IF('Game Info'!Q23="","",'Game Info'!Q23)</f>
        <v>SYM5</v>
      </c>
      <c r="C40" s="54">
        <f>IF('Game Info'!R23="","",'Game Info'!R23)</f>
        <v>10</v>
      </c>
      <c r="D40" s="54" t="str">
        <f>IF('Game Info'!S23="","",'Game Info'!S23)</f>
        <v>SYM4</v>
      </c>
      <c r="E40" s="54" t="str">
        <f>IF('Game Info'!T23="","",'Game Info'!T23)</f>
        <v>SYM1</v>
      </c>
      <c r="F40" s="55" t="str">
        <f>IF('Game Info'!U23="","",'Game Info'!U23)</f>
        <v>SYM4</v>
      </c>
      <c r="H40" s="102"/>
      <c r="I40" s="97"/>
      <c r="J40" s="97"/>
      <c r="K40" s="97"/>
      <c r="L40" s="103"/>
      <c r="N40" s="102"/>
      <c r="O40" s="97"/>
      <c r="P40" s="97"/>
      <c r="Q40" s="97"/>
      <c r="R40" s="103"/>
      <c r="T40" s="102"/>
      <c r="U40" s="97"/>
      <c r="V40" s="97"/>
      <c r="W40" s="97"/>
      <c r="X40" s="103"/>
      <c r="Z40" s="102"/>
      <c r="AA40" s="97"/>
      <c r="AB40" s="97"/>
      <c r="AC40" s="97"/>
      <c r="AD40" s="103"/>
      <c r="AF40" s="102"/>
      <c r="AG40" s="97"/>
      <c r="AH40" s="97"/>
      <c r="AI40" s="97"/>
      <c r="AJ40" s="103"/>
      <c r="AL40" s="102"/>
      <c r="AM40" s="97"/>
      <c r="AN40" s="97"/>
      <c r="AO40" s="97"/>
      <c r="AP40" s="103"/>
      <c r="AR40" s="102"/>
      <c r="AS40" s="97"/>
      <c r="AT40" s="97"/>
      <c r="AU40" s="97"/>
      <c r="AV40" s="103"/>
      <c r="AX40" s="102"/>
      <c r="AY40" s="97"/>
      <c r="AZ40" s="97"/>
      <c r="BA40" s="97"/>
      <c r="BB40" s="103"/>
      <c r="BD40" s="102"/>
      <c r="BE40" s="97"/>
      <c r="BF40" s="97"/>
      <c r="BG40" s="97"/>
      <c r="BH40" s="103"/>
      <c r="BJ40" s="102"/>
      <c r="BK40" s="97"/>
      <c r="BL40" s="97"/>
      <c r="BM40" s="97"/>
      <c r="BN40" s="103"/>
      <c r="BP40" s="102"/>
      <c r="BQ40" s="97"/>
      <c r="BR40" s="97"/>
      <c r="BS40" s="97"/>
      <c r="BT40" s="103"/>
    </row>
    <row r="41" spans="1:72" x14ac:dyDescent="0.25">
      <c r="A41" s="4">
        <v>19</v>
      </c>
      <c r="B41" s="54" t="str">
        <f>IF('Game Info'!Q24="","",'Game Info'!Q24)</f>
        <v>Q</v>
      </c>
      <c r="C41" s="54" t="str">
        <f>IF('Game Info'!R24="","",'Game Info'!R24)</f>
        <v>K</v>
      </c>
      <c r="D41" s="54" t="str">
        <f>IF('Game Info'!S24="","",'Game Info'!S24)</f>
        <v>J</v>
      </c>
      <c r="E41" s="54" t="str">
        <f>IF('Game Info'!T24="","",'Game Info'!T24)</f>
        <v>SYM1</v>
      </c>
      <c r="F41" s="55" t="str">
        <f>IF('Game Info'!U24="","",'Game Info'!U24)</f>
        <v>K</v>
      </c>
      <c r="H41" s="102"/>
      <c r="I41" s="97"/>
      <c r="J41" s="97"/>
      <c r="K41" s="97"/>
      <c r="L41" s="103"/>
      <c r="N41" s="102"/>
      <c r="O41" s="97"/>
      <c r="P41" s="97"/>
      <c r="Q41" s="97"/>
      <c r="R41" s="103"/>
      <c r="T41" s="102"/>
      <c r="U41" s="97"/>
      <c r="V41" s="97"/>
      <c r="W41" s="97"/>
      <c r="X41" s="103"/>
      <c r="Z41" s="102"/>
      <c r="AA41" s="97"/>
      <c r="AB41" s="97"/>
      <c r="AC41" s="97"/>
      <c r="AD41" s="103"/>
      <c r="AF41" s="102"/>
      <c r="AG41" s="97"/>
      <c r="AH41" s="97"/>
      <c r="AI41" s="97"/>
      <c r="AJ41" s="103"/>
      <c r="AL41" s="102"/>
      <c r="AM41" s="97"/>
      <c r="AN41" s="97"/>
      <c r="AO41" s="97"/>
      <c r="AP41" s="103"/>
      <c r="AR41" s="102"/>
      <c r="AS41" s="97"/>
      <c r="AT41" s="97"/>
      <c r="AU41" s="97"/>
      <c r="AV41" s="103"/>
      <c r="AX41" s="102"/>
      <c r="AY41" s="97"/>
      <c r="AZ41" s="97"/>
      <c r="BA41" s="97"/>
      <c r="BB41" s="103"/>
      <c r="BD41" s="102"/>
      <c r="BE41" s="97"/>
      <c r="BF41" s="97"/>
      <c r="BG41" s="97"/>
      <c r="BH41" s="103"/>
      <c r="BJ41" s="102"/>
      <c r="BK41" s="97"/>
      <c r="BL41" s="97"/>
      <c r="BM41" s="97"/>
      <c r="BN41" s="103"/>
      <c r="BP41" s="102"/>
      <c r="BQ41" s="97"/>
      <c r="BR41" s="97"/>
      <c r="BS41" s="97"/>
      <c r="BT41" s="103"/>
    </row>
    <row r="42" spans="1:72" x14ac:dyDescent="0.25">
      <c r="A42" s="4">
        <v>20</v>
      </c>
      <c r="B42" s="54">
        <f>IF('Game Info'!Q25="","",'Game Info'!Q25)</f>
        <v>10</v>
      </c>
      <c r="C42" s="54" t="str">
        <f>IF('Game Info'!R25="","",'Game Info'!R25)</f>
        <v>SYM4</v>
      </c>
      <c r="D42" s="54" t="str">
        <f>IF('Game Info'!S25="","",'Game Info'!S25)</f>
        <v>FG</v>
      </c>
      <c r="E42" s="54" t="str">
        <f>IF('Game Info'!T25="","",'Game Info'!T25)</f>
        <v>J</v>
      </c>
      <c r="F42" s="55" t="str">
        <f>IF('Game Info'!U25="","",'Game Info'!U25)</f>
        <v>SYM1</v>
      </c>
      <c r="H42" s="102"/>
      <c r="I42" s="97"/>
      <c r="J42" s="97"/>
      <c r="K42" s="97"/>
      <c r="L42" s="103"/>
      <c r="N42" s="102"/>
      <c r="O42" s="97"/>
      <c r="P42" s="97"/>
      <c r="Q42" s="97"/>
      <c r="R42" s="103"/>
      <c r="T42" s="102"/>
      <c r="U42" s="97"/>
      <c r="V42" s="97"/>
      <c r="W42" s="97"/>
      <c r="X42" s="103"/>
      <c r="Z42" s="102"/>
      <c r="AA42" s="97"/>
      <c r="AB42" s="97"/>
      <c r="AC42" s="97"/>
      <c r="AD42" s="103"/>
      <c r="AF42" s="102"/>
      <c r="AG42" s="97"/>
      <c r="AH42" s="97"/>
      <c r="AI42" s="97"/>
      <c r="AJ42" s="103"/>
      <c r="AL42" s="102"/>
      <c r="AM42" s="97"/>
      <c r="AN42" s="97"/>
      <c r="AO42" s="97"/>
      <c r="AP42" s="103"/>
      <c r="AR42" s="102"/>
      <c r="AS42" s="97"/>
      <c r="AT42" s="97"/>
      <c r="AU42" s="97"/>
      <c r="AV42" s="103"/>
      <c r="AX42" s="102"/>
      <c r="AY42" s="97"/>
      <c r="AZ42" s="97"/>
      <c r="BA42" s="97"/>
      <c r="BB42" s="103"/>
      <c r="BD42" s="102"/>
      <c r="BE42" s="97"/>
      <c r="BF42" s="97"/>
      <c r="BG42" s="97"/>
      <c r="BH42" s="103"/>
      <c r="BJ42" s="102"/>
      <c r="BK42" s="97"/>
      <c r="BL42" s="97"/>
      <c r="BM42" s="97"/>
      <c r="BN42" s="103"/>
      <c r="BP42" s="102"/>
      <c r="BQ42" s="97"/>
      <c r="BR42" s="97"/>
      <c r="BS42" s="97"/>
      <c r="BT42" s="103"/>
    </row>
    <row r="43" spans="1:72" x14ac:dyDescent="0.25">
      <c r="A43" s="4">
        <v>21</v>
      </c>
      <c r="B43" s="54" t="str">
        <f>IF('Game Info'!Q26="","",'Game Info'!Q26)</f>
        <v>SYM5</v>
      </c>
      <c r="C43" s="54" t="str">
        <f>IF('Game Info'!R26="","",'Game Info'!R26)</f>
        <v>Q</v>
      </c>
      <c r="D43" s="54">
        <f>IF('Game Info'!S26="","",'Game Info'!S26)</f>
        <v>10</v>
      </c>
      <c r="E43" s="54" t="str">
        <f>IF('Game Info'!T26="","",'Game Info'!T26)</f>
        <v>SYM2</v>
      </c>
      <c r="F43" s="55">
        <f>IF('Game Info'!U26="","",'Game Info'!U26)</f>
        <v>10</v>
      </c>
      <c r="H43" s="102"/>
      <c r="I43" s="97"/>
      <c r="J43" s="97"/>
      <c r="K43" s="97"/>
      <c r="L43" s="103"/>
      <c r="N43" s="102"/>
      <c r="O43" s="97"/>
      <c r="P43" s="97"/>
      <c r="Q43" s="97"/>
      <c r="R43" s="103"/>
      <c r="T43" s="102"/>
      <c r="U43" s="97"/>
      <c r="V43" s="97"/>
      <c r="W43" s="97"/>
      <c r="X43" s="103"/>
      <c r="Z43" s="102"/>
      <c r="AA43" s="97"/>
      <c r="AB43" s="97"/>
      <c r="AC43" s="97"/>
      <c r="AD43" s="103"/>
      <c r="AF43" s="102"/>
      <c r="AG43" s="97"/>
      <c r="AH43" s="97"/>
      <c r="AI43" s="97"/>
      <c r="AJ43" s="103"/>
      <c r="AL43" s="102"/>
      <c r="AM43" s="97"/>
      <c r="AN43" s="97"/>
      <c r="AO43" s="97"/>
      <c r="AP43" s="103"/>
      <c r="AR43" s="102"/>
      <c r="AS43" s="97"/>
      <c r="AT43" s="97"/>
      <c r="AU43" s="97"/>
      <c r="AV43" s="103"/>
      <c r="AX43" s="102"/>
      <c r="AY43" s="97"/>
      <c r="AZ43" s="97"/>
      <c r="BA43" s="97"/>
      <c r="BB43" s="103"/>
      <c r="BD43" s="102"/>
      <c r="BE43" s="97"/>
      <c r="BF43" s="97"/>
      <c r="BG43" s="97"/>
      <c r="BH43" s="103"/>
      <c r="BJ43" s="102"/>
      <c r="BK43" s="97"/>
      <c r="BL43" s="97"/>
      <c r="BM43" s="97"/>
      <c r="BN43" s="103"/>
      <c r="BP43" s="102"/>
      <c r="BQ43" s="97"/>
      <c r="BR43" s="97"/>
      <c r="BS43" s="97"/>
      <c r="BT43" s="103"/>
    </row>
    <row r="44" spans="1:72" x14ac:dyDescent="0.25">
      <c r="A44" s="4">
        <v>22</v>
      </c>
      <c r="B44" s="54" t="str">
        <f>IF('Game Info'!Q27="","",'Game Info'!Q27)</f>
        <v>Q</v>
      </c>
      <c r="C44" s="54" t="str">
        <f>IF('Game Info'!R27="","",'Game Info'!R27)</f>
        <v>WILD</v>
      </c>
      <c r="D44" s="54" t="str">
        <f>IF('Game Info'!S27="","",'Game Info'!S27)</f>
        <v>SYM1</v>
      </c>
      <c r="E44" s="54" t="str">
        <f>IF('Game Info'!T27="","",'Game Info'!T27)</f>
        <v>K</v>
      </c>
      <c r="F44" s="55" t="str">
        <f>IF('Game Info'!U27="","",'Game Info'!U27)</f>
        <v>SYM3</v>
      </c>
      <c r="H44" s="102"/>
      <c r="I44" s="97"/>
      <c r="J44" s="97"/>
      <c r="K44" s="97"/>
      <c r="L44" s="103"/>
      <c r="N44" s="102"/>
      <c r="O44" s="97"/>
      <c r="P44" s="97"/>
      <c r="Q44" s="97"/>
      <c r="R44" s="103"/>
      <c r="T44" s="102"/>
      <c r="U44" s="97"/>
      <c r="V44" s="97"/>
      <c r="W44" s="97"/>
      <c r="X44" s="103"/>
      <c r="Z44" s="102"/>
      <c r="AA44" s="97"/>
      <c r="AB44" s="97"/>
      <c r="AC44" s="97"/>
      <c r="AD44" s="103"/>
      <c r="AF44" s="102"/>
      <c r="AG44" s="97"/>
      <c r="AH44" s="97"/>
      <c r="AI44" s="97"/>
      <c r="AJ44" s="103"/>
      <c r="AL44" s="102"/>
      <c r="AM44" s="97"/>
      <c r="AN44" s="97"/>
      <c r="AO44" s="97"/>
      <c r="AP44" s="103"/>
      <c r="AR44" s="102"/>
      <c r="AS44" s="97"/>
      <c r="AT44" s="97"/>
      <c r="AU44" s="97"/>
      <c r="AV44" s="103"/>
      <c r="AX44" s="102"/>
      <c r="AY44" s="97"/>
      <c r="AZ44" s="97"/>
      <c r="BA44" s="97"/>
      <c r="BB44" s="103"/>
      <c r="BD44" s="102"/>
      <c r="BE44" s="97"/>
      <c r="BF44" s="97"/>
      <c r="BG44" s="97"/>
      <c r="BH44" s="103"/>
      <c r="BJ44" s="102"/>
      <c r="BK44" s="97"/>
      <c r="BL44" s="97"/>
      <c r="BM44" s="97"/>
      <c r="BN44" s="103"/>
      <c r="BP44" s="102"/>
      <c r="BQ44" s="97"/>
      <c r="BR44" s="97"/>
      <c r="BS44" s="97"/>
      <c r="BT44" s="103"/>
    </row>
    <row r="45" spans="1:72" x14ac:dyDescent="0.25">
      <c r="A45" s="4">
        <v>23</v>
      </c>
      <c r="B45" s="54" t="str">
        <f>IF('Game Info'!Q28="","",'Game Info'!Q28)</f>
        <v>SYM2</v>
      </c>
      <c r="C45" s="54" t="str">
        <f>IF('Game Info'!R28="","",'Game Info'!R28)</f>
        <v>A</v>
      </c>
      <c r="D45" s="54" t="str">
        <f>IF('Game Info'!S28="","",'Game Info'!S28)</f>
        <v>J</v>
      </c>
      <c r="E45" s="54" t="str">
        <f>IF('Game Info'!T28="","",'Game Info'!T28)</f>
        <v>SYM5</v>
      </c>
      <c r="F45" s="55" t="str">
        <f>IF('Game Info'!U28="","",'Game Info'!U28)</f>
        <v>Q</v>
      </c>
      <c r="H45" s="102"/>
      <c r="I45" s="97"/>
      <c r="J45" s="97"/>
      <c r="K45" s="97"/>
      <c r="L45" s="103"/>
      <c r="N45" s="102"/>
      <c r="O45" s="97"/>
      <c r="P45" s="97"/>
      <c r="Q45" s="97"/>
      <c r="R45" s="103"/>
      <c r="T45" s="102"/>
      <c r="U45" s="97"/>
      <c r="V45" s="97"/>
      <c r="W45" s="97"/>
      <c r="X45" s="103"/>
      <c r="Z45" s="102"/>
      <c r="AA45" s="97"/>
      <c r="AB45" s="97"/>
      <c r="AC45" s="97"/>
      <c r="AD45" s="103"/>
      <c r="AF45" s="102"/>
      <c r="AG45" s="97"/>
      <c r="AH45" s="97"/>
      <c r="AI45" s="97"/>
      <c r="AJ45" s="103"/>
      <c r="AL45" s="102"/>
      <c r="AM45" s="97"/>
      <c r="AN45" s="97"/>
      <c r="AO45" s="97"/>
      <c r="AP45" s="103"/>
      <c r="AR45" s="102"/>
      <c r="AS45" s="97"/>
      <c r="AT45" s="97"/>
      <c r="AU45" s="97"/>
      <c r="AV45" s="103"/>
      <c r="AX45" s="102"/>
      <c r="AY45" s="97"/>
      <c r="AZ45" s="97"/>
      <c r="BA45" s="97"/>
      <c r="BB45" s="103"/>
      <c r="BD45" s="102"/>
      <c r="BE45" s="97"/>
      <c r="BF45" s="97"/>
      <c r="BG45" s="97"/>
      <c r="BH45" s="103"/>
      <c r="BJ45" s="102"/>
      <c r="BK45" s="97"/>
      <c r="BL45" s="97"/>
      <c r="BM45" s="97"/>
      <c r="BN45" s="103"/>
      <c r="BP45" s="102"/>
      <c r="BQ45" s="97"/>
      <c r="BR45" s="97"/>
      <c r="BS45" s="97"/>
      <c r="BT45" s="103"/>
    </row>
    <row r="46" spans="1:72" x14ac:dyDescent="0.25">
      <c r="A46" s="4">
        <v>24</v>
      </c>
      <c r="B46" s="54" t="str">
        <f>IF('Game Info'!Q29="","",'Game Info'!Q29)</f>
        <v>SYM3</v>
      </c>
      <c r="C46" s="54" t="str">
        <f>IF('Game Info'!R29="","",'Game Info'!R29)</f>
        <v>Q</v>
      </c>
      <c r="D46" s="54">
        <f>IF('Game Info'!S29="","",'Game Info'!S29)</f>
        <v>10</v>
      </c>
      <c r="E46" s="54">
        <f>IF('Game Info'!T29="","",'Game Info'!T29)</f>
        <v>9</v>
      </c>
      <c r="F46" s="55" t="str">
        <f>IF('Game Info'!U29="","",'Game Info'!U29)</f>
        <v>A</v>
      </c>
      <c r="H46" s="102"/>
      <c r="I46" s="97"/>
      <c r="J46" s="97"/>
      <c r="K46" s="97"/>
      <c r="L46" s="103"/>
      <c r="N46" s="102"/>
      <c r="O46" s="97"/>
      <c r="P46" s="97"/>
      <c r="Q46" s="97"/>
      <c r="R46" s="103"/>
      <c r="T46" s="102"/>
      <c r="U46" s="97"/>
      <c r="V46" s="97"/>
      <c r="W46" s="97"/>
      <c r="X46" s="103"/>
      <c r="Z46" s="102"/>
      <c r="AA46" s="97"/>
      <c r="AB46" s="97"/>
      <c r="AC46" s="97"/>
      <c r="AD46" s="103"/>
      <c r="AF46" s="102"/>
      <c r="AG46" s="97"/>
      <c r="AH46" s="97"/>
      <c r="AI46" s="97"/>
      <c r="AJ46" s="103"/>
      <c r="AL46" s="102"/>
      <c r="AM46" s="97"/>
      <c r="AN46" s="97"/>
      <c r="AO46" s="97"/>
      <c r="AP46" s="103"/>
      <c r="AR46" s="102"/>
      <c r="AS46" s="97"/>
      <c r="AT46" s="97"/>
      <c r="AU46" s="97"/>
      <c r="AV46" s="103"/>
      <c r="AX46" s="102"/>
      <c r="AY46" s="97"/>
      <c r="AZ46" s="97"/>
      <c r="BA46" s="97"/>
      <c r="BB46" s="103"/>
      <c r="BD46" s="102"/>
      <c r="BE46" s="97"/>
      <c r="BF46" s="97"/>
      <c r="BG46" s="97"/>
      <c r="BH46" s="103"/>
      <c r="BJ46" s="102"/>
      <c r="BK46" s="97"/>
      <c r="BL46" s="97"/>
      <c r="BM46" s="97"/>
      <c r="BN46" s="103"/>
      <c r="BP46" s="102"/>
      <c r="BQ46" s="97"/>
      <c r="BR46" s="97"/>
      <c r="BS46" s="97"/>
      <c r="BT46" s="103"/>
    </row>
    <row r="47" spans="1:72" x14ac:dyDescent="0.25">
      <c r="A47" s="4">
        <v>25</v>
      </c>
      <c r="B47" s="54" t="str">
        <f>IF('Game Info'!Q30="","",'Game Info'!Q30)</f>
        <v>J</v>
      </c>
      <c r="C47" s="54" t="str">
        <f>IF('Game Info'!R30="","",'Game Info'!R30)</f>
        <v>SYM4</v>
      </c>
      <c r="D47" s="54" t="str">
        <f>IF('Game Info'!S30="","",'Game Info'!S30)</f>
        <v>Q</v>
      </c>
      <c r="E47" s="54" t="str">
        <f>IF('Game Info'!T30="","",'Game Info'!T30)</f>
        <v>SYM4</v>
      </c>
      <c r="F47" s="55" t="str">
        <f>IF('Game Info'!U30="","",'Game Info'!U30)</f>
        <v>SYM1</v>
      </c>
      <c r="H47" s="102"/>
      <c r="I47" s="97"/>
      <c r="J47" s="97"/>
      <c r="K47" s="97"/>
      <c r="L47" s="103"/>
      <c r="N47" s="102"/>
      <c r="O47" s="97"/>
      <c r="P47" s="97"/>
      <c r="Q47" s="97"/>
      <c r="R47" s="103"/>
      <c r="T47" s="102"/>
      <c r="U47" s="97"/>
      <c r="V47" s="97"/>
      <c r="W47" s="97"/>
      <c r="X47" s="103"/>
      <c r="Z47" s="102"/>
      <c r="AA47" s="97"/>
      <c r="AB47" s="97"/>
      <c r="AC47" s="97"/>
      <c r="AD47" s="103"/>
      <c r="AF47" s="102"/>
      <c r="AG47" s="97"/>
      <c r="AH47" s="97"/>
      <c r="AI47" s="97"/>
      <c r="AJ47" s="103"/>
      <c r="AL47" s="102"/>
      <c r="AM47" s="97"/>
      <c r="AN47" s="97"/>
      <c r="AO47" s="97"/>
      <c r="AP47" s="103"/>
      <c r="AR47" s="102"/>
      <c r="AS47" s="97"/>
      <c r="AT47" s="97"/>
      <c r="AU47" s="97"/>
      <c r="AV47" s="103"/>
      <c r="AX47" s="102"/>
      <c r="AY47" s="97"/>
      <c r="AZ47" s="97"/>
      <c r="BA47" s="97"/>
      <c r="BB47" s="103"/>
      <c r="BD47" s="102"/>
      <c r="BE47" s="97"/>
      <c r="BF47" s="97"/>
      <c r="BG47" s="97"/>
      <c r="BH47" s="103"/>
      <c r="BJ47" s="102"/>
      <c r="BK47" s="97"/>
      <c r="BL47" s="97"/>
      <c r="BM47" s="97"/>
      <c r="BN47" s="103"/>
      <c r="BP47" s="102"/>
      <c r="BQ47" s="97"/>
      <c r="BR47" s="97"/>
      <c r="BS47" s="97"/>
      <c r="BT47" s="103"/>
    </row>
    <row r="48" spans="1:72" x14ac:dyDescent="0.25">
      <c r="A48" s="4">
        <v>26</v>
      </c>
      <c r="B48" s="54">
        <f>IF('Game Info'!Q31="","",'Game Info'!Q31)</f>
        <v>10</v>
      </c>
      <c r="C48" s="54" t="str">
        <f>IF('Game Info'!R31="","",'Game Info'!R31)</f>
        <v>J</v>
      </c>
      <c r="D48" s="54" t="str">
        <f>IF('Game Info'!S31="","",'Game Info'!S31)</f>
        <v>SYM1</v>
      </c>
      <c r="E48" s="54" t="str">
        <f>IF('Game Info'!T31="","",'Game Info'!T31)</f>
        <v>SYM2</v>
      </c>
      <c r="F48" s="55" t="str">
        <f>IF('Game Info'!U31="","",'Game Info'!U31)</f>
        <v>SYM1</v>
      </c>
      <c r="H48" s="102"/>
      <c r="I48" s="97"/>
      <c r="J48" s="97"/>
      <c r="K48" s="97"/>
      <c r="L48" s="103"/>
      <c r="N48" s="102"/>
      <c r="O48" s="97"/>
      <c r="P48" s="97"/>
      <c r="Q48" s="97"/>
      <c r="R48" s="103"/>
      <c r="T48" s="102"/>
      <c r="U48" s="97"/>
      <c r="V48" s="97"/>
      <c r="W48" s="97"/>
      <c r="X48" s="103"/>
      <c r="Z48" s="102"/>
      <c r="AA48" s="97"/>
      <c r="AB48" s="97"/>
      <c r="AC48" s="97"/>
      <c r="AD48" s="103"/>
      <c r="AF48" s="102"/>
      <c r="AG48" s="97"/>
      <c r="AH48" s="97"/>
      <c r="AI48" s="97"/>
      <c r="AJ48" s="103"/>
      <c r="AL48" s="102"/>
      <c r="AM48" s="97"/>
      <c r="AN48" s="97"/>
      <c r="AO48" s="97"/>
      <c r="AP48" s="103"/>
      <c r="AR48" s="102"/>
      <c r="AS48" s="97"/>
      <c r="AT48" s="97"/>
      <c r="AU48" s="97"/>
      <c r="AV48" s="103"/>
      <c r="AX48" s="102"/>
      <c r="AY48" s="97"/>
      <c r="AZ48" s="97"/>
      <c r="BA48" s="97"/>
      <c r="BB48" s="103"/>
      <c r="BD48" s="102"/>
      <c r="BE48" s="97"/>
      <c r="BF48" s="97"/>
      <c r="BG48" s="97"/>
      <c r="BH48" s="103"/>
      <c r="BJ48" s="102"/>
      <c r="BK48" s="97"/>
      <c r="BL48" s="97"/>
      <c r="BM48" s="97"/>
      <c r="BN48" s="103"/>
      <c r="BP48" s="102"/>
      <c r="BQ48" s="97"/>
      <c r="BR48" s="97"/>
      <c r="BS48" s="97"/>
      <c r="BT48" s="103"/>
    </row>
    <row r="49" spans="1:72" x14ac:dyDescent="0.25">
      <c r="A49" s="4">
        <v>27</v>
      </c>
      <c r="B49" s="54" t="str">
        <f>IF('Game Info'!Q32="","",'Game Info'!Q32)</f>
        <v>A</v>
      </c>
      <c r="C49" s="54" t="str">
        <f>IF('Game Info'!R32="","",'Game Info'!R32)</f>
        <v>SYM1</v>
      </c>
      <c r="D49" s="54" t="str">
        <f>IF('Game Info'!S32="","",'Game Info'!S32)</f>
        <v>K</v>
      </c>
      <c r="E49" s="54" t="str">
        <f>IF('Game Info'!T32="","",'Game Info'!T32)</f>
        <v>J</v>
      </c>
      <c r="F49" s="55" t="str">
        <f>IF('Game Info'!U32="","",'Game Info'!U32)</f>
        <v>SYM1</v>
      </c>
      <c r="H49" s="102"/>
      <c r="I49" s="97"/>
      <c r="J49" s="97"/>
      <c r="K49" s="97"/>
      <c r="L49" s="103"/>
      <c r="N49" s="102"/>
      <c r="O49" s="97"/>
      <c r="P49" s="97"/>
      <c r="Q49" s="97"/>
      <c r="R49" s="103"/>
      <c r="T49" s="102"/>
      <c r="U49" s="97"/>
      <c r="V49" s="97"/>
      <c r="W49" s="97"/>
      <c r="X49" s="103"/>
      <c r="Z49" s="102"/>
      <c r="AA49" s="97"/>
      <c r="AB49" s="97"/>
      <c r="AC49" s="97"/>
      <c r="AD49" s="103"/>
      <c r="AF49" s="102"/>
      <c r="AG49" s="97"/>
      <c r="AH49" s="97"/>
      <c r="AI49" s="97"/>
      <c r="AJ49" s="103"/>
      <c r="AL49" s="102"/>
      <c r="AM49" s="97"/>
      <c r="AN49" s="97"/>
      <c r="AO49" s="97"/>
      <c r="AP49" s="103"/>
      <c r="AR49" s="102"/>
      <c r="AS49" s="97"/>
      <c r="AT49" s="97"/>
      <c r="AU49" s="97"/>
      <c r="AV49" s="103"/>
      <c r="AX49" s="102"/>
      <c r="AY49" s="97"/>
      <c r="AZ49" s="97"/>
      <c r="BA49" s="97"/>
      <c r="BB49" s="103"/>
      <c r="BD49" s="102"/>
      <c r="BE49" s="97"/>
      <c r="BF49" s="97"/>
      <c r="BG49" s="97"/>
      <c r="BH49" s="103"/>
      <c r="BJ49" s="102"/>
      <c r="BK49" s="97"/>
      <c r="BL49" s="97"/>
      <c r="BM49" s="97"/>
      <c r="BN49" s="103"/>
      <c r="BP49" s="102"/>
      <c r="BQ49" s="97"/>
      <c r="BR49" s="97"/>
      <c r="BS49" s="97"/>
      <c r="BT49" s="103"/>
    </row>
    <row r="50" spans="1:72" x14ac:dyDescent="0.25">
      <c r="A50" s="4">
        <v>28</v>
      </c>
      <c r="B50" s="54" t="str">
        <f>IF('Game Info'!Q33="","",'Game Info'!Q33)</f>
        <v>SYM4</v>
      </c>
      <c r="C50" s="54" t="str">
        <f>IF('Game Info'!R33="","",'Game Info'!R33)</f>
        <v>K</v>
      </c>
      <c r="D50" s="54" t="str">
        <f>IF('Game Info'!S33="","",'Game Info'!S33)</f>
        <v>J</v>
      </c>
      <c r="E50" s="54" t="str">
        <f>IF('Game Info'!T33="","",'Game Info'!T33)</f>
        <v>A</v>
      </c>
      <c r="F50" s="55">
        <f>IF('Game Info'!U33="","",'Game Info'!U33)</f>
        <v>10</v>
      </c>
      <c r="H50" s="102"/>
      <c r="I50" s="97"/>
      <c r="J50" s="97"/>
      <c r="K50" s="97"/>
      <c r="L50" s="103"/>
      <c r="N50" s="102"/>
      <c r="O50" s="97"/>
      <c r="P50" s="97"/>
      <c r="Q50" s="97"/>
      <c r="R50" s="103"/>
      <c r="T50" s="102"/>
      <c r="U50" s="97"/>
      <c r="V50" s="97"/>
      <c r="W50" s="97"/>
      <c r="X50" s="103"/>
      <c r="Z50" s="102"/>
      <c r="AA50" s="97"/>
      <c r="AB50" s="97"/>
      <c r="AC50" s="97"/>
      <c r="AD50" s="103"/>
      <c r="AF50" s="102"/>
      <c r="AG50" s="97"/>
      <c r="AH50" s="97"/>
      <c r="AI50" s="97"/>
      <c r="AJ50" s="103"/>
      <c r="AL50" s="102"/>
      <c r="AM50" s="97"/>
      <c r="AN50" s="97"/>
      <c r="AO50" s="97"/>
      <c r="AP50" s="103"/>
      <c r="AR50" s="102"/>
      <c r="AS50" s="97"/>
      <c r="AT50" s="97"/>
      <c r="AU50" s="97"/>
      <c r="AV50" s="103"/>
      <c r="AX50" s="102"/>
      <c r="AY50" s="97"/>
      <c r="AZ50" s="97"/>
      <c r="BA50" s="97"/>
      <c r="BB50" s="103"/>
      <c r="BD50" s="102"/>
      <c r="BE50" s="97"/>
      <c r="BF50" s="97"/>
      <c r="BG50" s="97"/>
      <c r="BH50" s="103"/>
      <c r="BJ50" s="102"/>
      <c r="BK50" s="97"/>
      <c r="BL50" s="97"/>
      <c r="BM50" s="97"/>
      <c r="BN50" s="103"/>
      <c r="BP50" s="102"/>
      <c r="BQ50" s="97"/>
      <c r="BR50" s="97"/>
      <c r="BS50" s="97"/>
      <c r="BT50" s="103"/>
    </row>
    <row r="51" spans="1:72" x14ac:dyDescent="0.25">
      <c r="A51" s="4">
        <v>29</v>
      </c>
      <c r="B51" s="54" t="str">
        <f>IF('Game Info'!Q34="","",'Game Info'!Q34)</f>
        <v>SYM4</v>
      </c>
      <c r="C51" s="54" t="str">
        <f>IF('Game Info'!R34="","",'Game Info'!R34)</f>
        <v>SYM2</v>
      </c>
      <c r="D51" s="54" t="str">
        <f>IF('Game Info'!S34="","",'Game Info'!S34)</f>
        <v>SYM3</v>
      </c>
      <c r="E51" s="54" t="str">
        <f>IF('Game Info'!T34="","",'Game Info'!T34)</f>
        <v>SYM4</v>
      </c>
      <c r="F51" s="55" t="str">
        <f>IF('Game Info'!U34="","",'Game Info'!U34)</f>
        <v>SYM3</v>
      </c>
      <c r="H51" s="102"/>
      <c r="I51" s="97"/>
      <c r="J51" s="97"/>
      <c r="K51" s="97"/>
      <c r="L51" s="103"/>
      <c r="N51" s="102"/>
      <c r="O51" s="97"/>
      <c r="P51" s="97"/>
      <c r="Q51" s="97"/>
      <c r="R51" s="103"/>
      <c r="T51" s="102"/>
      <c r="U51" s="97"/>
      <c r="V51" s="97"/>
      <c r="W51" s="97"/>
      <c r="X51" s="103"/>
      <c r="Z51" s="102"/>
      <c r="AA51" s="97"/>
      <c r="AB51" s="97"/>
      <c r="AC51" s="97"/>
      <c r="AD51" s="103"/>
      <c r="AF51" s="102"/>
      <c r="AG51" s="97"/>
      <c r="AH51" s="97"/>
      <c r="AI51" s="97"/>
      <c r="AJ51" s="103"/>
      <c r="AL51" s="102"/>
      <c r="AM51" s="97"/>
      <c r="AN51" s="97"/>
      <c r="AO51" s="97"/>
      <c r="AP51" s="103"/>
      <c r="AR51" s="102"/>
      <c r="AS51" s="97"/>
      <c r="AT51" s="97"/>
      <c r="AU51" s="97"/>
      <c r="AV51" s="103"/>
      <c r="AX51" s="102"/>
      <c r="AY51" s="97"/>
      <c r="AZ51" s="97"/>
      <c r="BA51" s="97"/>
      <c r="BB51" s="103"/>
      <c r="BD51" s="102"/>
      <c r="BE51" s="97"/>
      <c r="BF51" s="97"/>
      <c r="BG51" s="97"/>
      <c r="BH51" s="103"/>
      <c r="BJ51" s="102"/>
      <c r="BK51" s="97"/>
      <c r="BL51" s="97"/>
      <c r="BM51" s="97"/>
      <c r="BN51" s="103"/>
      <c r="BP51" s="102"/>
      <c r="BQ51" s="97"/>
      <c r="BR51" s="97"/>
      <c r="BS51" s="97"/>
      <c r="BT51" s="103"/>
    </row>
    <row r="52" spans="1:72" x14ac:dyDescent="0.25">
      <c r="A52" s="4">
        <v>30</v>
      </c>
      <c r="B52" s="54">
        <f>IF('Game Info'!Q35="","",'Game Info'!Q35)</f>
        <v>9</v>
      </c>
      <c r="C52" s="54" t="str">
        <f>IF('Game Info'!R35="","",'Game Info'!R35)</f>
        <v>J</v>
      </c>
      <c r="D52" s="54" t="str">
        <f>IF('Game Info'!S35="","",'Game Info'!S35)</f>
        <v>SYM5</v>
      </c>
      <c r="E52" s="54" t="str">
        <f>IF('Game Info'!T35="","",'Game Info'!T35)</f>
        <v>Q</v>
      </c>
      <c r="F52" s="55" t="str">
        <f>IF('Game Info'!U35="","",'Game Info'!U35)</f>
        <v>Q</v>
      </c>
      <c r="H52" s="102"/>
      <c r="I52" s="97"/>
      <c r="J52" s="97"/>
      <c r="K52" s="97"/>
      <c r="L52" s="103"/>
      <c r="N52" s="102"/>
      <c r="O52" s="97"/>
      <c r="P52" s="97"/>
      <c r="Q52" s="97"/>
      <c r="R52" s="103"/>
      <c r="T52" s="102"/>
      <c r="U52" s="97"/>
      <c r="V52" s="97"/>
      <c r="W52" s="97"/>
      <c r="X52" s="103"/>
      <c r="Z52" s="102"/>
      <c r="AA52" s="97"/>
      <c r="AB52" s="97"/>
      <c r="AC52" s="97"/>
      <c r="AD52" s="103"/>
      <c r="AF52" s="102"/>
      <c r="AG52" s="97"/>
      <c r="AH52" s="97"/>
      <c r="AI52" s="97"/>
      <c r="AJ52" s="103"/>
      <c r="AL52" s="102"/>
      <c r="AM52" s="97"/>
      <c r="AN52" s="97"/>
      <c r="AO52" s="97"/>
      <c r="AP52" s="103"/>
      <c r="AR52" s="102"/>
      <c r="AS52" s="97"/>
      <c r="AT52" s="97"/>
      <c r="AU52" s="97"/>
      <c r="AV52" s="103"/>
      <c r="AX52" s="102"/>
      <c r="AY52" s="97"/>
      <c r="AZ52" s="97"/>
      <c r="BA52" s="97"/>
      <c r="BB52" s="103"/>
      <c r="BD52" s="102"/>
      <c r="BE52" s="97"/>
      <c r="BF52" s="97"/>
      <c r="BG52" s="97"/>
      <c r="BH52" s="103"/>
      <c r="BJ52" s="102"/>
      <c r="BK52" s="97"/>
      <c r="BL52" s="97"/>
      <c r="BM52" s="97"/>
      <c r="BN52" s="103"/>
      <c r="BP52" s="102"/>
      <c r="BQ52" s="97"/>
      <c r="BR52" s="97"/>
      <c r="BS52" s="97"/>
      <c r="BT52" s="103"/>
    </row>
    <row r="53" spans="1:72" x14ac:dyDescent="0.25">
      <c r="A53" s="4">
        <v>31</v>
      </c>
      <c r="B53" s="54" t="str">
        <f>IF('Game Info'!Q36="","",'Game Info'!Q36)</f>
        <v>SYM2</v>
      </c>
      <c r="C53" s="54" t="str">
        <f>IF('Game Info'!R36="","",'Game Info'!R36)</f>
        <v>SYM5</v>
      </c>
      <c r="D53" s="54" t="str">
        <f>IF('Game Info'!S36="","",'Game Info'!S36)</f>
        <v>Q</v>
      </c>
      <c r="E53" s="54" t="str">
        <f>IF('Game Info'!T36="","",'Game Info'!T36)</f>
        <v>SYM2</v>
      </c>
      <c r="F53" s="55" t="str">
        <f>IF('Game Info'!U36="","",'Game Info'!U36)</f>
        <v>K</v>
      </c>
      <c r="H53" s="102"/>
      <c r="I53" s="97"/>
      <c r="J53" s="97"/>
      <c r="K53" s="97"/>
      <c r="L53" s="103"/>
      <c r="N53" s="102"/>
      <c r="O53" s="97"/>
      <c r="P53" s="97"/>
      <c r="Q53" s="97"/>
      <c r="R53" s="103"/>
      <c r="T53" s="102"/>
      <c r="U53" s="97"/>
      <c r="V53" s="97"/>
      <c r="W53" s="97"/>
      <c r="X53" s="103"/>
      <c r="Z53" s="102"/>
      <c r="AA53" s="97"/>
      <c r="AB53" s="97"/>
      <c r="AC53" s="97"/>
      <c r="AD53" s="103"/>
      <c r="AF53" s="102"/>
      <c r="AG53" s="97"/>
      <c r="AH53" s="97"/>
      <c r="AI53" s="97"/>
      <c r="AJ53" s="103"/>
      <c r="AL53" s="102"/>
      <c r="AM53" s="97"/>
      <c r="AN53" s="97"/>
      <c r="AO53" s="97"/>
      <c r="AP53" s="103"/>
      <c r="AR53" s="102"/>
      <c r="AS53" s="97"/>
      <c r="AT53" s="97"/>
      <c r="AU53" s="97"/>
      <c r="AV53" s="103"/>
      <c r="AX53" s="102"/>
      <c r="AY53" s="97"/>
      <c r="AZ53" s="97"/>
      <c r="BA53" s="97"/>
      <c r="BB53" s="103"/>
      <c r="BD53" s="102"/>
      <c r="BE53" s="97"/>
      <c r="BF53" s="97"/>
      <c r="BG53" s="97"/>
      <c r="BH53" s="103"/>
      <c r="BJ53" s="102"/>
      <c r="BK53" s="97"/>
      <c r="BL53" s="97"/>
      <c r="BM53" s="97"/>
      <c r="BN53" s="103"/>
      <c r="BP53" s="102"/>
      <c r="BQ53" s="97"/>
      <c r="BR53" s="97"/>
      <c r="BS53" s="97"/>
      <c r="BT53" s="103"/>
    </row>
    <row r="54" spans="1:72" x14ac:dyDescent="0.25">
      <c r="A54" s="4">
        <v>32</v>
      </c>
      <c r="B54" s="54" t="str">
        <f>IF('Game Info'!Q37="","",'Game Info'!Q37)</f>
        <v>A</v>
      </c>
      <c r="C54" s="54" t="str">
        <f>IF('Game Info'!R37="","",'Game Info'!R37)</f>
        <v>K</v>
      </c>
      <c r="D54" s="54" t="str">
        <f>IF('Game Info'!S37="","",'Game Info'!S37)</f>
        <v>A</v>
      </c>
      <c r="E54" s="54">
        <f>IF('Game Info'!T37="","",'Game Info'!T37)</f>
        <v>10</v>
      </c>
      <c r="F54" s="55" t="str">
        <f>IF('Game Info'!U37="","",'Game Info'!U37)</f>
        <v>SYM3</v>
      </c>
      <c r="H54" s="102"/>
      <c r="I54" s="97"/>
      <c r="J54" s="97"/>
      <c r="K54" s="97"/>
      <c r="L54" s="103"/>
      <c r="N54" s="102"/>
      <c r="O54" s="97"/>
      <c r="P54" s="97"/>
      <c r="Q54" s="97"/>
      <c r="R54" s="103"/>
      <c r="T54" s="102"/>
      <c r="U54" s="97"/>
      <c r="V54" s="97"/>
      <c r="W54" s="97"/>
      <c r="X54" s="103"/>
      <c r="Z54" s="102"/>
      <c r="AA54" s="97"/>
      <c r="AB54" s="97"/>
      <c r="AC54" s="97"/>
      <c r="AD54" s="103"/>
      <c r="AF54" s="102"/>
      <c r="AG54" s="97"/>
      <c r="AH54" s="97"/>
      <c r="AI54" s="97"/>
      <c r="AJ54" s="103"/>
      <c r="AL54" s="102"/>
      <c r="AM54" s="97"/>
      <c r="AN54" s="97"/>
      <c r="AO54" s="97"/>
      <c r="AP54" s="103"/>
      <c r="AR54" s="102"/>
      <c r="AS54" s="97"/>
      <c r="AT54" s="97"/>
      <c r="AU54" s="97"/>
      <c r="AV54" s="103"/>
      <c r="AX54" s="102"/>
      <c r="AY54" s="97"/>
      <c r="AZ54" s="97"/>
      <c r="BA54" s="97"/>
      <c r="BB54" s="103"/>
      <c r="BD54" s="102"/>
      <c r="BE54" s="97"/>
      <c r="BF54" s="97"/>
      <c r="BG54" s="97"/>
      <c r="BH54" s="103"/>
      <c r="BJ54" s="102"/>
      <c r="BK54" s="97"/>
      <c r="BL54" s="97"/>
      <c r="BM54" s="97"/>
      <c r="BN54" s="103"/>
      <c r="BP54" s="102"/>
      <c r="BQ54" s="97"/>
      <c r="BR54" s="97"/>
      <c r="BS54" s="97"/>
      <c r="BT54" s="103"/>
    </row>
    <row r="55" spans="1:72" x14ac:dyDescent="0.25">
      <c r="A55" s="4">
        <v>33</v>
      </c>
      <c r="B55" s="54" t="str">
        <f>IF('Game Info'!Q38="","",'Game Info'!Q38)</f>
        <v>J</v>
      </c>
      <c r="C55" s="54" t="str">
        <f>IF('Game Info'!R38="","",'Game Info'!R38)</f>
        <v>SYM1</v>
      </c>
      <c r="D55" s="54" t="str">
        <f>IF('Game Info'!S38="","",'Game Info'!S38)</f>
        <v>SYM2</v>
      </c>
      <c r="E55" s="54" t="str">
        <f>IF('Game Info'!T38="","",'Game Info'!T38)</f>
        <v>SYM3</v>
      </c>
      <c r="F55" s="55" t="str">
        <f>IF('Game Info'!U38="","",'Game Info'!U38)</f>
        <v>A</v>
      </c>
      <c r="H55" s="102"/>
      <c r="I55" s="97"/>
      <c r="J55" s="97"/>
      <c r="K55" s="97"/>
      <c r="L55" s="103"/>
      <c r="N55" s="102"/>
      <c r="O55" s="97"/>
      <c r="P55" s="97"/>
      <c r="Q55" s="97"/>
      <c r="R55" s="103"/>
      <c r="T55" s="102"/>
      <c r="U55" s="97"/>
      <c r="V55" s="97"/>
      <c r="W55" s="97"/>
      <c r="X55" s="103"/>
      <c r="Z55" s="102"/>
      <c r="AA55" s="97"/>
      <c r="AB55" s="97"/>
      <c r="AC55" s="97"/>
      <c r="AD55" s="103"/>
      <c r="AF55" s="102"/>
      <c r="AG55" s="97"/>
      <c r="AH55" s="97"/>
      <c r="AI55" s="97"/>
      <c r="AJ55" s="103"/>
      <c r="AL55" s="102"/>
      <c r="AM55" s="97"/>
      <c r="AN55" s="97"/>
      <c r="AO55" s="97"/>
      <c r="AP55" s="103"/>
      <c r="AR55" s="102"/>
      <c r="AS55" s="97"/>
      <c r="AT55" s="97"/>
      <c r="AU55" s="97"/>
      <c r="AV55" s="103"/>
      <c r="AX55" s="102"/>
      <c r="AY55" s="97"/>
      <c r="AZ55" s="97"/>
      <c r="BA55" s="97"/>
      <c r="BB55" s="103"/>
      <c r="BD55" s="102"/>
      <c r="BE55" s="97"/>
      <c r="BF55" s="97"/>
      <c r="BG55" s="97"/>
      <c r="BH55" s="103"/>
      <c r="BJ55" s="102"/>
      <c r="BK55" s="97"/>
      <c r="BL55" s="97"/>
      <c r="BM55" s="97"/>
      <c r="BN55" s="103"/>
      <c r="BP55" s="102"/>
      <c r="BQ55" s="97"/>
      <c r="BR55" s="97"/>
      <c r="BS55" s="97"/>
      <c r="BT55" s="103"/>
    </row>
    <row r="56" spans="1:72" x14ac:dyDescent="0.25">
      <c r="A56" s="4">
        <v>34</v>
      </c>
      <c r="B56" s="54" t="str">
        <f>IF('Game Info'!Q39="","",'Game Info'!Q39)</f>
        <v>SYM3</v>
      </c>
      <c r="C56" s="54" t="str">
        <f>IF('Game Info'!R39="","",'Game Info'!R39)</f>
        <v>J</v>
      </c>
      <c r="D56" s="54" t="str">
        <f>IF('Game Info'!S39="","",'Game Info'!S39)</f>
        <v>K</v>
      </c>
      <c r="E56" s="54" t="str">
        <f>IF('Game Info'!T39="","",'Game Info'!T39)</f>
        <v>K</v>
      </c>
      <c r="F56" s="55" t="str">
        <f>IF('Game Info'!U39="","",'Game Info'!U39)</f>
        <v>SYM4</v>
      </c>
      <c r="H56" s="102"/>
      <c r="I56" s="97"/>
      <c r="J56" s="97"/>
      <c r="K56" s="97"/>
      <c r="L56" s="103"/>
      <c r="N56" s="102"/>
      <c r="O56" s="97"/>
      <c r="P56" s="97"/>
      <c r="Q56" s="97"/>
      <c r="R56" s="103"/>
      <c r="T56" s="102"/>
      <c r="U56" s="97"/>
      <c r="V56" s="97"/>
      <c r="W56" s="97"/>
      <c r="X56" s="103"/>
      <c r="Z56" s="102"/>
      <c r="AA56" s="97"/>
      <c r="AB56" s="97"/>
      <c r="AC56" s="97"/>
      <c r="AD56" s="103"/>
      <c r="AF56" s="102"/>
      <c r="AG56" s="97"/>
      <c r="AH56" s="97"/>
      <c r="AI56" s="97"/>
      <c r="AJ56" s="103"/>
      <c r="AL56" s="102"/>
      <c r="AM56" s="97"/>
      <c r="AN56" s="97"/>
      <c r="AO56" s="97"/>
      <c r="AP56" s="103"/>
      <c r="AR56" s="102"/>
      <c r="AS56" s="97"/>
      <c r="AT56" s="97"/>
      <c r="AU56" s="97"/>
      <c r="AV56" s="103"/>
      <c r="AX56" s="102"/>
      <c r="AY56" s="97"/>
      <c r="AZ56" s="97"/>
      <c r="BA56" s="97"/>
      <c r="BB56" s="103"/>
      <c r="BD56" s="102"/>
      <c r="BE56" s="97"/>
      <c r="BF56" s="97"/>
      <c r="BG56" s="97"/>
      <c r="BH56" s="103"/>
      <c r="BJ56" s="102"/>
      <c r="BK56" s="97"/>
      <c r="BL56" s="97"/>
      <c r="BM56" s="97"/>
      <c r="BN56" s="103"/>
      <c r="BP56" s="102"/>
      <c r="BQ56" s="97"/>
      <c r="BR56" s="97"/>
      <c r="BS56" s="97"/>
      <c r="BT56" s="103"/>
    </row>
    <row r="57" spans="1:72" x14ac:dyDescent="0.25">
      <c r="A57" s="4">
        <v>35</v>
      </c>
      <c r="B57" s="54" t="str">
        <f>IF('Game Info'!Q40="","",'Game Info'!Q40)</f>
        <v>J</v>
      </c>
      <c r="C57" s="54" t="str">
        <f>IF('Game Info'!R40="","",'Game Info'!R40)</f>
        <v>SYM2</v>
      </c>
      <c r="D57" s="54" t="str">
        <f>IF('Game Info'!S40="","",'Game Info'!S40)</f>
        <v>SYM3</v>
      </c>
      <c r="E57" s="54" t="str">
        <f>IF('Game Info'!T40="","",'Game Info'!T40)</f>
        <v>SYM5</v>
      </c>
      <c r="F57" s="55" t="str">
        <f>IF('Game Info'!U40="","",'Game Info'!U40)</f>
        <v>J</v>
      </c>
      <c r="H57" s="102"/>
      <c r="I57" s="97"/>
      <c r="J57" s="97"/>
      <c r="K57" s="97"/>
      <c r="L57" s="103"/>
      <c r="N57" s="102"/>
      <c r="O57" s="97"/>
      <c r="P57" s="97"/>
      <c r="Q57" s="97"/>
      <c r="R57" s="103"/>
      <c r="T57" s="102"/>
      <c r="U57" s="97"/>
      <c r="V57" s="97"/>
      <c r="W57" s="97"/>
      <c r="X57" s="103"/>
      <c r="Z57" s="102"/>
      <c r="AA57" s="97"/>
      <c r="AB57" s="97"/>
      <c r="AC57" s="97"/>
      <c r="AD57" s="103"/>
      <c r="AF57" s="102"/>
      <c r="AG57" s="97"/>
      <c r="AH57" s="97"/>
      <c r="AI57" s="97"/>
      <c r="AJ57" s="103"/>
      <c r="AL57" s="102"/>
      <c r="AM57" s="97"/>
      <c r="AN57" s="97"/>
      <c r="AO57" s="97"/>
      <c r="AP57" s="103"/>
      <c r="AR57" s="102"/>
      <c r="AS57" s="97"/>
      <c r="AT57" s="97"/>
      <c r="AU57" s="97"/>
      <c r="AV57" s="103"/>
      <c r="AX57" s="102"/>
      <c r="AY57" s="97"/>
      <c r="AZ57" s="97"/>
      <c r="BA57" s="97"/>
      <c r="BB57" s="103"/>
      <c r="BD57" s="102"/>
      <c r="BE57" s="97"/>
      <c r="BF57" s="97"/>
      <c r="BG57" s="97"/>
      <c r="BH57" s="103"/>
      <c r="BJ57" s="102"/>
      <c r="BK57" s="97"/>
      <c r="BL57" s="97"/>
      <c r="BM57" s="97"/>
      <c r="BN57" s="103"/>
      <c r="BP57" s="102"/>
      <c r="BQ57" s="97"/>
      <c r="BR57" s="97"/>
      <c r="BS57" s="97"/>
      <c r="BT57" s="103"/>
    </row>
    <row r="58" spans="1:72" x14ac:dyDescent="0.25">
      <c r="A58" s="4">
        <v>36</v>
      </c>
      <c r="B58" s="54" t="str">
        <f>IF('Game Info'!Q41="","",'Game Info'!Q41)</f>
        <v>SYM2</v>
      </c>
      <c r="C58" s="54" t="str">
        <f>IF('Game Info'!R41="","",'Game Info'!R41)</f>
        <v>SYM2</v>
      </c>
      <c r="D58" s="54" t="str">
        <f>IF('Game Info'!S41="","",'Game Info'!S41)</f>
        <v>SYM3</v>
      </c>
      <c r="E58" s="54" t="str">
        <f>IF('Game Info'!T41="","",'Game Info'!T41)</f>
        <v>Q</v>
      </c>
      <c r="F58" s="55" t="str">
        <f>IF('Game Info'!U41="","",'Game Info'!U41)</f>
        <v>SYM1</v>
      </c>
      <c r="H58" s="102"/>
      <c r="I58" s="97"/>
      <c r="J58" s="97"/>
      <c r="K58" s="97"/>
      <c r="L58" s="103"/>
      <c r="N58" s="102"/>
      <c r="O58" s="97"/>
      <c r="P58" s="97"/>
      <c r="Q58" s="97"/>
      <c r="R58" s="103"/>
      <c r="T58" s="102"/>
      <c r="U58" s="97"/>
      <c r="V58" s="97"/>
      <c r="W58" s="97"/>
      <c r="X58" s="103"/>
      <c r="Z58" s="102"/>
      <c r="AA58" s="97"/>
      <c r="AB58" s="97"/>
      <c r="AC58" s="97"/>
      <c r="AD58" s="103"/>
      <c r="AF58" s="102"/>
      <c r="AG58" s="97"/>
      <c r="AH58" s="97"/>
      <c r="AI58" s="97"/>
      <c r="AJ58" s="103"/>
      <c r="AL58" s="102"/>
      <c r="AM58" s="97"/>
      <c r="AN58" s="97"/>
      <c r="AO58" s="97"/>
      <c r="AP58" s="103"/>
      <c r="AR58" s="102"/>
      <c r="AS58" s="97"/>
      <c r="AT58" s="97"/>
      <c r="AU58" s="97"/>
      <c r="AV58" s="103"/>
      <c r="AX58" s="102"/>
      <c r="AY58" s="97"/>
      <c r="AZ58" s="97"/>
      <c r="BA58" s="97"/>
      <c r="BB58" s="103"/>
      <c r="BD58" s="102"/>
      <c r="BE58" s="97"/>
      <c r="BF58" s="97"/>
      <c r="BG58" s="97"/>
      <c r="BH58" s="103"/>
      <c r="BJ58" s="102"/>
      <c r="BK58" s="97"/>
      <c r="BL58" s="97"/>
      <c r="BM58" s="97"/>
      <c r="BN58" s="103"/>
      <c r="BP58" s="102"/>
      <c r="BQ58" s="97"/>
      <c r="BR58" s="97"/>
      <c r="BS58" s="97"/>
      <c r="BT58" s="103"/>
    </row>
    <row r="59" spans="1:72" x14ac:dyDescent="0.25">
      <c r="A59" s="4">
        <v>37</v>
      </c>
      <c r="B59" s="54" t="str">
        <f>IF('Game Info'!Q42="","",'Game Info'!Q42)</f>
        <v>SYM2</v>
      </c>
      <c r="C59" s="54" t="str">
        <f>IF('Game Info'!R42="","",'Game Info'!R42)</f>
        <v>SYM2</v>
      </c>
      <c r="D59" s="54" t="str">
        <f>IF('Game Info'!S42="","",'Game Info'!S42)</f>
        <v>SYM3</v>
      </c>
      <c r="E59" s="54" t="str">
        <f>IF('Game Info'!T42="","",'Game Info'!T42)</f>
        <v>SYM2</v>
      </c>
      <c r="F59" s="55" t="str">
        <f>IF('Game Info'!U42="","",'Game Info'!U42)</f>
        <v>K</v>
      </c>
      <c r="H59" s="102"/>
      <c r="I59" s="97"/>
      <c r="J59" s="97"/>
      <c r="K59" s="97"/>
      <c r="L59" s="103"/>
      <c r="N59" s="102"/>
      <c r="O59" s="97"/>
      <c r="P59" s="97"/>
      <c r="Q59" s="97"/>
      <c r="R59" s="103"/>
      <c r="T59" s="102"/>
      <c r="U59" s="97"/>
      <c r="V59" s="97"/>
      <c r="W59" s="97"/>
      <c r="X59" s="103"/>
      <c r="Z59" s="102"/>
      <c r="AA59" s="97"/>
      <c r="AB59" s="97"/>
      <c r="AC59" s="97"/>
      <c r="AD59" s="103"/>
      <c r="AF59" s="102"/>
      <c r="AG59" s="97"/>
      <c r="AH59" s="97"/>
      <c r="AI59" s="97"/>
      <c r="AJ59" s="103"/>
      <c r="AL59" s="102"/>
      <c r="AM59" s="97"/>
      <c r="AN59" s="97"/>
      <c r="AO59" s="97"/>
      <c r="AP59" s="103"/>
      <c r="AR59" s="102"/>
      <c r="AS59" s="97"/>
      <c r="AT59" s="97"/>
      <c r="AU59" s="97"/>
      <c r="AV59" s="103"/>
      <c r="AX59" s="102"/>
      <c r="AY59" s="97"/>
      <c r="AZ59" s="97"/>
      <c r="BA59" s="97"/>
      <c r="BB59" s="103"/>
      <c r="BD59" s="102"/>
      <c r="BE59" s="97"/>
      <c r="BF59" s="97"/>
      <c r="BG59" s="97"/>
      <c r="BH59" s="103"/>
      <c r="BJ59" s="102"/>
      <c r="BK59" s="97"/>
      <c r="BL59" s="97"/>
      <c r="BM59" s="97"/>
      <c r="BN59" s="103"/>
      <c r="BP59" s="102"/>
      <c r="BQ59" s="97"/>
      <c r="BR59" s="97"/>
      <c r="BS59" s="97"/>
      <c r="BT59" s="103"/>
    </row>
    <row r="60" spans="1:72" x14ac:dyDescent="0.25">
      <c r="A60" s="4">
        <v>38</v>
      </c>
      <c r="B60" s="54">
        <f>IF('Game Info'!Q43="","",'Game Info'!Q43)</f>
        <v>9</v>
      </c>
      <c r="C60" s="54" t="str">
        <f>IF('Game Info'!R43="","",'Game Info'!R43)</f>
        <v>Q</v>
      </c>
      <c r="D60" s="54">
        <f>IF('Game Info'!S43="","",'Game Info'!S43)</f>
        <v>10</v>
      </c>
      <c r="E60" s="54">
        <f>IF('Game Info'!T43="","",'Game Info'!T43)</f>
        <v>9</v>
      </c>
      <c r="F60" s="55" t="str">
        <f>IF('Game Info'!U43="","",'Game Info'!U43)</f>
        <v>SYM3</v>
      </c>
      <c r="H60" s="102"/>
      <c r="I60" s="97"/>
      <c r="J60" s="97"/>
      <c r="K60" s="97"/>
      <c r="L60" s="103"/>
      <c r="N60" s="102"/>
      <c r="O60" s="97"/>
      <c r="P60" s="97"/>
      <c r="Q60" s="97"/>
      <c r="R60" s="103"/>
      <c r="T60" s="102"/>
      <c r="U60" s="97"/>
      <c r="V60" s="97"/>
      <c r="W60" s="97"/>
      <c r="X60" s="103"/>
      <c r="Z60" s="102"/>
      <c r="AA60" s="97"/>
      <c r="AB60" s="97"/>
      <c r="AC60" s="97"/>
      <c r="AD60" s="103"/>
      <c r="AF60" s="102"/>
      <c r="AG60" s="97"/>
      <c r="AH60" s="97"/>
      <c r="AI60" s="97"/>
      <c r="AJ60" s="103"/>
      <c r="AL60" s="102"/>
      <c r="AM60" s="97"/>
      <c r="AN60" s="97"/>
      <c r="AO60" s="97"/>
      <c r="AP60" s="103"/>
      <c r="AR60" s="102"/>
      <c r="AS60" s="97"/>
      <c r="AT60" s="97"/>
      <c r="AU60" s="97"/>
      <c r="AV60" s="103"/>
      <c r="AX60" s="102"/>
      <c r="AY60" s="97"/>
      <c r="AZ60" s="97"/>
      <c r="BA60" s="97"/>
      <c r="BB60" s="103"/>
      <c r="BD60" s="102"/>
      <c r="BE60" s="97"/>
      <c r="BF60" s="97"/>
      <c r="BG60" s="97"/>
      <c r="BH60" s="103"/>
      <c r="BJ60" s="102"/>
      <c r="BK60" s="97"/>
      <c r="BL60" s="97"/>
      <c r="BM60" s="97"/>
      <c r="BN60" s="103"/>
      <c r="BP60" s="102"/>
      <c r="BQ60" s="97"/>
      <c r="BR60" s="97"/>
      <c r="BS60" s="97"/>
      <c r="BT60" s="103"/>
    </row>
    <row r="61" spans="1:72" x14ac:dyDescent="0.25">
      <c r="A61" s="4">
        <v>39</v>
      </c>
      <c r="B61" s="54" t="str">
        <f>IF('Game Info'!Q44="","",'Game Info'!Q44)</f>
        <v>K</v>
      </c>
      <c r="C61" s="54" t="str">
        <f>IF('Game Info'!R44="","",'Game Info'!R44)</f>
        <v>FG</v>
      </c>
      <c r="D61" s="54" t="str">
        <f>IF('Game Info'!S44="","",'Game Info'!S44)</f>
        <v>SYM1</v>
      </c>
      <c r="E61" s="54" t="str">
        <f>IF('Game Info'!T44="","",'Game Info'!T44)</f>
        <v>SYM1</v>
      </c>
      <c r="F61" s="55">
        <f>IF('Game Info'!U44="","",'Game Info'!U44)</f>
        <v>10</v>
      </c>
      <c r="H61" s="102"/>
      <c r="I61" s="97"/>
      <c r="J61" s="97"/>
      <c r="K61" s="97"/>
      <c r="L61" s="103"/>
      <c r="N61" s="102"/>
      <c r="O61" s="97"/>
      <c r="P61" s="97"/>
      <c r="Q61" s="97"/>
      <c r="R61" s="103"/>
      <c r="T61" s="102"/>
      <c r="U61" s="97"/>
      <c r="V61" s="97"/>
      <c r="W61" s="97"/>
      <c r="X61" s="103"/>
      <c r="Z61" s="102"/>
      <c r="AA61" s="97"/>
      <c r="AB61" s="97"/>
      <c r="AC61" s="97"/>
      <c r="AD61" s="103"/>
      <c r="AF61" s="102"/>
      <c r="AG61" s="97"/>
      <c r="AH61" s="97"/>
      <c r="AI61" s="97"/>
      <c r="AJ61" s="103"/>
      <c r="AL61" s="102"/>
      <c r="AM61" s="97"/>
      <c r="AN61" s="97"/>
      <c r="AO61" s="97"/>
      <c r="AP61" s="103"/>
      <c r="AR61" s="102"/>
      <c r="AS61" s="97"/>
      <c r="AT61" s="97"/>
      <c r="AU61" s="97"/>
      <c r="AV61" s="103"/>
      <c r="AX61" s="102"/>
      <c r="AY61" s="97"/>
      <c r="AZ61" s="97"/>
      <c r="BA61" s="97"/>
      <c r="BB61" s="103"/>
      <c r="BD61" s="102"/>
      <c r="BE61" s="97"/>
      <c r="BF61" s="97"/>
      <c r="BG61" s="97"/>
      <c r="BH61" s="103"/>
      <c r="BJ61" s="102"/>
      <c r="BK61" s="97"/>
      <c r="BL61" s="97"/>
      <c r="BM61" s="97"/>
      <c r="BN61" s="103"/>
      <c r="BP61" s="102"/>
      <c r="BQ61" s="97"/>
      <c r="BR61" s="97"/>
      <c r="BS61" s="97"/>
      <c r="BT61" s="103"/>
    </row>
    <row r="62" spans="1:72" x14ac:dyDescent="0.25">
      <c r="A62" s="4">
        <v>40</v>
      </c>
      <c r="B62" s="54" t="str">
        <f>IF('Game Info'!Q45="","",'Game Info'!Q45)</f>
        <v>SYM3</v>
      </c>
      <c r="C62" s="54" t="str">
        <f>IF('Game Info'!R45="","",'Game Info'!R45)</f>
        <v>A</v>
      </c>
      <c r="D62" s="54" t="str">
        <f>IF('Game Info'!S45="","",'Game Info'!S45)</f>
        <v>J</v>
      </c>
      <c r="E62" s="54" t="str">
        <f>IF('Game Info'!T45="","",'Game Info'!T45)</f>
        <v>Q</v>
      </c>
      <c r="F62" s="55" t="str">
        <f>IF('Game Info'!U45="","",'Game Info'!U45)</f>
        <v>K</v>
      </c>
      <c r="H62" s="102"/>
      <c r="I62" s="97"/>
      <c r="J62" s="97"/>
      <c r="K62" s="97"/>
      <c r="L62" s="103"/>
      <c r="N62" s="102"/>
      <c r="O62" s="97"/>
      <c r="P62" s="97"/>
      <c r="Q62" s="97"/>
      <c r="R62" s="103"/>
      <c r="T62" s="102"/>
      <c r="U62" s="97"/>
      <c r="V62" s="97"/>
      <c r="W62" s="97"/>
      <c r="X62" s="103"/>
      <c r="Z62" s="102"/>
      <c r="AA62" s="97"/>
      <c r="AB62" s="97"/>
      <c r="AC62" s="97"/>
      <c r="AD62" s="103"/>
      <c r="AF62" s="102"/>
      <c r="AG62" s="97"/>
      <c r="AH62" s="97"/>
      <c r="AI62" s="97"/>
      <c r="AJ62" s="103"/>
      <c r="AL62" s="102"/>
      <c r="AM62" s="97"/>
      <c r="AN62" s="97"/>
      <c r="AO62" s="97"/>
      <c r="AP62" s="103"/>
      <c r="AR62" s="102"/>
      <c r="AS62" s="97"/>
      <c r="AT62" s="97"/>
      <c r="AU62" s="97"/>
      <c r="AV62" s="103"/>
      <c r="AX62" s="102"/>
      <c r="AY62" s="97"/>
      <c r="AZ62" s="97"/>
      <c r="BA62" s="97"/>
      <c r="BB62" s="103"/>
      <c r="BD62" s="102"/>
      <c r="BE62" s="97"/>
      <c r="BF62" s="97"/>
      <c r="BG62" s="97"/>
      <c r="BH62" s="103"/>
      <c r="BJ62" s="102"/>
      <c r="BK62" s="97"/>
      <c r="BL62" s="97"/>
      <c r="BM62" s="97"/>
      <c r="BN62" s="103"/>
      <c r="BP62" s="102"/>
      <c r="BQ62" s="97"/>
      <c r="BR62" s="97"/>
      <c r="BS62" s="97"/>
      <c r="BT62" s="103"/>
    </row>
    <row r="63" spans="1:72" x14ac:dyDescent="0.25">
      <c r="A63" s="4">
        <v>41</v>
      </c>
      <c r="B63" s="54" t="str">
        <f>IF('Game Info'!Q46="","",'Game Info'!Q46)</f>
        <v>SYM3</v>
      </c>
      <c r="C63" s="54" t="str">
        <f>IF('Game Info'!R46="","",'Game Info'!R46)</f>
        <v>Q</v>
      </c>
      <c r="D63" s="54" t="str">
        <f>IF('Game Info'!S46="","",'Game Info'!S46)</f>
        <v>WILD</v>
      </c>
      <c r="E63" s="54" t="str">
        <f>IF('Game Info'!T46="","",'Game Info'!T46)</f>
        <v>SYM4</v>
      </c>
      <c r="F63" s="55" t="str">
        <f>IF('Game Info'!U46="","",'Game Info'!U46)</f>
        <v>SYM1</v>
      </c>
      <c r="H63" s="102"/>
      <c r="I63" s="97"/>
      <c r="J63" s="97"/>
      <c r="K63" s="97"/>
      <c r="L63" s="103"/>
      <c r="N63" s="102"/>
      <c r="O63" s="97"/>
      <c r="P63" s="97"/>
      <c r="Q63" s="97"/>
      <c r="R63" s="103"/>
      <c r="T63" s="102"/>
      <c r="U63" s="97"/>
      <c r="V63" s="97"/>
      <c r="W63" s="97"/>
      <c r="X63" s="103"/>
      <c r="Z63" s="102"/>
      <c r="AA63" s="97"/>
      <c r="AB63" s="97"/>
      <c r="AC63" s="97"/>
      <c r="AD63" s="103"/>
      <c r="AF63" s="102"/>
      <c r="AG63" s="97"/>
      <c r="AH63" s="97"/>
      <c r="AI63" s="97"/>
      <c r="AJ63" s="103"/>
      <c r="AL63" s="102"/>
      <c r="AM63" s="97"/>
      <c r="AN63" s="97"/>
      <c r="AO63" s="97"/>
      <c r="AP63" s="103"/>
      <c r="AR63" s="102"/>
      <c r="AS63" s="97"/>
      <c r="AT63" s="97"/>
      <c r="AU63" s="97"/>
      <c r="AV63" s="103"/>
      <c r="AX63" s="102"/>
      <c r="AY63" s="97"/>
      <c r="AZ63" s="97"/>
      <c r="BA63" s="97"/>
      <c r="BB63" s="103"/>
      <c r="BD63" s="102"/>
      <c r="BE63" s="97"/>
      <c r="BF63" s="97"/>
      <c r="BG63" s="97"/>
      <c r="BH63" s="103"/>
      <c r="BJ63" s="102"/>
      <c r="BK63" s="97"/>
      <c r="BL63" s="97"/>
      <c r="BM63" s="97"/>
      <c r="BN63" s="103"/>
      <c r="BP63" s="102"/>
      <c r="BQ63" s="97"/>
      <c r="BR63" s="97"/>
      <c r="BS63" s="97"/>
      <c r="BT63" s="103"/>
    </row>
    <row r="64" spans="1:72" x14ac:dyDescent="0.25">
      <c r="A64" s="4">
        <v>42</v>
      </c>
      <c r="B64" s="54">
        <f>IF('Game Info'!Q47="","",'Game Info'!Q47)</f>
        <v>10</v>
      </c>
      <c r="C64" s="54" t="str">
        <f>IF('Game Info'!R47="","",'Game Info'!R47)</f>
        <v>SYM4</v>
      </c>
      <c r="D64" s="54">
        <f>IF('Game Info'!S47="","",'Game Info'!S47)</f>
        <v>10</v>
      </c>
      <c r="E64" s="54" t="str">
        <f>IF('Game Info'!T47="","",'Game Info'!T47)</f>
        <v>J</v>
      </c>
      <c r="F64" s="55">
        <f>IF('Game Info'!U47="","",'Game Info'!U47)</f>
        <v>10</v>
      </c>
      <c r="H64" s="102"/>
      <c r="I64" s="97"/>
      <c r="J64" s="97"/>
      <c r="K64" s="97"/>
      <c r="L64" s="103"/>
      <c r="N64" s="102"/>
      <c r="O64" s="97"/>
      <c r="P64" s="97"/>
      <c r="Q64" s="97"/>
      <c r="R64" s="103"/>
      <c r="T64" s="102"/>
      <c r="U64" s="97"/>
      <c r="V64" s="97"/>
      <c r="W64" s="97"/>
      <c r="X64" s="103"/>
      <c r="Z64" s="102"/>
      <c r="AA64" s="97"/>
      <c r="AB64" s="97"/>
      <c r="AC64" s="97"/>
      <c r="AD64" s="103"/>
      <c r="AF64" s="102"/>
      <c r="AG64" s="97"/>
      <c r="AH64" s="97"/>
      <c r="AI64" s="97"/>
      <c r="AJ64" s="103"/>
      <c r="AL64" s="102"/>
      <c r="AM64" s="97"/>
      <c r="AN64" s="97"/>
      <c r="AO64" s="97"/>
      <c r="AP64" s="103"/>
      <c r="AR64" s="102"/>
      <c r="AS64" s="97"/>
      <c r="AT64" s="97"/>
      <c r="AU64" s="97"/>
      <c r="AV64" s="103"/>
      <c r="AX64" s="102"/>
      <c r="AY64" s="97"/>
      <c r="AZ64" s="97"/>
      <c r="BA64" s="97"/>
      <c r="BB64" s="103"/>
      <c r="BD64" s="102"/>
      <c r="BE64" s="97"/>
      <c r="BF64" s="97"/>
      <c r="BG64" s="97"/>
      <c r="BH64" s="103"/>
      <c r="BJ64" s="102"/>
      <c r="BK64" s="97"/>
      <c r="BL64" s="97"/>
      <c r="BM64" s="97"/>
      <c r="BN64" s="103"/>
      <c r="BP64" s="102"/>
      <c r="BQ64" s="97"/>
      <c r="BR64" s="97"/>
      <c r="BS64" s="97"/>
      <c r="BT64" s="103"/>
    </row>
    <row r="65" spans="1:72" x14ac:dyDescent="0.25">
      <c r="A65" s="4">
        <v>43</v>
      </c>
      <c r="B65" s="54" t="str">
        <f>IF('Game Info'!Q48="","",'Game Info'!Q48)</f>
        <v>FG</v>
      </c>
      <c r="C65" s="54" t="str">
        <f>IF('Game Info'!R48="","",'Game Info'!R48)</f>
        <v>J</v>
      </c>
      <c r="D65" s="54" t="str">
        <f>IF('Game Info'!S48="","",'Game Info'!S48)</f>
        <v>SYM4</v>
      </c>
      <c r="E65" s="54" t="str">
        <f>IF('Game Info'!T48="","",'Game Info'!T48)</f>
        <v>SYM3</v>
      </c>
      <c r="F65" s="55" t="str">
        <f>IF('Game Info'!U48="","",'Game Info'!U48)</f>
        <v>SYM3</v>
      </c>
      <c r="H65" s="102"/>
      <c r="I65" s="97"/>
      <c r="J65" s="97"/>
      <c r="K65" s="97"/>
      <c r="L65" s="103"/>
      <c r="N65" s="102"/>
      <c r="O65" s="97"/>
      <c r="P65" s="97"/>
      <c r="Q65" s="97"/>
      <c r="R65" s="103"/>
      <c r="T65" s="102"/>
      <c r="U65" s="97"/>
      <c r="V65" s="97"/>
      <c r="W65" s="97"/>
      <c r="X65" s="103"/>
      <c r="Z65" s="102"/>
      <c r="AA65" s="97"/>
      <c r="AB65" s="97"/>
      <c r="AC65" s="97"/>
      <c r="AD65" s="103"/>
      <c r="AF65" s="102"/>
      <c r="AG65" s="97"/>
      <c r="AH65" s="97"/>
      <c r="AI65" s="97"/>
      <c r="AJ65" s="103"/>
      <c r="AL65" s="102"/>
      <c r="AM65" s="97"/>
      <c r="AN65" s="97"/>
      <c r="AO65" s="97"/>
      <c r="AP65" s="103"/>
      <c r="AR65" s="102"/>
      <c r="AS65" s="97"/>
      <c r="AT65" s="97"/>
      <c r="AU65" s="97"/>
      <c r="AV65" s="103"/>
      <c r="AX65" s="102"/>
      <c r="AY65" s="97"/>
      <c r="AZ65" s="97"/>
      <c r="BA65" s="97"/>
      <c r="BB65" s="103"/>
      <c r="BD65" s="102"/>
      <c r="BE65" s="97"/>
      <c r="BF65" s="97"/>
      <c r="BG65" s="97"/>
      <c r="BH65" s="103"/>
      <c r="BJ65" s="102"/>
      <c r="BK65" s="97"/>
      <c r="BL65" s="97"/>
      <c r="BM65" s="97"/>
      <c r="BN65" s="103"/>
      <c r="BP65" s="102"/>
      <c r="BQ65" s="97"/>
      <c r="BR65" s="97"/>
      <c r="BS65" s="97"/>
      <c r="BT65" s="103"/>
    </row>
    <row r="66" spans="1:72" x14ac:dyDescent="0.25">
      <c r="A66" s="4">
        <v>44</v>
      </c>
      <c r="B66" s="54" t="str">
        <f>IF('Game Info'!Q49="","",'Game Info'!Q49)</f>
        <v>A</v>
      </c>
      <c r="C66" s="54" t="str">
        <f>IF('Game Info'!R49="","",'Game Info'!R49)</f>
        <v>SYM3</v>
      </c>
      <c r="D66" s="54" t="str">
        <f>IF('Game Info'!S49="","",'Game Info'!S49)</f>
        <v>SYM4</v>
      </c>
      <c r="E66" s="54" t="str">
        <f>IF('Game Info'!T49="","",'Game Info'!T49)</f>
        <v>SYM3</v>
      </c>
      <c r="F66" s="55" t="str">
        <f>IF('Game Info'!U49="","",'Game Info'!U49)</f>
        <v>Q</v>
      </c>
      <c r="H66" s="102"/>
      <c r="I66" s="97"/>
      <c r="J66" s="97"/>
      <c r="K66" s="97"/>
      <c r="L66" s="103"/>
      <c r="N66" s="102"/>
      <c r="O66" s="97"/>
      <c r="P66" s="97"/>
      <c r="Q66" s="97"/>
      <c r="R66" s="103"/>
      <c r="T66" s="102"/>
      <c r="U66" s="97"/>
      <c r="V66" s="97"/>
      <c r="W66" s="97"/>
      <c r="X66" s="103"/>
      <c r="Z66" s="102"/>
      <c r="AA66" s="97"/>
      <c r="AB66" s="97"/>
      <c r="AC66" s="97"/>
      <c r="AD66" s="103"/>
      <c r="AF66" s="102"/>
      <c r="AG66" s="97"/>
      <c r="AH66" s="97"/>
      <c r="AI66" s="97"/>
      <c r="AJ66" s="103"/>
      <c r="AL66" s="102"/>
      <c r="AM66" s="97"/>
      <c r="AN66" s="97"/>
      <c r="AO66" s="97"/>
      <c r="AP66" s="103"/>
      <c r="AR66" s="102"/>
      <c r="AS66" s="97"/>
      <c r="AT66" s="97"/>
      <c r="AU66" s="97"/>
      <c r="AV66" s="103"/>
      <c r="AX66" s="102"/>
      <c r="AY66" s="97"/>
      <c r="AZ66" s="97"/>
      <c r="BA66" s="97"/>
      <c r="BB66" s="103"/>
      <c r="BD66" s="102"/>
      <c r="BE66" s="97"/>
      <c r="BF66" s="97"/>
      <c r="BG66" s="97"/>
      <c r="BH66" s="103"/>
      <c r="BJ66" s="102"/>
      <c r="BK66" s="97"/>
      <c r="BL66" s="97"/>
      <c r="BM66" s="97"/>
      <c r="BN66" s="103"/>
      <c r="BP66" s="102"/>
      <c r="BQ66" s="97"/>
      <c r="BR66" s="97"/>
      <c r="BS66" s="97"/>
      <c r="BT66" s="103"/>
    </row>
    <row r="67" spans="1:72" x14ac:dyDescent="0.25">
      <c r="A67" s="4">
        <v>45</v>
      </c>
      <c r="B67" s="54" t="str">
        <f>IF('Game Info'!Q50="","",'Game Info'!Q50)</f>
        <v>J</v>
      </c>
      <c r="C67" s="54" t="str">
        <f>IF('Game Info'!R50="","",'Game Info'!R50)</f>
        <v>K</v>
      </c>
      <c r="D67" s="54" t="str">
        <f>IF('Game Info'!S50="","",'Game Info'!S50)</f>
        <v>SYM4</v>
      </c>
      <c r="E67" s="54" t="str">
        <f>IF('Game Info'!T50="","",'Game Info'!T50)</f>
        <v>SYM3</v>
      </c>
      <c r="F67" s="55" t="str">
        <f>IF('Game Info'!U50="","",'Game Info'!U50)</f>
        <v>A</v>
      </c>
      <c r="H67" s="102"/>
      <c r="I67" s="97"/>
      <c r="J67" s="97"/>
      <c r="K67" s="97"/>
      <c r="L67" s="103"/>
      <c r="N67" s="102"/>
      <c r="O67" s="97"/>
      <c r="P67" s="97"/>
      <c r="Q67" s="97"/>
      <c r="R67" s="103"/>
      <c r="T67" s="102"/>
      <c r="U67" s="97"/>
      <c r="V67" s="97"/>
      <c r="W67" s="97"/>
      <c r="X67" s="103"/>
      <c r="Z67" s="102"/>
      <c r="AA67" s="97"/>
      <c r="AB67" s="97"/>
      <c r="AC67" s="97"/>
      <c r="AD67" s="103"/>
      <c r="AF67" s="102"/>
      <c r="AG67" s="97"/>
      <c r="AH67" s="97"/>
      <c r="AI67" s="97"/>
      <c r="AJ67" s="103"/>
      <c r="AL67" s="102"/>
      <c r="AM67" s="97"/>
      <c r="AN67" s="97"/>
      <c r="AO67" s="97"/>
      <c r="AP67" s="103"/>
      <c r="AR67" s="102"/>
      <c r="AS67" s="97"/>
      <c r="AT67" s="97"/>
      <c r="AU67" s="97"/>
      <c r="AV67" s="103"/>
      <c r="AX67" s="102"/>
      <c r="AY67" s="97"/>
      <c r="AZ67" s="97"/>
      <c r="BA67" s="97"/>
      <c r="BB67" s="103"/>
      <c r="BD67" s="102"/>
      <c r="BE67" s="97"/>
      <c r="BF67" s="97"/>
      <c r="BG67" s="97"/>
      <c r="BH67" s="103"/>
      <c r="BJ67" s="102"/>
      <c r="BK67" s="97"/>
      <c r="BL67" s="97"/>
      <c r="BM67" s="97"/>
      <c r="BN67" s="103"/>
      <c r="BP67" s="102"/>
      <c r="BQ67" s="97"/>
      <c r="BR67" s="97"/>
      <c r="BS67" s="97"/>
      <c r="BT67" s="103"/>
    </row>
    <row r="68" spans="1:72" x14ac:dyDescent="0.25">
      <c r="A68" s="4">
        <v>46</v>
      </c>
      <c r="B68" s="54">
        <f>IF('Game Info'!Q51="","",'Game Info'!Q51)</f>
        <v>10</v>
      </c>
      <c r="C68" s="54" t="str">
        <f>IF('Game Info'!R51="","",'Game Info'!R51)</f>
        <v>SYM2</v>
      </c>
      <c r="D68" s="54" t="str">
        <f>IF('Game Info'!S51="","",'Game Info'!S51)</f>
        <v>K</v>
      </c>
      <c r="E68" s="54">
        <f>IF('Game Info'!T51="","",'Game Info'!T51)</f>
        <v>9</v>
      </c>
      <c r="F68" s="55" t="str">
        <f>IF('Game Info'!U51="","",'Game Info'!U51)</f>
        <v>SYM4</v>
      </c>
      <c r="H68" s="102"/>
      <c r="I68" s="97"/>
      <c r="J68" s="97"/>
      <c r="K68" s="97"/>
      <c r="L68" s="103"/>
      <c r="N68" s="102"/>
      <c r="O68" s="97"/>
      <c r="P68" s="97"/>
      <c r="Q68" s="97"/>
      <c r="R68" s="103"/>
      <c r="T68" s="102"/>
      <c r="U68" s="97"/>
      <c r="V68" s="97"/>
      <c r="W68" s="97"/>
      <c r="X68" s="103"/>
      <c r="Z68" s="102"/>
      <c r="AA68" s="97"/>
      <c r="AB68" s="97"/>
      <c r="AC68" s="97"/>
      <c r="AD68" s="103"/>
      <c r="AF68" s="102"/>
      <c r="AG68" s="97"/>
      <c r="AH68" s="97"/>
      <c r="AI68" s="97"/>
      <c r="AJ68" s="103"/>
      <c r="AL68" s="102"/>
      <c r="AM68" s="97"/>
      <c r="AN68" s="97"/>
      <c r="AO68" s="97"/>
      <c r="AP68" s="103"/>
      <c r="AR68" s="102"/>
      <c r="AS68" s="97"/>
      <c r="AT68" s="97"/>
      <c r="AU68" s="97"/>
      <c r="AV68" s="103"/>
      <c r="AX68" s="102"/>
      <c r="AY68" s="97"/>
      <c r="AZ68" s="97"/>
      <c r="BA68" s="97"/>
      <c r="BB68" s="103"/>
      <c r="BD68" s="102"/>
      <c r="BE68" s="97"/>
      <c r="BF68" s="97"/>
      <c r="BG68" s="97"/>
      <c r="BH68" s="103"/>
      <c r="BJ68" s="102"/>
      <c r="BK68" s="97"/>
      <c r="BL68" s="97"/>
      <c r="BM68" s="97"/>
      <c r="BN68" s="103"/>
      <c r="BP68" s="102"/>
      <c r="BQ68" s="97"/>
      <c r="BR68" s="97"/>
      <c r="BS68" s="97"/>
      <c r="BT68" s="103"/>
    </row>
    <row r="69" spans="1:72" x14ac:dyDescent="0.25">
      <c r="A69" s="4">
        <v>47</v>
      </c>
      <c r="B69" s="54" t="str">
        <f>IF('Game Info'!Q52="","",'Game Info'!Q52)</f>
        <v>SYM2</v>
      </c>
      <c r="C69" s="54" t="str">
        <f>IF('Game Info'!R52="","",'Game Info'!R52)</f>
        <v>SYM2</v>
      </c>
      <c r="D69" s="54" t="str">
        <f>IF('Game Info'!S52="","",'Game Info'!S52)</f>
        <v>SYM5</v>
      </c>
      <c r="E69" s="54" t="str">
        <f>IF('Game Info'!T52="","",'Game Info'!T52)</f>
        <v>K</v>
      </c>
      <c r="F69" s="55" t="str">
        <f>IF('Game Info'!U52="","",'Game Info'!U52)</f>
        <v>K</v>
      </c>
      <c r="H69" s="102"/>
      <c r="I69" s="97"/>
      <c r="J69" s="97"/>
      <c r="K69" s="97"/>
      <c r="L69" s="103"/>
      <c r="N69" s="102"/>
      <c r="O69" s="97"/>
      <c r="P69" s="97"/>
      <c r="Q69" s="97"/>
      <c r="R69" s="103"/>
      <c r="T69" s="102"/>
      <c r="U69" s="97"/>
      <c r="V69" s="97"/>
      <c r="W69" s="97"/>
      <c r="X69" s="103"/>
      <c r="Z69" s="102"/>
      <c r="AA69" s="97"/>
      <c r="AB69" s="97"/>
      <c r="AC69" s="97"/>
      <c r="AD69" s="103"/>
      <c r="AF69" s="102"/>
      <c r="AG69" s="97"/>
      <c r="AH69" s="97"/>
      <c r="AI69" s="97"/>
      <c r="AJ69" s="103"/>
      <c r="AL69" s="102"/>
      <c r="AM69" s="97"/>
      <c r="AN69" s="97"/>
      <c r="AO69" s="97"/>
      <c r="AP69" s="103"/>
      <c r="AR69" s="102"/>
      <c r="AS69" s="97"/>
      <c r="AT69" s="97"/>
      <c r="AU69" s="97"/>
      <c r="AV69" s="103"/>
      <c r="AX69" s="102"/>
      <c r="AY69" s="97"/>
      <c r="AZ69" s="97"/>
      <c r="BA69" s="97"/>
      <c r="BB69" s="103"/>
      <c r="BD69" s="102"/>
      <c r="BE69" s="97"/>
      <c r="BF69" s="97"/>
      <c r="BG69" s="97"/>
      <c r="BH69" s="103"/>
      <c r="BJ69" s="102"/>
      <c r="BK69" s="97"/>
      <c r="BL69" s="97"/>
      <c r="BM69" s="97"/>
      <c r="BN69" s="103"/>
      <c r="BP69" s="102"/>
      <c r="BQ69" s="97"/>
      <c r="BR69" s="97"/>
      <c r="BS69" s="97"/>
      <c r="BT69" s="103"/>
    </row>
    <row r="70" spans="1:72" x14ac:dyDescent="0.25">
      <c r="A70" s="4">
        <v>48</v>
      </c>
      <c r="B70" s="54">
        <f>IF('Game Info'!Q53="","",'Game Info'!Q53)</f>
        <v>9</v>
      </c>
      <c r="C70" s="54" t="str">
        <f>IF('Game Info'!R53="","",'Game Info'!R53)</f>
        <v>Q</v>
      </c>
      <c r="D70" s="54" t="str">
        <f>IF('Game Info'!S53="","",'Game Info'!S53)</f>
        <v>J</v>
      </c>
      <c r="E70" s="54" t="str">
        <f>IF('Game Info'!T53="","",'Game Info'!T53)</f>
        <v>SYM5</v>
      </c>
      <c r="F70" s="55" t="str">
        <f>IF('Game Info'!U53="","",'Game Info'!U53)</f>
        <v>SYM3</v>
      </c>
      <c r="H70" s="102"/>
      <c r="I70" s="97"/>
      <c r="J70" s="97"/>
      <c r="K70" s="97"/>
      <c r="L70" s="103"/>
      <c r="N70" s="102"/>
      <c r="O70" s="97"/>
      <c r="P70" s="97"/>
      <c r="Q70" s="97"/>
      <c r="R70" s="103"/>
      <c r="T70" s="102"/>
      <c r="U70" s="97"/>
      <c r="V70" s="97"/>
      <c r="W70" s="97"/>
      <c r="X70" s="103"/>
      <c r="Z70" s="102"/>
      <c r="AA70" s="97"/>
      <c r="AB70" s="97"/>
      <c r="AC70" s="97"/>
      <c r="AD70" s="103"/>
      <c r="AF70" s="102"/>
      <c r="AG70" s="97"/>
      <c r="AH70" s="97"/>
      <c r="AI70" s="97"/>
      <c r="AJ70" s="103"/>
      <c r="AL70" s="102"/>
      <c r="AM70" s="97"/>
      <c r="AN70" s="97"/>
      <c r="AO70" s="97"/>
      <c r="AP70" s="103"/>
      <c r="AR70" s="102"/>
      <c r="AS70" s="97"/>
      <c r="AT70" s="97"/>
      <c r="AU70" s="97"/>
      <c r="AV70" s="103"/>
      <c r="AX70" s="102"/>
      <c r="AY70" s="97"/>
      <c r="AZ70" s="97"/>
      <c r="BA70" s="97"/>
      <c r="BB70" s="103"/>
      <c r="BD70" s="102"/>
      <c r="BE70" s="97"/>
      <c r="BF70" s="97"/>
      <c r="BG70" s="97"/>
      <c r="BH70" s="103"/>
      <c r="BJ70" s="102"/>
      <c r="BK70" s="97"/>
      <c r="BL70" s="97"/>
      <c r="BM70" s="97"/>
      <c r="BN70" s="103"/>
      <c r="BP70" s="102"/>
      <c r="BQ70" s="97"/>
      <c r="BR70" s="97"/>
      <c r="BS70" s="97"/>
      <c r="BT70" s="103"/>
    </row>
    <row r="71" spans="1:72" x14ac:dyDescent="0.25">
      <c r="A71" s="4">
        <v>49</v>
      </c>
      <c r="B71" s="54" t="str">
        <f>IF('Game Info'!Q54="","",'Game Info'!Q54)</f>
        <v>SYM4</v>
      </c>
      <c r="C71" s="54" t="str">
        <f>IF('Game Info'!R54="","",'Game Info'!R54)</f>
        <v>SYM5</v>
      </c>
      <c r="D71" s="54" t="str">
        <f>IF('Game Info'!S54="","",'Game Info'!S54)</f>
        <v>SYM1</v>
      </c>
      <c r="E71" s="54" t="str">
        <f>IF('Game Info'!T54="","",'Game Info'!T54)</f>
        <v>J</v>
      </c>
      <c r="F71" s="55" t="str">
        <f>IF('Game Info'!U54="","",'Game Info'!U54)</f>
        <v>SYM3</v>
      </c>
      <c r="H71" s="102"/>
      <c r="I71" s="97"/>
      <c r="J71" s="97"/>
      <c r="K71" s="97"/>
      <c r="L71" s="103"/>
      <c r="N71" s="102"/>
      <c r="O71" s="97"/>
      <c r="P71" s="97"/>
      <c r="Q71" s="97"/>
      <c r="R71" s="103"/>
      <c r="T71" s="102"/>
      <c r="U71" s="97"/>
      <c r="V71" s="97"/>
      <c r="W71" s="97"/>
      <c r="X71" s="103"/>
      <c r="Z71" s="102"/>
      <c r="AA71" s="97"/>
      <c r="AB71" s="97"/>
      <c r="AC71" s="97"/>
      <c r="AD71" s="103"/>
      <c r="AF71" s="102"/>
      <c r="AG71" s="97"/>
      <c r="AH71" s="97"/>
      <c r="AI71" s="97"/>
      <c r="AJ71" s="103"/>
      <c r="AL71" s="102"/>
      <c r="AM71" s="97"/>
      <c r="AN71" s="97"/>
      <c r="AO71" s="97"/>
      <c r="AP71" s="103"/>
      <c r="AR71" s="102"/>
      <c r="AS71" s="97"/>
      <c r="AT71" s="97"/>
      <c r="AU71" s="97"/>
      <c r="AV71" s="103"/>
      <c r="AX71" s="102"/>
      <c r="AY71" s="97"/>
      <c r="AZ71" s="97"/>
      <c r="BA71" s="97"/>
      <c r="BB71" s="103"/>
      <c r="BD71" s="102"/>
      <c r="BE71" s="97"/>
      <c r="BF71" s="97"/>
      <c r="BG71" s="97"/>
      <c r="BH71" s="103"/>
      <c r="BJ71" s="102"/>
      <c r="BK71" s="97"/>
      <c r="BL71" s="97"/>
      <c r="BM71" s="97"/>
      <c r="BN71" s="103"/>
      <c r="BP71" s="102"/>
      <c r="BQ71" s="97"/>
      <c r="BR71" s="97"/>
      <c r="BS71" s="97"/>
      <c r="BT71" s="103"/>
    </row>
    <row r="72" spans="1:72" x14ac:dyDescent="0.25">
      <c r="A72" s="4">
        <v>50</v>
      </c>
      <c r="B72" s="54" t="str">
        <f>IF('Game Info'!Q55="","",'Game Info'!Q55)</f>
        <v>J</v>
      </c>
      <c r="C72" s="54" t="str">
        <f>IF('Game Info'!R55="","",'Game Info'!R55)</f>
        <v>Q</v>
      </c>
      <c r="D72" s="54" t="str">
        <f>IF('Game Info'!S55="","",'Game Info'!S55)</f>
        <v>SYM1</v>
      </c>
      <c r="E72" s="54" t="str">
        <f>IF('Game Info'!T55="","",'Game Info'!T55)</f>
        <v>A</v>
      </c>
      <c r="F72" s="55" t="str">
        <f>IF('Game Info'!U55="","",'Game Info'!U55)</f>
        <v>SYM3</v>
      </c>
      <c r="H72" s="102"/>
      <c r="I72" s="97"/>
      <c r="J72" s="97"/>
      <c r="K72" s="97"/>
      <c r="L72" s="103"/>
      <c r="N72" s="102"/>
      <c r="O72" s="97"/>
      <c r="P72" s="97"/>
      <c r="Q72" s="97"/>
      <c r="R72" s="103"/>
      <c r="T72" s="102"/>
      <c r="U72" s="97"/>
      <c r="V72" s="97"/>
      <c r="W72" s="97"/>
      <c r="X72" s="103"/>
      <c r="Z72" s="102"/>
      <c r="AA72" s="97"/>
      <c r="AB72" s="97"/>
      <c r="AC72" s="97"/>
      <c r="AD72" s="103"/>
      <c r="AF72" s="102"/>
      <c r="AG72" s="97"/>
      <c r="AH72" s="97"/>
      <c r="AI72" s="97"/>
      <c r="AJ72" s="103"/>
      <c r="AL72" s="102"/>
      <c r="AM72" s="97"/>
      <c r="AN72" s="97"/>
      <c r="AO72" s="97"/>
      <c r="AP72" s="103"/>
      <c r="AR72" s="102"/>
      <c r="AS72" s="97"/>
      <c r="AT72" s="97"/>
      <c r="AU72" s="97"/>
      <c r="AV72" s="103"/>
      <c r="AX72" s="102"/>
      <c r="AY72" s="97"/>
      <c r="AZ72" s="97"/>
      <c r="BA72" s="97"/>
      <c r="BB72" s="103"/>
      <c r="BD72" s="102"/>
      <c r="BE72" s="97"/>
      <c r="BF72" s="97"/>
      <c r="BG72" s="97"/>
      <c r="BH72" s="103"/>
      <c r="BJ72" s="102"/>
      <c r="BK72" s="97"/>
      <c r="BL72" s="97"/>
      <c r="BM72" s="97"/>
      <c r="BN72" s="103"/>
      <c r="BP72" s="102"/>
      <c r="BQ72" s="97"/>
      <c r="BR72" s="97"/>
      <c r="BS72" s="97"/>
      <c r="BT72" s="103"/>
    </row>
    <row r="73" spans="1:72" x14ac:dyDescent="0.25">
      <c r="A73" s="4">
        <v>51</v>
      </c>
      <c r="B73" s="54" t="str">
        <f>IF('Game Info'!Q56="","",'Game Info'!Q56)</f>
        <v>SYM3</v>
      </c>
      <c r="C73" s="54" t="str">
        <f>IF('Game Info'!R56="","",'Game Info'!R56)</f>
        <v>SYM4</v>
      </c>
      <c r="D73" s="54" t="str">
        <f>IF('Game Info'!S56="","",'Game Info'!S56)</f>
        <v>Q</v>
      </c>
      <c r="E73" s="54" t="str">
        <f>IF('Game Info'!T56="","",'Game Info'!T56)</f>
        <v>SYM4</v>
      </c>
      <c r="F73" s="55" t="str">
        <f>IF('Game Info'!U56="","",'Game Info'!U56)</f>
        <v>Q</v>
      </c>
      <c r="H73" s="102"/>
      <c r="I73" s="97"/>
      <c r="J73" s="97"/>
      <c r="K73" s="97"/>
      <c r="L73" s="103"/>
      <c r="N73" s="102"/>
      <c r="O73" s="97"/>
      <c r="P73" s="97"/>
      <c r="Q73" s="97"/>
      <c r="R73" s="103"/>
      <c r="T73" s="102"/>
      <c r="U73" s="97"/>
      <c r="V73" s="97"/>
      <c r="W73" s="97"/>
      <c r="X73" s="103"/>
      <c r="Z73" s="102"/>
      <c r="AA73" s="97"/>
      <c r="AB73" s="97"/>
      <c r="AC73" s="97"/>
      <c r="AD73" s="103"/>
      <c r="AF73" s="102"/>
      <c r="AG73" s="97"/>
      <c r="AH73" s="97"/>
      <c r="AI73" s="97"/>
      <c r="AJ73" s="103"/>
      <c r="AL73" s="102"/>
      <c r="AM73" s="97"/>
      <c r="AN73" s="97"/>
      <c r="AO73" s="97"/>
      <c r="AP73" s="103"/>
      <c r="AR73" s="102"/>
      <c r="AS73" s="97"/>
      <c r="AT73" s="97"/>
      <c r="AU73" s="97"/>
      <c r="AV73" s="103"/>
      <c r="AX73" s="102"/>
      <c r="AY73" s="97"/>
      <c r="AZ73" s="97"/>
      <c r="BA73" s="97"/>
      <c r="BB73" s="103"/>
      <c r="BD73" s="102"/>
      <c r="BE73" s="97"/>
      <c r="BF73" s="97"/>
      <c r="BG73" s="97"/>
      <c r="BH73" s="103"/>
      <c r="BJ73" s="102"/>
      <c r="BK73" s="97"/>
      <c r="BL73" s="97"/>
      <c r="BM73" s="97"/>
      <c r="BN73" s="103"/>
      <c r="BP73" s="102"/>
      <c r="BQ73" s="97"/>
      <c r="BR73" s="97"/>
      <c r="BS73" s="97"/>
      <c r="BT73" s="103"/>
    </row>
    <row r="74" spans="1:72" x14ac:dyDescent="0.25">
      <c r="A74" s="4">
        <v>52</v>
      </c>
      <c r="B74" s="54" t="str">
        <f>IF('Game Info'!Q57="","",'Game Info'!Q57)</f>
        <v>K</v>
      </c>
      <c r="C74" s="54" t="str">
        <f>IF('Game Info'!R57="","",'Game Info'!R57)</f>
        <v>SYM4</v>
      </c>
      <c r="D74" s="54" t="str">
        <f>IF('Game Info'!S57="","",'Game Info'!S57)</f>
        <v>K</v>
      </c>
      <c r="E74" s="54" t="str">
        <f>IF('Game Info'!T57="","",'Game Info'!T57)</f>
        <v>SYM4</v>
      </c>
      <c r="F74" s="55" t="str">
        <f>IF('Game Info'!U57="","",'Game Info'!U57)</f>
        <v>K</v>
      </c>
      <c r="H74" s="102"/>
      <c r="I74" s="97"/>
      <c r="J74" s="97"/>
      <c r="K74" s="97"/>
      <c r="L74" s="103"/>
      <c r="N74" s="102"/>
      <c r="O74" s="97"/>
      <c r="P74" s="97"/>
      <c r="Q74" s="97"/>
      <c r="R74" s="103"/>
      <c r="T74" s="102"/>
      <c r="U74" s="97"/>
      <c r="V74" s="97"/>
      <c r="W74" s="97"/>
      <c r="X74" s="103"/>
      <c r="Z74" s="102"/>
      <c r="AA74" s="97"/>
      <c r="AB74" s="97"/>
      <c r="AC74" s="97"/>
      <c r="AD74" s="103"/>
      <c r="AF74" s="102"/>
      <c r="AG74" s="97"/>
      <c r="AH74" s="97"/>
      <c r="AI74" s="97"/>
      <c r="AJ74" s="103"/>
      <c r="AL74" s="102"/>
      <c r="AM74" s="97"/>
      <c r="AN74" s="97"/>
      <c r="AO74" s="97"/>
      <c r="AP74" s="103"/>
      <c r="AR74" s="102"/>
      <c r="AS74" s="97"/>
      <c r="AT74" s="97"/>
      <c r="AU74" s="97"/>
      <c r="AV74" s="103"/>
      <c r="AX74" s="102"/>
      <c r="AY74" s="97"/>
      <c r="AZ74" s="97"/>
      <c r="BA74" s="97"/>
      <c r="BB74" s="103"/>
      <c r="BD74" s="102"/>
      <c r="BE74" s="97"/>
      <c r="BF74" s="97"/>
      <c r="BG74" s="97"/>
      <c r="BH74" s="103"/>
      <c r="BJ74" s="102"/>
      <c r="BK74" s="97"/>
      <c r="BL74" s="97"/>
      <c r="BM74" s="97"/>
      <c r="BN74" s="103"/>
      <c r="BP74" s="102"/>
      <c r="BQ74" s="97"/>
      <c r="BR74" s="97"/>
      <c r="BS74" s="97"/>
      <c r="BT74" s="103"/>
    </row>
    <row r="75" spans="1:72" x14ac:dyDescent="0.25">
      <c r="A75" s="4">
        <v>53</v>
      </c>
      <c r="B75" s="54">
        <f>IF('Game Info'!Q58="","",'Game Info'!Q58)</f>
        <v>9</v>
      </c>
      <c r="C75" s="54" t="str">
        <f>IF('Game Info'!R58="","",'Game Info'!R58)</f>
        <v>SYM4</v>
      </c>
      <c r="D75" s="54" t="str">
        <f>IF('Game Info'!S58="","",'Game Info'!S58)</f>
        <v>J</v>
      </c>
      <c r="E75" s="54" t="str">
        <f>IF('Game Info'!T58="","",'Game Info'!T58)</f>
        <v>SYM4</v>
      </c>
      <c r="F75" s="55" t="str">
        <f>IF('Game Info'!U58="","",'Game Info'!U58)</f>
        <v>SYM2</v>
      </c>
      <c r="H75" s="102"/>
      <c r="I75" s="97"/>
      <c r="J75" s="97"/>
      <c r="K75" s="97"/>
      <c r="L75" s="103"/>
      <c r="N75" s="102"/>
      <c r="O75" s="97"/>
      <c r="P75" s="97"/>
      <c r="Q75" s="97"/>
      <c r="R75" s="103"/>
      <c r="T75" s="102"/>
      <c r="U75" s="97"/>
      <c r="V75" s="97"/>
      <c r="W75" s="97"/>
      <c r="X75" s="103"/>
      <c r="Z75" s="102"/>
      <c r="AA75" s="97"/>
      <c r="AB75" s="97"/>
      <c r="AC75" s="97"/>
      <c r="AD75" s="103"/>
      <c r="AF75" s="102"/>
      <c r="AG75" s="97"/>
      <c r="AH75" s="97"/>
      <c r="AI75" s="97"/>
      <c r="AJ75" s="103"/>
      <c r="AL75" s="102"/>
      <c r="AM75" s="97"/>
      <c r="AN75" s="97"/>
      <c r="AO75" s="97"/>
      <c r="AP75" s="103"/>
      <c r="AR75" s="102"/>
      <c r="AS75" s="97"/>
      <c r="AT75" s="97"/>
      <c r="AU75" s="97"/>
      <c r="AV75" s="103"/>
      <c r="AX75" s="102"/>
      <c r="AY75" s="97"/>
      <c r="AZ75" s="97"/>
      <c r="BA75" s="97"/>
      <c r="BB75" s="103"/>
      <c r="BD75" s="102"/>
      <c r="BE75" s="97"/>
      <c r="BF75" s="97"/>
      <c r="BG75" s="97"/>
      <c r="BH75" s="103"/>
      <c r="BJ75" s="102"/>
      <c r="BK75" s="97"/>
      <c r="BL75" s="97"/>
      <c r="BM75" s="97"/>
      <c r="BN75" s="103"/>
      <c r="BP75" s="102"/>
      <c r="BQ75" s="97"/>
      <c r="BR75" s="97"/>
      <c r="BS75" s="97"/>
      <c r="BT75" s="103"/>
    </row>
    <row r="76" spans="1:72" x14ac:dyDescent="0.25">
      <c r="A76" s="4">
        <v>54</v>
      </c>
      <c r="B76" s="54" t="str">
        <f>IF('Game Info'!Q59="","",'Game Info'!Q59)</f>
        <v>SYM1</v>
      </c>
      <c r="C76" s="54">
        <f>IF('Game Info'!R59="","",'Game Info'!R59)</f>
        <v>9</v>
      </c>
      <c r="D76" s="54" t="str">
        <f>IF('Game Info'!S59="","",'Game Info'!S59)</f>
        <v>SYM2</v>
      </c>
      <c r="E76" s="54">
        <f>IF('Game Info'!T59="","",'Game Info'!T59)</f>
        <v>10</v>
      </c>
      <c r="F76" s="55" t="str">
        <f>IF('Game Info'!U59="","",'Game Info'!U59)</f>
        <v>A</v>
      </c>
      <c r="H76" s="102"/>
      <c r="I76" s="97"/>
      <c r="J76" s="97"/>
      <c r="K76" s="97"/>
      <c r="L76" s="103"/>
      <c r="N76" s="102"/>
      <c r="O76" s="97"/>
      <c r="P76" s="97"/>
      <c r="Q76" s="97"/>
      <c r="R76" s="103"/>
      <c r="T76" s="102"/>
      <c r="U76" s="97"/>
      <c r="V76" s="97"/>
      <c r="W76" s="97"/>
      <c r="X76" s="103"/>
      <c r="Z76" s="102"/>
      <c r="AA76" s="97"/>
      <c r="AB76" s="97"/>
      <c r="AC76" s="97"/>
      <c r="AD76" s="103"/>
      <c r="AF76" s="102"/>
      <c r="AG76" s="97"/>
      <c r="AH76" s="97"/>
      <c r="AI76" s="97"/>
      <c r="AJ76" s="103"/>
      <c r="AL76" s="102"/>
      <c r="AM76" s="97"/>
      <c r="AN76" s="97"/>
      <c r="AO76" s="97"/>
      <c r="AP76" s="103"/>
      <c r="AR76" s="102"/>
      <c r="AS76" s="97"/>
      <c r="AT76" s="97"/>
      <c r="AU76" s="97"/>
      <c r="AV76" s="103"/>
      <c r="AX76" s="102"/>
      <c r="AY76" s="97"/>
      <c r="AZ76" s="97"/>
      <c r="BA76" s="97"/>
      <c r="BB76" s="103"/>
      <c r="BD76" s="102"/>
      <c r="BE76" s="97"/>
      <c r="BF76" s="97"/>
      <c r="BG76" s="97"/>
      <c r="BH76" s="103"/>
      <c r="BJ76" s="102"/>
      <c r="BK76" s="97"/>
      <c r="BL76" s="97"/>
      <c r="BM76" s="97"/>
      <c r="BN76" s="103"/>
      <c r="BP76" s="102"/>
      <c r="BQ76" s="97"/>
      <c r="BR76" s="97"/>
      <c r="BS76" s="97"/>
      <c r="BT76" s="103"/>
    </row>
    <row r="77" spans="1:72" x14ac:dyDescent="0.25">
      <c r="A77" s="4">
        <v>55</v>
      </c>
      <c r="B77" s="54" t="str">
        <f>IF('Game Info'!Q60="","",'Game Info'!Q60)</f>
        <v>SYM1</v>
      </c>
      <c r="C77" s="54">
        <f>IF('Game Info'!R60="","",'Game Info'!R60)</f>
        <v>10</v>
      </c>
      <c r="D77" s="54">
        <f>IF('Game Info'!S60="","",'Game Info'!S60)</f>
        <v>10</v>
      </c>
      <c r="E77" s="54" t="str">
        <f>IF('Game Info'!T60="","",'Game Info'!T60)</f>
        <v>SYM3</v>
      </c>
      <c r="F77" s="55" t="str">
        <f>IF('Game Info'!U60="","",'Game Info'!U60)</f>
        <v>SYM5</v>
      </c>
      <c r="H77" s="102"/>
      <c r="I77" s="97"/>
      <c r="J77" s="97"/>
      <c r="K77" s="97"/>
      <c r="L77" s="103"/>
      <c r="N77" s="102"/>
      <c r="O77" s="97"/>
      <c r="P77" s="97"/>
      <c r="Q77" s="97"/>
      <c r="R77" s="103"/>
      <c r="T77" s="102"/>
      <c r="U77" s="97"/>
      <c r="V77" s="97"/>
      <c r="W77" s="97"/>
      <c r="X77" s="103"/>
      <c r="Z77" s="102"/>
      <c r="AA77" s="97"/>
      <c r="AB77" s="97"/>
      <c r="AC77" s="97"/>
      <c r="AD77" s="103"/>
      <c r="AF77" s="102"/>
      <c r="AG77" s="97"/>
      <c r="AH77" s="97"/>
      <c r="AI77" s="97"/>
      <c r="AJ77" s="103"/>
      <c r="AL77" s="102"/>
      <c r="AM77" s="97"/>
      <c r="AN77" s="97"/>
      <c r="AO77" s="97"/>
      <c r="AP77" s="103"/>
      <c r="AR77" s="102"/>
      <c r="AS77" s="97"/>
      <c r="AT77" s="97"/>
      <c r="AU77" s="97"/>
      <c r="AV77" s="103"/>
      <c r="AX77" s="102"/>
      <c r="AY77" s="97"/>
      <c r="AZ77" s="97"/>
      <c r="BA77" s="97"/>
      <c r="BB77" s="103"/>
      <c r="BD77" s="102"/>
      <c r="BE77" s="97"/>
      <c r="BF77" s="97"/>
      <c r="BG77" s="97"/>
      <c r="BH77" s="103"/>
      <c r="BJ77" s="102"/>
      <c r="BK77" s="97"/>
      <c r="BL77" s="97"/>
      <c r="BM77" s="97"/>
      <c r="BN77" s="103"/>
      <c r="BP77" s="102"/>
      <c r="BQ77" s="97"/>
      <c r="BR77" s="97"/>
      <c r="BS77" s="97"/>
      <c r="BT77" s="103"/>
    </row>
    <row r="78" spans="1:72" x14ac:dyDescent="0.25">
      <c r="A78" s="4">
        <v>56</v>
      </c>
      <c r="B78" s="54">
        <f>IF('Game Info'!Q61="","",'Game Info'!Q61)</f>
        <v>10</v>
      </c>
      <c r="C78" s="54" t="str">
        <f>IF('Game Info'!R61="","",'Game Info'!R61)</f>
        <v>SYM2</v>
      </c>
      <c r="D78" s="54" t="str">
        <f>IF('Game Info'!S61="","",'Game Info'!S61)</f>
        <v>WILD</v>
      </c>
      <c r="E78" s="54" t="str">
        <f>IF('Game Info'!T61="","",'Game Info'!T61)</f>
        <v>K</v>
      </c>
      <c r="F78" s="55" t="str">
        <f>IF('Game Info'!U61="","",'Game Info'!U61)</f>
        <v>J</v>
      </c>
      <c r="H78" s="102"/>
      <c r="I78" s="97"/>
      <c r="J78" s="97"/>
      <c r="K78" s="97"/>
      <c r="L78" s="103"/>
      <c r="N78" s="102"/>
      <c r="O78" s="97"/>
      <c r="P78" s="97"/>
      <c r="Q78" s="97"/>
      <c r="R78" s="103"/>
      <c r="T78" s="102"/>
      <c r="U78" s="97"/>
      <c r="V78" s="97"/>
      <c r="W78" s="97"/>
      <c r="X78" s="103"/>
      <c r="Z78" s="102"/>
      <c r="AA78" s="97"/>
      <c r="AB78" s="97"/>
      <c r="AC78" s="97"/>
      <c r="AD78" s="103"/>
      <c r="AF78" s="102"/>
      <c r="AG78" s="97"/>
      <c r="AH78" s="97"/>
      <c r="AI78" s="97"/>
      <c r="AJ78" s="103"/>
      <c r="AL78" s="102"/>
      <c r="AM78" s="97"/>
      <c r="AN78" s="97"/>
      <c r="AO78" s="97"/>
      <c r="AP78" s="103"/>
      <c r="AR78" s="102"/>
      <c r="AS78" s="97"/>
      <c r="AT78" s="97"/>
      <c r="AU78" s="97"/>
      <c r="AV78" s="103"/>
      <c r="AX78" s="102"/>
      <c r="AY78" s="97"/>
      <c r="AZ78" s="97"/>
      <c r="BA78" s="97"/>
      <c r="BB78" s="103"/>
      <c r="BD78" s="102"/>
      <c r="BE78" s="97"/>
      <c r="BF78" s="97"/>
      <c r="BG78" s="97"/>
      <c r="BH78" s="103"/>
      <c r="BJ78" s="102"/>
      <c r="BK78" s="97"/>
      <c r="BL78" s="97"/>
      <c r="BM78" s="97"/>
      <c r="BN78" s="103"/>
      <c r="BP78" s="102"/>
      <c r="BQ78" s="97"/>
      <c r="BR78" s="97"/>
      <c r="BS78" s="97"/>
      <c r="BT78" s="103"/>
    </row>
    <row r="79" spans="1:72" x14ac:dyDescent="0.25">
      <c r="A79" s="4">
        <v>57</v>
      </c>
      <c r="B79" s="54" t="str">
        <f>IF('Game Info'!Q62="","",'Game Info'!Q62)</f>
        <v>Q</v>
      </c>
      <c r="C79" s="54" t="str">
        <f>IF('Game Info'!R62="","",'Game Info'!R62)</f>
        <v>J</v>
      </c>
      <c r="D79" s="54" t="str">
        <f>IF('Game Info'!S62="","",'Game Info'!S62)</f>
        <v>Q</v>
      </c>
      <c r="E79" s="54" t="str">
        <f>IF('Game Info'!T62="","",'Game Info'!T62)</f>
        <v>SYM5</v>
      </c>
      <c r="F79" s="55" t="str">
        <f>IF('Game Info'!U62="","",'Game Info'!U62)</f>
        <v>SYM1</v>
      </c>
      <c r="H79" s="102"/>
      <c r="I79" s="97"/>
      <c r="J79" s="97"/>
      <c r="K79" s="97"/>
      <c r="L79" s="103"/>
      <c r="N79" s="102"/>
      <c r="O79" s="97"/>
      <c r="P79" s="97"/>
      <c r="Q79" s="97"/>
      <c r="R79" s="103"/>
      <c r="T79" s="102"/>
      <c r="U79" s="97"/>
      <c r="V79" s="97"/>
      <c r="W79" s="97"/>
      <c r="X79" s="103"/>
      <c r="Z79" s="102"/>
      <c r="AA79" s="97"/>
      <c r="AB79" s="97"/>
      <c r="AC79" s="97"/>
      <c r="AD79" s="103"/>
      <c r="AF79" s="102"/>
      <c r="AG79" s="97"/>
      <c r="AH79" s="97"/>
      <c r="AI79" s="97"/>
      <c r="AJ79" s="103"/>
      <c r="AL79" s="102"/>
      <c r="AM79" s="97"/>
      <c r="AN79" s="97"/>
      <c r="AO79" s="97"/>
      <c r="AP79" s="103"/>
      <c r="AR79" s="102"/>
      <c r="AS79" s="97"/>
      <c r="AT79" s="97"/>
      <c r="AU79" s="97"/>
      <c r="AV79" s="103"/>
      <c r="AX79" s="102"/>
      <c r="AY79" s="97"/>
      <c r="AZ79" s="97"/>
      <c r="BA79" s="97"/>
      <c r="BB79" s="103"/>
      <c r="BD79" s="102"/>
      <c r="BE79" s="97"/>
      <c r="BF79" s="97"/>
      <c r="BG79" s="97"/>
      <c r="BH79" s="103"/>
      <c r="BJ79" s="102"/>
      <c r="BK79" s="97"/>
      <c r="BL79" s="97"/>
      <c r="BM79" s="97"/>
      <c r="BN79" s="103"/>
      <c r="BP79" s="102"/>
      <c r="BQ79" s="97"/>
      <c r="BR79" s="97"/>
      <c r="BS79" s="97"/>
      <c r="BT79" s="103"/>
    </row>
    <row r="80" spans="1:72" x14ac:dyDescent="0.25">
      <c r="A80" s="4">
        <v>58</v>
      </c>
      <c r="B80" s="54" t="str">
        <f>IF('Game Info'!Q63="","",'Game Info'!Q63)</f>
        <v>SYM3</v>
      </c>
      <c r="C80" s="54" t="str">
        <f>IF('Game Info'!R63="","",'Game Info'!R63)</f>
        <v>K</v>
      </c>
      <c r="D80" s="54" t="str">
        <f>IF('Game Info'!S63="","",'Game Info'!S63)</f>
        <v>SYM5</v>
      </c>
      <c r="E80" s="54" t="str">
        <f>IF('Game Info'!T63="","",'Game Info'!T63)</f>
        <v>Q</v>
      </c>
      <c r="F80" s="55" t="str">
        <f>IF('Game Info'!U63="","",'Game Info'!U63)</f>
        <v>K</v>
      </c>
      <c r="H80" s="102"/>
      <c r="I80" s="97"/>
      <c r="J80" s="97"/>
      <c r="K80" s="97"/>
      <c r="L80" s="103"/>
      <c r="N80" s="102"/>
      <c r="O80" s="97"/>
      <c r="P80" s="97"/>
      <c r="Q80" s="97"/>
      <c r="R80" s="103"/>
      <c r="T80" s="102"/>
      <c r="U80" s="97"/>
      <c r="V80" s="97"/>
      <c r="W80" s="97"/>
      <c r="X80" s="103"/>
      <c r="Z80" s="102"/>
      <c r="AA80" s="97"/>
      <c r="AB80" s="97"/>
      <c r="AC80" s="97"/>
      <c r="AD80" s="103"/>
      <c r="AF80" s="102"/>
      <c r="AG80" s="97"/>
      <c r="AH80" s="97"/>
      <c r="AI80" s="97"/>
      <c r="AJ80" s="103"/>
      <c r="AL80" s="102"/>
      <c r="AM80" s="97"/>
      <c r="AN80" s="97"/>
      <c r="AO80" s="97"/>
      <c r="AP80" s="103"/>
      <c r="AR80" s="102"/>
      <c r="AS80" s="97"/>
      <c r="AT80" s="97"/>
      <c r="AU80" s="97"/>
      <c r="AV80" s="103"/>
      <c r="AX80" s="102"/>
      <c r="AY80" s="97"/>
      <c r="AZ80" s="97"/>
      <c r="BA80" s="97"/>
      <c r="BB80" s="103"/>
      <c r="BD80" s="102"/>
      <c r="BE80" s="97"/>
      <c r="BF80" s="97"/>
      <c r="BG80" s="97"/>
      <c r="BH80" s="103"/>
      <c r="BJ80" s="102"/>
      <c r="BK80" s="97"/>
      <c r="BL80" s="97"/>
      <c r="BM80" s="97"/>
      <c r="BN80" s="103"/>
      <c r="BP80" s="102"/>
      <c r="BQ80" s="97"/>
      <c r="BR80" s="97"/>
      <c r="BS80" s="97"/>
      <c r="BT80" s="103"/>
    </row>
    <row r="81" spans="1:72" x14ac:dyDescent="0.25">
      <c r="A81" s="4">
        <v>59</v>
      </c>
      <c r="B81" s="54" t="str">
        <f>IF('Game Info'!Q64="","",'Game Info'!Q64)</f>
        <v>A</v>
      </c>
      <c r="C81" s="54" t="str">
        <f>IF('Game Info'!R64="","",'Game Info'!R64)</f>
        <v>FG</v>
      </c>
      <c r="D81" s="54">
        <f>IF('Game Info'!S64="","",'Game Info'!S64)</f>
        <v>10</v>
      </c>
      <c r="E81" s="54" t="str">
        <f>IF('Game Info'!T64="","",'Game Info'!T64)</f>
        <v>SYM2</v>
      </c>
      <c r="F81" s="55" t="str">
        <f>IF('Game Info'!U64="","",'Game Info'!U64)</f>
        <v>SYM3</v>
      </c>
      <c r="H81" s="102"/>
      <c r="I81" s="97"/>
      <c r="J81" s="97"/>
      <c r="K81" s="97"/>
      <c r="L81" s="103"/>
      <c r="N81" s="102"/>
      <c r="O81" s="97"/>
      <c r="P81" s="97"/>
      <c r="Q81" s="97"/>
      <c r="R81" s="103"/>
      <c r="T81" s="102"/>
      <c r="U81" s="97"/>
      <c r="V81" s="97"/>
      <c r="W81" s="97"/>
      <c r="X81" s="103"/>
      <c r="Z81" s="102"/>
      <c r="AA81" s="97"/>
      <c r="AB81" s="97"/>
      <c r="AC81" s="97"/>
      <c r="AD81" s="103"/>
      <c r="AF81" s="102"/>
      <c r="AG81" s="97"/>
      <c r="AH81" s="97"/>
      <c r="AI81" s="97"/>
      <c r="AJ81" s="103"/>
      <c r="AL81" s="102"/>
      <c r="AM81" s="97"/>
      <c r="AN81" s="97"/>
      <c r="AO81" s="97"/>
      <c r="AP81" s="103"/>
      <c r="AR81" s="102"/>
      <c r="AS81" s="97"/>
      <c r="AT81" s="97"/>
      <c r="AU81" s="97"/>
      <c r="AV81" s="103"/>
      <c r="AX81" s="102"/>
      <c r="AY81" s="97"/>
      <c r="AZ81" s="97"/>
      <c r="BA81" s="97"/>
      <c r="BB81" s="103"/>
      <c r="BD81" s="102"/>
      <c r="BE81" s="97"/>
      <c r="BF81" s="97"/>
      <c r="BG81" s="97"/>
      <c r="BH81" s="103"/>
      <c r="BJ81" s="102"/>
      <c r="BK81" s="97"/>
      <c r="BL81" s="97"/>
      <c r="BM81" s="97"/>
      <c r="BN81" s="103"/>
      <c r="BP81" s="102"/>
      <c r="BQ81" s="97"/>
      <c r="BR81" s="97"/>
      <c r="BS81" s="97"/>
      <c r="BT81" s="103"/>
    </row>
    <row r="82" spans="1:72" x14ac:dyDescent="0.25">
      <c r="A82" s="4">
        <v>60</v>
      </c>
      <c r="B82" s="54">
        <f>IF('Game Info'!Q65="","",'Game Info'!Q65)</f>
        <v>10</v>
      </c>
      <c r="C82" s="54" t="str">
        <f>IF('Game Info'!R65="","",'Game Info'!R65)</f>
        <v>J</v>
      </c>
      <c r="D82" s="54" t="str">
        <f>IF('Game Info'!S65="","",'Game Info'!S65)</f>
        <v>SYM4</v>
      </c>
      <c r="E82" s="54">
        <f>IF('Game Info'!T65="","",'Game Info'!T65)</f>
        <v>9</v>
      </c>
      <c r="F82" s="55" t="str">
        <f>IF('Game Info'!U65="","",'Game Info'!U65)</f>
        <v>J</v>
      </c>
      <c r="H82" s="102"/>
      <c r="I82" s="97"/>
      <c r="J82" s="97"/>
      <c r="K82" s="97"/>
      <c r="L82" s="103"/>
      <c r="N82" s="102"/>
      <c r="O82" s="97"/>
      <c r="P82" s="97"/>
      <c r="Q82" s="97"/>
      <c r="R82" s="103"/>
      <c r="T82" s="102"/>
      <c r="U82" s="97"/>
      <c r="V82" s="97"/>
      <c r="W82" s="97"/>
      <c r="X82" s="103"/>
      <c r="Z82" s="102"/>
      <c r="AA82" s="97"/>
      <c r="AB82" s="97"/>
      <c r="AC82" s="97"/>
      <c r="AD82" s="103"/>
      <c r="AF82" s="102"/>
      <c r="AG82" s="97"/>
      <c r="AH82" s="97"/>
      <c r="AI82" s="97"/>
      <c r="AJ82" s="103"/>
      <c r="AL82" s="102"/>
      <c r="AM82" s="97"/>
      <c r="AN82" s="97"/>
      <c r="AO82" s="97"/>
      <c r="AP82" s="103"/>
      <c r="AR82" s="102"/>
      <c r="AS82" s="97"/>
      <c r="AT82" s="97"/>
      <c r="AU82" s="97"/>
      <c r="AV82" s="103"/>
      <c r="AX82" s="102"/>
      <c r="AY82" s="97"/>
      <c r="AZ82" s="97"/>
      <c r="BA82" s="97"/>
      <c r="BB82" s="103"/>
      <c r="BD82" s="102"/>
      <c r="BE82" s="97"/>
      <c r="BF82" s="97"/>
      <c r="BG82" s="97"/>
      <c r="BH82" s="103"/>
      <c r="BJ82" s="102"/>
      <c r="BK82" s="97"/>
      <c r="BL82" s="97"/>
      <c r="BM82" s="97"/>
      <c r="BN82" s="103"/>
      <c r="BP82" s="102"/>
      <c r="BQ82" s="97"/>
      <c r="BR82" s="97"/>
      <c r="BS82" s="97"/>
      <c r="BT82" s="103"/>
    </row>
    <row r="83" spans="1:72" x14ac:dyDescent="0.25">
      <c r="A83" s="4">
        <v>61</v>
      </c>
      <c r="B83" s="54" t="str">
        <f>IF('Game Info'!Q66="","",'Game Info'!Q66)</f>
        <v>K</v>
      </c>
      <c r="C83" s="54" t="str">
        <f>IF('Game Info'!R66="","",'Game Info'!R66)</f>
        <v>Q</v>
      </c>
      <c r="D83" s="54">
        <f>IF('Game Info'!S66="","",'Game Info'!S66)</f>
        <v>9</v>
      </c>
      <c r="E83" s="54" t="str">
        <f>IF('Game Info'!T66="","",'Game Info'!T66)</f>
        <v>SYM1</v>
      </c>
      <c r="F83" s="55" t="str">
        <f>IF('Game Info'!U66="","",'Game Info'!U66)</f>
        <v>SYM2</v>
      </c>
      <c r="H83" s="102"/>
      <c r="I83" s="97"/>
      <c r="J83" s="97"/>
      <c r="K83" s="97"/>
      <c r="L83" s="103"/>
      <c r="N83" s="102"/>
      <c r="O83" s="97"/>
      <c r="P83" s="97"/>
      <c r="Q83" s="97"/>
      <c r="R83" s="103"/>
      <c r="T83" s="102"/>
      <c r="U83" s="97"/>
      <c r="V83" s="97"/>
      <c r="W83" s="97"/>
      <c r="X83" s="103"/>
      <c r="Z83" s="102"/>
      <c r="AA83" s="97"/>
      <c r="AB83" s="97"/>
      <c r="AC83" s="97"/>
      <c r="AD83" s="103"/>
      <c r="AF83" s="102"/>
      <c r="AG83" s="97"/>
      <c r="AH83" s="97"/>
      <c r="AI83" s="97"/>
      <c r="AJ83" s="103"/>
      <c r="AL83" s="102"/>
      <c r="AM83" s="97"/>
      <c r="AN83" s="97"/>
      <c r="AO83" s="97"/>
      <c r="AP83" s="103"/>
      <c r="AR83" s="102"/>
      <c r="AS83" s="97"/>
      <c r="AT83" s="97"/>
      <c r="AU83" s="97"/>
      <c r="AV83" s="103"/>
      <c r="AX83" s="102"/>
      <c r="AY83" s="97"/>
      <c r="AZ83" s="97"/>
      <c r="BA83" s="97"/>
      <c r="BB83" s="103"/>
      <c r="BD83" s="102"/>
      <c r="BE83" s="97"/>
      <c r="BF83" s="97"/>
      <c r="BG83" s="97"/>
      <c r="BH83" s="103"/>
      <c r="BJ83" s="102"/>
      <c r="BK83" s="97"/>
      <c r="BL83" s="97"/>
      <c r="BM83" s="97"/>
      <c r="BN83" s="103"/>
      <c r="BP83" s="102"/>
      <c r="BQ83" s="97"/>
      <c r="BR83" s="97"/>
      <c r="BS83" s="97"/>
      <c r="BT83" s="103"/>
    </row>
    <row r="84" spans="1:72" x14ac:dyDescent="0.25">
      <c r="A84" s="4">
        <v>62</v>
      </c>
      <c r="B84" s="54" t="str">
        <f>IF('Game Info'!Q67="","",'Game Info'!Q67)</f>
        <v>SYM2</v>
      </c>
      <c r="C84" s="54">
        <f>IF('Game Info'!R67="","",'Game Info'!R67)</f>
        <v>10</v>
      </c>
      <c r="D84" s="54" t="str">
        <f>IF('Game Info'!S67="","",'Game Info'!S67)</f>
        <v>SYM2</v>
      </c>
      <c r="E84" s="54" t="str">
        <f>IF('Game Info'!T67="","",'Game Info'!T67)</f>
        <v>SYM1</v>
      </c>
      <c r="F84" s="55" t="str">
        <f>IF('Game Info'!U67="","",'Game Info'!U67)</f>
        <v>SYM2</v>
      </c>
      <c r="H84" s="102"/>
      <c r="I84" s="97"/>
      <c r="J84" s="97"/>
      <c r="K84" s="97"/>
      <c r="L84" s="103"/>
      <c r="N84" s="102"/>
      <c r="O84" s="97"/>
      <c r="P84" s="97"/>
      <c r="Q84" s="97"/>
      <c r="R84" s="103"/>
      <c r="T84" s="102"/>
      <c r="U84" s="97"/>
      <c r="V84" s="97"/>
      <c r="W84" s="97"/>
      <c r="X84" s="103"/>
      <c r="Z84" s="102"/>
      <c r="AA84" s="97"/>
      <c r="AB84" s="97"/>
      <c r="AC84" s="97"/>
      <c r="AD84" s="103"/>
      <c r="AF84" s="102"/>
      <c r="AG84" s="97"/>
      <c r="AH84" s="97"/>
      <c r="AI84" s="97"/>
      <c r="AJ84" s="103"/>
      <c r="AL84" s="102"/>
      <c r="AM84" s="97"/>
      <c r="AN84" s="97"/>
      <c r="AO84" s="97"/>
      <c r="AP84" s="103"/>
      <c r="AR84" s="102"/>
      <c r="AS84" s="97"/>
      <c r="AT84" s="97"/>
      <c r="AU84" s="97"/>
      <c r="AV84" s="103"/>
      <c r="AX84" s="102"/>
      <c r="AY84" s="97"/>
      <c r="AZ84" s="97"/>
      <c r="BA84" s="97"/>
      <c r="BB84" s="103"/>
      <c r="BD84" s="102"/>
      <c r="BE84" s="97"/>
      <c r="BF84" s="97"/>
      <c r="BG84" s="97"/>
      <c r="BH84" s="103"/>
      <c r="BJ84" s="102"/>
      <c r="BK84" s="97"/>
      <c r="BL84" s="97"/>
      <c r="BM84" s="97"/>
      <c r="BN84" s="103"/>
      <c r="BP84" s="102"/>
      <c r="BQ84" s="97"/>
      <c r="BR84" s="97"/>
      <c r="BS84" s="97"/>
      <c r="BT84" s="103"/>
    </row>
    <row r="85" spans="1:72" x14ac:dyDescent="0.25">
      <c r="A85" s="4">
        <v>63</v>
      </c>
      <c r="B85" s="54" t="str">
        <f>IF('Game Info'!Q68="","",'Game Info'!Q68)</f>
        <v>J</v>
      </c>
      <c r="C85" s="54" t="str">
        <f>IF('Game Info'!R68="","",'Game Info'!R68)</f>
        <v>SYM3</v>
      </c>
      <c r="D85" s="54" t="str">
        <f>IF('Game Info'!S68="","",'Game Info'!S68)</f>
        <v>K</v>
      </c>
      <c r="E85" s="54" t="str">
        <f>IF('Game Info'!T68="","",'Game Info'!T68)</f>
        <v>Q</v>
      </c>
      <c r="F85" s="55" t="str">
        <f>IF('Game Info'!U68="","",'Game Info'!U68)</f>
        <v>SYM2</v>
      </c>
      <c r="H85" s="102"/>
      <c r="I85" s="97"/>
      <c r="J85" s="97"/>
      <c r="K85" s="97"/>
      <c r="L85" s="103"/>
      <c r="N85" s="102"/>
      <c r="O85" s="97"/>
      <c r="P85" s="97"/>
      <c r="Q85" s="97"/>
      <c r="R85" s="103"/>
      <c r="T85" s="102"/>
      <c r="U85" s="97"/>
      <c r="V85" s="97"/>
      <c r="W85" s="97"/>
      <c r="X85" s="103"/>
      <c r="Z85" s="102"/>
      <c r="AA85" s="97"/>
      <c r="AB85" s="97"/>
      <c r="AC85" s="97"/>
      <c r="AD85" s="103"/>
      <c r="AF85" s="102"/>
      <c r="AG85" s="97"/>
      <c r="AH85" s="97"/>
      <c r="AI85" s="97"/>
      <c r="AJ85" s="103"/>
      <c r="AL85" s="102"/>
      <c r="AM85" s="97"/>
      <c r="AN85" s="97"/>
      <c r="AO85" s="97"/>
      <c r="AP85" s="103"/>
      <c r="AR85" s="102"/>
      <c r="AS85" s="97"/>
      <c r="AT85" s="97"/>
      <c r="AU85" s="97"/>
      <c r="AV85" s="103"/>
      <c r="AX85" s="102"/>
      <c r="AY85" s="97"/>
      <c r="AZ85" s="97"/>
      <c r="BA85" s="97"/>
      <c r="BB85" s="103"/>
      <c r="BD85" s="102"/>
      <c r="BE85" s="97"/>
      <c r="BF85" s="97"/>
      <c r="BG85" s="97"/>
      <c r="BH85" s="103"/>
      <c r="BJ85" s="102"/>
      <c r="BK85" s="97"/>
      <c r="BL85" s="97"/>
      <c r="BM85" s="97"/>
      <c r="BN85" s="103"/>
      <c r="BP85" s="102"/>
      <c r="BQ85" s="97"/>
      <c r="BR85" s="97"/>
      <c r="BS85" s="97"/>
      <c r="BT85" s="103"/>
    </row>
    <row r="86" spans="1:72" x14ac:dyDescent="0.25">
      <c r="A86" s="4">
        <v>64</v>
      </c>
      <c r="B86" s="54" t="str">
        <f>IF('Game Info'!Q69="","",'Game Info'!Q69)</f>
        <v>SYM1</v>
      </c>
      <c r="C86" s="54" t="str">
        <f>IF('Game Info'!R69="","",'Game Info'!R69)</f>
        <v>A</v>
      </c>
      <c r="D86" s="54" t="str">
        <f>IF('Game Info'!S69="","",'Game Info'!S69)</f>
        <v>SYM1</v>
      </c>
      <c r="E86" s="54" t="str">
        <f>IF('Game Info'!T69="","",'Game Info'!T69)</f>
        <v>FG</v>
      </c>
      <c r="F86" s="55">
        <f>IF('Game Info'!U69="","",'Game Info'!U69)</f>
        <v>10</v>
      </c>
      <c r="H86" s="102"/>
      <c r="I86" s="97"/>
      <c r="J86" s="97"/>
      <c r="K86" s="97"/>
      <c r="L86" s="103"/>
      <c r="N86" s="102"/>
      <c r="O86" s="97"/>
      <c r="P86" s="97"/>
      <c r="Q86" s="97"/>
      <c r="R86" s="103"/>
      <c r="T86" s="102"/>
      <c r="U86" s="97"/>
      <c r="V86" s="97"/>
      <c r="W86" s="97"/>
      <c r="X86" s="103"/>
      <c r="Z86" s="102"/>
      <c r="AA86" s="97"/>
      <c r="AB86" s="97"/>
      <c r="AC86" s="97"/>
      <c r="AD86" s="103"/>
      <c r="AF86" s="102"/>
      <c r="AG86" s="97"/>
      <c r="AH86" s="97"/>
      <c r="AI86" s="97"/>
      <c r="AJ86" s="103"/>
      <c r="AL86" s="102"/>
      <c r="AM86" s="97"/>
      <c r="AN86" s="97"/>
      <c r="AO86" s="97"/>
      <c r="AP86" s="103"/>
      <c r="AR86" s="102"/>
      <c r="AS86" s="97"/>
      <c r="AT86" s="97"/>
      <c r="AU86" s="97"/>
      <c r="AV86" s="103"/>
      <c r="AX86" s="102"/>
      <c r="AY86" s="97"/>
      <c r="AZ86" s="97"/>
      <c r="BA86" s="97"/>
      <c r="BB86" s="103"/>
      <c r="BD86" s="102"/>
      <c r="BE86" s="97"/>
      <c r="BF86" s="97"/>
      <c r="BG86" s="97"/>
      <c r="BH86" s="103"/>
      <c r="BJ86" s="102"/>
      <c r="BK86" s="97"/>
      <c r="BL86" s="97"/>
      <c r="BM86" s="97"/>
      <c r="BN86" s="103"/>
      <c r="BP86" s="102"/>
      <c r="BQ86" s="97"/>
      <c r="BR86" s="97"/>
      <c r="BS86" s="97"/>
      <c r="BT86" s="103"/>
    </row>
    <row r="87" spans="1:72" x14ac:dyDescent="0.25">
      <c r="A87" s="4">
        <v>65</v>
      </c>
      <c r="B87" s="54" t="str">
        <f>IF('Game Info'!Q70="","",'Game Info'!Q70)</f>
        <v>Q</v>
      </c>
      <c r="C87" s="54" t="str">
        <f>IF('Game Info'!R70="","",'Game Info'!R70)</f>
        <v>SYM4</v>
      </c>
      <c r="D87" s="54" t="str">
        <f>IF('Game Info'!S70="","",'Game Info'!S70)</f>
        <v>Q</v>
      </c>
      <c r="E87" s="54">
        <f>IF('Game Info'!T70="","",'Game Info'!T70)</f>
        <v>10</v>
      </c>
      <c r="F87" s="55" t="str">
        <f>IF('Game Info'!U70="","",'Game Info'!U70)</f>
        <v>SYM4</v>
      </c>
      <c r="H87" s="102"/>
      <c r="I87" s="97"/>
      <c r="J87" s="97"/>
      <c r="K87" s="97"/>
      <c r="L87" s="103"/>
      <c r="N87" s="102"/>
      <c r="O87" s="97"/>
      <c r="P87" s="97"/>
      <c r="Q87" s="97"/>
      <c r="R87" s="103"/>
      <c r="T87" s="102"/>
      <c r="U87" s="97"/>
      <c r="V87" s="97"/>
      <c r="W87" s="97"/>
      <c r="X87" s="103"/>
      <c r="Z87" s="102"/>
      <c r="AA87" s="97"/>
      <c r="AB87" s="97"/>
      <c r="AC87" s="97"/>
      <c r="AD87" s="103"/>
      <c r="AF87" s="102"/>
      <c r="AG87" s="97"/>
      <c r="AH87" s="97"/>
      <c r="AI87" s="97"/>
      <c r="AJ87" s="103"/>
      <c r="AL87" s="102"/>
      <c r="AM87" s="97"/>
      <c r="AN87" s="97"/>
      <c r="AO87" s="97"/>
      <c r="AP87" s="103"/>
      <c r="AR87" s="102"/>
      <c r="AS87" s="97"/>
      <c r="AT87" s="97"/>
      <c r="AU87" s="97"/>
      <c r="AV87" s="103"/>
      <c r="AX87" s="102"/>
      <c r="AY87" s="97"/>
      <c r="AZ87" s="97"/>
      <c r="BA87" s="97"/>
      <c r="BB87" s="103"/>
      <c r="BD87" s="102"/>
      <c r="BE87" s="97"/>
      <c r="BF87" s="97"/>
      <c r="BG87" s="97"/>
      <c r="BH87" s="103"/>
      <c r="BJ87" s="102"/>
      <c r="BK87" s="97"/>
      <c r="BL87" s="97"/>
      <c r="BM87" s="97"/>
      <c r="BN87" s="103"/>
      <c r="BP87" s="102"/>
      <c r="BQ87" s="97"/>
      <c r="BR87" s="97"/>
      <c r="BS87" s="97"/>
      <c r="BT87" s="103"/>
    </row>
    <row r="88" spans="1:72" x14ac:dyDescent="0.25">
      <c r="A88" s="4">
        <v>66</v>
      </c>
      <c r="B88" s="54" t="str">
        <f>IF('Game Info'!Q71="","",'Game Info'!Q71)</f>
        <v>SYM3</v>
      </c>
      <c r="C88" s="54" t="str">
        <f>IF('Game Info'!R71="","",'Game Info'!R71)</f>
        <v>K</v>
      </c>
      <c r="D88" s="54" t="str">
        <f>IF('Game Info'!S71="","",'Game Info'!S71)</f>
        <v>FG</v>
      </c>
      <c r="E88" s="54" t="str">
        <f>IF('Game Info'!T71="","",'Game Info'!T71)</f>
        <v>SYM1</v>
      </c>
      <c r="F88" s="55" t="str">
        <f>IF('Game Info'!U71="","",'Game Info'!U71)</f>
        <v>J</v>
      </c>
      <c r="H88" s="102"/>
      <c r="I88" s="97"/>
      <c r="J88" s="97"/>
      <c r="K88" s="97"/>
      <c r="L88" s="103"/>
      <c r="N88" s="102"/>
      <c r="O88" s="97"/>
      <c r="P88" s="97"/>
      <c r="Q88" s="97"/>
      <c r="R88" s="103"/>
      <c r="T88" s="102"/>
      <c r="U88" s="97"/>
      <c r="V88" s="97"/>
      <c r="W88" s="97"/>
      <c r="X88" s="103"/>
      <c r="Z88" s="102"/>
      <c r="AA88" s="97"/>
      <c r="AB88" s="97"/>
      <c r="AC88" s="97"/>
      <c r="AD88" s="103"/>
      <c r="AF88" s="102"/>
      <c r="AG88" s="97"/>
      <c r="AH88" s="97"/>
      <c r="AI88" s="97"/>
      <c r="AJ88" s="103"/>
      <c r="AL88" s="102"/>
      <c r="AM88" s="97"/>
      <c r="AN88" s="97"/>
      <c r="AO88" s="97"/>
      <c r="AP88" s="103"/>
      <c r="AR88" s="102"/>
      <c r="AS88" s="97"/>
      <c r="AT88" s="97"/>
      <c r="AU88" s="97"/>
      <c r="AV88" s="103"/>
      <c r="AX88" s="102"/>
      <c r="AY88" s="97"/>
      <c r="AZ88" s="97"/>
      <c r="BA88" s="97"/>
      <c r="BB88" s="103"/>
      <c r="BD88" s="102"/>
      <c r="BE88" s="97"/>
      <c r="BF88" s="97"/>
      <c r="BG88" s="97"/>
      <c r="BH88" s="103"/>
      <c r="BJ88" s="102"/>
      <c r="BK88" s="97"/>
      <c r="BL88" s="97"/>
      <c r="BM88" s="97"/>
      <c r="BN88" s="103"/>
      <c r="BP88" s="102"/>
      <c r="BQ88" s="97"/>
      <c r="BR88" s="97"/>
      <c r="BS88" s="97"/>
      <c r="BT88" s="103"/>
    </row>
    <row r="89" spans="1:72" x14ac:dyDescent="0.25">
      <c r="A89" s="4">
        <v>67</v>
      </c>
      <c r="B89" s="54">
        <f>IF('Game Info'!Q72="","",'Game Info'!Q72)</f>
        <v>10</v>
      </c>
      <c r="C89" s="54" t="str">
        <f>IF('Game Info'!R72="","",'Game Info'!R72)</f>
        <v>SYM2</v>
      </c>
      <c r="D89" s="54">
        <f>IF('Game Info'!S72="","",'Game Info'!S72)</f>
        <v>10</v>
      </c>
      <c r="E89" s="54" t="str">
        <f>IF('Game Info'!T72="","",'Game Info'!T72)</f>
        <v>Q</v>
      </c>
      <c r="F89" s="55" t="str">
        <f>IF('Game Info'!U72="","",'Game Info'!U72)</f>
        <v>SYM1</v>
      </c>
      <c r="H89" s="102"/>
      <c r="I89" s="97"/>
      <c r="J89" s="97"/>
      <c r="K89" s="97"/>
      <c r="L89" s="103"/>
      <c r="N89" s="102"/>
      <c r="O89" s="97"/>
      <c r="P89" s="97"/>
      <c r="Q89" s="97"/>
      <c r="R89" s="103"/>
      <c r="T89" s="102"/>
      <c r="U89" s="97"/>
      <c r="V89" s="97"/>
      <c r="W89" s="97"/>
      <c r="X89" s="103"/>
      <c r="Z89" s="102"/>
      <c r="AA89" s="97"/>
      <c r="AB89" s="97"/>
      <c r="AC89" s="97"/>
      <c r="AD89" s="103"/>
      <c r="AF89" s="102"/>
      <c r="AG89" s="97"/>
      <c r="AH89" s="97"/>
      <c r="AI89" s="97"/>
      <c r="AJ89" s="103"/>
      <c r="AL89" s="102"/>
      <c r="AM89" s="97"/>
      <c r="AN89" s="97"/>
      <c r="AO89" s="97"/>
      <c r="AP89" s="103"/>
      <c r="AR89" s="102"/>
      <c r="AS89" s="97"/>
      <c r="AT89" s="97"/>
      <c r="AU89" s="97"/>
      <c r="AV89" s="103"/>
      <c r="AX89" s="102"/>
      <c r="AY89" s="97"/>
      <c r="AZ89" s="97"/>
      <c r="BA89" s="97"/>
      <c r="BB89" s="103"/>
      <c r="BD89" s="102"/>
      <c r="BE89" s="97"/>
      <c r="BF89" s="97"/>
      <c r="BG89" s="97"/>
      <c r="BH89" s="103"/>
      <c r="BJ89" s="102"/>
      <c r="BK89" s="97"/>
      <c r="BL89" s="97"/>
      <c r="BM89" s="97"/>
      <c r="BN89" s="103"/>
      <c r="BP89" s="102"/>
      <c r="BQ89" s="97"/>
      <c r="BR89" s="97"/>
      <c r="BS89" s="97"/>
      <c r="BT89" s="103"/>
    </row>
    <row r="90" spans="1:72" x14ac:dyDescent="0.25">
      <c r="A90" s="4">
        <v>68</v>
      </c>
      <c r="B90" s="54" t="str">
        <f>IF('Game Info'!Q73="","",'Game Info'!Q73)</f>
        <v>SYM4</v>
      </c>
      <c r="C90" s="54" t="str">
        <f>IF('Game Info'!R73="","",'Game Info'!R73)</f>
        <v>J</v>
      </c>
      <c r="D90" s="54">
        <f>IF('Game Info'!S73="","",'Game Info'!S73)</f>
        <v>9</v>
      </c>
      <c r="E90" s="54" t="str">
        <f>IF('Game Info'!T73="","",'Game Info'!T73)</f>
        <v>SYM5</v>
      </c>
      <c r="F90" s="55" t="str">
        <f>IF('Game Info'!U73="","",'Game Info'!U73)</f>
        <v>SYM1</v>
      </c>
      <c r="H90" s="102"/>
      <c r="I90" s="97"/>
      <c r="J90" s="97"/>
      <c r="K90" s="97"/>
      <c r="L90" s="103"/>
      <c r="N90" s="102"/>
      <c r="O90" s="97"/>
      <c r="P90" s="97"/>
      <c r="Q90" s="97"/>
      <c r="R90" s="103"/>
      <c r="T90" s="102"/>
      <c r="U90" s="97"/>
      <c r="V90" s="97"/>
      <c r="W90" s="97"/>
      <c r="X90" s="103"/>
      <c r="Z90" s="102"/>
      <c r="AA90" s="97"/>
      <c r="AB90" s="97"/>
      <c r="AC90" s="97"/>
      <c r="AD90" s="103"/>
      <c r="AF90" s="102"/>
      <c r="AG90" s="97"/>
      <c r="AH90" s="97"/>
      <c r="AI90" s="97"/>
      <c r="AJ90" s="103"/>
      <c r="AL90" s="102"/>
      <c r="AM90" s="97"/>
      <c r="AN90" s="97"/>
      <c r="AO90" s="97"/>
      <c r="AP90" s="103"/>
      <c r="AR90" s="102"/>
      <c r="AS90" s="97"/>
      <c r="AT90" s="97"/>
      <c r="AU90" s="97"/>
      <c r="AV90" s="103"/>
      <c r="AX90" s="102"/>
      <c r="AY90" s="97"/>
      <c r="AZ90" s="97"/>
      <c r="BA90" s="97"/>
      <c r="BB90" s="103"/>
      <c r="BD90" s="102"/>
      <c r="BE90" s="97"/>
      <c r="BF90" s="97"/>
      <c r="BG90" s="97"/>
      <c r="BH90" s="103"/>
      <c r="BJ90" s="102"/>
      <c r="BK90" s="97"/>
      <c r="BL90" s="97"/>
      <c r="BM90" s="97"/>
      <c r="BN90" s="103"/>
      <c r="BP90" s="102"/>
      <c r="BQ90" s="97"/>
      <c r="BR90" s="97"/>
      <c r="BS90" s="97"/>
      <c r="BT90" s="103"/>
    </row>
    <row r="91" spans="1:72" x14ac:dyDescent="0.25">
      <c r="A91" s="4">
        <v>69</v>
      </c>
      <c r="B91" s="54" t="str">
        <f>IF('Game Info'!Q74="","",'Game Info'!Q74)</f>
        <v>A</v>
      </c>
      <c r="C91" s="54" t="str">
        <f>IF('Game Info'!R74="","",'Game Info'!R74)</f>
        <v>SYM5</v>
      </c>
      <c r="D91" s="54" t="str">
        <f>IF('Game Info'!S74="","",'Game Info'!S74)</f>
        <v>SYM2</v>
      </c>
      <c r="E91" s="54" t="str">
        <f>IF('Game Info'!T74="","",'Game Info'!T74)</f>
        <v>SYM5</v>
      </c>
      <c r="F91" s="55" t="str">
        <f>IF('Game Info'!U74="","",'Game Info'!U74)</f>
        <v>SYM1</v>
      </c>
      <c r="H91" s="102"/>
      <c r="I91" s="97"/>
      <c r="J91" s="97"/>
      <c r="K91" s="97"/>
      <c r="L91" s="103"/>
      <c r="N91" s="102"/>
      <c r="O91" s="97"/>
      <c r="P91" s="97"/>
      <c r="Q91" s="97"/>
      <c r="R91" s="103"/>
      <c r="T91" s="102"/>
      <c r="U91" s="97"/>
      <c r="V91" s="97"/>
      <c r="W91" s="97"/>
      <c r="X91" s="103"/>
      <c r="Z91" s="102"/>
      <c r="AA91" s="97"/>
      <c r="AB91" s="97"/>
      <c r="AC91" s="97"/>
      <c r="AD91" s="103"/>
      <c r="AF91" s="102"/>
      <c r="AG91" s="97"/>
      <c r="AH91" s="97"/>
      <c r="AI91" s="97"/>
      <c r="AJ91" s="103"/>
      <c r="AL91" s="102"/>
      <c r="AM91" s="97"/>
      <c r="AN91" s="97"/>
      <c r="AO91" s="97"/>
      <c r="AP91" s="103"/>
      <c r="AR91" s="102"/>
      <c r="AS91" s="97"/>
      <c r="AT91" s="97"/>
      <c r="AU91" s="97"/>
      <c r="AV91" s="103"/>
      <c r="AX91" s="102"/>
      <c r="AY91" s="97"/>
      <c r="AZ91" s="97"/>
      <c r="BA91" s="97"/>
      <c r="BB91" s="103"/>
      <c r="BD91" s="102"/>
      <c r="BE91" s="97"/>
      <c r="BF91" s="97"/>
      <c r="BG91" s="97"/>
      <c r="BH91" s="103"/>
      <c r="BJ91" s="102"/>
      <c r="BK91" s="97"/>
      <c r="BL91" s="97"/>
      <c r="BM91" s="97"/>
      <c r="BN91" s="103"/>
      <c r="BP91" s="102"/>
      <c r="BQ91" s="97"/>
      <c r="BR91" s="97"/>
      <c r="BS91" s="97"/>
      <c r="BT91" s="103"/>
    </row>
    <row r="92" spans="1:72" x14ac:dyDescent="0.25">
      <c r="A92" s="4">
        <v>70</v>
      </c>
      <c r="B92" s="54" t="str">
        <f>IF('Game Info'!Q75="","",'Game Info'!Q75)</f>
        <v>FG</v>
      </c>
      <c r="C92" s="54">
        <f>IF('Game Info'!R75="","",'Game Info'!R75)</f>
        <v>9</v>
      </c>
      <c r="D92" s="54" t="str">
        <f>IF('Game Info'!S75="","",'Game Info'!S75)</f>
        <v>SYM1</v>
      </c>
      <c r="E92" s="54">
        <f>IF('Game Info'!T75="","",'Game Info'!T75)</f>
        <v>10</v>
      </c>
      <c r="F92" s="55" t="str">
        <f>IF('Game Info'!U75="","",'Game Info'!U75)</f>
        <v>K</v>
      </c>
      <c r="H92" s="102"/>
      <c r="I92" s="97"/>
      <c r="J92" s="97"/>
      <c r="K92" s="97"/>
      <c r="L92" s="103"/>
      <c r="N92" s="102"/>
      <c r="O92" s="97"/>
      <c r="P92" s="97"/>
      <c r="Q92" s="97"/>
      <c r="R92" s="103"/>
      <c r="T92" s="102"/>
      <c r="U92" s="97"/>
      <c r="V92" s="97"/>
      <c r="W92" s="97"/>
      <c r="X92" s="103"/>
      <c r="Z92" s="102"/>
      <c r="AA92" s="97"/>
      <c r="AB92" s="97"/>
      <c r="AC92" s="97"/>
      <c r="AD92" s="103"/>
      <c r="AF92" s="102"/>
      <c r="AG92" s="97"/>
      <c r="AH92" s="97"/>
      <c r="AI92" s="97"/>
      <c r="AJ92" s="103"/>
      <c r="AL92" s="102"/>
      <c r="AM92" s="97"/>
      <c r="AN92" s="97"/>
      <c r="AO92" s="97"/>
      <c r="AP92" s="103"/>
      <c r="AR92" s="102"/>
      <c r="AS92" s="97"/>
      <c r="AT92" s="97"/>
      <c r="AU92" s="97"/>
      <c r="AV92" s="103"/>
      <c r="AX92" s="102"/>
      <c r="AY92" s="97"/>
      <c r="AZ92" s="97"/>
      <c r="BA92" s="97"/>
      <c r="BB92" s="103"/>
      <c r="BD92" s="102"/>
      <c r="BE92" s="97"/>
      <c r="BF92" s="97"/>
      <c r="BG92" s="97"/>
      <c r="BH92" s="103"/>
      <c r="BJ92" s="102"/>
      <c r="BK92" s="97"/>
      <c r="BL92" s="97"/>
      <c r="BM92" s="97"/>
      <c r="BN92" s="103"/>
      <c r="BP92" s="102"/>
      <c r="BQ92" s="97"/>
      <c r="BR92" s="97"/>
      <c r="BS92" s="97"/>
      <c r="BT92" s="103"/>
    </row>
    <row r="93" spans="1:72" x14ac:dyDescent="0.25">
      <c r="A93" s="4">
        <v>71</v>
      </c>
      <c r="B93" s="54" t="str">
        <f>IF('Game Info'!Q76="","",'Game Info'!Q76)</f>
        <v>Q</v>
      </c>
      <c r="C93" s="54" t="str">
        <f>IF('Game Info'!R76="","",'Game Info'!R76)</f>
        <v>SYM5</v>
      </c>
      <c r="D93" s="54" t="str">
        <f>IF('Game Info'!S76="","",'Game Info'!S76)</f>
        <v>J</v>
      </c>
      <c r="E93" s="54" t="str">
        <f>IF('Game Info'!T76="","",'Game Info'!T76)</f>
        <v>A</v>
      </c>
      <c r="F93" s="55">
        <f>IF('Game Info'!U76="","",'Game Info'!U76)</f>
        <v>10</v>
      </c>
      <c r="H93" s="102"/>
      <c r="I93" s="97"/>
      <c r="J93" s="97"/>
      <c r="K93" s="97"/>
      <c r="L93" s="103"/>
      <c r="N93" s="102"/>
      <c r="O93" s="97"/>
      <c r="P93" s="97"/>
      <c r="Q93" s="97"/>
      <c r="R93" s="103"/>
      <c r="T93" s="102"/>
      <c r="U93" s="97"/>
      <c r="V93" s="97"/>
      <c r="W93" s="97"/>
      <c r="X93" s="103"/>
      <c r="Z93" s="102"/>
      <c r="AA93" s="97"/>
      <c r="AB93" s="97"/>
      <c r="AC93" s="97"/>
      <c r="AD93" s="103"/>
      <c r="AF93" s="102"/>
      <c r="AG93" s="97"/>
      <c r="AH93" s="97"/>
      <c r="AI93" s="97"/>
      <c r="AJ93" s="103"/>
      <c r="AL93" s="102"/>
      <c r="AM93" s="97"/>
      <c r="AN93" s="97"/>
      <c r="AO93" s="97"/>
      <c r="AP93" s="103"/>
      <c r="AR93" s="102"/>
      <c r="AS93" s="97"/>
      <c r="AT93" s="97"/>
      <c r="AU93" s="97"/>
      <c r="AV93" s="103"/>
      <c r="AX93" s="102"/>
      <c r="AY93" s="97"/>
      <c r="AZ93" s="97"/>
      <c r="BA93" s="97"/>
      <c r="BB93" s="103"/>
      <c r="BD93" s="102"/>
      <c r="BE93" s="97"/>
      <c r="BF93" s="97"/>
      <c r="BG93" s="97"/>
      <c r="BH93" s="103"/>
      <c r="BJ93" s="102"/>
      <c r="BK93" s="97"/>
      <c r="BL93" s="97"/>
      <c r="BM93" s="97"/>
      <c r="BN93" s="103"/>
      <c r="BP93" s="102"/>
      <c r="BQ93" s="97"/>
      <c r="BR93" s="97"/>
      <c r="BS93" s="97"/>
      <c r="BT93" s="103"/>
    </row>
    <row r="94" spans="1:72" x14ac:dyDescent="0.25">
      <c r="A94" s="4">
        <v>72</v>
      </c>
      <c r="B94" s="54">
        <f>IF('Game Info'!Q77="","",'Game Info'!Q77)</f>
        <v>10</v>
      </c>
      <c r="C94" s="54" t="str">
        <f>IF('Game Info'!R77="","",'Game Info'!R77)</f>
        <v>SYM5</v>
      </c>
      <c r="D94" s="54" t="str">
        <f>IF('Game Info'!S77="","",'Game Info'!S77)</f>
        <v>SYM5</v>
      </c>
      <c r="E94" s="54" t="str">
        <f>IF('Game Info'!T77="","",'Game Info'!T77)</f>
        <v>SYM4</v>
      </c>
      <c r="F94" s="55" t="str">
        <f>IF('Game Info'!U77="","",'Game Info'!U77)</f>
        <v>FG</v>
      </c>
      <c r="H94" s="102"/>
      <c r="I94" s="97"/>
      <c r="J94" s="97"/>
      <c r="K94" s="97"/>
      <c r="L94" s="103"/>
      <c r="N94" s="102"/>
      <c r="O94" s="97"/>
      <c r="P94" s="97"/>
      <c r="Q94" s="97"/>
      <c r="R94" s="103"/>
      <c r="T94" s="102"/>
      <c r="U94" s="97"/>
      <c r="V94" s="97"/>
      <c r="W94" s="97"/>
      <c r="X94" s="103"/>
      <c r="Z94" s="102"/>
      <c r="AA94" s="97"/>
      <c r="AB94" s="97"/>
      <c r="AC94" s="97"/>
      <c r="AD94" s="103"/>
      <c r="AF94" s="102"/>
      <c r="AG94" s="97"/>
      <c r="AH94" s="97"/>
      <c r="AI94" s="97"/>
      <c r="AJ94" s="103"/>
      <c r="AL94" s="102"/>
      <c r="AM94" s="97"/>
      <c r="AN94" s="97"/>
      <c r="AO94" s="97"/>
      <c r="AP94" s="103"/>
      <c r="AR94" s="102"/>
      <c r="AS94" s="97"/>
      <c r="AT94" s="97"/>
      <c r="AU94" s="97"/>
      <c r="AV94" s="103"/>
      <c r="AX94" s="102"/>
      <c r="AY94" s="97"/>
      <c r="AZ94" s="97"/>
      <c r="BA94" s="97"/>
      <c r="BB94" s="103"/>
      <c r="BD94" s="102"/>
      <c r="BE94" s="97"/>
      <c r="BF94" s="97"/>
      <c r="BG94" s="97"/>
      <c r="BH94" s="103"/>
      <c r="BJ94" s="102"/>
      <c r="BK94" s="97"/>
      <c r="BL94" s="97"/>
      <c r="BM94" s="97"/>
      <c r="BN94" s="103"/>
      <c r="BP94" s="102"/>
      <c r="BQ94" s="97"/>
      <c r="BR94" s="97"/>
      <c r="BS94" s="97"/>
      <c r="BT94" s="103"/>
    </row>
    <row r="95" spans="1:72" x14ac:dyDescent="0.25">
      <c r="A95" s="4">
        <v>73</v>
      </c>
      <c r="B95" s="54" t="str">
        <f>IF('Game Info'!Q78="","",'Game Info'!Q78)</f>
        <v>SYM5</v>
      </c>
      <c r="C95" s="54" t="str">
        <f>IF('Game Info'!R78="","",'Game Info'!R78)</f>
        <v>A</v>
      </c>
      <c r="D95" s="54">
        <f>IF('Game Info'!S78="","",'Game Info'!S78)</f>
        <v>9</v>
      </c>
      <c r="E95" s="54">
        <f>IF('Game Info'!T78="","",'Game Info'!T78)</f>
        <v>9</v>
      </c>
      <c r="F95" s="55" t="str">
        <f>IF('Game Info'!U78="","",'Game Info'!U78)</f>
        <v>A</v>
      </c>
      <c r="H95" s="102"/>
      <c r="I95" s="97"/>
      <c r="J95" s="97"/>
      <c r="K95" s="97"/>
      <c r="L95" s="103"/>
      <c r="N95" s="102"/>
      <c r="O95" s="97"/>
      <c r="P95" s="97"/>
      <c r="Q95" s="97"/>
      <c r="R95" s="103"/>
      <c r="T95" s="102"/>
      <c r="U95" s="97"/>
      <c r="V95" s="97"/>
      <c r="W95" s="97"/>
      <c r="X95" s="103"/>
      <c r="Z95" s="102"/>
      <c r="AA95" s="97"/>
      <c r="AB95" s="97"/>
      <c r="AC95" s="97"/>
      <c r="AD95" s="103"/>
      <c r="AF95" s="102"/>
      <c r="AG95" s="97"/>
      <c r="AH95" s="97"/>
      <c r="AI95" s="97"/>
      <c r="AJ95" s="103"/>
      <c r="AL95" s="102"/>
      <c r="AM95" s="97"/>
      <c r="AN95" s="97"/>
      <c r="AO95" s="97"/>
      <c r="AP95" s="103"/>
      <c r="AR95" s="102"/>
      <c r="AS95" s="97"/>
      <c r="AT95" s="97"/>
      <c r="AU95" s="97"/>
      <c r="AV95" s="103"/>
      <c r="AX95" s="102"/>
      <c r="AY95" s="97"/>
      <c r="AZ95" s="97"/>
      <c r="BA95" s="97"/>
      <c r="BB95" s="103"/>
      <c r="BD95" s="102"/>
      <c r="BE95" s="97"/>
      <c r="BF95" s="97"/>
      <c r="BG95" s="97"/>
      <c r="BH95" s="103"/>
      <c r="BJ95" s="102"/>
      <c r="BK95" s="97"/>
      <c r="BL95" s="97"/>
      <c r="BM95" s="97"/>
      <c r="BN95" s="103"/>
      <c r="BP95" s="102"/>
      <c r="BQ95" s="97"/>
      <c r="BR95" s="97"/>
      <c r="BS95" s="97"/>
      <c r="BT95" s="103"/>
    </row>
    <row r="96" spans="1:72" x14ac:dyDescent="0.25">
      <c r="A96" s="4">
        <v>74</v>
      </c>
      <c r="B96" s="54" t="str">
        <f>IF('Game Info'!Q79="","",'Game Info'!Q79)</f>
        <v>Q</v>
      </c>
      <c r="C96" s="54" t="str">
        <f>IF('Game Info'!R79="","",'Game Info'!R79)</f>
        <v>K</v>
      </c>
      <c r="D96" s="54" t="str">
        <f>IF('Game Info'!S79="","",'Game Info'!S79)</f>
        <v>SYM3</v>
      </c>
      <c r="E96" s="54" t="str">
        <f>IF('Game Info'!T79="","",'Game Info'!T79)</f>
        <v>SYM5</v>
      </c>
      <c r="F96" s="55" t="str">
        <f>IF('Game Info'!U79="","",'Game Info'!U79)</f>
        <v>SYM2</v>
      </c>
      <c r="H96" s="102"/>
      <c r="I96" s="97"/>
      <c r="J96" s="97"/>
      <c r="K96" s="97"/>
      <c r="L96" s="103"/>
      <c r="N96" s="102"/>
      <c r="O96" s="97"/>
      <c r="P96" s="97"/>
      <c r="Q96" s="97"/>
      <c r="R96" s="103"/>
      <c r="T96" s="102"/>
      <c r="U96" s="97"/>
      <c r="V96" s="97"/>
      <c r="W96" s="97"/>
      <c r="X96" s="103"/>
      <c r="Z96" s="102"/>
      <c r="AA96" s="97"/>
      <c r="AB96" s="97"/>
      <c r="AC96" s="97"/>
      <c r="AD96" s="103"/>
      <c r="AF96" s="102"/>
      <c r="AG96" s="97"/>
      <c r="AH96" s="97"/>
      <c r="AI96" s="97"/>
      <c r="AJ96" s="103"/>
      <c r="AL96" s="102"/>
      <c r="AM96" s="97"/>
      <c r="AN96" s="97"/>
      <c r="AO96" s="97"/>
      <c r="AP96" s="103"/>
      <c r="AR96" s="102"/>
      <c r="AS96" s="97"/>
      <c r="AT96" s="97"/>
      <c r="AU96" s="97"/>
      <c r="AV96" s="103"/>
      <c r="AX96" s="102"/>
      <c r="AY96" s="97"/>
      <c r="AZ96" s="97"/>
      <c r="BA96" s="97"/>
      <c r="BB96" s="103"/>
      <c r="BD96" s="102"/>
      <c r="BE96" s="97"/>
      <c r="BF96" s="97"/>
      <c r="BG96" s="97"/>
      <c r="BH96" s="103"/>
      <c r="BJ96" s="102"/>
      <c r="BK96" s="97"/>
      <c r="BL96" s="97"/>
      <c r="BM96" s="97"/>
      <c r="BN96" s="103"/>
      <c r="BP96" s="102"/>
      <c r="BQ96" s="97"/>
      <c r="BR96" s="97"/>
      <c r="BS96" s="97"/>
      <c r="BT96" s="103"/>
    </row>
    <row r="97" spans="1:72" x14ac:dyDescent="0.25">
      <c r="A97" s="4">
        <v>75</v>
      </c>
      <c r="B97" s="54" t="str">
        <f>IF('Game Info'!Q80="","",'Game Info'!Q80)</f>
        <v>SYM2</v>
      </c>
      <c r="C97" s="54" t="str">
        <f>IF('Game Info'!R80="","",'Game Info'!R80)</f>
        <v>SYM3</v>
      </c>
      <c r="D97" s="54" t="str">
        <f>IF('Game Info'!S80="","",'Game Info'!S80)</f>
        <v>A</v>
      </c>
      <c r="E97" s="54" t="str">
        <f>IF('Game Info'!T80="","",'Game Info'!T80)</f>
        <v>Q</v>
      </c>
      <c r="F97" s="55" t="str">
        <f>IF('Game Info'!U80="","",'Game Info'!U80)</f>
        <v>J</v>
      </c>
      <c r="H97" s="102"/>
      <c r="I97" s="97"/>
      <c r="J97" s="97"/>
      <c r="K97" s="97"/>
      <c r="L97" s="103"/>
      <c r="N97" s="102"/>
      <c r="O97" s="97"/>
      <c r="P97" s="97"/>
      <c r="Q97" s="97"/>
      <c r="R97" s="103"/>
      <c r="T97" s="102"/>
      <c r="U97" s="97"/>
      <c r="V97" s="97"/>
      <c r="W97" s="97"/>
      <c r="X97" s="103"/>
      <c r="Z97" s="102"/>
      <c r="AA97" s="97"/>
      <c r="AB97" s="97"/>
      <c r="AC97" s="97"/>
      <c r="AD97" s="103"/>
      <c r="AF97" s="102"/>
      <c r="AG97" s="97"/>
      <c r="AH97" s="97"/>
      <c r="AI97" s="97"/>
      <c r="AJ97" s="103"/>
      <c r="AL97" s="102"/>
      <c r="AM97" s="97"/>
      <c r="AN97" s="97"/>
      <c r="AO97" s="97"/>
      <c r="AP97" s="103"/>
      <c r="AR97" s="102"/>
      <c r="AS97" s="97"/>
      <c r="AT97" s="97"/>
      <c r="AU97" s="97"/>
      <c r="AV97" s="103"/>
      <c r="AX97" s="102"/>
      <c r="AY97" s="97"/>
      <c r="AZ97" s="97"/>
      <c r="BA97" s="97"/>
      <c r="BB97" s="103"/>
      <c r="BD97" s="102"/>
      <c r="BE97" s="97"/>
      <c r="BF97" s="97"/>
      <c r="BG97" s="97"/>
      <c r="BH97" s="103"/>
      <c r="BJ97" s="102"/>
      <c r="BK97" s="97"/>
      <c r="BL97" s="97"/>
      <c r="BM97" s="97"/>
      <c r="BN97" s="103"/>
      <c r="BP97" s="102"/>
      <c r="BQ97" s="97"/>
      <c r="BR97" s="97"/>
      <c r="BS97" s="97"/>
      <c r="BT97" s="103"/>
    </row>
    <row r="98" spans="1:72" x14ac:dyDescent="0.25">
      <c r="A98" s="4">
        <v>76</v>
      </c>
      <c r="B98" s="54" t="str">
        <f>IF('Game Info'!Q81="","",'Game Info'!Q81)</f>
        <v>K</v>
      </c>
      <c r="C98" s="54" t="str">
        <f>IF('Game Info'!R81="","",'Game Info'!R81)</f>
        <v>K</v>
      </c>
      <c r="D98" s="54" t="str">
        <f>IF('Game Info'!S81="","",'Game Info'!S81)</f>
        <v>SYM4</v>
      </c>
      <c r="E98" s="54" t="str">
        <f>IF('Game Info'!T81="","",'Game Info'!T81)</f>
        <v>SYM4</v>
      </c>
      <c r="F98" s="55" t="str">
        <f>IF('Game Info'!U81="","",'Game Info'!U81)</f>
        <v>SYM3</v>
      </c>
      <c r="H98" s="102"/>
      <c r="I98" s="97"/>
      <c r="J98" s="97"/>
      <c r="K98" s="97"/>
      <c r="L98" s="103"/>
      <c r="N98" s="102"/>
      <c r="O98" s="97"/>
      <c r="P98" s="97"/>
      <c r="Q98" s="97"/>
      <c r="R98" s="103"/>
      <c r="T98" s="102"/>
      <c r="U98" s="97"/>
      <c r="V98" s="97"/>
      <c r="W98" s="97"/>
      <c r="X98" s="103"/>
      <c r="Z98" s="102"/>
      <c r="AA98" s="97"/>
      <c r="AB98" s="97"/>
      <c r="AC98" s="97"/>
      <c r="AD98" s="103"/>
      <c r="AF98" s="102"/>
      <c r="AG98" s="97"/>
      <c r="AH98" s="97"/>
      <c r="AI98" s="97"/>
      <c r="AJ98" s="103"/>
      <c r="AL98" s="102"/>
      <c r="AM98" s="97"/>
      <c r="AN98" s="97"/>
      <c r="AO98" s="97"/>
      <c r="AP98" s="103"/>
      <c r="AR98" s="102"/>
      <c r="AS98" s="97"/>
      <c r="AT98" s="97"/>
      <c r="AU98" s="97"/>
      <c r="AV98" s="103"/>
      <c r="AX98" s="102"/>
      <c r="AY98" s="97"/>
      <c r="AZ98" s="97"/>
      <c r="BA98" s="97"/>
      <c r="BB98" s="103"/>
      <c r="BD98" s="102"/>
      <c r="BE98" s="97"/>
      <c r="BF98" s="97"/>
      <c r="BG98" s="97"/>
      <c r="BH98" s="103"/>
      <c r="BJ98" s="102"/>
      <c r="BK98" s="97"/>
      <c r="BL98" s="97"/>
      <c r="BM98" s="97"/>
      <c r="BN98" s="103"/>
      <c r="BP98" s="102"/>
      <c r="BQ98" s="97"/>
      <c r="BR98" s="97"/>
      <c r="BS98" s="97"/>
      <c r="BT98" s="103"/>
    </row>
    <row r="99" spans="1:72" x14ac:dyDescent="0.25">
      <c r="A99" s="4">
        <v>77</v>
      </c>
      <c r="B99" s="54" t="str">
        <f>IF('Game Info'!Q82="","",'Game Info'!Q82)</f>
        <v>SYM1</v>
      </c>
      <c r="C99" s="54" t="str">
        <f>IF('Game Info'!R82="","",'Game Info'!R82)</f>
        <v>SYM2</v>
      </c>
      <c r="D99" s="54" t="str">
        <f>IF('Game Info'!S82="","",'Game Info'!S82)</f>
        <v>Q</v>
      </c>
      <c r="E99" s="54" t="str">
        <f>IF('Game Info'!T82="","",'Game Info'!T82)</f>
        <v>SYM5</v>
      </c>
      <c r="F99" s="55">
        <f>IF('Game Info'!U82="","",'Game Info'!U82)</f>
        <v>9</v>
      </c>
      <c r="H99" s="102"/>
      <c r="I99" s="97"/>
      <c r="J99" s="97"/>
      <c r="K99" s="97"/>
      <c r="L99" s="103"/>
      <c r="N99" s="102"/>
      <c r="O99" s="97"/>
      <c r="P99" s="97"/>
      <c r="Q99" s="97"/>
      <c r="R99" s="103"/>
      <c r="T99" s="102"/>
      <c r="U99" s="97"/>
      <c r="V99" s="97"/>
      <c r="W99" s="97"/>
      <c r="X99" s="103"/>
      <c r="Z99" s="102"/>
      <c r="AA99" s="97"/>
      <c r="AB99" s="97"/>
      <c r="AC99" s="97"/>
      <c r="AD99" s="103"/>
      <c r="AF99" s="102"/>
      <c r="AG99" s="97"/>
      <c r="AH99" s="97"/>
      <c r="AI99" s="97"/>
      <c r="AJ99" s="103"/>
      <c r="AL99" s="102"/>
      <c r="AM99" s="97"/>
      <c r="AN99" s="97"/>
      <c r="AO99" s="97"/>
      <c r="AP99" s="103"/>
      <c r="AR99" s="102"/>
      <c r="AS99" s="97"/>
      <c r="AT99" s="97"/>
      <c r="AU99" s="97"/>
      <c r="AV99" s="103"/>
      <c r="AX99" s="102"/>
      <c r="AY99" s="97"/>
      <c r="AZ99" s="97"/>
      <c r="BA99" s="97"/>
      <c r="BB99" s="103"/>
      <c r="BD99" s="102"/>
      <c r="BE99" s="97"/>
      <c r="BF99" s="97"/>
      <c r="BG99" s="97"/>
      <c r="BH99" s="103"/>
      <c r="BJ99" s="102"/>
      <c r="BK99" s="97"/>
      <c r="BL99" s="97"/>
      <c r="BM99" s="97"/>
      <c r="BN99" s="103"/>
      <c r="BP99" s="102"/>
      <c r="BQ99" s="97"/>
      <c r="BR99" s="97"/>
      <c r="BS99" s="97"/>
      <c r="BT99" s="103"/>
    </row>
    <row r="100" spans="1:72" x14ac:dyDescent="0.25">
      <c r="A100" s="4">
        <v>78</v>
      </c>
      <c r="B100" s="54">
        <f>IF('Game Info'!Q83="","",'Game Info'!Q83)</f>
        <v>10</v>
      </c>
      <c r="C100" s="54" t="str">
        <f>IF('Game Info'!R83="","",'Game Info'!R83)</f>
        <v>J</v>
      </c>
      <c r="D100" s="54" t="str">
        <f>IF('Game Info'!S83="","",'Game Info'!S83)</f>
        <v>SYM5</v>
      </c>
      <c r="E100" s="54" t="str">
        <f>IF('Game Info'!T83="","",'Game Info'!T83)</f>
        <v>K</v>
      </c>
      <c r="F100" s="55" t="str">
        <f>IF('Game Info'!U83="","",'Game Info'!U83)</f>
        <v>SYM1</v>
      </c>
      <c r="H100" s="102"/>
      <c r="I100" s="97"/>
      <c r="J100" s="97"/>
      <c r="K100" s="97"/>
      <c r="L100" s="103"/>
      <c r="N100" s="102"/>
      <c r="O100" s="97"/>
      <c r="P100" s="97"/>
      <c r="Q100" s="97"/>
      <c r="R100" s="103"/>
      <c r="T100" s="102"/>
      <c r="U100" s="97"/>
      <c r="V100" s="97"/>
      <c r="W100" s="97"/>
      <c r="X100" s="103"/>
      <c r="Z100" s="102"/>
      <c r="AA100" s="97"/>
      <c r="AB100" s="97"/>
      <c r="AC100" s="97"/>
      <c r="AD100" s="103"/>
      <c r="AF100" s="102"/>
      <c r="AG100" s="97"/>
      <c r="AH100" s="97"/>
      <c r="AI100" s="97"/>
      <c r="AJ100" s="103"/>
      <c r="AL100" s="102"/>
      <c r="AM100" s="97"/>
      <c r="AN100" s="97"/>
      <c r="AO100" s="97"/>
      <c r="AP100" s="103"/>
      <c r="AR100" s="102"/>
      <c r="AS100" s="97"/>
      <c r="AT100" s="97"/>
      <c r="AU100" s="97"/>
      <c r="AV100" s="103"/>
      <c r="AX100" s="102"/>
      <c r="AY100" s="97"/>
      <c r="AZ100" s="97"/>
      <c r="BA100" s="97"/>
      <c r="BB100" s="103"/>
      <c r="BD100" s="102"/>
      <c r="BE100" s="97"/>
      <c r="BF100" s="97"/>
      <c r="BG100" s="97"/>
      <c r="BH100" s="103"/>
      <c r="BJ100" s="102"/>
      <c r="BK100" s="97"/>
      <c r="BL100" s="97"/>
      <c r="BM100" s="97"/>
      <c r="BN100" s="103"/>
      <c r="BP100" s="102"/>
      <c r="BQ100" s="97"/>
      <c r="BR100" s="97"/>
      <c r="BS100" s="97"/>
      <c r="BT100" s="103"/>
    </row>
    <row r="101" spans="1:72" x14ac:dyDescent="0.25">
      <c r="A101" s="4">
        <v>79</v>
      </c>
      <c r="B101" s="54" t="str">
        <f>IF('Game Info'!Q84="","",'Game Info'!Q84)</f>
        <v>SYM4</v>
      </c>
      <c r="C101" s="54" t="str">
        <f>IF('Game Info'!R84="","",'Game Info'!R84)</f>
        <v>SYM5</v>
      </c>
      <c r="D101" s="54">
        <f>IF('Game Info'!S84="","",'Game Info'!S84)</f>
        <v>10</v>
      </c>
      <c r="E101" s="54" t="str">
        <f>IF('Game Info'!T84="","",'Game Info'!T84)</f>
        <v>Q</v>
      </c>
      <c r="F101" s="55" t="str">
        <f>IF('Game Info'!U84="","",'Game Info'!U84)</f>
        <v>Q</v>
      </c>
      <c r="H101" s="102"/>
      <c r="I101" s="97"/>
      <c r="J101" s="97"/>
      <c r="K101" s="97"/>
      <c r="L101" s="103"/>
      <c r="N101" s="102"/>
      <c r="O101" s="97"/>
      <c r="P101" s="97"/>
      <c r="Q101" s="97"/>
      <c r="R101" s="103"/>
      <c r="T101" s="102"/>
      <c r="U101" s="97"/>
      <c r="V101" s="97"/>
      <c r="W101" s="97"/>
      <c r="X101" s="103"/>
      <c r="Z101" s="102"/>
      <c r="AA101" s="97"/>
      <c r="AB101" s="97"/>
      <c r="AC101" s="97"/>
      <c r="AD101" s="103"/>
      <c r="AF101" s="102"/>
      <c r="AG101" s="97"/>
      <c r="AH101" s="97"/>
      <c r="AI101" s="97"/>
      <c r="AJ101" s="103"/>
      <c r="AL101" s="102"/>
      <c r="AM101" s="97"/>
      <c r="AN101" s="97"/>
      <c r="AO101" s="97"/>
      <c r="AP101" s="103"/>
      <c r="AR101" s="102"/>
      <c r="AS101" s="97"/>
      <c r="AT101" s="97"/>
      <c r="AU101" s="97"/>
      <c r="AV101" s="103"/>
      <c r="AX101" s="102"/>
      <c r="AY101" s="97"/>
      <c r="AZ101" s="97"/>
      <c r="BA101" s="97"/>
      <c r="BB101" s="103"/>
      <c r="BD101" s="102"/>
      <c r="BE101" s="97"/>
      <c r="BF101" s="97"/>
      <c r="BG101" s="97"/>
      <c r="BH101" s="103"/>
      <c r="BJ101" s="102"/>
      <c r="BK101" s="97"/>
      <c r="BL101" s="97"/>
      <c r="BM101" s="97"/>
      <c r="BN101" s="103"/>
      <c r="BP101" s="102"/>
      <c r="BQ101" s="97"/>
      <c r="BR101" s="97"/>
      <c r="BS101" s="97"/>
      <c r="BT101" s="103"/>
    </row>
    <row r="102" spans="1:72" x14ac:dyDescent="0.25">
      <c r="A102" s="4">
        <v>80</v>
      </c>
      <c r="B102" s="54" t="str">
        <f>IF('Game Info'!Q85="","",'Game Info'!Q85)</f>
        <v>A</v>
      </c>
      <c r="C102" s="54" t="str">
        <f>IF('Game Info'!R85="","",'Game Info'!R85)</f>
        <v>WILD</v>
      </c>
      <c r="D102" s="54" t="str">
        <f>IF('Game Info'!S85="","",'Game Info'!S85)</f>
        <v>SYM4</v>
      </c>
      <c r="E102" s="54" t="str">
        <f>IF('Game Info'!T85="","",'Game Info'!T85)</f>
        <v>SYM3</v>
      </c>
      <c r="F102" s="55">
        <f>IF('Game Info'!U85="","",'Game Info'!U85)</f>
        <v>9</v>
      </c>
      <c r="H102" s="102"/>
      <c r="I102" s="97"/>
      <c r="J102" s="97"/>
      <c r="K102" s="97"/>
      <c r="L102" s="103"/>
      <c r="N102" s="102"/>
      <c r="O102" s="97"/>
      <c r="P102" s="97"/>
      <c r="Q102" s="97"/>
      <c r="R102" s="103"/>
      <c r="T102" s="102"/>
      <c r="U102" s="97"/>
      <c r="V102" s="97"/>
      <c r="W102" s="97"/>
      <c r="X102" s="103"/>
      <c r="Z102" s="102"/>
      <c r="AA102" s="97"/>
      <c r="AB102" s="97"/>
      <c r="AC102" s="97"/>
      <c r="AD102" s="103"/>
      <c r="AF102" s="102"/>
      <c r="AG102" s="97"/>
      <c r="AH102" s="97"/>
      <c r="AI102" s="97"/>
      <c r="AJ102" s="103"/>
      <c r="AL102" s="102"/>
      <c r="AM102" s="97"/>
      <c r="AN102" s="97"/>
      <c r="AO102" s="97"/>
      <c r="AP102" s="103"/>
      <c r="AR102" s="102"/>
      <c r="AS102" s="97"/>
      <c r="AT102" s="97"/>
      <c r="AU102" s="97"/>
      <c r="AV102" s="103"/>
      <c r="AX102" s="102"/>
      <c r="AY102" s="97"/>
      <c r="AZ102" s="97"/>
      <c r="BA102" s="97"/>
      <c r="BB102" s="103"/>
      <c r="BD102" s="102"/>
      <c r="BE102" s="97"/>
      <c r="BF102" s="97"/>
      <c r="BG102" s="97"/>
      <c r="BH102" s="103"/>
      <c r="BJ102" s="102"/>
      <c r="BK102" s="97"/>
      <c r="BL102" s="97"/>
      <c r="BM102" s="97"/>
      <c r="BN102" s="103"/>
      <c r="BP102" s="102"/>
      <c r="BQ102" s="97"/>
      <c r="BR102" s="97"/>
      <c r="BS102" s="97"/>
      <c r="BT102" s="103"/>
    </row>
    <row r="103" spans="1:72" x14ac:dyDescent="0.25">
      <c r="A103" s="4">
        <v>81</v>
      </c>
      <c r="B103" s="54" t="str">
        <f>IF('Game Info'!Q86="","",'Game Info'!Q86)</f>
        <v>Q</v>
      </c>
      <c r="C103" s="54">
        <f>IF('Game Info'!R86="","",'Game Info'!R86)</f>
        <v>10</v>
      </c>
      <c r="D103" s="54" t="str">
        <f>IF('Game Info'!S86="","",'Game Info'!S86)</f>
        <v>Q</v>
      </c>
      <c r="E103" s="54">
        <f>IF('Game Info'!T86="","",'Game Info'!T86)</f>
        <v>10</v>
      </c>
      <c r="F103" s="55" t="str">
        <f>IF('Game Info'!U86="","",'Game Info'!U86)</f>
        <v>SYM5</v>
      </c>
      <c r="H103" s="102"/>
      <c r="I103" s="97"/>
      <c r="J103" s="97"/>
      <c r="K103" s="97"/>
      <c r="L103" s="103"/>
      <c r="N103" s="102"/>
      <c r="O103" s="97"/>
      <c r="P103" s="97"/>
      <c r="Q103" s="97"/>
      <c r="R103" s="103"/>
      <c r="T103" s="102"/>
      <c r="U103" s="97"/>
      <c r="V103" s="97"/>
      <c r="W103" s="97"/>
      <c r="X103" s="103"/>
      <c r="Z103" s="102"/>
      <c r="AA103" s="97"/>
      <c r="AB103" s="97"/>
      <c r="AC103" s="97"/>
      <c r="AD103" s="103"/>
      <c r="AF103" s="102"/>
      <c r="AG103" s="97"/>
      <c r="AH103" s="97"/>
      <c r="AI103" s="97"/>
      <c r="AJ103" s="103"/>
      <c r="AL103" s="102"/>
      <c r="AM103" s="97"/>
      <c r="AN103" s="97"/>
      <c r="AO103" s="97"/>
      <c r="AP103" s="103"/>
      <c r="AR103" s="102"/>
      <c r="AS103" s="97"/>
      <c r="AT103" s="97"/>
      <c r="AU103" s="97"/>
      <c r="AV103" s="103"/>
      <c r="AX103" s="102"/>
      <c r="AY103" s="97"/>
      <c r="AZ103" s="97"/>
      <c r="BA103" s="97"/>
      <c r="BB103" s="103"/>
      <c r="BD103" s="102"/>
      <c r="BE103" s="97"/>
      <c r="BF103" s="97"/>
      <c r="BG103" s="97"/>
      <c r="BH103" s="103"/>
      <c r="BJ103" s="102"/>
      <c r="BK103" s="97"/>
      <c r="BL103" s="97"/>
      <c r="BM103" s="97"/>
      <c r="BN103" s="103"/>
      <c r="BP103" s="102"/>
      <c r="BQ103" s="97"/>
      <c r="BR103" s="97"/>
      <c r="BS103" s="97"/>
      <c r="BT103" s="103"/>
    </row>
    <row r="104" spans="1:72" x14ac:dyDescent="0.25">
      <c r="A104" s="4">
        <v>82</v>
      </c>
      <c r="B104" s="54" t="str">
        <f>IF('Game Info'!Q87="","",'Game Info'!Q87)</f>
        <v>SYM1</v>
      </c>
      <c r="C104" s="54" t="str">
        <f>IF('Game Info'!R87="","",'Game Info'!R87)</f>
        <v>SYM2</v>
      </c>
      <c r="D104" s="54" t="str">
        <f>IF('Game Info'!S87="","",'Game Info'!S87)</f>
        <v>SYM3</v>
      </c>
      <c r="E104" s="54" t="str">
        <f>IF('Game Info'!T87="","",'Game Info'!T87)</f>
        <v>WILD</v>
      </c>
      <c r="F104" s="55" t="str">
        <f>IF('Game Info'!U87="","",'Game Info'!U87)</f>
        <v>SYM5</v>
      </c>
      <c r="H104" s="102"/>
      <c r="I104" s="97"/>
      <c r="J104" s="97"/>
      <c r="K104" s="97"/>
      <c r="L104" s="103"/>
      <c r="N104" s="102"/>
      <c r="O104" s="97"/>
      <c r="P104" s="97"/>
      <c r="Q104" s="97"/>
      <c r="R104" s="103"/>
      <c r="T104" s="102"/>
      <c r="U104" s="97"/>
      <c r="V104" s="97"/>
      <c r="W104" s="97"/>
      <c r="X104" s="103"/>
      <c r="Z104" s="102"/>
      <c r="AA104" s="97"/>
      <c r="AB104" s="97"/>
      <c r="AC104" s="97"/>
      <c r="AD104" s="103"/>
      <c r="AF104" s="102"/>
      <c r="AG104" s="97"/>
      <c r="AH104" s="97"/>
      <c r="AI104" s="97"/>
      <c r="AJ104" s="103"/>
      <c r="AL104" s="102"/>
      <c r="AM104" s="97"/>
      <c r="AN104" s="97"/>
      <c r="AO104" s="97"/>
      <c r="AP104" s="103"/>
      <c r="AR104" s="102"/>
      <c r="AS104" s="97"/>
      <c r="AT104" s="97"/>
      <c r="AU104" s="97"/>
      <c r="AV104" s="103"/>
      <c r="AX104" s="102"/>
      <c r="AY104" s="97"/>
      <c r="AZ104" s="97"/>
      <c r="BA104" s="97"/>
      <c r="BB104" s="103"/>
      <c r="BD104" s="102"/>
      <c r="BE104" s="97"/>
      <c r="BF104" s="97"/>
      <c r="BG104" s="97"/>
      <c r="BH104" s="103"/>
      <c r="BJ104" s="102"/>
      <c r="BK104" s="97"/>
      <c r="BL104" s="97"/>
      <c r="BM104" s="97"/>
      <c r="BN104" s="103"/>
      <c r="BP104" s="102"/>
      <c r="BQ104" s="97"/>
      <c r="BR104" s="97"/>
      <c r="BS104" s="97"/>
      <c r="BT104" s="103"/>
    </row>
    <row r="105" spans="1:72" x14ac:dyDescent="0.25">
      <c r="A105" s="4">
        <v>83</v>
      </c>
      <c r="B105" s="54" t="str">
        <f>IF('Game Info'!Q88="","",'Game Info'!Q88)</f>
        <v>SYM1</v>
      </c>
      <c r="C105" s="54" t="str">
        <f>IF('Game Info'!R88="","",'Game Info'!R88)</f>
        <v>J</v>
      </c>
      <c r="D105" s="54">
        <f>IF('Game Info'!S88="","",'Game Info'!S88)</f>
        <v>10</v>
      </c>
      <c r="E105" s="54" t="str">
        <f>IF('Game Info'!T88="","",'Game Info'!T88)</f>
        <v>A</v>
      </c>
      <c r="F105" s="55" t="str">
        <f>IF('Game Info'!U88="","",'Game Info'!U88)</f>
        <v>SYM5</v>
      </c>
      <c r="H105" s="102"/>
      <c r="I105" s="97"/>
      <c r="J105" s="97"/>
      <c r="K105" s="97"/>
      <c r="L105" s="103"/>
      <c r="N105" s="102"/>
      <c r="O105" s="97"/>
      <c r="P105" s="97"/>
      <c r="Q105" s="97"/>
      <c r="R105" s="103"/>
      <c r="T105" s="102"/>
      <c r="U105" s="97"/>
      <c r="V105" s="97"/>
      <c r="W105" s="97"/>
      <c r="X105" s="103"/>
      <c r="Z105" s="102"/>
      <c r="AA105" s="97"/>
      <c r="AB105" s="97"/>
      <c r="AC105" s="97"/>
      <c r="AD105" s="103"/>
      <c r="AF105" s="102"/>
      <c r="AG105" s="97"/>
      <c r="AH105" s="97"/>
      <c r="AI105" s="97"/>
      <c r="AJ105" s="103"/>
      <c r="AL105" s="102"/>
      <c r="AM105" s="97"/>
      <c r="AN105" s="97"/>
      <c r="AO105" s="97"/>
      <c r="AP105" s="103"/>
      <c r="AR105" s="102"/>
      <c r="AS105" s="97"/>
      <c r="AT105" s="97"/>
      <c r="AU105" s="97"/>
      <c r="AV105" s="103"/>
      <c r="AX105" s="102"/>
      <c r="AY105" s="97"/>
      <c r="AZ105" s="97"/>
      <c r="BA105" s="97"/>
      <c r="BB105" s="103"/>
      <c r="BD105" s="102"/>
      <c r="BE105" s="97"/>
      <c r="BF105" s="97"/>
      <c r="BG105" s="97"/>
      <c r="BH105" s="103"/>
      <c r="BJ105" s="102"/>
      <c r="BK105" s="97"/>
      <c r="BL105" s="97"/>
      <c r="BM105" s="97"/>
      <c r="BN105" s="103"/>
      <c r="BP105" s="102"/>
      <c r="BQ105" s="97"/>
      <c r="BR105" s="97"/>
      <c r="BS105" s="97"/>
      <c r="BT105" s="103"/>
    </row>
    <row r="106" spans="1:72" x14ac:dyDescent="0.25">
      <c r="A106" s="4">
        <v>84</v>
      </c>
      <c r="B106" s="54" t="str">
        <f>IF('Game Info'!Q89="","",'Game Info'!Q89)</f>
        <v>SYM3</v>
      </c>
      <c r="C106" s="54" t="str">
        <f>IF('Game Info'!R89="","",'Game Info'!R89)</f>
        <v>SYM1</v>
      </c>
      <c r="D106" s="54" t="str">
        <f>IF('Game Info'!S89="","",'Game Info'!S89)</f>
        <v>SYM5</v>
      </c>
      <c r="E106" s="54" t="str">
        <f>IF('Game Info'!T89="","",'Game Info'!T89)</f>
        <v>SYM4</v>
      </c>
      <c r="F106" s="55" t="str">
        <f>IF('Game Info'!U89="","",'Game Info'!U89)</f>
        <v>Q</v>
      </c>
      <c r="H106" s="102"/>
      <c r="I106" s="97"/>
      <c r="J106" s="97"/>
      <c r="K106" s="97"/>
      <c r="L106" s="103"/>
      <c r="N106" s="102"/>
      <c r="O106" s="97"/>
      <c r="P106" s="97"/>
      <c r="Q106" s="97"/>
      <c r="R106" s="103"/>
      <c r="T106" s="102"/>
      <c r="U106" s="97"/>
      <c r="V106" s="97"/>
      <c r="W106" s="97"/>
      <c r="X106" s="103"/>
      <c r="Z106" s="102"/>
      <c r="AA106" s="97"/>
      <c r="AB106" s="97"/>
      <c r="AC106" s="97"/>
      <c r="AD106" s="103"/>
      <c r="AF106" s="102"/>
      <c r="AG106" s="97"/>
      <c r="AH106" s="97"/>
      <c r="AI106" s="97"/>
      <c r="AJ106" s="103"/>
      <c r="AL106" s="102"/>
      <c r="AM106" s="97"/>
      <c r="AN106" s="97"/>
      <c r="AO106" s="97"/>
      <c r="AP106" s="103"/>
      <c r="AR106" s="102"/>
      <c r="AS106" s="97"/>
      <c r="AT106" s="97"/>
      <c r="AU106" s="97"/>
      <c r="AV106" s="103"/>
      <c r="AX106" s="102"/>
      <c r="AY106" s="97"/>
      <c r="AZ106" s="97"/>
      <c r="BA106" s="97"/>
      <c r="BB106" s="103"/>
      <c r="BD106" s="102"/>
      <c r="BE106" s="97"/>
      <c r="BF106" s="97"/>
      <c r="BG106" s="97"/>
      <c r="BH106" s="103"/>
      <c r="BJ106" s="102"/>
      <c r="BK106" s="97"/>
      <c r="BL106" s="97"/>
      <c r="BM106" s="97"/>
      <c r="BN106" s="103"/>
      <c r="BP106" s="102"/>
      <c r="BQ106" s="97"/>
      <c r="BR106" s="97"/>
      <c r="BS106" s="97"/>
      <c r="BT106" s="103"/>
    </row>
    <row r="107" spans="1:72" x14ac:dyDescent="0.25">
      <c r="A107" s="4">
        <v>85</v>
      </c>
      <c r="B107" s="54" t="str">
        <f>IF('Game Info'!Q90="","",'Game Info'!Q90)</f>
        <v>J</v>
      </c>
      <c r="C107" s="54" t="str">
        <f>IF('Game Info'!R90="","",'Game Info'!R90)</f>
        <v>A</v>
      </c>
      <c r="D107" s="54" t="str">
        <f>IF('Game Info'!S90="","",'Game Info'!S90)</f>
        <v>K</v>
      </c>
      <c r="E107" s="54">
        <f>IF('Game Info'!T90="","",'Game Info'!T90)</f>
        <v>9</v>
      </c>
      <c r="F107" s="55" t="str">
        <f>IF('Game Info'!U90="","",'Game Info'!U90)</f>
        <v>SYM1</v>
      </c>
      <c r="H107" s="102"/>
      <c r="I107" s="97"/>
      <c r="J107" s="97"/>
      <c r="K107" s="97"/>
      <c r="L107" s="103"/>
      <c r="N107" s="102"/>
      <c r="O107" s="97"/>
      <c r="P107" s="97"/>
      <c r="Q107" s="97"/>
      <c r="R107" s="103"/>
      <c r="T107" s="102"/>
      <c r="U107" s="97"/>
      <c r="V107" s="97"/>
      <c r="W107" s="97"/>
      <c r="X107" s="103"/>
      <c r="Z107" s="102"/>
      <c r="AA107" s="97"/>
      <c r="AB107" s="97"/>
      <c r="AC107" s="97"/>
      <c r="AD107" s="103"/>
      <c r="AF107" s="102"/>
      <c r="AG107" s="97"/>
      <c r="AH107" s="97"/>
      <c r="AI107" s="97"/>
      <c r="AJ107" s="103"/>
      <c r="AL107" s="102"/>
      <c r="AM107" s="97"/>
      <c r="AN107" s="97"/>
      <c r="AO107" s="97"/>
      <c r="AP107" s="103"/>
      <c r="AR107" s="102"/>
      <c r="AS107" s="97"/>
      <c r="AT107" s="97"/>
      <c r="AU107" s="97"/>
      <c r="AV107" s="103"/>
      <c r="AX107" s="102"/>
      <c r="AY107" s="97"/>
      <c r="AZ107" s="97"/>
      <c r="BA107" s="97"/>
      <c r="BB107" s="103"/>
      <c r="BD107" s="102"/>
      <c r="BE107" s="97"/>
      <c r="BF107" s="97"/>
      <c r="BG107" s="97"/>
      <c r="BH107" s="103"/>
      <c r="BJ107" s="102"/>
      <c r="BK107" s="97"/>
      <c r="BL107" s="97"/>
      <c r="BM107" s="97"/>
      <c r="BN107" s="103"/>
      <c r="BP107" s="102"/>
      <c r="BQ107" s="97"/>
      <c r="BR107" s="97"/>
      <c r="BS107" s="97"/>
      <c r="BT107" s="103"/>
    </row>
    <row r="108" spans="1:72" x14ac:dyDescent="0.25">
      <c r="A108" s="4">
        <v>86</v>
      </c>
      <c r="B108" s="54">
        <f>IF('Game Info'!Q91="","",'Game Info'!Q91)</f>
        <v>10</v>
      </c>
      <c r="C108" s="54" t="str">
        <f>IF('Game Info'!R91="","",'Game Info'!R91)</f>
        <v>Q</v>
      </c>
      <c r="D108" s="54" t="str">
        <f>IF('Game Info'!S91="","",'Game Info'!S91)</f>
        <v>A</v>
      </c>
      <c r="E108" s="54" t="str">
        <f>IF('Game Info'!T91="","",'Game Info'!T91)</f>
        <v>SYM1</v>
      </c>
      <c r="F108" s="55" t="str">
        <f>IF('Game Info'!U91="","",'Game Info'!U91)</f>
        <v>K</v>
      </c>
      <c r="H108" s="102"/>
      <c r="I108" s="97"/>
      <c r="J108" s="97"/>
      <c r="K108" s="97"/>
      <c r="L108" s="103"/>
      <c r="N108" s="102"/>
      <c r="O108" s="97"/>
      <c r="P108" s="97"/>
      <c r="Q108" s="97"/>
      <c r="R108" s="103"/>
      <c r="T108" s="102"/>
      <c r="U108" s="97"/>
      <c r="V108" s="97"/>
      <c r="W108" s="97"/>
      <c r="X108" s="103"/>
      <c r="Z108" s="102"/>
      <c r="AA108" s="97"/>
      <c r="AB108" s="97"/>
      <c r="AC108" s="97"/>
      <c r="AD108" s="103"/>
      <c r="AF108" s="102"/>
      <c r="AG108" s="97"/>
      <c r="AH108" s="97"/>
      <c r="AI108" s="97"/>
      <c r="AJ108" s="103"/>
      <c r="AL108" s="102"/>
      <c r="AM108" s="97"/>
      <c r="AN108" s="97"/>
      <c r="AO108" s="97"/>
      <c r="AP108" s="103"/>
      <c r="AR108" s="102"/>
      <c r="AS108" s="97"/>
      <c r="AT108" s="97"/>
      <c r="AU108" s="97"/>
      <c r="AV108" s="103"/>
      <c r="AX108" s="102"/>
      <c r="AY108" s="97"/>
      <c r="AZ108" s="97"/>
      <c r="BA108" s="97"/>
      <c r="BB108" s="103"/>
      <c r="BD108" s="102"/>
      <c r="BE108" s="97"/>
      <c r="BF108" s="97"/>
      <c r="BG108" s="97"/>
      <c r="BH108" s="103"/>
      <c r="BJ108" s="102"/>
      <c r="BK108" s="97"/>
      <c r="BL108" s="97"/>
      <c r="BM108" s="97"/>
      <c r="BN108" s="103"/>
      <c r="BP108" s="102"/>
      <c r="BQ108" s="97"/>
      <c r="BR108" s="97"/>
      <c r="BS108" s="97"/>
      <c r="BT108" s="103"/>
    </row>
    <row r="109" spans="1:72" x14ac:dyDescent="0.25">
      <c r="A109" s="4">
        <v>87</v>
      </c>
      <c r="B109" s="54" t="str">
        <f>IF('Game Info'!Q92="","",'Game Info'!Q92)</f>
        <v>SYM2</v>
      </c>
      <c r="C109" s="54" t="str">
        <f>IF('Game Info'!R92="","",'Game Info'!R92)</f>
        <v>SYM5</v>
      </c>
      <c r="D109" s="54" t="str">
        <f>IF('Game Info'!S92="","",'Game Info'!S92)</f>
        <v>J</v>
      </c>
      <c r="E109" s="54" t="str">
        <f>IF('Game Info'!T92="","",'Game Info'!T92)</f>
        <v/>
      </c>
      <c r="F109" s="55" t="str">
        <f>IF('Game Info'!U92="","",'Game Info'!U92)</f>
        <v>Q</v>
      </c>
      <c r="H109" s="102"/>
      <c r="I109" s="97"/>
      <c r="J109" s="97"/>
      <c r="K109" s="97"/>
      <c r="L109" s="103"/>
      <c r="N109" s="102"/>
      <c r="O109" s="97"/>
      <c r="P109" s="97"/>
      <c r="Q109" s="97"/>
      <c r="R109" s="103"/>
      <c r="T109" s="102"/>
      <c r="U109" s="97"/>
      <c r="V109" s="97"/>
      <c r="W109" s="97"/>
      <c r="X109" s="103"/>
      <c r="Z109" s="102"/>
      <c r="AA109" s="97"/>
      <c r="AB109" s="97"/>
      <c r="AC109" s="97"/>
      <c r="AD109" s="103"/>
      <c r="AF109" s="102"/>
      <c r="AG109" s="97"/>
      <c r="AH109" s="97"/>
      <c r="AI109" s="97"/>
      <c r="AJ109" s="103"/>
      <c r="AL109" s="102"/>
      <c r="AM109" s="97"/>
      <c r="AN109" s="97"/>
      <c r="AO109" s="97"/>
      <c r="AP109" s="103"/>
      <c r="AR109" s="102"/>
      <c r="AS109" s="97"/>
      <c r="AT109" s="97"/>
      <c r="AU109" s="97"/>
      <c r="AV109" s="103"/>
      <c r="AX109" s="102"/>
      <c r="AY109" s="97"/>
      <c r="AZ109" s="97"/>
      <c r="BA109" s="97"/>
      <c r="BB109" s="103"/>
      <c r="BD109" s="102"/>
      <c r="BE109" s="97"/>
      <c r="BF109" s="97"/>
      <c r="BG109" s="97"/>
      <c r="BH109" s="103"/>
      <c r="BJ109" s="102"/>
      <c r="BK109" s="97"/>
      <c r="BL109" s="97"/>
      <c r="BM109" s="97"/>
      <c r="BN109" s="103"/>
      <c r="BP109" s="102"/>
      <c r="BQ109" s="97"/>
      <c r="BR109" s="97"/>
      <c r="BS109" s="97"/>
      <c r="BT109" s="103"/>
    </row>
    <row r="110" spans="1:72" x14ac:dyDescent="0.25">
      <c r="A110" s="4">
        <v>88</v>
      </c>
      <c r="B110" s="54">
        <f>IF('Game Info'!Q93="","",'Game Info'!Q93)</f>
        <v>9</v>
      </c>
      <c r="C110" s="54" t="str">
        <f>IF('Game Info'!R93="","",'Game Info'!R93)</f>
        <v>K</v>
      </c>
      <c r="D110" s="54" t="str">
        <f>IF('Game Info'!S93="","",'Game Info'!S93)</f>
        <v>SYM1</v>
      </c>
      <c r="E110" s="54" t="str">
        <f>IF('Game Info'!T93="","",'Game Info'!T93)</f>
        <v/>
      </c>
      <c r="F110" s="55" t="str">
        <f>IF('Game Info'!U93="","",'Game Info'!U93)</f>
        <v>SYM4</v>
      </c>
      <c r="H110" s="102"/>
      <c r="I110" s="97"/>
      <c r="J110" s="97"/>
      <c r="K110" s="97"/>
      <c r="L110" s="103"/>
      <c r="N110" s="102"/>
      <c r="O110" s="97"/>
      <c r="P110" s="97"/>
      <c r="Q110" s="97"/>
      <c r="R110" s="103"/>
      <c r="T110" s="102"/>
      <c r="U110" s="97"/>
      <c r="V110" s="97"/>
      <c r="W110" s="97"/>
      <c r="X110" s="103"/>
      <c r="Z110" s="102"/>
      <c r="AA110" s="97"/>
      <c r="AB110" s="97"/>
      <c r="AC110" s="97"/>
      <c r="AD110" s="103"/>
      <c r="AF110" s="102"/>
      <c r="AG110" s="97"/>
      <c r="AH110" s="97"/>
      <c r="AI110" s="97"/>
      <c r="AJ110" s="103"/>
      <c r="AL110" s="102"/>
      <c r="AM110" s="97"/>
      <c r="AN110" s="97"/>
      <c r="AO110" s="97"/>
      <c r="AP110" s="103"/>
      <c r="AR110" s="102"/>
      <c r="AS110" s="97"/>
      <c r="AT110" s="97"/>
      <c r="AU110" s="97"/>
      <c r="AV110" s="103"/>
      <c r="AX110" s="102"/>
      <c r="AY110" s="97"/>
      <c r="AZ110" s="97"/>
      <c r="BA110" s="97"/>
      <c r="BB110" s="103"/>
      <c r="BD110" s="102"/>
      <c r="BE110" s="97"/>
      <c r="BF110" s="97"/>
      <c r="BG110" s="97"/>
      <c r="BH110" s="103"/>
      <c r="BJ110" s="102"/>
      <c r="BK110" s="97"/>
      <c r="BL110" s="97"/>
      <c r="BM110" s="97"/>
      <c r="BN110" s="103"/>
      <c r="BP110" s="102"/>
      <c r="BQ110" s="97"/>
      <c r="BR110" s="97"/>
      <c r="BS110" s="97"/>
      <c r="BT110" s="103"/>
    </row>
    <row r="111" spans="1:72" x14ac:dyDescent="0.25">
      <c r="A111" s="4">
        <v>89</v>
      </c>
      <c r="B111" s="54" t="str">
        <f>IF('Game Info'!Q94="","",'Game Info'!Q94)</f>
        <v>SYM3</v>
      </c>
      <c r="C111" s="54" t="str">
        <f>IF('Game Info'!R94="","",'Game Info'!R94)</f>
        <v>SYM5</v>
      </c>
      <c r="D111" s="54" t="str">
        <f>IF('Game Info'!S94="","",'Game Info'!S94)</f>
        <v>Q</v>
      </c>
      <c r="E111" s="54" t="str">
        <f>IF('Game Info'!T94="","",'Game Info'!T94)</f>
        <v/>
      </c>
      <c r="F111" s="55" t="str">
        <f>IF('Game Info'!U94="","",'Game Info'!U94)</f>
        <v>K</v>
      </c>
      <c r="H111" s="102"/>
      <c r="I111" s="97"/>
      <c r="J111" s="97"/>
      <c r="K111" s="97"/>
      <c r="L111" s="103"/>
      <c r="N111" s="102"/>
      <c r="O111" s="97"/>
      <c r="P111" s="97"/>
      <c r="Q111" s="97"/>
      <c r="R111" s="103"/>
      <c r="T111" s="102"/>
      <c r="U111" s="97"/>
      <c r="V111" s="97"/>
      <c r="W111" s="97"/>
      <c r="X111" s="103"/>
      <c r="Z111" s="102"/>
      <c r="AA111" s="97"/>
      <c r="AB111" s="97"/>
      <c r="AC111" s="97"/>
      <c r="AD111" s="103"/>
      <c r="AF111" s="102"/>
      <c r="AG111" s="97"/>
      <c r="AH111" s="97"/>
      <c r="AI111" s="97"/>
      <c r="AJ111" s="103"/>
      <c r="AL111" s="102"/>
      <c r="AM111" s="97"/>
      <c r="AN111" s="97"/>
      <c r="AO111" s="97"/>
      <c r="AP111" s="103"/>
      <c r="AR111" s="102"/>
      <c r="AS111" s="97"/>
      <c r="AT111" s="97"/>
      <c r="AU111" s="97"/>
      <c r="AV111" s="103"/>
      <c r="AX111" s="102"/>
      <c r="AY111" s="97"/>
      <c r="AZ111" s="97"/>
      <c r="BA111" s="97"/>
      <c r="BB111" s="103"/>
      <c r="BD111" s="102"/>
      <c r="BE111" s="97"/>
      <c r="BF111" s="97"/>
      <c r="BG111" s="97"/>
      <c r="BH111" s="103"/>
      <c r="BJ111" s="102"/>
      <c r="BK111" s="97"/>
      <c r="BL111" s="97"/>
      <c r="BM111" s="97"/>
      <c r="BN111" s="103"/>
      <c r="BP111" s="102"/>
      <c r="BQ111" s="97"/>
      <c r="BR111" s="97"/>
      <c r="BS111" s="97"/>
      <c r="BT111" s="103"/>
    </row>
    <row r="112" spans="1:72" x14ac:dyDescent="0.25">
      <c r="A112" s="4">
        <v>90</v>
      </c>
      <c r="B112" s="54" t="str">
        <f>IF('Game Info'!Q95="","",'Game Info'!Q95)</f>
        <v>Q</v>
      </c>
      <c r="C112" s="54" t="str">
        <f>IF('Game Info'!R95="","",'Game Info'!R95)</f>
        <v>J</v>
      </c>
      <c r="D112" s="54" t="str">
        <f>IF('Game Info'!S95="","",'Game Info'!S95)</f>
        <v>SYM3</v>
      </c>
      <c r="E112" s="54" t="str">
        <f>IF('Game Info'!T95="","",'Game Info'!T95)</f>
        <v/>
      </c>
      <c r="F112" s="55" t="str">
        <f>IF('Game Info'!U95="","",'Game Info'!U95)</f>
        <v>SYM1</v>
      </c>
      <c r="H112" s="102"/>
      <c r="I112" s="97"/>
      <c r="J112" s="97"/>
      <c r="K112" s="97"/>
      <c r="L112" s="103"/>
      <c r="N112" s="102"/>
      <c r="O112" s="97"/>
      <c r="P112" s="97"/>
      <c r="Q112" s="97"/>
      <c r="R112" s="103"/>
      <c r="T112" s="102"/>
      <c r="U112" s="97"/>
      <c r="V112" s="97"/>
      <c r="W112" s="97"/>
      <c r="X112" s="103"/>
      <c r="Z112" s="102"/>
      <c r="AA112" s="97"/>
      <c r="AB112" s="97"/>
      <c r="AC112" s="97"/>
      <c r="AD112" s="103"/>
      <c r="AF112" s="102"/>
      <c r="AG112" s="97"/>
      <c r="AH112" s="97"/>
      <c r="AI112" s="97"/>
      <c r="AJ112" s="103"/>
      <c r="AL112" s="102"/>
      <c r="AM112" s="97"/>
      <c r="AN112" s="97"/>
      <c r="AO112" s="97"/>
      <c r="AP112" s="103"/>
      <c r="AR112" s="102"/>
      <c r="AS112" s="97"/>
      <c r="AT112" s="97"/>
      <c r="AU112" s="97"/>
      <c r="AV112" s="103"/>
      <c r="AX112" s="102"/>
      <c r="AY112" s="97"/>
      <c r="AZ112" s="97"/>
      <c r="BA112" s="97"/>
      <c r="BB112" s="103"/>
      <c r="BD112" s="102"/>
      <c r="BE112" s="97"/>
      <c r="BF112" s="97"/>
      <c r="BG112" s="97"/>
      <c r="BH112" s="103"/>
      <c r="BJ112" s="102"/>
      <c r="BK112" s="97"/>
      <c r="BL112" s="97"/>
      <c r="BM112" s="97"/>
      <c r="BN112" s="103"/>
      <c r="BP112" s="102"/>
      <c r="BQ112" s="97"/>
      <c r="BR112" s="97"/>
      <c r="BS112" s="97"/>
      <c r="BT112" s="103"/>
    </row>
    <row r="113" spans="1:72" x14ac:dyDescent="0.25">
      <c r="A113" s="4">
        <v>91</v>
      </c>
      <c r="B113" s="54" t="str">
        <f>IF('Game Info'!Q96="","",'Game Info'!Q96)</f>
        <v>SYM1</v>
      </c>
      <c r="C113" s="54">
        <f>IF('Game Info'!R96="","",'Game Info'!R96)</f>
        <v>9</v>
      </c>
      <c r="D113" s="54" t="str">
        <f>IF('Game Info'!S96="","",'Game Info'!S96)</f>
        <v>A</v>
      </c>
      <c r="E113" s="54" t="str">
        <f>IF('Game Info'!T96="","",'Game Info'!T96)</f>
        <v/>
      </c>
      <c r="F113" s="55">
        <f>IF('Game Info'!U96="","",'Game Info'!U96)</f>
        <v>10</v>
      </c>
      <c r="H113" s="102"/>
      <c r="I113" s="97"/>
      <c r="J113" s="97"/>
      <c r="K113" s="97"/>
      <c r="L113" s="103"/>
      <c r="N113" s="102"/>
      <c r="O113" s="97"/>
      <c r="P113" s="97"/>
      <c r="Q113" s="97"/>
      <c r="R113" s="103"/>
      <c r="T113" s="102"/>
      <c r="U113" s="97"/>
      <c r="V113" s="97"/>
      <c r="W113" s="97"/>
      <c r="X113" s="103"/>
      <c r="Z113" s="102"/>
      <c r="AA113" s="97"/>
      <c r="AB113" s="97"/>
      <c r="AC113" s="97"/>
      <c r="AD113" s="103"/>
      <c r="AF113" s="102"/>
      <c r="AG113" s="97"/>
      <c r="AH113" s="97"/>
      <c r="AI113" s="97"/>
      <c r="AJ113" s="103"/>
      <c r="AL113" s="102"/>
      <c r="AM113" s="97"/>
      <c r="AN113" s="97"/>
      <c r="AO113" s="97"/>
      <c r="AP113" s="103"/>
      <c r="AR113" s="102"/>
      <c r="AS113" s="97"/>
      <c r="AT113" s="97"/>
      <c r="AU113" s="97"/>
      <c r="AV113" s="103"/>
      <c r="AX113" s="102"/>
      <c r="AY113" s="97"/>
      <c r="AZ113" s="97"/>
      <c r="BA113" s="97"/>
      <c r="BB113" s="103"/>
      <c r="BD113" s="102"/>
      <c r="BE113" s="97"/>
      <c r="BF113" s="97"/>
      <c r="BG113" s="97"/>
      <c r="BH113" s="103"/>
      <c r="BJ113" s="102"/>
      <c r="BK113" s="97"/>
      <c r="BL113" s="97"/>
      <c r="BM113" s="97"/>
      <c r="BN113" s="103"/>
      <c r="BP113" s="102"/>
      <c r="BQ113" s="97"/>
      <c r="BR113" s="97"/>
      <c r="BS113" s="97"/>
      <c r="BT113" s="103"/>
    </row>
    <row r="114" spans="1:72" x14ac:dyDescent="0.25">
      <c r="A114" s="4">
        <v>92</v>
      </c>
      <c r="B114" s="54">
        <f>IF('Game Info'!Q97="","",'Game Info'!Q97)</f>
        <v>10</v>
      </c>
      <c r="C114" s="54">
        <f>IF('Game Info'!R97="","",'Game Info'!R97)</f>
        <v>10</v>
      </c>
      <c r="D114" s="54" t="str">
        <f>IF('Game Info'!S97="","",'Game Info'!S97)</f>
        <v>SYM5</v>
      </c>
      <c r="E114" s="54" t="str">
        <f>IF('Game Info'!T97="","",'Game Info'!T97)</f>
        <v/>
      </c>
      <c r="F114" s="55" t="str">
        <f>IF('Game Info'!U97="","",'Game Info'!U97)</f>
        <v>SYM3</v>
      </c>
      <c r="H114" s="102"/>
      <c r="I114" s="97"/>
      <c r="J114" s="97"/>
      <c r="K114" s="97"/>
      <c r="L114" s="103"/>
      <c r="N114" s="102"/>
      <c r="O114" s="97"/>
      <c r="P114" s="97"/>
      <c r="Q114" s="97"/>
      <c r="R114" s="103"/>
      <c r="T114" s="102"/>
      <c r="U114" s="97"/>
      <c r="V114" s="97"/>
      <c r="W114" s="97"/>
      <c r="X114" s="103"/>
      <c r="Z114" s="102"/>
      <c r="AA114" s="97"/>
      <c r="AB114" s="97"/>
      <c r="AC114" s="97"/>
      <c r="AD114" s="103"/>
      <c r="AF114" s="102"/>
      <c r="AG114" s="97"/>
      <c r="AH114" s="97"/>
      <c r="AI114" s="97"/>
      <c r="AJ114" s="103"/>
      <c r="AL114" s="102"/>
      <c r="AM114" s="97"/>
      <c r="AN114" s="97"/>
      <c r="AO114" s="97"/>
      <c r="AP114" s="103"/>
      <c r="AR114" s="102"/>
      <c r="AS114" s="97"/>
      <c r="AT114" s="97"/>
      <c r="AU114" s="97"/>
      <c r="AV114" s="103"/>
      <c r="AX114" s="102"/>
      <c r="AY114" s="97"/>
      <c r="AZ114" s="97"/>
      <c r="BA114" s="97"/>
      <c r="BB114" s="103"/>
      <c r="BD114" s="102"/>
      <c r="BE114" s="97"/>
      <c r="BF114" s="97"/>
      <c r="BG114" s="97"/>
      <c r="BH114" s="103"/>
      <c r="BJ114" s="102"/>
      <c r="BK114" s="97"/>
      <c r="BL114" s="97"/>
      <c r="BM114" s="97"/>
      <c r="BN114" s="103"/>
      <c r="BP114" s="102"/>
      <c r="BQ114" s="97"/>
      <c r="BR114" s="97"/>
      <c r="BS114" s="97"/>
      <c r="BT114" s="103"/>
    </row>
    <row r="115" spans="1:72" x14ac:dyDescent="0.25">
      <c r="A115" s="4">
        <v>93</v>
      </c>
      <c r="B115" s="54" t="str">
        <f>IF('Game Info'!Q98="","",'Game Info'!Q98)</f>
        <v>SYM3</v>
      </c>
      <c r="C115" s="54" t="str">
        <f>IF('Game Info'!R98="","",'Game Info'!R98)</f>
        <v>SYM2</v>
      </c>
      <c r="D115" s="54" t="str">
        <f>IF('Game Info'!S98="","",'Game Info'!S98)</f>
        <v>Q</v>
      </c>
      <c r="E115" s="54" t="str">
        <f>IF('Game Info'!T98="","",'Game Info'!T98)</f>
        <v/>
      </c>
      <c r="F115" s="55" t="str">
        <f>IF('Game Info'!U98="","",'Game Info'!U98)</f>
        <v>Q</v>
      </c>
      <c r="H115" s="102"/>
      <c r="I115" s="97"/>
      <c r="J115" s="97"/>
      <c r="K115" s="97"/>
      <c r="L115" s="103"/>
      <c r="N115" s="102"/>
      <c r="O115" s="97"/>
      <c r="P115" s="97"/>
      <c r="Q115" s="97"/>
      <c r="R115" s="103"/>
      <c r="T115" s="102"/>
      <c r="U115" s="97"/>
      <c r="V115" s="97"/>
      <c r="W115" s="97"/>
      <c r="X115" s="103"/>
      <c r="Z115" s="102"/>
      <c r="AA115" s="97"/>
      <c r="AB115" s="97"/>
      <c r="AC115" s="97"/>
      <c r="AD115" s="103"/>
      <c r="AF115" s="102"/>
      <c r="AG115" s="97"/>
      <c r="AH115" s="97"/>
      <c r="AI115" s="97"/>
      <c r="AJ115" s="103"/>
      <c r="AL115" s="102"/>
      <c r="AM115" s="97"/>
      <c r="AN115" s="97"/>
      <c r="AO115" s="97"/>
      <c r="AP115" s="103"/>
      <c r="AR115" s="102"/>
      <c r="AS115" s="97"/>
      <c r="AT115" s="97"/>
      <c r="AU115" s="97"/>
      <c r="AV115" s="103"/>
      <c r="AX115" s="102"/>
      <c r="AY115" s="97"/>
      <c r="AZ115" s="97"/>
      <c r="BA115" s="97"/>
      <c r="BB115" s="103"/>
      <c r="BD115" s="102"/>
      <c r="BE115" s="97"/>
      <c r="BF115" s="97"/>
      <c r="BG115" s="97"/>
      <c r="BH115" s="103"/>
      <c r="BJ115" s="102"/>
      <c r="BK115" s="97"/>
      <c r="BL115" s="97"/>
      <c r="BM115" s="97"/>
      <c r="BN115" s="103"/>
      <c r="BP115" s="102"/>
      <c r="BQ115" s="97"/>
      <c r="BR115" s="97"/>
      <c r="BS115" s="97"/>
      <c r="BT115" s="103"/>
    </row>
    <row r="116" spans="1:72" x14ac:dyDescent="0.25">
      <c r="A116" s="4">
        <v>94</v>
      </c>
      <c r="B116" s="54">
        <f>IF('Game Info'!Q99="","",'Game Info'!Q99)</f>
        <v>9</v>
      </c>
      <c r="C116" s="54" t="str">
        <f>IF('Game Info'!R99="","",'Game Info'!R99)</f>
        <v>J</v>
      </c>
      <c r="D116" s="54" t="str">
        <f>IF('Game Info'!S99="","",'Game Info'!S99)</f>
        <v>SYM3</v>
      </c>
      <c r="E116" s="54" t="str">
        <f>IF('Game Info'!T99="","",'Game Info'!T99)</f>
        <v/>
      </c>
      <c r="F116" s="55" t="str">
        <f>IF('Game Info'!U99="","",'Game Info'!U99)</f>
        <v>A</v>
      </c>
      <c r="H116" s="102"/>
      <c r="I116" s="97"/>
      <c r="J116" s="97"/>
      <c r="K116" s="97"/>
      <c r="L116" s="103"/>
      <c r="N116" s="102"/>
      <c r="O116" s="97"/>
      <c r="P116" s="97"/>
      <c r="Q116" s="97"/>
      <c r="R116" s="103"/>
      <c r="T116" s="102"/>
      <c r="U116" s="97"/>
      <c r="V116" s="97"/>
      <c r="W116" s="97"/>
      <c r="X116" s="103"/>
      <c r="Z116" s="102"/>
      <c r="AA116" s="97"/>
      <c r="AB116" s="97"/>
      <c r="AC116" s="97"/>
      <c r="AD116" s="103"/>
      <c r="AF116" s="102"/>
      <c r="AG116" s="97"/>
      <c r="AH116" s="97"/>
      <c r="AI116" s="97"/>
      <c r="AJ116" s="103"/>
      <c r="AL116" s="102"/>
      <c r="AM116" s="97"/>
      <c r="AN116" s="97"/>
      <c r="AO116" s="97"/>
      <c r="AP116" s="103"/>
      <c r="AR116" s="102"/>
      <c r="AS116" s="97"/>
      <c r="AT116" s="97"/>
      <c r="AU116" s="97"/>
      <c r="AV116" s="103"/>
      <c r="AX116" s="102"/>
      <c r="AY116" s="97"/>
      <c r="AZ116" s="97"/>
      <c r="BA116" s="97"/>
      <c r="BB116" s="103"/>
      <c r="BD116" s="102"/>
      <c r="BE116" s="97"/>
      <c r="BF116" s="97"/>
      <c r="BG116" s="97"/>
      <c r="BH116" s="103"/>
      <c r="BJ116" s="102"/>
      <c r="BK116" s="97"/>
      <c r="BL116" s="97"/>
      <c r="BM116" s="97"/>
      <c r="BN116" s="103"/>
      <c r="BP116" s="102"/>
      <c r="BQ116" s="97"/>
      <c r="BR116" s="97"/>
      <c r="BS116" s="97"/>
      <c r="BT116" s="103"/>
    </row>
    <row r="117" spans="1:72" x14ac:dyDescent="0.25">
      <c r="A117" s="4">
        <v>95</v>
      </c>
      <c r="B117" s="54" t="str">
        <f>IF('Game Info'!Q100="","",'Game Info'!Q100)</f>
        <v>SYM2</v>
      </c>
      <c r="C117" s="54" t="str">
        <f>IF('Game Info'!R100="","",'Game Info'!R100)</f>
        <v>K</v>
      </c>
      <c r="D117" s="54">
        <f>IF('Game Info'!S100="","",'Game Info'!S100)</f>
        <v>10</v>
      </c>
      <c r="E117" s="54" t="str">
        <f>IF('Game Info'!T100="","",'Game Info'!T100)</f>
        <v/>
      </c>
      <c r="F117" s="55" t="str">
        <f>IF('Game Info'!U100="","",'Game Info'!U100)</f>
        <v>SYM4</v>
      </c>
      <c r="H117" s="102"/>
      <c r="I117" s="97"/>
      <c r="J117" s="97"/>
      <c r="K117" s="97"/>
      <c r="L117" s="103"/>
      <c r="N117" s="102"/>
      <c r="O117" s="97"/>
      <c r="P117" s="97"/>
      <c r="Q117" s="97"/>
      <c r="R117" s="103"/>
      <c r="T117" s="102"/>
      <c r="U117" s="97"/>
      <c r="V117" s="97"/>
      <c r="W117" s="97"/>
      <c r="X117" s="103"/>
      <c r="Z117" s="102"/>
      <c r="AA117" s="97"/>
      <c r="AB117" s="97"/>
      <c r="AC117" s="97"/>
      <c r="AD117" s="103"/>
      <c r="AF117" s="102"/>
      <c r="AG117" s="97"/>
      <c r="AH117" s="97"/>
      <c r="AI117" s="97"/>
      <c r="AJ117" s="103"/>
      <c r="AL117" s="102"/>
      <c r="AM117" s="97"/>
      <c r="AN117" s="97"/>
      <c r="AO117" s="97"/>
      <c r="AP117" s="103"/>
      <c r="AR117" s="102"/>
      <c r="AS117" s="97"/>
      <c r="AT117" s="97"/>
      <c r="AU117" s="97"/>
      <c r="AV117" s="103"/>
      <c r="AX117" s="102"/>
      <c r="AY117" s="97"/>
      <c r="AZ117" s="97"/>
      <c r="BA117" s="97"/>
      <c r="BB117" s="103"/>
      <c r="BD117" s="102"/>
      <c r="BE117" s="97"/>
      <c r="BF117" s="97"/>
      <c r="BG117" s="97"/>
      <c r="BH117" s="103"/>
      <c r="BJ117" s="102"/>
      <c r="BK117" s="97"/>
      <c r="BL117" s="97"/>
      <c r="BM117" s="97"/>
      <c r="BN117" s="103"/>
      <c r="BP117" s="102"/>
      <c r="BQ117" s="97"/>
      <c r="BR117" s="97"/>
      <c r="BS117" s="97"/>
      <c r="BT117" s="103"/>
    </row>
    <row r="118" spans="1:72" x14ac:dyDescent="0.25">
      <c r="A118" s="4">
        <v>96</v>
      </c>
      <c r="B118" s="54" t="str">
        <f>IF('Game Info'!Q101="","",'Game Info'!Q101)</f>
        <v>K</v>
      </c>
      <c r="C118" s="54" t="str">
        <f>IF('Game Info'!R101="","",'Game Info'!R101)</f>
        <v>FG</v>
      </c>
      <c r="D118" s="54" t="str">
        <f>IF('Game Info'!S101="","",'Game Info'!S101)</f>
        <v>SYM4</v>
      </c>
      <c r="E118" s="54" t="str">
        <f>IF('Game Info'!T101="","",'Game Info'!T101)</f>
        <v/>
      </c>
      <c r="F118" s="55" t="str">
        <f>IF('Game Info'!U101="","",'Game Info'!U101)</f>
        <v>K</v>
      </c>
      <c r="H118" s="102"/>
      <c r="I118" s="97"/>
      <c r="J118" s="97"/>
      <c r="K118" s="97"/>
      <c r="L118" s="103"/>
      <c r="N118" s="102"/>
      <c r="O118" s="97"/>
      <c r="P118" s="97"/>
      <c r="Q118" s="97"/>
      <c r="R118" s="103"/>
      <c r="T118" s="102"/>
      <c r="U118" s="97"/>
      <c r="V118" s="97"/>
      <c r="W118" s="97"/>
      <c r="X118" s="103"/>
      <c r="Z118" s="102"/>
      <c r="AA118" s="97"/>
      <c r="AB118" s="97"/>
      <c r="AC118" s="97"/>
      <c r="AD118" s="103"/>
      <c r="AF118" s="102"/>
      <c r="AG118" s="97"/>
      <c r="AH118" s="97"/>
      <c r="AI118" s="97"/>
      <c r="AJ118" s="103"/>
      <c r="AL118" s="102"/>
      <c r="AM118" s="97"/>
      <c r="AN118" s="97"/>
      <c r="AO118" s="97"/>
      <c r="AP118" s="103"/>
      <c r="AR118" s="102"/>
      <c r="AS118" s="97"/>
      <c r="AT118" s="97"/>
      <c r="AU118" s="97"/>
      <c r="AV118" s="103"/>
      <c r="AX118" s="102"/>
      <c r="AY118" s="97"/>
      <c r="AZ118" s="97"/>
      <c r="BA118" s="97"/>
      <c r="BB118" s="103"/>
      <c r="BD118" s="102"/>
      <c r="BE118" s="97"/>
      <c r="BF118" s="97"/>
      <c r="BG118" s="97"/>
      <c r="BH118" s="103"/>
      <c r="BJ118" s="102"/>
      <c r="BK118" s="97"/>
      <c r="BL118" s="97"/>
      <c r="BM118" s="97"/>
      <c r="BN118" s="103"/>
      <c r="BP118" s="102"/>
      <c r="BQ118" s="97"/>
      <c r="BR118" s="97"/>
      <c r="BS118" s="97"/>
      <c r="BT118" s="103"/>
    </row>
    <row r="119" spans="1:72" x14ac:dyDescent="0.25">
      <c r="A119" s="4">
        <v>97</v>
      </c>
      <c r="B119" s="54" t="str">
        <f>IF('Game Info'!Q102="","",'Game Info'!Q102)</f>
        <v>SYM3</v>
      </c>
      <c r="C119" s="54" t="str">
        <f>IF('Game Info'!R102="","",'Game Info'!R102)</f>
        <v>J</v>
      </c>
      <c r="D119" s="54" t="str">
        <f>IF('Game Info'!S102="","",'Game Info'!S102)</f>
        <v>Q</v>
      </c>
      <c r="E119" s="54" t="str">
        <f>IF('Game Info'!T102="","",'Game Info'!T102)</f>
        <v/>
      </c>
      <c r="F119" s="55" t="str">
        <f>IF('Game Info'!U102="","",'Game Info'!U102)</f>
        <v>SYM1</v>
      </c>
      <c r="H119" s="102"/>
      <c r="I119" s="97"/>
      <c r="J119" s="97"/>
      <c r="K119" s="97"/>
      <c r="L119" s="103"/>
      <c r="N119" s="102"/>
      <c r="O119" s="97"/>
      <c r="P119" s="97"/>
      <c r="Q119" s="97"/>
      <c r="R119" s="103"/>
      <c r="T119" s="102"/>
      <c r="U119" s="97"/>
      <c r="V119" s="97"/>
      <c r="W119" s="97"/>
      <c r="X119" s="103"/>
      <c r="Z119" s="102"/>
      <c r="AA119" s="97"/>
      <c r="AB119" s="97"/>
      <c r="AC119" s="97"/>
      <c r="AD119" s="103"/>
      <c r="AF119" s="102"/>
      <c r="AG119" s="97"/>
      <c r="AH119" s="97"/>
      <c r="AI119" s="97"/>
      <c r="AJ119" s="103"/>
      <c r="AL119" s="102"/>
      <c r="AM119" s="97"/>
      <c r="AN119" s="97"/>
      <c r="AO119" s="97"/>
      <c r="AP119" s="103"/>
      <c r="AR119" s="102"/>
      <c r="AS119" s="97"/>
      <c r="AT119" s="97"/>
      <c r="AU119" s="97"/>
      <c r="AV119" s="103"/>
      <c r="AX119" s="102"/>
      <c r="AY119" s="97"/>
      <c r="AZ119" s="97"/>
      <c r="BA119" s="97"/>
      <c r="BB119" s="103"/>
      <c r="BD119" s="102"/>
      <c r="BE119" s="97"/>
      <c r="BF119" s="97"/>
      <c r="BG119" s="97"/>
      <c r="BH119" s="103"/>
      <c r="BJ119" s="102"/>
      <c r="BK119" s="97"/>
      <c r="BL119" s="97"/>
      <c r="BM119" s="97"/>
      <c r="BN119" s="103"/>
      <c r="BP119" s="102"/>
      <c r="BQ119" s="97"/>
      <c r="BR119" s="97"/>
      <c r="BS119" s="97"/>
      <c r="BT119" s="103"/>
    </row>
    <row r="120" spans="1:72" x14ac:dyDescent="0.25">
      <c r="A120" s="4">
        <v>98</v>
      </c>
      <c r="B120" s="54" t="str">
        <f>IF('Game Info'!Q103="","",'Game Info'!Q103)</f>
        <v>Q</v>
      </c>
      <c r="C120" s="54" t="str">
        <f>IF('Game Info'!R103="","",'Game Info'!R103)</f>
        <v>Q</v>
      </c>
      <c r="D120" s="54" t="str">
        <f>IF('Game Info'!S103="","",'Game Info'!S103)</f>
        <v>K</v>
      </c>
      <c r="E120" s="54" t="str">
        <f>IF('Game Info'!T103="","",'Game Info'!T103)</f>
        <v/>
      </c>
      <c r="F120" s="55">
        <f>IF('Game Info'!U103="","",'Game Info'!U103)</f>
        <v>10</v>
      </c>
      <c r="H120" s="102"/>
      <c r="I120" s="97"/>
      <c r="J120" s="97"/>
      <c r="K120" s="97"/>
      <c r="L120" s="103"/>
      <c r="N120" s="102"/>
      <c r="O120" s="97"/>
      <c r="P120" s="97"/>
      <c r="Q120" s="97"/>
      <c r="R120" s="103"/>
      <c r="T120" s="102"/>
      <c r="U120" s="97"/>
      <c r="V120" s="97"/>
      <c r="W120" s="97"/>
      <c r="X120" s="103"/>
      <c r="Z120" s="102"/>
      <c r="AA120" s="97"/>
      <c r="AB120" s="97"/>
      <c r="AC120" s="97"/>
      <c r="AD120" s="103"/>
      <c r="AF120" s="102"/>
      <c r="AG120" s="97"/>
      <c r="AH120" s="97"/>
      <c r="AI120" s="97"/>
      <c r="AJ120" s="103"/>
      <c r="AL120" s="102"/>
      <c r="AM120" s="97"/>
      <c r="AN120" s="97"/>
      <c r="AO120" s="97"/>
      <c r="AP120" s="103"/>
      <c r="AR120" s="102"/>
      <c r="AS120" s="97"/>
      <c r="AT120" s="97"/>
      <c r="AU120" s="97"/>
      <c r="AV120" s="103"/>
      <c r="AX120" s="102"/>
      <c r="AY120" s="97"/>
      <c r="AZ120" s="97"/>
      <c r="BA120" s="97"/>
      <c r="BB120" s="103"/>
      <c r="BD120" s="102"/>
      <c r="BE120" s="97"/>
      <c r="BF120" s="97"/>
      <c r="BG120" s="97"/>
      <c r="BH120" s="103"/>
      <c r="BJ120" s="102"/>
      <c r="BK120" s="97"/>
      <c r="BL120" s="97"/>
      <c r="BM120" s="97"/>
      <c r="BN120" s="103"/>
      <c r="BP120" s="102"/>
      <c r="BQ120" s="97"/>
      <c r="BR120" s="97"/>
      <c r="BS120" s="97"/>
      <c r="BT120" s="103"/>
    </row>
    <row r="121" spans="1:72" x14ac:dyDescent="0.25">
      <c r="A121" s="4">
        <v>99</v>
      </c>
      <c r="B121" s="54">
        <f>IF('Game Info'!Q104="","",'Game Info'!Q104)</f>
        <v>10</v>
      </c>
      <c r="C121" s="54">
        <f>IF('Game Info'!R104="","",'Game Info'!R104)</f>
        <v>10</v>
      </c>
      <c r="D121" s="54" t="str">
        <f>IF('Game Info'!S104="","",'Game Info'!S104)</f>
        <v>SYM1</v>
      </c>
      <c r="E121" s="54" t="str">
        <f>IF('Game Info'!T104="","",'Game Info'!T104)</f>
        <v/>
      </c>
      <c r="F121" s="55" t="str">
        <f>IF('Game Info'!U104="","",'Game Info'!U104)</f>
        <v>SYM3</v>
      </c>
      <c r="H121" s="102"/>
      <c r="I121" s="97"/>
      <c r="J121" s="97"/>
      <c r="K121" s="97"/>
      <c r="L121" s="103"/>
      <c r="N121" s="102"/>
      <c r="O121" s="97"/>
      <c r="P121" s="97"/>
      <c r="Q121" s="97"/>
      <c r="R121" s="103"/>
      <c r="T121" s="102"/>
      <c r="U121" s="97"/>
      <c r="V121" s="97"/>
      <c r="W121" s="97"/>
      <c r="X121" s="103"/>
      <c r="Z121" s="102"/>
      <c r="AA121" s="97"/>
      <c r="AB121" s="97"/>
      <c r="AC121" s="97"/>
      <c r="AD121" s="103"/>
      <c r="AF121" s="102"/>
      <c r="AG121" s="97"/>
      <c r="AH121" s="97"/>
      <c r="AI121" s="97"/>
      <c r="AJ121" s="103"/>
      <c r="AL121" s="102"/>
      <c r="AM121" s="97"/>
      <c r="AN121" s="97"/>
      <c r="AO121" s="97"/>
      <c r="AP121" s="103"/>
      <c r="AR121" s="102"/>
      <c r="AS121" s="97"/>
      <c r="AT121" s="97"/>
      <c r="AU121" s="97"/>
      <c r="AV121" s="103"/>
      <c r="AX121" s="102"/>
      <c r="AY121" s="97"/>
      <c r="AZ121" s="97"/>
      <c r="BA121" s="97"/>
      <c r="BB121" s="103"/>
      <c r="BD121" s="102"/>
      <c r="BE121" s="97"/>
      <c r="BF121" s="97"/>
      <c r="BG121" s="97"/>
      <c r="BH121" s="103"/>
      <c r="BJ121" s="102"/>
      <c r="BK121" s="97"/>
      <c r="BL121" s="97"/>
      <c r="BM121" s="97"/>
      <c r="BN121" s="103"/>
      <c r="BP121" s="102"/>
      <c r="BQ121" s="97"/>
      <c r="BR121" s="97"/>
      <c r="BS121" s="97"/>
      <c r="BT121" s="103"/>
    </row>
    <row r="122" spans="1:72" x14ac:dyDescent="0.25">
      <c r="A122" s="4">
        <v>100</v>
      </c>
      <c r="B122" s="54" t="str">
        <f>IF('Game Info'!Q105="","",'Game Info'!Q105)</f>
        <v>SYM3</v>
      </c>
      <c r="C122" s="54" t="str">
        <f>IF('Game Info'!R105="","",'Game Info'!R105)</f>
        <v>SYM3</v>
      </c>
      <c r="D122" s="54" t="str">
        <f>IF('Game Info'!S105="","",'Game Info'!S105)</f>
        <v>SYM1</v>
      </c>
      <c r="E122" s="54" t="str">
        <f>IF('Game Info'!T105="","",'Game Info'!T105)</f>
        <v/>
      </c>
      <c r="F122" s="55" t="str">
        <f>IF('Game Info'!U105="","",'Game Info'!U105)</f>
        <v>Q</v>
      </c>
      <c r="H122" s="102"/>
      <c r="I122" s="97"/>
      <c r="J122" s="97"/>
      <c r="K122" s="97"/>
      <c r="L122" s="103"/>
      <c r="N122" s="102"/>
      <c r="O122" s="97"/>
      <c r="P122" s="97"/>
      <c r="Q122" s="97"/>
      <c r="R122" s="103"/>
      <c r="T122" s="102"/>
      <c r="U122" s="97"/>
      <c r="V122" s="97"/>
      <c r="W122" s="97"/>
      <c r="X122" s="103"/>
      <c r="Z122" s="102"/>
      <c r="AA122" s="97"/>
      <c r="AB122" s="97"/>
      <c r="AC122" s="97"/>
      <c r="AD122" s="103"/>
      <c r="AF122" s="102"/>
      <c r="AG122" s="97"/>
      <c r="AH122" s="97"/>
      <c r="AI122" s="97"/>
      <c r="AJ122" s="103"/>
      <c r="AL122" s="102"/>
      <c r="AM122" s="97"/>
      <c r="AN122" s="97"/>
      <c r="AO122" s="97"/>
      <c r="AP122" s="103"/>
      <c r="AR122" s="102"/>
      <c r="AS122" s="97"/>
      <c r="AT122" s="97"/>
      <c r="AU122" s="97"/>
      <c r="AV122" s="103"/>
      <c r="AX122" s="102"/>
      <c r="AY122" s="97"/>
      <c r="AZ122" s="97"/>
      <c r="BA122" s="97"/>
      <c r="BB122" s="103"/>
      <c r="BD122" s="102"/>
      <c r="BE122" s="97"/>
      <c r="BF122" s="97"/>
      <c r="BG122" s="97"/>
      <c r="BH122" s="103"/>
      <c r="BJ122" s="102"/>
      <c r="BK122" s="97"/>
      <c r="BL122" s="97"/>
      <c r="BM122" s="97"/>
      <c r="BN122" s="103"/>
      <c r="BP122" s="102"/>
      <c r="BQ122" s="97"/>
      <c r="BR122" s="97"/>
      <c r="BS122" s="97"/>
      <c r="BT122" s="103"/>
    </row>
    <row r="123" spans="1:72" x14ac:dyDescent="0.25">
      <c r="A123" s="4">
        <v>101</v>
      </c>
      <c r="B123" s="54">
        <f>IF('Game Info'!Q106="","",'Game Info'!Q106)</f>
        <v>9</v>
      </c>
      <c r="C123" s="54" t="str">
        <f>IF('Game Info'!R106="","",'Game Info'!R106)</f>
        <v>A</v>
      </c>
      <c r="D123" s="54" t="str">
        <f>IF('Game Info'!S106="","",'Game Info'!S106)</f>
        <v>SYM1</v>
      </c>
      <c r="E123" s="54" t="str">
        <f>IF('Game Info'!T106="","",'Game Info'!T106)</f>
        <v/>
      </c>
      <c r="F123" s="55" t="str">
        <f>IF('Game Info'!U106="","",'Game Info'!U106)</f>
        <v>K</v>
      </c>
      <c r="H123" s="102"/>
      <c r="I123" s="97"/>
      <c r="J123" s="97"/>
      <c r="K123" s="97"/>
      <c r="L123" s="103"/>
      <c r="N123" s="102"/>
      <c r="O123" s="97"/>
      <c r="P123" s="97"/>
      <c r="Q123" s="97"/>
      <c r="R123" s="103"/>
      <c r="T123" s="102"/>
      <c r="U123" s="97"/>
      <c r="V123" s="97"/>
      <c r="W123" s="97"/>
      <c r="X123" s="103"/>
      <c r="Z123" s="102"/>
      <c r="AA123" s="97"/>
      <c r="AB123" s="97"/>
      <c r="AC123" s="97"/>
      <c r="AD123" s="103"/>
      <c r="AF123" s="102"/>
      <c r="AG123" s="97"/>
      <c r="AH123" s="97"/>
      <c r="AI123" s="97"/>
      <c r="AJ123" s="103"/>
      <c r="AL123" s="102"/>
      <c r="AM123" s="97"/>
      <c r="AN123" s="97"/>
      <c r="AO123" s="97"/>
      <c r="AP123" s="103"/>
      <c r="AR123" s="102"/>
      <c r="AS123" s="97"/>
      <c r="AT123" s="97"/>
      <c r="AU123" s="97"/>
      <c r="AV123" s="103"/>
      <c r="AX123" s="102"/>
      <c r="AY123" s="97"/>
      <c r="AZ123" s="97"/>
      <c r="BA123" s="97"/>
      <c r="BB123" s="103"/>
      <c r="BD123" s="102"/>
      <c r="BE123" s="97"/>
      <c r="BF123" s="97"/>
      <c r="BG123" s="97"/>
      <c r="BH123" s="103"/>
      <c r="BJ123" s="102"/>
      <c r="BK123" s="97"/>
      <c r="BL123" s="97"/>
      <c r="BM123" s="97"/>
      <c r="BN123" s="103"/>
      <c r="BP123" s="102"/>
      <c r="BQ123" s="97"/>
      <c r="BR123" s="97"/>
      <c r="BS123" s="97"/>
      <c r="BT123" s="103"/>
    </row>
    <row r="124" spans="1:72" x14ac:dyDescent="0.25">
      <c r="A124" s="4">
        <v>102</v>
      </c>
      <c r="B124" s="54" t="str">
        <f>IF('Game Info'!Q107="","",'Game Info'!Q107)</f>
        <v>SYM2</v>
      </c>
      <c r="C124" s="54" t="str">
        <f>IF('Game Info'!R107="","",'Game Info'!R107)</f>
        <v>SYM4</v>
      </c>
      <c r="D124" s="54" t="str">
        <f>IF('Game Info'!S107="","",'Game Info'!S107)</f>
        <v>Q</v>
      </c>
      <c r="E124" s="54" t="str">
        <f>IF('Game Info'!T107="","",'Game Info'!T107)</f>
        <v/>
      </c>
      <c r="F124" s="55" t="str">
        <f>IF('Game Info'!U107="","",'Game Info'!U107)</f>
        <v>SYM2</v>
      </c>
      <c r="H124" s="102"/>
      <c r="I124" s="97"/>
      <c r="J124" s="97"/>
      <c r="K124" s="97"/>
      <c r="L124" s="103"/>
      <c r="N124" s="102"/>
      <c r="O124" s="97"/>
      <c r="P124" s="97"/>
      <c r="Q124" s="97"/>
      <c r="R124" s="103"/>
      <c r="T124" s="102"/>
      <c r="U124" s="97"/>
      <c r="V124" s="97"/>
      <c r="W124" s="97"/>
      <c r="X124" s="103"/>
      <c r="Z124" s="102"/>
      <c r="AA124" s="97"/>
      <c r="AB124" s="97"/>
      <c r="AC124" s="97"/>
      <c r="AD124" s="103"/>
      <c r="AF124" s="102"/>
      <c r="AG124" s="97"/>
      <c r="AH124" s="97"/>
      <c r="AI124" s="97"/>
      <c r="AJ124" s="103"/>
      <c r="AL124" s="102"/>
      <c r="AM124" s="97"/>
      <c r="AN124" s="97"/>
      <c r="AO124" s="97"/>
      <c r="AP124" s="103"/>
      <c r="AR124" s="102"/>
      <c r="AS124" s="97"/>
      <c r="AT124" s="97"/>
      <c r="AU124" s="97"/>
      <c r="AV124" s="103"/>
      <c r="AX124" s="102"/>
      <c r="AY124" s="97"/>
      <c r="AZ124" s="97"/>
      <c r="BA124" s="97"/>
      <c r="BB124" s="103"/>
      <c r="BD124" s="102"/>
      <c r="BE124" s="97"/>
      <c r="BF124" s="97"/>
      <c r="BG124" s="97"/>
      <c r="BH124" s="103"/>
      <c r="BJ124" s="102"/>
      <c r="BK124" s="97"/>
      <c r="BL124" s="97"/>
      <c r="BM124" s="97"/>
      <c r="BN124" s="103"/>
      <c r="BP124" s="102"/>
      <c r="BQ124" s="97"/>
      <c r="BR124" s="97"/>
      <c r="BS124" s="97"/>
      <c r="BT124" s="103"/>
    </row>
    <row r="125" spans="1:72" x14ac:dyDescent="0.25">
      <c r="A125" s="4">
        <v>103</v>
      </c>
      <c r="B125" s="54" t="str">
        <f>IF('Game Info'!Q108="","",'Game Info'!Q108)</f>
        <v>K</v>
      </c>
      <c r="C125" s="54" t="str">
        <f>IF('Game Info'!R108="","",'Game Info'!R108)</f>
        <v/>
      </c>
      <c r="D125" s="54" t="str">
        <f>IF('Game Info'!S108="","",'Game Info'!S108)</f>
        <v>SYM3</v>
      </c>
      <c r="E125" s="54" t="str">
        <f>IF('Game Info'!T108="","",'Game Info'!T108)</f>
        <v/>
      </c>
      <c r="F125" s="55" t="str">
        <f>IF('Game Info'!U108="","",'Game Info'!U108)</f>
        <v>A</v>
      </c>
      <c r="H125" s="102"/>
      <c r="I125" s="97"/>
      <c r="J125" s="97"/>
      <c r="K125" s="97"/>
      <c r="L125" s="103"/>
      <c r="N125" s="102"/>
      <c r="O125" s="97"/>
      <c r="P125" s="97"/>
      <c r="Q125" s="97"/>
      <c r="R125" s="103"/>
      <c r="T125" s="102"/>
      <c r="U125" s="97"/>
      <c r="V125" s="97"/>
      <c r="W125" s="97"/>
      <c r="X125" s="103"/>
      <c r="Z125" s="102"/>
      <c r="AA125" s="97"/>
      <c r="AB125" s="97"/>
      <c r="AC125" s="97"/>
      <c r="AD125" s="103"/>
      <c r="AF125" s="102"/>
      <c r="AG125" s="97"/>
      <c r="AH125" s="97"/>
      <c r="AI125" s="97"/>
      <c r="AJ125" s="103"/>
      <c r="AL125" s="102"/>
      <c r="AM125" s="97"/>
      <c r="AN125" s="97"/>
      <c r="AO125" s="97"/>
      <c r="AP125" s="103"/>
      <c r="AR125" s="102"/>
      <c r="AS125" s="97"/>
      <c r="AT125" s="97"/>
      <c r="AU125" s="97"/>
      <c r="AV125" s="103"/>
      <c r="AX125" s="102"/>
      <c r="AY125" s="97"/>
      <c r="AZ125" s="97"/>
      <c r="BA125" s="97"/>
      <c r="BB125" s="103"/>
      <c r="BD125" s="102"/>
      <c r="BE125" s="97"/>
      <c r="BF125" s="97"/>
      <c r="BG125" s="97"/>
      <c r="BH125" s="103"/>
      <c r="BJ125" s="102"/>
      <c r="BK125" s="97"/>
      <c r="BL125" s="97"/>
      <c r="BM125" s="97"/>
      <c r="BN125" s="103"/>
      <c r="BP125" s="102"/>
      <c r="BQ125" s="97"/>
      <c r="BR125" s="97"/>
      <c r="BS125" s="97"/>
      <c r="BT125" s="103"/>
    </row>
    <row r="126" spans="1:72" x14ac:dyDescent="0.25">
      <c r="A126" s="4">
        <v>104</v>
      </c>
      <c r="B126" s="54" t="str">
        <f>IF('Game Info'!Q109="","",'Game Info'!Q109)</f>
        <v>SYM3</v>
      </c>
      <c r="C126" s="54" t="str">
        <f>IF('Game Info'!R109="","",'Game Info'!R109)</f>
        <v/>
      </c>
      <c r="D126" s="54" t="str">
        <f>IF('Game Info'!S109="","",'Game Info'!S109)</f>
        <v>A</v>
      </c>
      <c r="E126" s="54" t="str">
        <f>IF('Game Info'!T109="","",'Game Info'!T109)</f>
        <v/>
      </c>
      <c r="F126" s="55" t="str">
        <f>IF('Game Info'!U109="","",'Game Info'!U109)</f>
        <v>SYM4</v>
      </c>
      <c r="H126" s="102"/>
      <c r="I126" s="97"/>
      <c r="J126" s="97"/>
      <c r="K126" s="97"/>
      <c r="L126" s="103"/>
      <c r="N126" s="102"/>
      <c r="O126" s="97"/>
      <c r="P126" s="97"/>
      <c r="Q126" s="97"/>
      <c r="R126" s="103"/>
      <c r="T126" s="102"/>
      <c r="U126" s="97"/>
      <c r="V126" s="97"/>
      <c r="W126" s="97"/>
      <c r="X126" s="103"/>
      <c r="Z126" s="102"/>
      <c r="AA126" s="97"/>
      <c r="AB126" s="97"/>
      <c r="AC126" s="97"/>
      <c r="AD126" s="103"/>
      <c r="AF126" s="102"/>
      <c r="AG126" s="97"/>
      <c r="AH126" s="97"/>
      <c r="AI126" s="97"/>
      <c r="AJ126" s="103"/>
      <c r="AL126" s="102"/>
      <c r="AM126" s="97"/>
      <c r="AN126" s="97"/>
      <c r="AO126" s="97"/>
      <c r="AP126" s="103"/>
      <c r="AR126" s="102"/>
      <c r="AS126" s="97"/>
      <c r="AT126" s="97"/>
      <c r="AU126" s="97"/>
      <c r="AV126" s="103"/>
      <c r="AX126" s="102"/>
      <c r="AY126" s="97"/>
      <c r="AZ126" s="97"/>
      <c r="BA126" s="97"/>
      <c r="BB126" s="103"/>
      <c r="BD126" s="102"/>
      <c r="BE126" s="97"/>
      <c r="BF126" s="97"/>
      <c r="BG126" s="97"/>
      <c r="BH126" s="103"/>
      <c r="BJ126" s="102"/>
      <c r="BK126" s="97"/>
      <c r="BL126" s="97"/>
      <c r="BM126" s="97"/>
      <c r="BN126" s="103"/>
      <c r="BP126" s="102"/>
      <c r="BQ126" s="97"/>
      <c r="BR126" s="97"/>
      <c r="BS126" s="97"/>
      <c r="BT126" s="103"/>
    </row>
    <row r="127" spans="1:72" x14ac:dyDescent="0.25">
      <c r="A127" s="4">
        <v>105</v>
      </c>
      <c r="B127" s="54" t="str">
        <f>IF('Game Info'!Q110="","",'Game Info'!Q110)</f>
        <v>Q</v>
      </c>
      <c r="C127" s="54" t="str">
        <f>IF('Game Info'!R110="","",'Game Info'!R110)</f>
        <v/>
      </c>
      <c r="D127" s="54" t="str">
        <f>IF('Game Info'!S110="","",'Game Info'!S110)</f>
        <v>SYM5</v>
      </c>
      <c r="E127" s="54" t="str">
        <f>IF('Game Info'!T110="","",'Game Info'!T110)</f>
        <v/>
      </c>
      <c r="F127" s="55" t="str">
        <f>IF('Game Info'!U110="","",'Game Info'!U110)</f>
        <v>J</v>
      </c>
      <c r="H127" s="102"/>
      <c r="I127" s="97"/>
      <c r="J127" s="97"/>
      <c r="K127" s="97"/>
      <c r="L127" s="103"/>
      <c r="N127" s="102"/>
      <c r="O127" s="97"/>
      <c r="P127" s="97"/>
      <c r="Q127" s="97"/>
      <c r="R127" s="103"/>
      <c r="T127" s="102"/>
      <c r="U127" s="97"/>
      <c r="V127" s="97"/>
      <c r="W127" s="97"/>
      <c r="X127" s="103"/>
      <c r="Z127" s="102"/>
      <c r="AA127" s="97"/>
      <c r="AB127" s="97"/>
      <c r="AC127" s="97"/>
      <c r="AD127" s="103"/>
      <c r="AF127" s="102"/>
      <c r="AG127" s="97"/>
      <c r="AH127" s="97"/>
      <c r="AI127" s="97"/>
      <c r="AJ127" s="103"/>
      <c r="AL127" s="102"/>
      <c r="AM127" s="97"/>
      <c r="AN127" s="97"/>
      <c r="AO127" s="97"/>
      <c r="AP127" s="103"/>
      <c r="AR127" s="102"/>
      <c r="AS127" s="97"/>
      <c r="AT127" s="97"/>
      <c r="AU127" s="97"/>
      <c r="AV127" s="103"/>
      <c r="AX127" s="102"/>
      <c r="AY127" s="97"/>
      <c r="AZ127" s="97"/>
      <c r="BA127" s="97"/>
      <c r="BB127" s="103"/>
      <c r="BD127" s="102"/>
      <c r="BE127" s="97"/>
      <c r="BF127" s="97"/>
      <c r="BG127" s="97"/>
      <c r="BH127" s="103"/>
      <c r="BJ127" s="102"/>
      <c r="BK127" s="97"/>
      <c r="BL127" s="97"/>
      <c r="BM127" s="97"/>
      <c r="BN127" s="103"/>
      <c r="BP127" s="102"/>
      <c r="BQ127" s="97"/>
      <c r="BR127" s="97"/>
      <c r="BS127" s="97"/>
      <c r="BT127" s="103"/>
    </row>
    <row r="128" spans="1:72" x14ac:dyDescent="0.25">
      <c r="A128" s="4">
        <v>106</v>
      </c>
      <c r="B128" s="54">
        <f>IF('Game Info'!Q111="","",'Game Info'!Q111)</f>
        <v>10</v>
      </c>
      <c r="C128" s="54" t="str">
        <f>IF('Game Info'!R111="","",'Game Info'!R111)</f>
        <v/>
      </c>
      <c r="D128" s="54" t="str">
        <f>IF('Game Info'!S111="","",'Game Info'!S111)</f>
        <v>Q</v>
      </c>
      <c r="E128" s="54" t="str">
        <f>IF('Game Info'!T111="","",'Game Info'!T111)</f>
        <v/>
      </c>
      <c r="F128" s="55" t="str">
        <f>IF('Game Info'!U111="","",'Game Info'!U111)</f>
        <v>SYM1</v>
      </c>
      <c r="H128" s="102"/>
      <c r="I128" s="97"/>
      <c r="J128" s="97"/>
      <c r="K128" s="97"/>
      <c r="L128" s="103"/>
      <c r="N128" s="102"/>
      <c r="O128" s="97"/>
      <c r="P128" s="97"/>
      <c r="Q128" s="97"/>
      <c r="R128" s="103"/>
      <c r="T128" s="102"/>
      <c r="U128" s="97"/>
      <c r="V128" s="97"/>
      <c r="W128" s="97"/>
      <c r="X128" s="103"/>
      <c r="Z128" s="102"/>
      <c r="AA128" s="97"/>
      <c r="AB128" s="97"/>
      <c r="AC128" s="97"/>
      <c r="AD128" s="103"/>
      <c r="AF128" s="102"/>
      <c r="AG128" s="97"/>
      <c r="AH128" s="97"/>
      <c r="AI128" s="97"/>
      <c r="AJ128" s="103"/>
      <c r="AL128" s="102"/>
      <c r="AM128" s="97"/>
      <c r="AN128" s="97"/>
      <c r="AO128" s="97"/>
      <c r="AP128" s="103"/>
      <c r="AR128" s="102"/>
      <c r="AS128" s="97"/>
      <c r="AT128" s="97"/>
      <c r="AU128" s="97"/>
      <c r="AV128" s="103"/>
      <c r="AX128" s="102"/>
      <c r="AY128" s="97"/>
      <c r="AZ128" s="97"/>
      <c r="BA128" s="97"/>
      <c r="BB128" s="103"/>
      <c r="BD128" s="102"/>
      <c r="BE128" s="97"/>
      <c r="BF128" s="97"/>
      <c r="BG128" s="97"/>
      <c r="BH128" s="103"/>
      <c r="BJ128" s="102"/>
      <c r="BK128" s="97"/>
      <c r="BL128" s="97"/>
      <c r="BM128" s="97"/>
      <c r="BN128" s="103"/>
      <c r="BP128" s="102"/>
      <c r="BQ128" s="97"/>
      <c r="BR128" s="97"/>
      <c r="BS128" s="97"/>
      <c r="BT128" s="103"/>
    </row>
    <row r="129" spans="1:72" x14ac:dyDescent="0.25">
      <c r="A129" s="4">
        <v>107</v>
      </c>
      <c r="B129" s="54" t="str">
        <f>IF('Game Info'!Q112="","",'Game Info'!Q112)</f>
        <v>SYM2</v>
      </c>
      <c r="C129" s="54" t="str">
        <f>IF('Game Info'!R112="","",'Game Info'!R112)</f>
        <v/>
      </c>
      <c r="D129" s="54" t="str">
        <f>IF('Game Info'!S112="","",'Game Info'!S112)</f>
        <v>SYM3</v>
      </c>
      <c r="E129" s="54" t="str">
        <f>IF('Game Info'!T112="","",'Game Info'!T112)</f>
        <v/>
      </c>
      <c r="F129" s="55" t="str">
        <f>IF('Game Info'!U112="","",'Game Info'!U112)</f>
        <v>K</v>
      </c>
      <c r="H129" s="102"/>
      <c r="I129" s="97"/>
      <c r="J129" s="97"/>
      <c r="K129" s="97"/>
      <c r="L129" s="103"/>
      <c r="N129" s="102"/>
      <c r="O129" s="97"/>
      <c r="P129" s="97"/>
      <c r="Q129" s="97"/>
      <c r="R129" s="103"/>
      <c r="T129" s="102"/>
      <c r="U129" s="97"/>
      <c r="V129" s="97"/>
      <c r="W129" s="97"/>
      <c r="X129" s="103"/>
      <c r="Z129" s="102"/>
      <c r="AA129" s="97"/>
      <c r="AB129" s="97"/>
      <c r="AC129" s="97"/>
      <c r="AD129" s="103"/>
      <c r="AF129" s="102"/>
      <c r="AG129" s="97"/>
      <c r="AH129" s="97"/>
      <c r="AI129" s="97"/>
      <c r="AJ129" s="103"/>
      <c r="AL129" s="102"/>
      <c r="AM129" s="97"/>
      <c r="AN129" s="97"/>
      <c r="AO129" s="97"/>
      <c r="AP129" s="103"/>
      <c r="AR129" s="102"/>
      <c r="AS129" s="97"/>
      <c r="AT129" s="97"/>
      <c r="AU129" s="97"/>
      <c r="AV129" s="103"/>
      <c r="AX129" s="102"/>
      <c r="AY129" s="97"/>
      <c r="AZ129" s="97"/>
      <c r="BA129" s="97"/>
      <c r="BB129" s="103"/>
      <c r="BD129" s="102"/>
      <c r="BE129" s="97"/>
      <c r="BF129" s="97"/>
      <c r="BG129" s="97"/>
      <c r="BH129" s="103"/>
      <c r="BJ129" s="102"/>
      <c r="BK129" s="97"/>
      <c r="BL129" s="97"/>
      <c r="BM129" s="97"/>
      <c r="BN129" s="103"/>
      <c r="BP129" s="102"/>
      <c r="BQ129" s="97"/>
      <c r="BR129" s="97"/>
      <c r="BS129" s="97"/>
      <c r="BT129" s="103"/>
    </row>
    <row r="130" spans="1:72" x14ac:dyDescent="0.25">
      <c r="A130" s="4">
        <v>108</v>
      </c>
      <c r="B130" s="54" t="str">
        <f>IF('Game Info'!Q113="","",'Game Info'!Q113)</f>
        <v/>
      </c>
      <c r="C130" s="54" t="str">
        <f>IF('Game Info'!R113="","",'Game Info'!R113)</f>
        <v/>
      </c>
      <c r="D130" s="54">
        <f>IF('Game Info'!S113="","",'Game Info'!S113)</f>
        <v>10</v>
      </c>
      <c r="E130" s="54" t="str">
        <f>IF('Game Info'!T113="","",'Game Info'!T113)</f>
        <v/>
      </c>
      <c r="F130" s="55" t="str">
        <f>IF('Game Info'!U113="","",'Game Info'!U113)</f>
        <v>SYM3</v>
      </c>
      <c r="H130" s="102"/>
      <c r="I130" s="97"/>
      <c r="J130" s="97"/>
      <c r="K130" s="97"/>
      <c r="L130" s="103"/>
      <c r="N130" s="102"/>
      <c r="O130" s="97"/>
      <c r="P130" s="97"/>
      <c r="Q130" s="97"/>
      <c r="R130" s="103"/>
      <c r="T130" s="102"/>
      <c r="U130" s="97"/>
      <c r="V130" s="97"/>
      <c r="W130" s="97"/>
      <c r="X130" s="103"/>
      <c r="Z130" s="102"/>
      <c r="AA130" s="97"/>
      <c r="AB130" s="97"/>
      <c r="AC130" s="97"/>
      <c r="AD130" s="103"/>
      <c r="AF130" s="102"/>
      <c r="AG130" s="97"/>
      <c r="AH130" s="97"/>
      <c r="AI130" s="97"/>
      <c r="AJ130" s="103"/>
      <c r="AL130" s="102"/>
      <c r="AM130" s="97"/>
      <c r="AN130" s="97"/>
      <c r="AO130" s="97"/>
      <c r="AP130" s="103"/>
      <c r="AR130" s="102"/>
      <c r="AS130" s="97"/>
      <c r="AT130" s="97"/>
      <c r="AU130" s="97"/>
      <c r="AV130" s="103"/>
      <c r="AX130" s="102"/>
      <c r="AY130" s="97"/>
      <c r="AZ130" s="97"/>
      <c r="BA130" s="97"/>
      <c r="BB130" s="103"/>
      <c r="BD130" s="102"/>
      <c r="BE130" s="97"/>
      <c r="BF130" s="97"/>
      <c r="BG130" s="97"/>
      <c r="BH130" s="103"/>
      <c r="BJ130" s="102"/>
      <c r="BK130" s="97"/>
      <c r="BL130" s="97"/>
      <c r="BM130" s="97"/>
      <c r="BN130" s="103"/>
      <c r="BP130" s="102"/>
      <c r="BQ130" s="97"/>
      <c r="BR130" s="97"/>
      <c r="BS130" s="97"/>
      <c r="BT130" s="103"/>
    </row>
    <row r="131" spans="1:72" x14ac:dyDescent="0.25">
      <c r="A131" s="4">
        <v>109</v>
      </c>
      <c r="B131" s="54" t="str">
        <f>IF('Game Info'!Q114="","",'Game Info'!Q114)</f>
        <v/>
      </c>
      <c r="C131" s="54" t="str">
        <f>IF('Game Info'!R114="","",'Game Info'!R114)</f>
        <v/>
      </c>
      <c r="D131" s="54" t="str">
        <f>IF('Game Info'!S114="","",'Game Info'!S114)</f>
        <v>SYM4</v>
      </c>
      <c r="E131" s="54" t="str">
        <f>IF('Game Info'!T114="","",'Game Info'!T114)</f>
        <v/>
      </c>
      <c r="F131" s="55">
        <f>IF('Game Info'!U114="","",'Game Info'!U114)</f>
        <v>10</v>
      </c>
      <c r="H131" s="102"/>
      <c r="I131" s="97"/>
      <c r="J131" s="97"/>
      <c r="K131" s="97"/>
      <c r="L131" s="103"/>
      <c r="N131" s="102"/>
      <c r="O131" s="97"/>
      <c r="P131" s="97"/>
      <c r="Q131" s="97"/>
      <c r="R131" s="103"/>
      <c r="T131" s="102"/>
      <c r="U131" s="97"/>
      <c r="V131" s="97"/>
      <c r="W131" s="97"/>
      <c r="X131" s="103"/>
      <c r="Z131" s="102"/>
      <c r="AA131" s="97"/>
      <c r="AB131" s="97"/>
      <c r="AC131" s="97"/>
      <c r="AD131" s="103"/>
      <c r="AF131" s="102"/>
      <c r="AG131" s="97"/>
      <c r="AH131" s="97"/>
      <c r="AI131" s="97"/>
      <c r="AJ131" s="103"/>
      <c r="AL131" s="102"/>
      <c r="AM131" s="97"/>
      <c r="AN131" s="97"/>
      <c r="AO131" s="97"/>
      <c r="AP131" s="103"/>
      <c r="AR131" s="102"/>
      <c r="AS131" s="97"/>
      <c r="AT131" s="97"/>
      <c r="AU131" s="97"/>
      <c r="AV131" s="103"/>
      <c r="AX131" s="102"/>
      <c r="AY131" s="97"/>
      <c r="AZ131" s="97"/>
      <c r="BA131" s="97"/>
      <c r="BB131" s="103"/>
      <c r="BD131" s="102"/>
      <c r="BE131" s="97"/>
      <c r="BF131" s="97"/>
      <c r="BG131" s="97"/>
      <c r="BH131" s="103"/>
      <c r="BJ131" s="102"/>
      <c r="BK131" s="97"/>
      <c r="BL131" s="97"/>
      <c r="BM131" s="97"/>
      <c r="BN131" s="103"/>
      <c r="BP131" s="102"/>
      <c r="BQ131" s="97"/>
      <c r="BR131" s="97"/>
      <c r="BS131" s="97"/>
      <c r="BT131" s="103"/>
    </row>
    <row r="132" spans="1:72" x14ac:dyDescent="0.25">
      <c r="A132" s="4">
        <v>110</v>
      </c>
      <c r="B132" s="54" t="str">
        <f>IF('Game Info'!Q115="","",'Game Info'!Q115)</f>
        <v/>
      </c>
      <c r="C132" s="54" t="str">
        <f>IF('Game Info'!R115="","",'Game Info'!R115)</f>
        <v/>
      </c>
      <c r="D132" s="54" t="str">
        <f>IF('Game Info'!S115="","",'Game Info'!S115)</f>
        <v>Q</v>
      </c>
      <c r="E132" s="54" t="str">
        <f>IF('Game Info'!T115="","",'Game Info'!T115)</f>
        <v/>
      </c>
      <c r="F132" s="55" t="str">
        <f>IF('Game Info'!U115="","",'Game Info'!U115)</f>
        <v>SYM2</v>
      </c>
      <c r="H132" s="102"/>
      <c r="I132" s="97"/>
      <c r="J132" s="97"/>
      <c r="K132" s="97"/>
      <c r="L132" s="103"/>
      <c r="N132" s="102"/>
      <c r="O132" s="97"/>
      <c r="P132" s="97"/>
      <c r="Q132" s="97"/>
      <c r="R132" s="103"/>
      <c r="T132" s="102"/>
      <c r="U132" s="97"/>
      <c r="V132" s="97"/>
      <c r="W132" s="97"/>
      <c r="X132" s="103"/>
      <c r="Z132" s="102"/>
      <c r="AA132" s="97"/>
      <c r="AB132" s="97"/>
      <c r="AC132" s="97"/>
      <c r="AD132" s="103"/>
      <c r="AF132" s="102"/>
      <c r="AG132" s="97"/>
      <c r="AH132" s="97"/>
      <c r="AI132" s="97"/>
      <c r="AJ132" s="103"/>
      <c r="AL132" s="102"/>
      <c r="AM132" s="97"/>
      <c r="AN132" s="97"/>
      <c r="AO132" s="97"/>
      <c r="AP132" s="103"/>
      <c r="AR132" s="102"/>
      <c r="AS132" s="97"/>
      <c r="AT132" s="97"/>
      <c r="AU132" s="97"/>
      <c r="AV132" s="103"/>
      <c r="AX132" s="102"/>
      <c r="AY132" s="97"/>
      <c r="AZ132" s="97"/>
      <c r="BA132" s="97"/>
      <c r="BB132" s="103"/>
      <c r="BD132" s="102"/>
      <c r="BE132" s="97"/>
      <c r="BF132" s="97"/>
      <c r="BG132" s="97"/>
      <c r="BH132" s="103"/>
      <c r="BJ132" s="102"/>
      <c r="BK132" s="97"/>
      <c r="BL132" s="97"/>
      <c r="BM132" s="97"/>
      <c r="BN132" s="103"/>
      <c r="BP132" s="102"/>
      <c r="BQ132" s="97"/>
      <c r="BR132" s="97"/>
      <c r="BS132" s="97"/>
      <c r="BT132" s="103"/>
    </row>
    <row r="133" spans="1:72" x14ac:dyDescent="0.25">
      <c r="A133" s="4">
        <v>111</v>
      </c>
      <c r="B133" s="54" t="str">
        <f>IF('Game Info'!Q116="","",'Game Info'!Q116)</f>
        <v/>
      </c>
      <c r="C133" s="54" t="str">
        <f>IF('Game Info'!R116="","",'Game Info'!R116)</f>
        <v/>
      </c>
      <c r="D133" s="54" t="str">
        <f>IF('Game Info'!S116="","",'Game Info'!S116)</f>
        <v/>
      </c>
      <c r="E133" s="54" t="str">
        <f>IF('Game Info'!T116="","",'Game Info'!T116)</f>
        <v/>
      </c>
      <c r="F133" s="55" t="str">
        <f>IF('Game Info'!U116="","",'Game Info'!U116)</f>
        <v>Q</v>
      </c>
      <c r="H133" s="102"/>
      <c r="I133" s="97"/>
      <c r="J133" s="97"/>
      <c r="K133" s="97"/>
      <c r="L133" s="103"/>
      <c r="N133" s="102"/>
      <c r="O133" s="97"/>
      <c r="P133" s="97"/>
      <c r="Q133" s="97"/>
      <c r="R133" s="103"/>
      <c r="T133" s="102"/>
      <c r="U133" s="97"/>
      <c r="V133" s="97"/>
      <c r="W133" s="97"/>
      <c r="X133" s="103"/>
      <c r="Z133" s="102"/>
      <c r="AA133" s="97"/>
      <c r="AB133" s="97"/>
      <c r="AC133" s="97"/>
      <c r="AD133" s="103"/>
      <c r="AF133" s="102"/>
      <c r="AG133" s="97"/>
      <c r="AH133" s="97"/>
      <c r="AI133" s="97"/>
      <c r="AJ133" s="103"/>
      <c r="AL133" s="102"/>
      <c r="AM133" s="97"/>
      <c r="AN133" s="97"/>
      <c r="AO133" s="97"/>
      <c r="AP133" s="103"/>
      <c r="AR133" s="102"/>
      <c r="AS133" s="97"/>
      <c r="AT133" s="97"/>
      <c r="AU133" s="97"/>
      <c r="AV133" s="103"/>
      <c r="AX133" s="102"/>
      <c r="AY133" s="97"/>
      <c r="AZ133" s="97"/>
      <c r="BA133" s="97"/>
      <c r="BB133" s="103"/>
      <c r="BD133" s="102"/>
      <c r="BE133" s="97"/>
      <c r="BF133" s="97"/>
      <c r="BG133" s="97"/>
      <c r="BH133" s="103"/>
      <c r="BJ133" s="102"/>
      <c r="BK133" s="97"/>
      <c r="BL133" s="97"/>
      <c r="BM133" s="97"/>
      <c r="BN133" s="103"/>
      <c r="BP133" s="102"/>
      <c r="BQ133" s="97"/>
      <c r="BR133" s="97"/>
      <c r="BS133" s="97"/>
      <c r="BT133" s="103"/>
    </row>
    <row r="134" spans="1:72" x14ac:dyDescent="0.25">
      <c r="A134" s="4">
        <v>112</v>
      </c>
      <c r="B134" s="54" t="str">
        <f>IF('Game Info'!Q117="","",'Game Info'!Q117)</f>
        <v/>
      </c>
      <c r="C134" s="54" t="str">
        <f>IF('Game Info'!R117="","",'Game Info'!R117)</f>
        <v/>
      </c>
      <c r="D134" s="54" t="str">
        <f>IF('Game Info'!S117="","",'Game Info'!S117)</f>
        <v/>
      </c>
      <c r="E134" s="54" t="str">
        <f>IF('Game Info'!T117="","",'Game Info'!T117)</f>
        <v/>
      </c>
      <c r="F134" s="55" t="str">
        <f>IF('Game Info'!U117="","",'Game Info'!U117)</f>
        <v>SYM4</v>
      </c>
      <c r="H134" s="102"/>
      <c r="I134" s="97"/>
      <c r="J134" s="97"/>
      <c r="K134" s="97"/>
      <c r="L134" s="103"/>
      <c r="N134" s="102"/>
      <c r="O134" s="97"/>
      <c r="P134" s="97"/>
      <c r="Q134" s="97"/>
      <c r="R134" s="103"/>
      <c r="T134" s="102"/>
      <c r="U134" s="97"/>
      <c r="V134" s="97"/>
      <c r="W134" s="97"/>
      <c r="X134" s="103"/>
      <c r="Z134" s="102"/>
      <c r="AA134" s="97"/>
      <c r="AB134" s="97"/>
      <c r="AC134" s="97"/>
      <c r="AD134" s="103"/>
      <c r="AF134" s="102"/>
      <c r="AG134" s="97"/>
      <c r="AH134" s="97"/>
      <c r="AI134" s="97"/>
      <c r="AJ134" s="103"/>
      <c r="AL134" s="102"/>
      <c r="AM134" s="97"/>
      <c r="AN134" s="97"/>
      <c r="AO134" s="97"/>
      <c r="AP134" s="103"/>
      <c r="AR134" s="102"/>
      <c r="AS134" s="97"/>
      <c r="AT134" s="97"/>
      <c r="AU134" s="97"/>
      <c r="AV134" s="103"/>
      <c r="AX134" s="102"/>
      <c r="AY134" s="97"/>
      <c r="AZ134" s="97"/>
      <c r="BA134" s="97"/>
      <c r="BB134" s="103"/>
      <c r="BD134" s="102"/>
      <c r="BE134" s="97"/>
      <c r="BF134" s="97"/>
      <c r="BG134" s="97"/>
      <c r="BH134" s="103"/>
      <c r="BJ134" s="102"/>
      <c r="BK134" s="97"/>
      <c r="BL134" s="97"/>
      <c r="BM134" s="97"/>
      <c r="BN134" s="103"/>
      <c r="BP134" s="102"/>
      <c r="BQ134" s="97"/>
      <c r="BR134" s="97"/>
      <c r="BS134" s="97"/>
      <c r="BT134" s="103"/>
    </row>
    <row r="135" spans="1:72" x14ac:dyDescent="0.25">
      <c r="A135" s="4">
        <v>113</v>
      </c>
      <c r="B135" s="54" t="str">
        <f>IF('Game Info'!Q118="","",'Game Info'!Q118)</f>
        <v/>
      </c>
      <c r="C135" s="54" t="str">
        <f>IF('Game Info'!R118="","",'Game Info'!R118)</f>
        <v/>
      </c>
      <c r="D135" s="54" t="str">
        <f>IF('Game Info'!S118="","",'Game Info'!S118)</f>
        <v/>
      </c>
      <c r="E135" s="54" t="str">
        <f>IF('Game Info'!T118="","",'Game Info'!T118)</f>
        <v/>
      </c>
      <c r="F135" s="55" t="str">
        <f>IF('Game Info'!U118="","",'Game Info'!U118)</f>
        <v>J</v>
      </c>
      <c r="H135" s="102"/>
      <c r="I135" s="97"/>
      <c r="J135" s="97"/>
      <c r="K135" s="97"/>
      <c r="L135" s="103"/>
      <c r="N135" s="102"/>
      <c r="O135" s="97"/>
      <c r="P135" s="97"/>
      <c r="Q135" s="97"/>
      <c r="R135" s="103"/>
      <c r="T135" s="102"/>
      <c r="U135" s="97"/>
      <c r="V135" s="97"/>
      <c r="W135" s="97"/>
      <c r="X135" s="103"/>
      <c r="Z135" s="102"/>
      <c r="AA135" s="97"/>
      <c r="AB135" s="97"/>
      <c r="AC135" s="97"/>
      <c r="AD135" s="103"/>
      <c r="AF135" s="102"/>
      <c r="AG135" s="97"/>
      <c r="AH135" s="97"/>
      <c r="AI135" s="97"/>
      <c r="AJ135" s="103"/>
      <c r="AL135" s="102"/>
      <c r="AM135" s="97"/>
      <c r="AN135" s="97"/>
      <c r="AO135" s="97"/>
      <c r="AP135" s="103"/>
      <c r="AR135" s="102"/>
      <c r="AS135" s="97"/>
      <c r="AT135" s="97"/>
      <c r="AU135" s="97"/>
      <c r="AV135" s="103"/>
      <c r="AX135" s="102"/>
      <c r="AY135" s="97"/>
      <c r="AZ135" s="97"/>
      <c r="BA135" s="97"/>
      <c r="BB135" s="103"/>
      <c r="BD135" s="102"/>
      <c r="BE135" s="97"/>
      <c r="BF135" s="97"/>
      <c r="BG135" s="97"/>
      <c r="BH135" s="103"/>
      <c r="BJ135" s="102"/>
      <c r="BK135" s="97"/>
      <c r="BL135" s="97"/>
      <c r="BM135" s="97"/>
      <c r="BN135" s="103"/>
      <c r="BP135" s="102"/>
      <c r="BQ135" s="97"/>
      <c r="BR135" s="97"/>
      <c r="BS135" s="97"/>
      <c r="BT135" s="103"/>
    </row>
    <row r="136" spans="1:72" x14ac:dyDescent="0.25">
      <c r="A136" s="4">
        <v>114</v>
      </c>
      <c r="B136" s="54" t="str">
        <f>IF('Game Info'!Q119="","",'Game Info'!Q119)</f>
        <v/>
      </c>
      <c r="C136" s="54" t="str">
        <f>IF('Game Info'!R119="","",'Game Info'!R119)</f>
        <v/>
      </c>
      <c r="D136" s="54" t="str">
        <f>IF('Game Info'!S119="","",'Game Info'!S119)</f>
        <v/>
      </c>
      <c r="E136" s="54" t="str">
        <f>IF('Game Info'!T119="","",'Game Info'!T119)</f>
        <v/>
      </c>
      <c r="F136" s="55" t="str">
        <f>IF('Game Info'!U119="","",'Game Info'!U119)</f>
        <v/>
      </c>
      <c r="H136" s="102"/>
      <c r="I136" s="97"/>
      <c r="J136" s="97"/>
      <c r="K136" s="97"/>
      <c r="L136" s="103"/>
      <c r="N136" s="102"/>
      <c r="O136" s="97"/>
      <c r="P136" s="97"/>
      <c r="Q136" s="97"/>
      <c r="R136" s="103"/>
      <c r="T136" s="102"/>
      <c r="U136" s="97"/>
      <c r="V136" s="97"/>
      <c r="W136" s="97"/>
      <c r="X136" s="103"/>
      <c r="Z136" s="102"/>
      <c r="AA136" s="97"/>
      <c r="AB136" s="97"/>
      <c r="AC136" s="97"/>
      <c r="AD136" s="103"/>
      <c r="AF136" s="102"/>
      <c r="AG136" s="97"/>
      <c r="AH136" s="97"/>
      <c r="AI136" s="97"/>
      <c r="AJ136" s="103"/>
      <c r="AL136" s="102"/>
      <c r="AM136" s="97"/>
      <c r="AN136" s="97"/>
      <c r="AO136" s="97"/>
      <c r="AP136" s="103"/>
      <c r="AR136" s="102"/>
      <c r="AS136" s="97"/>
      <c r="AT136" s="97"/>
      <c r="AU136" s="97"/>
      <c r="AV136" s="103"/>
      <c r="AX136" s="102"/>
      <c r="AY136" s="97"/>
      <c r="AZ136" s="97"/>
      <c r="BA136" s="97"/>
      <c r="BB136" s="103"/>
      <c r="BD136" s="102"/>
      <c r="BE136" s="97"/>
      <c r="BF136" s="97"/>
      <c r="BG136" s="97"/>
      <c r="BH136" s="103"/>
      <c r="BJ136" s="102"/>
      <c r="BK136" s="97"/>
      <c r="BL136" s="97"/>
      <c r="BM136" s="97"/>
      <c r="BN136" s="103"/>
      <c r="BP136" s="102"/>
      <c r="BQ136" s="97"/>
      <c r="BR136" s="97"/>
      <c r="BS136" s="97"/>
      <c r="BT136" s="103"/>
    </row>
    <row r="137" spans="1:72" x14ac:dyDescent="0.25">
      <c r="A137" s="4">
        <v>115</v>
      </c>
      <c r="B137" s="54" t="str">
        <f>IF('Game Info'!Q120="","",'Game Info'!Q120)</f>
        <v/>
      </c>
      <c r="C137" s="54" t="str">
        <f>IF('Game Info'!R120="","",'Game Info'!R120)</f>
        <v/>
      </c>
      <c r="D137" s="54" t="str">
        <f>IF('Game Info'!S120="","",'Game Info'!S120)</f>
        <v/>
      </c>
      <c r="E137" s="54" t="str">
        <f>IF('Game Info'!T120="","",'Game Info'!T120)</f>
        <v/>
      </c>
      <c r="F137" s="55" t="str">
        <f>IF('Game Info'!U120="","",'Game Info'!U120)</f>
        <v/>
      </c>
      <c r="H137" s="102"/>
      <c r="I137" s="97"/>
      <c r="J137" s="97"/>
      <c r="K137" s="97"/>
      <c r="L137" s="103"/>
      <c r="N137" s="102"/>
      <c r="O137" s="97"/>
      <c r="P137" s="97"/>
      <c r="Q137" s="97"/>
      <c r="R137" s="103"/>
      <c r="T137" s="102"/>
      <c r="U137" s="97"/>
      <c r="V137" s="97"/>
      <c r="W137" s="97"/>
      <c r="X137" s="103"/>
      <c r="Z137" s="102"/>
      <c r="AA137" s="97"/>
      <c r="AB137" s="97"/>
      <c r="AC137" s="97"/>
      <c r="AD137" s="103"/>
      <c r="AF137" s="102"/>
      <c r="AG137" s="97"/>
      <c r="AH137" s="97"/>
      <c r="AI137" s="97"/>
      <c r="AJ137" s="103"/>
      <c r="AL137" s="102"/>
      <c r="AM137" s="97"/>
      <c r="AN137" s="97"/>
      <c r="AO137" s="97"/>
      <c r="AP137" s="103"/>
      <c r="AR137" s="102"/>
      <c r="AS137" s="97"/>
      <c r="AT137" s="97"/>
      <c r="AU137" s="97"/>
      <c r="AV137" s="103"/>
      <c r="AX137" s="102"/>
      <c r="AY137" s="97"/>
      <c r="AZ137" s="97"/>
      <c r="BA137" s="97"/>
      <c r="BB137" s="103"/>
      <c r="BD137" s="102"/>
      <c r="BE137" s="97"/>
      <c r="BF137" s="97"/>
      <c r="BG137" s="97"/>
      <c r="BH137" s="103"/>
      <c r="BJ137" s="102"/>
      <c r="BK137" s="97"/>
      <c r="BL137" s="97"/>
      <c r="BM137" s="97"/>
      <c r="BN137" s="103"/>
      <c r="BP137" s="102"/>
      <c r="BQ137" s="97"/>
      <c r="BR137" s="97"/>
      <c r="BS137" s="97"/>
      <c r="BT137" s="103"/>
    </row>
    <row r="138" spans="1:72" x14ac:dyDescent="0.25">
      <c r="A138" s="4">
        <v>116</v>
      </c>
      <c r="B138" s="54" t="str">
        <f>IF('Game Info'!Q121="","",'Game Info'!Q121)</f>
        <v/>
      </c>
      <c r="C138" s="54" t="str">
        <f>IF('Game Info'!R121="","",'Game Info'!R121)</f>
        <v/>
      </c>
      <c r="D138" s="54" t="str">
        <f>IF('Game Info'!S121="","",'Game Info'!S121)</f>
        <v/>
      </c>
      <c r="E138" s="54" t="str">
        <f>IF('Game Info'!T121="","",'Game Info'!T121)</f>
        <v/>
      </c>
      <c r="F138" s="55" t="str">
        <f>IF('Game Info'!U121="","",'Game Info'!U121)</f>
        <v/>
      </c>
      <c r="H138" s="102"/>
      <c r="I138" s="97"/>
      <c r="J138" s="97"/>
      <c r="K138" s="97"/>
      <c r="L138" s="103"/>
      <c r="N138" s="102"/>
      <c r="O138" s="97"/>
      <c r="P138" s="97"/>
      <c r="Q138" s="97"/>
      <c r="R138" s="103"/>
      <c r="T138" s="102"/>
      <c r="U138" s="97"/>
      <c r="V138" s="97"/>
      <c r="W138" s="97"/>
      <c r="X138" s="103"/>
      <c r="Z138" s="102"/>
      <c r="AA138" s="97"/>
      <c r="AB138" s="97"/>
      <c r="AC138" s="97"/>
      <c r="AD138" s="103"/>
      <c r="AF138" s="102"/>
      <c r="AG138" s="97"/>
      <c r="AH138" s="97"/>
      <c r="AI138" s="97"/>
      <c r="AJ138" s="103"/>
      <c r="AL138" s="102"/>
      <c r="AM138" s="97"/>
      <c r="AN138" s="97"/>
      <c r="AO138" s="97"/>
      <c r="AP138" s="103"/>
      <c r="AR138" s="102"/>
      <c r="AS138" s="97"/>
      <c r="AT138" s="97"/>
      <c r="AU138" s="97"/>
      <c r="AV138" s="103"/>
      <c r="AX138" s="102"/>
      <c r="AY138" s="97"/>
      <c r="AZ138" s="97"/>
      <c r="BA138" s="97"/>
      <c r="BB138" s="103"/>
      <c r="BD138" s="102"/>
      <c r="BE138" s="97"/>
      <c r="BF138" s="97"/>
      <c r="BG138" s="97"/>
      <c r="BH138" s="103"/>
      <c r="BJ138" s="102"/>
      <c r="BK138" s="97"/>
      <c r="BL138" s="97"/>
      <c r="BM138" s="97"/>
      <c r="BN138" s="103"/>
      <c r="BP138" s="102"/>
      <c r="BQ138" s="97"/>
      <c r="BR138" s="97"/>
      <c r="BS138" s="97"/>
      <c r="BT138" s="103"/>
    </row>
    <row r="139" spans="1:72" x14ac:dyDescent="0.25">
      <c r="A139" s="4">
        <v>117</v>
      </c>
      <c r="B139" s="54" t="str">
        <f>IF('Game Info'!Q122="","",'Game Info'!Q122)</f>
        <v/>
      </c>
      <c r="C139" s="54" t="str">
        <f>IF('Game Info'!R122="","",'Game Info'!R122)</f>
        <v/>
      </c>
      <c r="D139" s="54" t="str">
        <f>IF('Game Info'!S122="","",'Game Info'!S122)</f>
        <v/>
      </c>
      <c r="E139" s="54" t="str">
        <f>IF('Game Info'!T122="","",'Game Info'!T122)</f>
        <v/>
      </c>
      <c r="F139" s="55" t="str">
        <f>IF('Game Info'!U122="","",'Game Info'!U122)</f>
        <v/>
      </c>
      <c r="H139" s="102"/>
      <c r="I139" s="97"/>
      <c r="J139" s="97"/>
      <c r="K139" s="97"/>
      <c r="L139" s="103"/>
      <c r="N139" s="102"/>
      <c r="O139" s="97"/>
      <c r="P139" s="97"/>
      <c r="Q139" s="97"/>
      <c r="R139" s="103"/>
      <c r="T139" s="102"/>
      <c r="U139" s="97"/>
      <c r="V139" s="97"/>
      <c r="W139" s="97"/>
      <c r="X139" s="103"/>
      <c r="Z139" s="102"/>
      <c r="AA139" s="97"/>
      <c r="AB139" s="97"/>
      <c r="AC139" s="97"/>
      <c r="AD139" s="103"/>
      <c r="AF139" s="102"/>
      <c r="AG139" s="97"/>
      <c r="AH139" s="97"/>
      <c r="AI139" s="97"/>
      <c r="AJ139" s="103"/>
      <c r="AL139" s="102"/>
      <c r="AM139" s="97"/>
      <c r="AN139" s="97"/>
      <c r="AO139" s="97"/>
      <c r="AP139" s="103"/>
      <c r="AR139" s="102"/>
      <c r="AS139" s="97"/>
      <c r="AT139" s="97"/>
      <c r="AU139" s="97"/>
      <c r="AV139" s="103"/>
      <c r="AX139" s="102"/>
      <c r="AY139" s="97"/>
      <c r="AZ139" s="97"/>
      <c r="BA139" s="97"/>
      <c r="BB139" s="103"/>
      <c r="BD139" s="102"/>
      <c r="BE139" s="97"/>
      <c r="BF139" s="97"/>
      <c r="BG139" s="97"/>
      <c r="BH139" s="103"/>
      <c r="BJ139" s="102"/>
      <c r="BK139" s="97"/>
      <c r="BL139" s="97"/>
      <c r="BM139" s="97"/>
      <c r="BN139" s="103"/>
      <c r="BP139" s="102"/>
      <c r="BQ139" s="97"/>
      <c r="BR139" s="97"/>
      <c r="BS139" s="97"/>
      <c r="BT139" s="103"/>
    </row>
    <row r="140" spans="1:72" x14ac:dyDescent="0.25">
      <c r="A140" s="4">
        <v>118</v>
      </c>
      <c r="B140" s="54" t="str">
        <f>IF('Game Info'!Q123="","",'Game Info'!Q123)</f>
        <v/>
      </c>
      <c r="C140" s="54" t="str">
        <f>IF('Game Info'!R123="","",'Game Info'!R123)</f>
        <v/>
      </c>
      <c r="D140" s="54" t="str">
        <f>IF('Game Info'!S123="","",'Game Info'!S123)</f>
        <v/>
      </c>
      <c r="E140" s="54" t="str">
        <f>IF('Game Info'!T123="","",'Game Info'!T123)</f>
        <v/>
      </c>
      <c r="F140" s="55" t="str">
        <f>IF('Game Info'!U123="","",'Game Info'!U123)</f>
        <v/>
      </c>
      <c r="H140" s="102"/>
      <c r="I140" s="97"/>
      <c r="J140" s="97"/>
      <c r="K140" s="97"/>
      <c r="L140" s="103"/>
      <c r="N140" s="102"/>
      <c r="O140" s="97"/>
      <c r="P140" s="97"/>
      <c r="Q140" s="97"/>
      <c r="R140" s="103"/>
      <c r="T140" s="102"/>
      <c r="U140" s="97"/>
      <c r="V140" s="97"/>
      <c r="W140" s="97"/>
      <c r="X140" s="103"/>
      <c r="Z140" s="102"/>
      <c r="AA140" s="97"/>
      <c r="AB140" s="97"/>
      <c r="AC140" s="97"/>
      <c r="AD140" s="103"/>
      <c r="AF140" s="102"/>
      <c r="AG140" s="97"/>
      <c r="AH140" s="97"/>
      <c r="AI140" s="97"/>
      <c r="AJ140" s="103"/>
      <c r="AL140" s="102"/>
      <c r="AM140" s="97"/>
      <c r="AN140" s="97"/>
      <c r="AO140" s="97"/>
      <c r="AP140" s="103"/>
      <c r="AR140" s="102"/>
      <c r="AS140" s="97"/>
      <c r="AT140" s="97"/>
      <c r="AU140" s="97"/>
      <c r="AV140" s="103"/>
      <c r="AX140" s="102"/>
      <c r="AY140" s="97"/>
      <c r="AZ140" s="97"/>
      <c r="BA140" s="97"/>
      <c r="BB140" s="103"/>
      <c r="BD140" s="102"/>
      <c r="BE140" s="97"/>
      <c r="BF140" s="97"/>
      <c r="BG140" s="97"/>
      <c r="BH140" s="103"/>
      <c r="BJ140" s="102"/>
      <c r="BK140" s="97"/>
      <c r="BL140" s="97"/>
      <c r="BM140" s="97"/>
      <c r="BN140" s="103"/>
      <c r="BP140" s="102"/>
      <c r="BQ140" s="97"/>
      <c r="BR140" s="97"/>
      <c r="BS140" s="97"/>
      <c r="BT140" s="103"/>
    </row>
    <row r="141" spans="1:72" x14ac:dyDescent="0.25">
      <c r="A141" s="4">
        <v>119</v>
      </c>
      <c r="B141" s="54" t="str">
        <f>IF('Game Info'!Q124="","",'Game Info'!Q124)</f>
        <v/>
      </c>
      <c r="C141" s="54" t="str">
        <f>IF('Game Info'!R124="","",'Game Info'!R124)</f>
        <v/>
      </c>
      <c r="D141" s="54" t="str">
        <f>IF('Game Info'!S124="","",'Game Info'!S124)</f>
        <v/>
      </c>
      <c r="E141" s="54" t="str">
        <f>IF('Game Info'!T124="","",'Game Info'!T124)</f>
        <v/>
      </c>
      <c r="F141" s="55" t="str">
        <f>IF('Game Info'!U124="","",'Game Info'!U124)</f>
        <v/>
      </c>
      <c r="H141" s="102"/>
      <c r="I141" s="97"/>
      <c r="J141" s="97"/>
      <c r="K141" s="97"/>
      <c r="L141" s="103"/>
      <c r="N141" s="102"/>
      <c r="O141" s="97"/>
      <c r="P141" s="97"/>
      <c r="Q141" s="97"/>
      <c r="R141" s="103"/>
      <c r="T141" s="102"/>
      <c r="U141" s="97"/>
      <c r="V141" s="97"/>
      <c r="W141" s="97"/>
      <c r="X141" s="103"/>
      <c r="Z141" s="102"/>
      <c r="AA141" s="97"/>
      <c r="AB141" s="97"/>
      <c r="AC141" s="97"/>
      <c r="AD141" s="103"/>
      <c r="AF141" s="102"/>
      <c r="AG141" s="97"/>
      <c r="AH141" s="97"/>
      <c r="AI141" s="97"/>
      <c r="AJ141" s="103"/>
      <c r="AL141" s="102"/>
      <c r="AM141" s="97"/>
      <c r="AN141" s="97"/>
      <c r="AO141" s="97"/>
      <c r="AP141" s="103"/>
      <c r="AR141" s="102"/>
      <c r="AS141" s="97"/>
      <c r="AT141" s="97"/>
      <c r="AU141" s="97"/>
      <c r="AV141" s="103"/>
      <c r="AX141" s="102"/>
      <c r="AY141" s="97"/>
      <c r="AZ141" s="97"/>
      <c r="BA141" s="97"/>
      <c r="BB141" s="103"/>
      <c r="BD141" s="102"/>
      <c r="BE141" s="97"/>
      <c r="BF141" s="97"/>
      <c r="BG141" s="97"/>
      <c r="BH141" s="103"/>
      <c r="BJ141" s="102"/>
      <c r="BK141" s="97"/>
      <c r="BL141" s="97"/>
      <c r="BM141" s="97"/>
      <c r="BN141" s="103"/>
      <c r="BP141" s="102"/>
      <c r="BQ141" s="97"/>
      <c r="BR141" s="97"/>
      <c r="BS141" s="97"/>
      <c r="BT141" s="103"/>
    </row>
    <row r="142" spans="1:72" x14ac:dyDescent="0.25">
      <c r="A142" s="4">
        <v>120</v>
      </c>
      <c r="B142" s="54" t="str">
        <f>IF('Game Info'!Q125="","",'Game Info'!Q125)</f>
        <v/>
      </c>
      <c r="C142" s="54" t="str">
        <f>IF('Game Info'!R125="","",'Game Info'!R125)</f>
        <v/>
      </c>
      <c r="D142" s="54" t="str">
        <f>IF('Game Info'!S125="","",'Game Info'!S125)</f>
        <v/>
      </c>
      <c r="E142" s="54" t="str">
        <f>IF('Game Info'!T125="","",'Game Info'!T125)</f>
        <v/>
      </c>
      <c r="F142" s="55" t="str">
        <f>IF('Game Info'!U125="","",'Game Info'!U125)</f>
        <v/>
      </c>
      <c r="H142" s="102"/>
      <c r="I142" s="97"/>
      <c r="J142" s="97"/>
      <c r="K142" s="97"/>
      <c r="L142" s="103"/>
      <c r="N142" s="102"/>
      <c r="O142" s="97"/>
      <c r="P142" s="97"/>
      <c r="Q142" s="97"/>
      <c r="R142" s="103"/>
      <c r="T142" s="102"/>
      <c r="U142" s="97"/>
      <c r="V142" s="97"/>
      <c r="W142" s="97"/>
      <c r="X142" s="103"/>
      <c r="Z142" s="102"/>
      <c r="AA142" s="97"/>
      <c r="AB142" s="97"/>
      <c r="AC142" s="97"/>
      <c r="AD142" s="103"/>
      <c r="AF142" s="102"/>
      <c r="AG142" s="97"/>
      <c r="AH142" s="97"/>
      <c r="AI142" s="97"/>
      <c r="AJ142" s="103"/>
      <c r="AL142" s="102"/>
      <c r="AM142" s="97"/>
      <c r="AN142" s="97"/>
      <c r="AO142" s="97"/>
      <c r="AP142" s="103"/>
      <c r="AR142" s="102"/>
      <c r="AS142" s="97"/>
      <c r="AT142" s="97"/>
      <c r="AU142" s="97"/>
      <c r="AV142" s="103"/>
      <c r="AX142" s="102"/>
      <c r="AY142" s="97"/>
      <c r="AZ142" s="97"/>
      <c r="BA142" s="97"/>
      <c r="BB142" s="103"/>
      <c r="BD142" s="102"/>
      <c r="BE142" s="97"/>
      <c r="BF142" s="97"/>
      <c r="BG142" s="97"/>
      <c r="BH142" s="103"/>
      <c r="BJ142" s="102"/>
      <c r="BK142" s="97"/>
      <c r="BL142" s="97"/>
      <c r="BM142" s="97"/>
      <c r="BN142" s="103"/>
      <c r="BP142" s="102"/>
      <c r="BQ142" s="97"/>
      <c r="BR142" s="97"/>
      <c r="BS142" s="97"/>
      <c r="BT142" s="103"/>
    </row>
    <row r="143" spans="1:72" x14ac:dyDescent="0.25">
      <c r="A143" s="4">
        <v>121</v>
      </c>
      <c r="B143" s="54" t="str">
        <f>IF('Game Info'!Q126="","",'Game Info'!Q126)</f>
        <v/>
      </c>
      <c r="C143" s="54" t="str">
        <f>IF('Game Info'!R126="","",'Game Info'!R126)</f>
        <v/>
      </c>
      <c r="D143" s="54" t="str">
        <f>IF('Game Info'!S126="","",'Game Info'!S126)</f>
        <v/>
      </c>
      <c r="E143" s="54" t="str">
        <f>IF('Game Info'!T126="","",'Game Info'!T126)</f>
        <v/>
      </c>
      <c r="F143" s="55" t="str">
        <f>IF('Game Info'!U126="","",'Game Info'!U126)</f>
        <v/>
      </c>
      <c r="H143" s="102"/>
      <c r="I143" s="97"/>
      <c r="J143" s="97"/>
      <c r="K143" s="97"/>
      <c r="L143" s="103"/>
      <c r="N143" s="102"/>
      <c r="O143" s="97"/>
      <c r="P143" s="97"/>
      <c r="Q143" s="97"/>
      <c r="R143" s="103"/>
      <c r="T143" s="102"/>
      <c r="U143" s="97"/>
      <c r="V143" s="97"/>
      <c r="W143" s="97"/>
      <c r="X143" s="103"/>
      <c r="Z143" s="102"/>
      <c r="AA143" s="97"/>
      <c r="AB143" s="97"/>
      <c r="AC143" s="97"/>
      <c r="AD143" s="103"/>
      <c r="AF143" s="102"/>
      <c r="AG143" s="97"/>
      <c r="AH143" s="97"/>
      <c r="AI143" s="97"/>
      <c r="AJ143" s="103"/>
      <c r="AL143" s="102"/>
      <c r="AM143" s="97"/>
      <c r="AN143" s="97"/>
      <c r="AO143" s="97"/>
      <c r="AP143" s="103"/>
      <c r="AR143" s="102"/>
      <c r="AS143" s="97"/>
      <c r="AT143" s="97"/>
      <c r="AU143" s="97"/>
      <c r="AV143" s="103"/>
      <c r="AX143" s="102"/>
      <c r="AY143" s="97"/>
      <c r="AZ143" s="97"/>
      <c r="BA143" s="97"/>
      <c r="BB143" s="103"/>
      <c r="BD143" s="102"/>
      <c r="BE143" s="97"/>
      <c r="BF143" s="97"/>
      <c r="BG143" s="97"/>
      <c r="BH143" s="103"/>
      <c r="BJ143" s="102"/>
      <c r="BK143" s="97"/>
      <c r="BL143" s="97"/>
      <c r="BM143" s="97"/>
      <c r="BN143" s="103"/>
      <c r="BP143" s="102"/>
      <c r="BQ143" s="97"/>
      <c r="BR143" s="97"/>
      <c r="BS143" s="97"/>
      <c r="BT143" s="103"/>
    </row>
    <row r="144" spans="1:72" x14ac:dyDescent="0.25">
      <c r="A144" s="4">
        <v>122</v>
      </c>
      <c r="B144" s="54" t="str">
        <f>IF('Game Info'!Q127="","",'Game Info'!Q127)</f>
        <v/>
      </c>
      <c r="C144" s="54" t="str">
        <f>IF('Game Info'!R127="","",'Game Info'!R127)</f>
        <v/>
      </c>
      <c r="D144" s="54" t="str">
        <f>IF('Game Info'!S127="","",'Game Info'!S127)</f>
        <v/>
      </c>
      <c r="E144" s="54" t="str">
        <f>IF('Game Info'!T127="","",'Game Info'!T127)</f>
        <v/>
      </c>
      <c r="F144" s="55" t="str">
        <f>IF('Game Info'!U127="","",'Game Info'!U127)</f>
        <v/>
      </c>
      <c r="H144" s="102"/>
      <c r="I144" s="97"/>
      <c r="J144" s="97"/>
      <c r="K144" s="97"/>
      <c r="L144" s="103"/>
      <c r="N144" s="102"/>
      <c r="O144" s="97"/>
      <c r="P144" s="97"/>
      <c r="Q144" s="97"/>
      <c r="R144" s="103"/>
      <c r="T144" s="102"/>
      <c r="U144" s="97"/>
      <c r="V144" s="97"/>
      <c r="W144" s="97"/>
      <c r="X144" s="103"/>
      <c r="Z144" s="102"/>
      <c r="AA144" s="97"/>
      <c r="AB144" s="97"/>
      <c r="AC144" s="97"/>
      <c r="AD144" s="103"/>
      <c r="AF144" s="102"/>
      <c r="AG144" s="97"/>
      <c r="AH144" s="97"/>
      <c r="AI144" s="97"/>
      <c r="AJ144" s="103"/>
      <c r="AL144" s="102"/>
      <c r="AM144" s="97"/>
      <c r="AN144" s="97"/>
      <c r="AO144" s="97"/>
      <c r="AP144" s="103"/>
      <c r="AR144" s="102"/>
      <c r="AS144" s="97"/>
      <c r="AT144" s="97"/>
      <c r="AU144" s="97"/>
      <c r="AV144" s="103"/>
      <c r="AX144" s="102"/>
      <c r="AY144" s="97"/>
      <c r="AZ144" s="97"/>
      <c r="BA144" s="97"/>
      <c r="BB144" s="103"/>
      <c r="BD144" s="102"/>
      <c r="BE144" s="97"/>
      <c r="BF144" s="97"/>
      <c r="BG144" s="97"/>
      <c r="BH144" s="103"/>
      <c r="BJ144" s="102"/>
      <c r="BK144" s="97"/>
      <c r="BL144" s="97"/>
      <c r="BM144" s="97"/>
      <c r="BN144" s="103"/>
      <c r="BP144" s="102"/>
      <c r="BQ144" s="97"/>
      <c r="BR144" s="97"/>
      <c r="BS144" s="97"/>
      <c r="BT144" s="103"/>
    </row>
    <row r="145" spans="1:72" x14ac:dyDescent="0.25">
      <c r="A145" s="4">
        <v>123</v>
      </c>
      <c r="B145" s="54" t="str">
        <f>IF('Game Info'!Q128="","",'Game Info'!Q128)</f>
        <v/>
      </c>
      <c r="C145" s="54" t="str">
        <f>IF('Game Info'!R128="","",'Game Info'!R128)</f>
        <v/>
      </c>
      <c r="D145" s="54" t="str">
        <f>IF('Game Info'!S128="","",'Game Info'!S128)</f>
        <v/>
      </c>
      <c r="E145" s="54" t="str">
        <f>IF('Game Info'!T128="","",'Game Info'!T128)</f>
        <v/>
      </c>
      <c r="F145" s="55" t="str">
        <f>IF('Game Info'!U128="","",'Game Info'!U128)</f>
        <v/>
      </c>
      <c r="H145" s="102"/>
      <c r="I145" s="97"/>
      <c r="J145" s="97"/>
      <c r="K145" s="97"/>
      <c r="L145" s="103"/>
      <c r="N145" s="102"/>
      <c r="O145" s="97"/>
      <c r="P145" s="97"/>
      <c r="Q145" s="97"/>
      <c r="R145" s="103"/>
      <c r="T145" s="102"/>
      <c r="U145" s="97"/>
      <c r="V145" s="97"/>
      <c r="W145" s="97"/>
      <c r="X145" s="103"/>
      <c r="Z145" s="102"/>
      <c r="AA145" s="97"/>
      <c r="AB145" s="97"/>
      <c r="AC145" s="97"/>
      <c r="AD145" s="103"/>
      <c r="AF145" s="102"/>
      <c r="AG145" s="97"/>
      <c r="AH145" s="97"/>
      <c r="AI145" s="97"/>
      <c r="AJ145" s="103"/>
      <c r="AL145" s="102"/>
      <c r="AM145" s="97"/>
      <c r="AN145" s="97"/>
      <c r="AO145" s="97"/>
      <c r="AP145" s="103"/>
      <c r="AR145" s="102"/>
      <c r="AS145" s="97"/>
      <c r="AT145" s="97"/>
      <c r="AU145" s="97"/>
      <c r="AV145" s="103"/>
      <c r="AX145" s="102"/>
      <c r="AY145" s="97"/>
      <c r="AZ145" s="97"/>
      <c r="BA145" s="97"/>
      <c r="BB145" s="103"/>
      <c r="BD145" s="102"/>
      <c r="BE145" s="97"/>
      <c r="BF145" s="97"/>
      <c r="BG145" s="97"/>
      <c r="BH145" s="103"/>
      <c r="BJ145" s="102"/>
      <c r="BK145" s="97"/>
      <c r="BL145" s="97"/>
      <c r="BM145" s="97"/>
      <c r="BN145" s="103"/>
      <c r="BP145" s="102"/>
      <c r="BQ145" s="97"/>
      <c r="BR145" s="97"/>
      <c r="BS145" s="97"/>
      <c r="BT145" s="103"/>
    </row>
    <row r="146" spans="1:72" x14ac:dyDescent="0.25">
      <c r="A146" s="4">
        <v>124</v>
      </c>
      <c r="B146" s="54" t="str">
        <f>IF('Game Info'!Q129="","",'Game Info'!Q129)</f>
        <v/>
      </c>
      <c r="C146" s="54" t="str">
        <f>IF('Game Info'!R129="","",'Game Info'!R129)</f>
        <v/>
      </c>
      <c r="D146" s="54" t="str">
        <f>IF('Game Info'!S129="","",'Game Info'!S129)</f>
        <v/>
      </c>
      <c r="E146" s="54" t="str">
        <f>IF('Game Info'!T129="","",'Game Info'!T129)</f>
        <v/>
      </c>
      <c r="F146" s="55" t="str">
        <f>IF('Game Info'!U129="","",'Game Info'!U129)</f>
        <v/>
      </c>
      <c r="H146" s="102"/>
      <c r="I146" s="97"/>
      <c r="J146" s="97"/>
      <c r="K146" s="97"/>
      <c r="L146" s="103"/>
      <c r="N146" s="102"/>
      <c r="O146" s="97"/>
      <c r="P146" s="97"/>
      <c r="Q146" s="97"/>
      <c r="R146" s="103"/>
      <c r="T146" s="102"/>
      <c r="U146" s="97"/>
      <c r="V146" s="97"/>
      <c r="W146" s="97"/>
      <c r="X146" s="103"/>
      <c r="Z146" s="102"/>
      <c r="AA146" s="97"/>
      <c r="AB146" s="97"/>
      <c r="AC146" s="97"/>
      <c r="AD146" s="103"/>
      <c r="AF146" s="102"/>
      <c r="AG146" s="97"/>
      <c r="AH146" s="97"/>
      <c r="AI146" s="97"/>
      <c r="AJ146" s="103"/>
      <c r="AL146" s="102"/>
      <c r="AM146" s="97"/>
      <c r="AN146" s="97"/>
      <c r="AO146" s="97"/>
      <c r="AP146" s="103"/>
      <c r="AR146" s="102"/>
      <c r="AS146" s="97"/>
      <c r="AT146" s="97"/>
      <c r="AU146" s="97"/>
      <c r="AV146" s="103"/>
      <c r="AX146" s="102"/>
      <c r="AY146" s="97"/>
      <c r="AZ146" s="97"/>
      <c r="BA146" s="97"/>
      <c r="BB146" s="103"/>
      <c r="BD146" s="102"/>
      <c r="BE146" s="97"/>
      <c r="BF146" s="97"/>
      <c r="BG146" s="97"/>
      <c r="BH146" s="103"/>
      <c r="BJ146" s="102"/>
      <c r="BK146" s="97"/>
      <c r="BL146" s="97"/>
      <c r="BM146" s="97"/>
      <c r="BN146" s="103"/>
      <c r="BP146" s="102"/>
      <c r="BQ146" s="97"/>
      <c r="BR146" s="97"/>
      <c r="BS146" s="97"/>
      <c r="BT146" s="103"/>
    </row>
    <row r="147" spans="1:72" x14ac:dyDescent="0.25">
      <c r="A147" s="4">
        <v>125</v>
      </c>
      <c r="B147" s="54" t="str">
        <f>IF('Game Info'!Q130="","",'Game Info'!Q130)</f>
        <v/>
      </c>
      <c r="C147" s="54" t="str">
        <f>IF('Game Info'!R130="","",'Game Info'!R130)</f>
        <v/>
      </c>
      <c r="D147" s="54" t="str">
        <f>IF('Game Info'!S130="","",'Game Info'!S130)</f>
        <v/>
      </c>
      <c r="E147" s="54" t="str">
        <f>IF('Game Info'!T130="","",'Game Info'!T130)</f>
        <v/>
      </c>
      <c r="F147" s="55" t="str">
        <f>IF('Game Info'!U130="","",'Game Info'!U130)</f>
        <v/>
      </c>
      <c r="H147" s="102"/>
      <c r="I147" s="97"/>
      <c r="J147" s="97"/>
      <c r="K147" s="97"/>
      <c r="L147" s="103"/>
      <c r="N147" s="102"/>
      <c r="O147" s="97"/>
      <c r="P147" s="97"/>
      <c r="Q147" s="97"/>
      <c r="R147" s="103"/>
      <c r="T147" s="102"/>
      <c r="U147" s="97"/>
      <c r="V147" s="97"/>
      <c r="W147" s="97"/>
      <c r="X147" s="103"/>
      <c r="Z147" s="102"/>
      <c r="AA147" s="97"/>
      <c r="AB147" s="97"/>
      <c r="AC147" s="97"/>
      <c r="AD147" s="103"/>
      <c r="AF147" s="102"/>
      <c r="AG147" s="97"/>
      <c r="AH147" s="97"/>
      <c r="AI147" s="97"/>
      <c r="AJ147" s="103"/>
      <c r="AL147" s="102"/>
      <c r="AM147" s="97"/>
      <c r="AN147" s="97"/>
      <c r="AO147" s="97"/>
      <c r="AP147" s="103"/>
      <c r="AR147" s="102"/>
      <c r="AS147" s="97"/>
      <c r="AT147" s="97"/>
      <c r="AU147" s="97"/>
      <c r="AV147" s="103"/>
      <c r="AX147" s="102"/>
      <c r="AY147" s="97"/>
      <c r="AZ147" s="97"/>
      <c r="BA147" s="97"/>
      <c r="BB147" s="103"/>
      <c r="BD147" s="102"/>
      <c r="BE147" s="97"/>
      <c r="BF147" s="97"/>
      <c r="BG147" s="97"/>
      <c r="BH147" s="103"/>
      <c r="BJ147" s="102"/>
      <c r="BK147" s="97"/>
      <c r="BL147" s="97"/>
      <c r="BM147" s="97"/>
      <c r="BN147" s="103"/>
      <c r="BP147" s="102"/>
      <c r="BQ147" s="97"/>
      <c r="BR147" s="97"/>
      <c r="BS147" s="97"/>
      <c r="BT147" s="103"/>
    </row>
    <row r="148" spans="1:72" x14ac:dyDescent="0.25">
      <c r="A148" s="4">
        <v>126</v>
      </c>
      <c r="B148" s="54" t="str">
        <f>IF('Game Info'!Q131="","",'Game Info'!Q131)</f>
        <v/>
      </c>
      <c r="C148" s="54" t="str">
        <f>IF('Game Info'!R131="","",'Game Info'!R131)</f>
        <v/>
      </c>
      <c r="D148" s="54" t="str">
        <f>IF('Game Info'!S131="","",'Game Info'!S131)</f>
        <v/>
      </c>
      <c r="E148" s="54" t="str">
        <f>IF('Game Info'!T131="","",'Game Info'!T131)</f>
        <v/>
      </c>
      <c r="F148" s="55" t="str">
        <f>IF('Game Info'!U131="","",'Game Info'!U131)</f>
        <v/>
      </c>
      <c r="H148" s="102"/>
      <c r="I148" s="97"/>
      <c r="J148" s="97"/>
      <c r="K148" s="97"/>
      <c r="L148" s="103"/>
      <c r="N148" s="102"/>
      <c r="O148" s="97"/>
      <c r="P148" s="97"/>
      <c r="Q148" s="97"/>
      <c r="R148" s="103"/>
      <c r="T148" s="102"/>
      <c r="U148" s="97"/>
      <c r="V148" s="97"/>
      <c r="W148" s="97"/>
      <c r="X148" s="103"/>
      <c r="Z148" s="102"/>
      <c r="AA148" s="97"/>
      <c r="AB148" s="97"/>
      <c r="AC148" s="97"/>
      <c r="AD148" s="103"/>
      <c r="AF148" s="102"/>
      <c r="AG148" s="97"/>
      <c r="AH148" s="97"/>
      <c r="AI148" s="97"/>
      <c r="AJ148" s="103"/>
      <c r="AL148" s="102"/>
      <c r="AM148" s="97"/>
      <c r="AN148" s="97"/>
      <c r="AO148" s="97"/>
      <c r="AP148" s="103"/>
      <c r="AR148" s="102"/>
      <c r="AS148" s="97"/>
      <c r="AT148" s="97"/>
      <c r="AU148" s="97"/>
      <c r="AV148" s="103"/>
      <c r="AX148" s="102"/>
      <c r="AY148" s="97"/>
      <c r="AZ148" s="97"/>
      <c r="BA148" s="97"/>
      <c r="BB148" s="103"/>
      <c r="BD148" s="102"/>
      <c r="BE148" s="97"/>
      <c r="BF148" s="97"/>
      <c r="BG148" s="97"/>
      <c r="BH148" s="103"/>
      <c r="BJ148" s="102"/>
      <c r="BK148" s="97"/>
      <c r="BL148" s="97"/>
      <c r="BM148" s="97"/>
      <c r="BN148" s="103"/>
      <c r="BP148" s="102"/>
      <c r="BQ148" s="97"/>
      <c r="BR148" s="97"/>
      <c r="BS148" s="97"/>
      <c r="BT148" s="103"/>
    </row>
    <row r="149" spans="1:72" x14ac:dyDescent="0.25">
      <c r="A149" s="4">
        <v>127</v>
      </c>
      <c r="B149" s="54" t="str">
        <f>IF('Game Info'!Q132="","",'Game Info'!Q132)</f>
        <v/>
      </c>
      <c r="C149" s="54" t="str">
        <f>IF('Game Info'!R132="","",'Game Info'!R132)</f>
        <v/>
      </c>
      <c r="D149" s="54" t="str">
        <f>IF('Game Info'!S132="","",'Game Info'!S132)</f>
        <v/>
      </c>
      <c r="E149" s="54" t="str">
        <f>IF('Game Info'!T132="","",'Game Info'!T132)</f>
        <v/>
      </c>
      <c r="F149" s="55" t="str">
        <f>IF('Game Info'!U132="","",'Game Info'!U132)</f>
        <v/>
      </c>
      <c r="H149" s="102"/>
      <c r="I149" s="97"/>
      <c r="J149" s="97"/>
      <c r="K149" s="97"/>
      <c r="L149" s="103"/>
      <c r="N149" s="102"/>
      <c r="O149" s="97"/>
      <c r="P149" s="97"/>
      <c r="Q149" s="97"/>
      <c r="R149" s="103"/>
      <c r="T149" s="102"/>
      <c r="U149" s="97"/>
      <c r="V149" s="97"/>
      <c r="W149" s="97"/>
      <c r="X149" s="103"/>
      <c r="Z149" s="102"/>
      <c r="AA149" s="97"/>
      <c r="AB149" s="97"/>
      <c r="AC149" s="97"/>
      <c r="AD149" s="103"/>
      <c r="AF149" s="102"/>
      <c r="AG149" s="97"/>
      <c r="AH149" s="97"/>
      <c r="AI149" s="97"/>
      <c r="AJ149" s="103"/>
      <c r="AL149" s="102"/>
      <c r="AM149" s="97"/>
      <c r="AN149" s="97"/>
      <c r="AO149" s="97"/>
      <c r="AP149" s="103"/>
      <c r="AR149" s="102"/>
      <c r="AS149" s="97"/>
      <c r="AT149" s="97"/>
      <c r="AU149" s="97"/>
      <c r="AV149" s="103"/>
      <c r="AX149" s="102"/>
      <c r="AY149" s="97"/>
      <c r="AZ149" s="97"/>
      <c r="BA149" s="97"/>
      <c r="BB149" s="103"/>
      <c r="BD149" s="102"/>
      <c r="BE149" s="97"/>
      <c r="BF149" s="97"/>
      <c r="BG149" s="97"/>
      <c r="BH149" s="103"/>
      <c r="BJ149" s="102"/>
      <c r="BK149" s="97"/>
      <c r="BL149" s="97"/>
      <c r="BM149" s="97"/>
      <c r="BN149" s="103"/>
      <c r="BP149" s="102"/>
      <c r="BQ149" s="97"/>
      <c r="BR149" s="97"/>
      <c r="BS149" s="97"/>
      <c r="BT149" s="103"/>
    </row>
    <row r="150" spans="1:72" x14ac:dyDescent="0.25">
      <c r="A150" s="4">
        <v>128</v>
      </c>
      <c r="B150" s="54" t="str">
        <f>IF('Game Info'!Q133="","",'Game Info'!Q133)</f>
        <v/>
      </c>
      <c r="C150" s="54" t="str">
        <f>IF('Game Info'!R133="","",'Game Info'!R133)</f>
        <v/>
      </c>
      <c r="D150" s="54" t="str">
        <f>IF('Game Info'!S133="","",'Game Info'!S133)</f>
        <v/>
      </c>
      <c r="E150" s="54" t="str">
        <f>IF('Game Info'!T133="","",'Game Info'!T133)</f>
        <v/>
      </c>
      <c r="F150" s="55" t="str">
        <f>IF('Game Info'!U133="","",'Game Info'!U133)</f>
        <v/>
      </c>
      <c r="H150" s="102"/>
      <c r="I150" s="97"/>
      <c r="J150" s="97"/>
      <c r="K150" s="97"/>
      <c r="L150" s="103"/>
      <c r="N150" s="102"/>
      <c r="O150" s="97"/>
      <c r="P150" s="97"/>
      <c r="Q150" s="97"/>
      <c r="R150" s="103"/>
      <c r="T150" s="102"/>
      <c r="U150" s="97"/>
      <c r="V150" s="97"/>
      <c r="W150" s="97"/>
      <c r="X150" s="103"/>
      <c r="Z150" s="102"/>
      <c r="AA150" s="97"/>
      <c r="AB150" s="97"/>
      <c r="AC150" s="97"/>
      <c r="AD150" s="103"/>
      <c r="AF150" s="102"/>
      <c r="AG150" s="97"/>
      <c r="AH150" s="97"/>
      <c r="AI150" s="97"/>
      <c r="AJ150" s="103"/>
      <c r="AL150" s="102"/>
      <c r="AM150" s="97"/>
      <c r="AN150" s="97"/>
      <c r="AO150" s="97"/>
      <c r="AP150" s="103"/>
      <c r="AR150" s="102"/>
      <c r="AS150" s="97"/>
      <c r="AT150" s="97"/>
      <c r="AU150" s="97"/>
      <c r="AV150" s="103"/>
      <c r="AX150" s="102"/>
      <c r="AY150" s="97"/>
      <c r="AZ150" s="97"/>
      <c r="BA150" s="97"/>
      <c r="BB150" s="103"/>
      <c r="BD150" s="102"/>
      <c r="BE150" s="97"/>
      <c r="BF150" s="97"/>
      <c r="BG150" s="97"/>
      <c r="BH150" s="103"/>
      <c r="BJ150" s="102"/>
      <c r="BK150" s="97"/>
      <c r="BL150" s="97"/>
      <c r="BM150" s="97"/>
      <c r="BN150" s="103"/>
      <c r="BP150" s="102"/>
      <c r="BQ150" s="97"/>
      <c r="BR150" s="97"/>
      <c r="BS150" s="97"/>
      <c r="BT150" s="103"/>
    </row>
    <row r="151" spans="1:72" x14ac:dyDescent="0.25">
      <c r="A151" s="4">
        <v>129</v>
      </c>
      <c r="B151" s="54" t="str">
        <f>IF('Game Info'!Q134="","",'Game Info'!Q134)</f>
        <v/>
      </c>
      <c r="C151" s="54" t="str">
        <f>IF('Game Info'!R134="","",'Game Info'!R134)</f>
        <v/>
      </c>
      <c r="D151" s="54" t="str">
        <f>IF('Game Info'!S134="","",'Game Info'!S134)</f>
        <v/>
      </c>
      <c r="E151" s="54" t="str">
        <f>IF('Game Info'!T134="","",'Game Info'!T134)</f>
        <v/>
      </c>
      <c r="F151" s="55" t="str">
        <f>IF('Game Info'!U134="","",'Game Info'!U134)</f>
        <v/>
      </c>
      <c r="H151" s="102"/>
      <c r="I151" s="97"/>
      <c r="J151" s="97"/>
      <c r="K151" s="97"/>
      <c r="L151" s="103"/>
      <c r="N151" s="102"/>
      <c r="O151" s="97"/>
      <c r="P151" s="97"/>
      <c r="Q151" s="97"/>
      <c r="R151" s="103"/>
      <c r="T151" s="102"/>
      <c r="U151" s="97"/>
      <c r="V151" s="97"/>
      <c r="W151" s="97"/>
      <c r="X151" s="103"/>
      <c r="Z151" s="102"/>
      <c r="AA151" s="97"/>
      <c r="AB151" s="97"/>
      <c r="AC151" s="97"/>
      <c r="AD151" s="103"/>
      <c r="AF151" s="102"/>
      <c r="AG151" s="97"/>
      <c r="AH151" s="97"/>
      <c r="AI151" s="97"/>
      <c r="AJ151" s="103"/>
      <c r="AL151" s="102"/>
      <c r="AM151" s="97"/>
      <c r="AN151" s="97"/>
      <c r="AO151" s="97"/>
      <c r="AP151" s="103"/>
      <c r="AR151" s="102"/>
      <c r="AS151" s="97"/>
      <c r="AT151" s="97"/>
      <c r="AU151" s="97"/>
      <c r="AV151" s="103"/>
      <c r="AX151" s="102"/>
      <c r="AY151" s="97"/>
      <c r="AZ151" s="97"/>
      <c r="BA151" s="97"/>
      <c r="BB151" s="103"/>
      <c r="BD151" s="102"/>
      <c r="BE151" s="97"/>
      <c r="BF151" s="97"/>
      <c r="BG151" s="97"/>
      <c r="BH151" s="103"/>
      <c r="BJ151" s="102"/>
      <c r="BK151" s="97"/>
      <c r="BL151" s="97"/>
      <c r="BM151" s="97"/>
      <c r="BN151" s="103"/>
      <c r="BP151" s="102"/>
      <c r="BQ151" s="97"/>
      <c r="BR151" s="97"/>
      <c r="BS151" s="97"/>
      <c r="BT151" s="103"/>
    </row>
    <row r="152" spans="1:72" x14ac:dyDescent="0.25">
      <c r="A152" s="4">
        <v>130</v>
      </c>
      <c r="B152" s="54" t="str">
        <f>IF('Game Info'!Q135="","",'Game Info'!Q135)</f>
        <v/>
      </c>
      <c r="C152" s="54" t="str">
        <f>IF('Game Info'!R135="","",'Game Info'!R135)</f>
        <v/>
      </c>
      <c r="D152" s="54" t="str">
        <f>IF('Game Info'!S135="","",'Game Info'!S135)</f>
        <v/>
      </c>
      <c r="E152" s="54" t="str">
        <f>IF('Game Info'!T135="","",'Game Info'!T135)</f>
        <v/>
      </c>
      <c r="F152" s="55" t="str">
        <f>IF('Game Info'!U135="","",'Game Info'!U135)</f>
        <v/>
      </c>
      <c r="H152" s="102"/>
      <c r="I152" s="97"/>
      <c r="J152" s="97"/>
      <c r="K152" s="97"/>
      <c r="L152" s="103"/>
      <c r="N152" s="102"/>
      <c r="O152" s="97"/>
      <c r="P152" s="97"/>
      <c r="Q152" s="97"/>
      <c r="R152" s="103"/>
      <c r="T152" s="102"/>
      <c r="U152" s="97"/>
      <c r="V152" s="97"/>
      <c r="W152" s="97"/>
      <c r="X152" s="103"/>
      <c r="Z152" s="102"/>
      <c r="AA152" s="97"/>
      <c r="AB152" s="97"/>
      <c r="AC152" s="97"/>
      <c r="AD152" s="103"/>
      <c r="AF152" s="102"/>
      <c r="AG152" s="97"/>
      <c r="AH152" s="97"/>
      <c r="AI152" s="97"/>
      <c r="AJ152" s="103"/>
      <c r="AL152" s="102"/>
      <c r="AM152" s="97"/>
      <c r="AN152" s="97"/>
      <c r="AO152" s="97"/>
      <c r="AP152" s="103"/>
      <c r="AR152" s="102"/>
      <c r="AS152" s="97"/>
      <c r="AT152" s="97"/>
      <c r="AU152" s="97"/>
      <c r="AV152" s="103"/>
      <c r="AX152" s="102"/>
      <c r="AY152" s="97"/>
      <c r="AZ152" s="97"/>
      <c r="BA152" s="97"/>
      <c r="BB152" s="103"/>
      <c r="BD152" s="102"/>
      <c r="BE152" s="97"/>
      <c r="BF152" s="97"/>
      <c r="BG152" s="97"/>
      <c r="BH152" s="103"/>
      <c r="BJ152" s="102"/>
      <c r="BK152" s="97"/>
      <c r="BL152" s="97"/>
      <c r="BM152" s="97"/>
      <c r="BN152" s="103"/>
      <c r="BP152" s="102"/>
      <c r="BQ152" s="97"/>
      <c r="BR152" s="97"/>
      <c r="BS152" s="97"/>
      <c r="BT152" s="103"/>
    </row>
    <row r="153" spans="1:72" x14ac:dyDescent="0.25">
      <c r="A153" s="4">
        <v>131</v>
      </c>
      <c r="B153" s="54" t="str">
        <f>IF('Game Info'!Q136="","",'Game Info'!Q136)</f>
        <v/>
      </c>
      <c r="C153" s="54" t="str">
        <f>IF('Game Info'!R136="","",'Game Info'!R136)</f>
        <v/>
      </c>
      <c r="D153" s="54" t="str">
        <f>IF('Game Info'!S136="","",'Game Info'!S136)</f>
        <v/>
      </c>
      <c r="E153" s="54" t="str">
        <f>IF('Game Info'!T136="","",'Game Info'!T136)</f>
        <v/>
      </c>
      <c r="F153" s="55" t="str">
        <f>IF('Game Info'!U136="","",'Game Info'!U136)</f>
        <v/>
      </c>
      <c r="H153" s="102"/>
      <c r="I153" s="97"/>
      <c r="J153" s="97"/>
      <c r="K153" s="97"/>
      <c r="L153" s="103"/>
      <c r="N153" s="102"/>
      <c r="O153" s="97"/>
      <c r="P153" s="97"/>
      <c r="Q153" s="97"/>
      <c r="R153" s="103"/>
      <c r="T153" s="102"/>
      <c r="U153" s="97"/>
      <c r="V153" s="97"/>
      <c r="W153" s="97"/>
      <c r="X153" s="103"/>
      <c r="Z153" s="102"/>
      <c r="AA153" s="97"/>
      <c r="AB153" s="97"/>
      <c r="AC153" s="97"/>
      <c r="AD153" s="103"/>
      <c r="AF153" s="102"/>
      <c r="AG153" s="97"/>
      <c r="AH153" s="97"/>
      <c r="AI153" s="97"/>
      <c r="AJ153" s="103"/>
      <c r="AL153" s="102"/>
      <c r="AM153" s="97"/>
      <c r="AN153" s="97"/>
      <c r="AO153" s="97"/>
      <c r="AP153" s="103"/>
      <c r="AR153" s="102"/>
      <c r="AS153" s="97"/>
      <c r="AT153" s="97"/>
      <c r="AU153" s="97"/>
      <c r="AV153" s="103"/>
      <c r="AX153" s="102"/>
      <c r="AY153" s="97"/>
      <c r="AZ153" s="97"/>
      <c r="BA153" s="97"/>
      <c r="BB153" s="103"/>
      <c r="BD153" s="102"/>
      <c r="BE153" s="97"/>
      <c r="BF153" s="97"/>
      <c r="BG153" s="97"/>
      <c r="BH153" s="103"/>
      <c r="BJ153" s="102"/>
      <c r="BK153" s="97"/>
      <c r="BL153" s="97"/>
      <c r="BM153" s="97"/>
      <c r="BN153" s="103"/>
      <c r="BP153" s="102"/>
      <c r="BQ153" s="97"/>
      <c r="BR153" s="97"/>
      <c r="BS153" s="97"/>
      <c r="BT153" s="103"/>
    </row>
    <row r="154" spans="1:72" x14ac:dyDescent="0.25">
      <c r="A154" s="4">
        <v>132</v>
      </c>
      <c r="B154" s="54" t="str">
        <f>IF('Game Info'!Q137="","",'Game Info'!Q137)</f>
        <v/>
      </c>
      <c r="C154" s="54" t="str">
        <f>IF('Game Info'!R137="","",'Game Info'!R137)</f>
        <v/>
      </c>
      <c r="D154" s="54" t="str">
        <f>IF('Game Info'!S137="","",'Game Info'!S137)</f>
        <v/>
      </c>
      <c r="E154" s="54" t="str">
        <f>IF('Game Info'!T137="","",'Game Info'!T137)</f>
        <v/>
      </c>
      <c r="F154" s="55" t="str">
        <f>IF('Game Info'!U137="","",'Game Info'!U137)</f>
        <v/>
      </c>
      <c r="H154" s="102"/>
      <c r="I154" s="97"/>
      <c r="J154" s="97"/>
      <c r="K154" s="97"/>
      <c r="L154" s="103"/>
      <c r="N154" s="102"/>
      <c r="O154" s="97"/>
      <c r="P154" s="97"/>
      <c r="Q154" s="97"/>
      <c r="R154" s="103"/>
      <c r="T154" s="102"/>
      <c r="U154" s="97"/>
      <c r="V154" s="97"/>
      <c r="W154" s="97"/>
      <c r="X154" s="103"/>
      <c r="Z154" s="102"/>
      <c r="AA154" s="97"/>
      <c r="AB154" s="97"/>
      <c r="AC154" s="97"/>
      <c r="AD154" s="103"/>
      <c r="AF154" s="102"/>
      <c r="AG154" s="97"/>
      <c r="AH154" s="97"/>
      <c r="AI154" s="97"/>
      <c r="AJ154" s="103"/>
      <c r="AL154" s="102"/>
      <c r="AM154" s="97"/>
      <c r="AN154" s="97"/>
      <c r="AO154" s="97"/>
      <c r="AP154" s="103"/>
      <c r="AR154" s="102"/>
      <c r="AS154" s="97"/>
      <c r="AT154" s="97"/>
      <c r="AU154" s="97"/>
      <c r="AV154" s="103"/>
      <c r="AX154" s="102"/>
      <c r="AY154" s="97"/>
      <c r="AZ154" s="97"/>
      <c r="BA154" s="97"/>
      <c r="BB154" s="103"/>
      <c r="BD154" s="102"/>
      <c r="BE154" s="97"/>
      <c r="BF154" s="97"/>
      <c r="BG154" s="97"/>
      <c r="BH154" s="103"/>
      <c r="BJ154" s="102"/>
      <c r="BK154" s="97"/>
      <c r="BL154" s="97"/>
      <c r="BM154" s="97"/>
      <c r="BN154" s="103"/>
      <c r="BP154" s="102"/>
      <c r="BQ154" s="97"/>
      <c r="BR154" s="97"/>
      <c r="BS154" s="97"/>
      <c r="BT154" s="103"/>
    </row>
    <row r="155" spans="1:72" x14ac:dyDescent="0.25">
      <c r="A155" s="4">
        <v>133</v>
      </c>
      <c r="B155" s="54" t="str">
        <f>IF('Game Info'!Q138="","",'Game Info'!Q138)</f>
        <v/>
      </c>
      <c r="C155" s="54" t="str">
        <f>IF('Game Info'!R138="","",'Game Info'!R138)</f>
        <v/>
      </c>
      <c r="D155" s="54" t="str">
        <f>IF('Game Info'!S138="","",'Game Info'!S138)</f>
        <v/>
      </c>
      <c r="E155" s="54" t="str">
        <f>IF('Game Info'!T138="","",'Game Info'!T138)</f>
        <v/>
      </c>
      <c r="F155" s="55" t="str">
        <f>IF('Game Info'!U138="","",'Game Info'!U138)</f>
        <v/>
      </c>
      <c r="H155" s="102"/>
      <c r="I155" s="97"/>
      <c r="J155" s="97"/>
      <c r="K155" s="97"/>
      <c r="L155" s="103"/>
      <c r="N155" s="102"/>
      <c r="O155" s="97"/>
      <c r="P155" s="97"/>
      <c r="Q155" s="97"/>
      <c r="R155" s="103"/>
      <c r="T155" s="102"/>
      <c r="U155" s="97"/>
      <c r="V155" s="97"/>
      <c r="W155" s="97"/>
      <c r="X155" s="103"/>
      <c r="Z155" s="102"/>
      <c r="AA155" s="97"/>
      <c r="AB155" s="97"/>
      <c r="AC155" s="97"/>
      <c r="AD155" s="103"/>
      <c r="AF155" s="102"/>
      <c r="AG155" s="97"/>
      <c r="AH155" s="97"/>
      <c r="AI155" s="97"/>
      <c r="AJ155" s="103"/>
      <c r="AL155" s="102"/>
      <c r="AM155" s="97"/>
      <c r="AN155" s="97"/>
      <c r="AO155" s="97"/>
      <c r="AP155" s="103"/>
      <c r="AR155" s="102"/>
      <c r="AS155" s="97"/>
      <c r="AT155" s="97"/>
      <c r="AU155" s="97"/>
      <c r="AV155" s="103"/>
      <c r="AX155" s="102"/>
      <c r="AY155" s="97"/>
      <c r="AZ155" s="97"/>
      <c r="BA155" s="97"/>
      <c r="BB155" s="103"/>
      <c r="BD155" s="102"/>
      <c r="BE155" s="97"/>
      <c r="BF155" s="97"/>
      <c r="BG155" s="97"/>
      <c r="BH155" s="103"/>
      <c r="BJ155" s="102"/>
      <c r="BK155" s="97"/>
      <c r="BL155" s="97"/>
      <c r="BM155" s="97"/>
      <c r="BN155" s="103"/>
      <c r="BP155" s="102"/>
      <c r="BQ155" s="97"/>
      <c r="BR155" s="97"/>
      <c r="BS155" s="97"/>
      <c r="BT155" s="103"/>
    </row>
    <row r="156" spans="1:72" x14ac:dyDescent="0.25">
      <c r="A156" s="4">
        <v>134</v>
      </c>
      <c r="B156" s="54" t="str">
        <f>IF('Game Info'!Q139="","",'Game Info'!Q139)</f>
        <v/>
      </c>
      <c r="C156" s="54" t="str">
        <f>IF('Game Info'!R139="","",'Game Info'!R139)</f>
        <v/>
      </c>
      <c r="D156" s="54" t="str">
        <f>IF('Game Info'!S139="","",'Game Info'!S139)</f>
        <v/>
      </c>
      <c r="E156" s="54" t="str">
        <f>IF('Game Info'!T139="","",'Game Info'!T139)</f>
        <v/>
      </c>
      <c r="F156" s="55" t="str">
        <f>IF('Game Info'!U139="","",'Game Info'!U139)</f>
        <v/>
      </c>
      <c r="H156" s="102"/>
      <c r="I156" s="97"/>
      <c r="J156" s="97"/>
      <c r="K156" s="97"/>
      <c r="L156" s="103"/>
      <c r="N156" s="102"/>
      <c r="O156" s="97"/>
      <c r="P156" s="97"/>
      <c r="Q156" s="97"/>
      <c r="R156" s="103"/>
      <c r="T156" s="102"/>
      <c r="U156" s="97"/>
      <c r="V156" s="97"/>
      <c r="W156" s="97"/>
      <c r="X156" s="103"/>
      <c r="Z156" s="102"/>
      <c r="AA156" s="97"/>
      <c r="AB156" s="97"/>
      <c r="AC156" s="97"/>
      <c r="AD156" s="103"/>
      <c r="AF156" s="102"/>
      <c r="AG156" s="97"/>
      <c r="AH156" s="97"/>
      <c r="AI156" s="97"/>
      <c r="AJ156" s="103"/>
      <c r="AL156" s="102"/>
      <c r="AM156" s="97"/>
      <c r="AN156" s="97"/>
      <c r="AO156" s="97"/>
      <c r="AP156" s="103"/>
      <c r="AR156" s="102"/>
      <c r="AS156" s="97"/>
      <c r="AT156" s="97"/>
      <c r="AU156" s="97"/>
      <c r="AV156" s="103"/>
      <c r="AX156" s="102"/>
      <c r="AY156" s="97"/>
      <c r="AZ156" s="97"/>
      <c r="BA156" s="97"/>
      <c r="BB156" s="103"/>
      <c r="BD156" s="102"/>
      <c r="BE156" s="97"/>
      <c r="BF156" s="97"/>
      <c r="BG156" s="97"/>
      <c r="BH156" s="103"/>
      <c r="BJ156" s="102"/>
      <c r="BK156" s="97"/>
      <c r="BL156" s="97"/>
      <c r="BM156" s="97"/>
      <c r="BN156" s="103"/>
      <c r="BP156" s="102"/>
      <c r="BQ156" s="97"/>
      <c r="BR156" s="97"/>
      <c r="BS156" s="97"/>
      <c r="BT156" s="103"/>
    </row>
    <row r="157" spans="1:72" x14ac:dyDescent="0.25">
      <c r="A157" s="4">
        <v>135</v>
      </c>
      <c r="B157" s="54" t="str">
        <f>IF('Game Info'!Q140="","",'Game Info'!Q140)</f>
        <v/>
      </c>
      <c r="C157" s="54" t="str">
        <f>IF('Game Info'!R140="","",'Game Info'!R140)</f>
        <v/>
      </c>
      <c r="D157" s="54" t="str">
        <f>IF('Game Info'!S140="","",'Game Info'!S140)</f>
        <v/>
      </c>
      <c r="E157" s="54" t="str">
        <f>IF('Game Info'!T140="","",'Game Info'!T140)</f>
        <v/>
      </c>
      <c r="F157" s="55" t="str">
        <f>IF('Game Info'!U140="","",'Game Info'!U140)</f>
        <v/>
      </c>
      <c r="H157" s="102"/>
      <c r="I157" s="97"/>
      <c r="J157" s="97"/>
      <c r="K157" s="97"/>
      <c r="L157" s="103"/>
      <c r="N157" s="102"/>
      <c r="O157" s="97"/>
      <c r="P157" s="97"/>
      <c r="Q157" s="97"/>
      <c r="R157" s="103"/>
      <c r="T157" s="102"/>
      <c r="U157" s="97"/>
      <c r="V157" s="97"/>
      <c r="W157" s="97"/>
      <c r="X157" s="103"/>
      <c r="Z157" s="102"/>
      <c r="AA157" s="97"/>
      <c r="AB157" s="97"/>
      <c r="AC157" s="97"/>
      <c r="AD157" s="103"/>
      <c r="AF157" s="102"/>
      <c r="AG157" s="97"/>
      <c r="AH157" s="97"/>
      <c r="AI157" s="97"/>
      <c r="AJ157" s="103"/>
      <c r="AL157" s="102"/>
      <c r="AM157" s="97"/>
      <c r="AN157" s="97"/>
      <c r="AO157" s="97"/>
      <c r="AP157" s="103"/>
      <c r="AR157" s="102"/>
      <c r="AS157" s="97"/>
      <c r="AT157" s="97"/>
      <c r="AU157" s="97"/>
      <c r="AV157" s="103"/>
      <c r="AX157" s="102"/>
      <c r="AY157" s="97"/>
      <c r="AZ157" s="97"/>
      <c r="BA157" s="97"/>
      <c r="BB157" s="103"/>
      <c r="BD157" s="102"/>
      <c r="BE157" s="97"/>
      <c r="BF157" s="97"/>
      <c r="BG157" s="97"/>
      <c r="BH157" s="103"/>
      <c r="BJ157" s="102"/>
      <c r="BK157" s="97"/>
      <c r="BL157" s="97"/>
      <c r="BM157" s="97"/>
      <c r="BN157" s="103"/>
      <c r="BP157" s="102"/>
      <c r="BQ157" s="97"/>
      <c r="BR157" s="97"/>
      <c r="BS157" s="97"/>
      <c r="BT157" s="103"/>
    </row>
    <row r="158" spans="1:72" x14ac:dyDescent="0.25">
      <c r="A158" s="4">
        <v>136</v>
      </c>
      <c r="B158" s="54" t="str">
        <f>IF('Game Info'!Q141="","",'Game Info'!Q141)</f>
        <v/>
      </c>
      <c r="C158" s="54" t="str">
        <f>IF('Game Info'!R141="","",'Game Info'!R141)</f>
        <v/>
      </c>
      <c r="D158" s="54" t="str">
        <f>IF('Game Info'!S141="","",'Game Info'!S141)</f>
        <v/>
      </c>
      <c r="E158" s="54" t="str">
        <f>IF('Game Info'!T141="","",'Game Info'!T141)</f>
        <v/>
      </c>
      <c r="F158" s="55" t="str">
        <f>IF('Game Info'!U141="","",'Game Info'!U141)</f>
        <v/>
      </c>
      <c r="H158" s="102"/>
      <c r="I158" s="97"/>
      <c r="J158" s="97"/>
      <c r="K158" s="97"/>
      <c r="L158" s="103"/>
      <c r="N158" s="102"/>
      <c r="O158" s="97"/>
      <c r="P158" s="97"/>
      <c r="Q158" s="97"/>
      <c r="R158" s="103"/>
      <c r="T158" s="102"/>
      <c r="U158" s="97"/>
      <c r="V158" s="97"/>
      <c r="W158" s="97"/>
      <c r="X158" s="103"/>
      <c r="Z158" s="102"/>
      <c r="AA158" s="97"/>
      <c r="AB158" s="97"/>
      <c r="AC158" s="97"/>
      <c r="AD158" s="103"/>
      <c r="AF158" s="102"/>
      <c r="AG158" s="97"/>
      <c r="AH158" s="97"/>
      <c r="AI158" s="97"/>
      <c r="AJ158" s="103"/>
      <c r="AL158" s="102"/>
      <c r="AM158" s="97"/>
      <c r="AN158" s="97"/>
      <c r="AO158" s="97"/>
      <c r="AP158" s="103"/>
      <c r="AR158" s="102"/>
      <c r="AS158" s="97"/>
      <c r="AT158" s="97"/>
      <c r="AU158" s="97"/>
      <c r="AV158" s="103"/>
      <c r="AX158" s="102"/>
      <c r="AY158" s="97"/>
      <c r="AZ158" s="97"/>
      <c r="BA158" s="97"/>
      <c r="BB158" s="103"/>
      <c r="BD158" s="102"/>
      <c r="BE158" s="97"/>
      <c r="BF158" s="97"/>
      <c r="BG158" s="97"/>
      <c r="BH158" s="103"/>
      <c r="BJ158" s="102"/>
      <c r="BK158" s="97"/>
      <c r="BL158" s="97"/>
      <c r="BM158" s="97"/>
      <c r="BN158" s="103"/>
      <c r="BP158" s="102"/>
      <c r="BQ158" s="97"/>
      <c r="BR158" s="97"/>
      <c r="BS158" s="97"/>
      <c r="BT158" s="103"/>
    </row>
    <row r="159" spans="1:72" x14ac:dyDescent="0.25">
      <c r="A159" s="4">
        <v>137</v>
      </c>
      <c r="B159" s="54" t="str">
        <f>IF('Game Info'!Q142="","",'Game Info'!Q142)</f>
        <v/>
      </c>
      <c r="C159" s="54" t="str">
        <f>IF('Game Info'!R142="","",'Game Info'!R142)</f>
        <v/>
      </c>
      <c r="D159" s="54" t="str">
        <f>IF('Game Info'!S142="","",'Game Info'!S142)</f>
        <v/>
      </c>
      <c r="E159" s="54" t="str">
        <f>IF('Game Info'!T142="","",'Game Info'!T142)</f>
        <v/>
      </c>
      <c r="F159" s="55" t="str">
        <f>IF('Game Info'!U142="","",'Game Info'!U142)</f>
        <v/>
      </c>
      <c r="H159" s="102"/>
      <c r="I159" s="97"/>
      <c r="J159" s="97"/>
      <c r="K159" s="97"/>
      <c r="L159" s="103"/>
      <c r="N159" s="102"/>
      <c r="O159" s="97"/>
      <c r="P159" s="97"/>
      <c r="Q159" s="97"/>
      <c r="R159" s="103"/>
      <c r="T159" s="102"/>
      <c r="U159" s="97"/>
      <c r="V159" s="97"/>
      <c r="W159" s="97"/>
      <c r="X159" s="103"/>
      <c r="Z159" s="102"/>
      <c r="AA159" s="97"/>
      <c r="AB159" s="97"/>
      <c r="AC159" s="97"/>
      <c r="AD159" s="103"/>
      <c r="AF159" s="102"/>
      <c r="AG159" s="97"/>
      <c r="AH159" s="97"/>
      <c r="AI159" s="97"/>
      <c r="AJ159" s="103"/>
      <c r="AL159" s="102"/>
      <c r="AM159" s="97"/>
      <c r="AN159" s="97"/>
      <c r="AO159" s="97"/>
      <c r="AP159" s="103"/>
      <c r="AR159" s="102"/>
      <c r="AS159" s="97"/>
      <c r="AT159" s="97"/>
      <c r="AU159" s="97"/>
      <c r="AV159" s="103"/>
      <c r="AX159" s="102"/>
      <c r="AY159" s="97"/>
      <c r="AZ159" s="97"/>
      <c r="BA159" s="97"/>
      <c r="BB159" s="103"/>
      <c r="BD159" s="102"/>
      <c r="BE159" s="97"/>
      <c r="BF159" s="97"/>
      <c r="BG159" s="97"/>
      <c r="BH159" s="103"/>
      <c r="BJ159" s="102"/>
      <c r="BK159" s="97"/>
      <c r="BL159" s="97"/>
      <c r="BM159" s="97"/>
      <c r="BN159" s="103"/>
      <c r="BP159" s="102"/>
      <c r="BQ159" s="97"/>
      <c r="BR159" s="97"/>
      <c r="BS159" s="97"/>
      <c r="BT159" s="103"/>
    </row>
    <row r="160" spans="1:72" x14ac:dyDescent="0.25">
      <c r="A160" s="4">
        <v>138</v>
      </c>
      <c r="B160" s="54" t="str">
        <f>IF('Game Info'!Q143="","",'Game Info'!Q143)</f>
        <v/>
      </c>
      <c r="C160" s="54" t="str">
        <f>IF('Game Info'!R143="","",'Game Info'!R143)</f>
        <v/>
      </c>
      <c r="D160" s="54" t="str">
        <f>IF('Game Info'!S143="","",'Game Info'!S143)</f>
        <v/>
      </c>
      <c r="E160" s="54" t="str">
        <f>IF('Game Info'!T143="","",'Game Info'!T143)</f>
        <v/>
      </c>
      <c r="F160" s="55" t="str">
        <f>IF('Game Info'!U143="","",'Game Info'!U143)</f>
        <v/>
      </c>
      <c r="H160" s="102"/>
      <c r="I160" s="97"/>
      <c r="J160" s="97"/>
      <c r="K160" s="97"/>
      <c r="L160" s="103"/>
      <c r="N160" s="102"/>
      <c r="O160" s="97"/>
      <c r="P160" s="97"/>
      <c r="Q160" s="97"/>
      <c r="R160" s="103"/>
      <c r="T160" s="102"/>
      <c r="U160" s="97"/>
      <c r="V160" s="97"/>
      <c r="W160" s="97"/>
      <c r="X160" s="103"/>
      <c r="Z160" s="102"/>
      <c r="AA160" s="97"/>
      <c r="AB160" s="97"/>
      <c r="AC160" s="97"/>
      <c r="AD160" s="103"/>
      <c r="AF160" s="102"/>
      <c r="AG160" s="97"/>
      <c r="AH160" s="97"/>
      <c r="AI160" s="97"/>
      <c r="AJ160" s="103"/>
      <c r="AL160" s="102"/>
      <c r="AM160" s="97"/>
      <c r="AN160" s="97"/>
      <c r="AO160" s="97"/>
      <c r="AP160" s="103"/>
      <c r="AR160" s="102"/>
      <c r="AS160" s="97"/>
      <c r="AT160" s="97"/>
      <c r="AU160" s="97"/>
      <c r="AV160" s="103"/>
      <c r="AX160" s="102"/>
      <c r="AY160" s="97"/>
      <c r="AZ160" s="97"/>
      <c r="BA160" s="97"/>
      <c r="BB160" s="103"/>
      <c r="BD160" s="102"/>
      <c r="BE160" s="97"/>
      <c r="BF160" s="97"/>
      <c r="BG160" s="97"/>
      <c r="BH160" s="103"/>
      <c r="BJ160" s="102"/>
      <c r="BK160" s="97"/>
      <c r="BL160" s="97"/>
      <c r="BM160" s="97"/>
      <c r="BN160" s="103"/>
      <c r="BP160" s="102"/>
      <c r="BQ160" s="97"/>
      <c r="BR160" s="97"/>
      <c r="BS160" s="97"/>
      <c r="BT160" s="103"/>
    </row>
    <row r="161" spans="1:72" x14ac:dyDescent="0.25">
      <c r="A161" s="4">
        <v>139</v>
      </c>
      <c r="B161" s="54" t="str">
        <f>IF('Game Info'!Q144="","",'Game Info'!Q144)</f>
        <v/>
      </c>
      <c r="C161" s="54" t="str">
        <f>IF('Game Info'!R144="","",'Game Info'!R144)</f>
        <v/>
      </c>
      <c r="D161" s="54" t="str">
        <f>IF('Game Info'!S144="","",'Game Info'!S144)</f>
        <v/>
      </c>
      <c r="E161" s="54" t="str">
        <f>IF('Game Info'!T144="","",'Game Info'!T144)</f>
        <v/>
      </c>
      <c r="F161" s="55" t="str">
        <f>IF('Game Info'!U144="","",'Game Info'!U144)</f>
        <v/>
      </c>
      <c r="H161" s="102"/>
      <c r="I161" s="97"/>
      <c r="J161" s="97"/>
      <c r="K161" s="97"/>
      <c r="L161" s="103"/>
      <c r="N161" s="102"/>
      <c r="O161" s="97"/>
      <c r="P161" s="97"/>
      <c r="Q161" s="97"/>
      <c r="R161" s="103"/>
      <c r="T161" s="102"/>
      <c r="U161" s="97"/>
      <c r="V161" s="97"/>
      <c r="W161" s="97"/>
      <c r="X161" s="103"/>
      <c r="Z161" s="102"/>
      <c r="AA161" s="97"/>
      <c r="AB161" s="97"/>
      <c r="AC161" s="97"/>
      <c r="AD161" s="103"/>
      <c r="AF161" s="102"/>
      <c r="AG161" s="97"/>
      <c r="AH161" s="97"/>
      <c r="AI161" s="97"/>
      <c r="AJ161" s="103"/>
      <c r="AL161" s="102"/>
      <c r="AM161" s="97"/>
      <c r="AN161" s="97"/>
      <c r="AO161" s="97"/>
      <c r="AP161" s="103"/>
      <c r="AR161" s="102"/>
      <c r="AS161" s="97"/>
      <c r="AT161" s="97"/>
      <c r="AU161" s="97"/>
      <c r="AV161" s="103"/>
      <c r="AX161" s="102"/>
      <c r="AY161" s="97"/>
      <c r="AZ161" s="97"/>
      <c r="BA161" s="97"/>
      <c r="BB161" s="103"/>
      <c r="BD161" s="102"/>
      <c r="BE161" s="97"/>
      <c r="BF161" s="97"/>
      <c r="BG161" s="97"/>
      <c r="BH161" s="103"/>
      <c r="BJ161" s="102"/>
      <c r="BK161" s="97"/>
      <c r="BL161" s="97"/>
      <c r="BM161" s="97"/>
      <c r="BN161" s="103"/>
      <c r="BP161" s="102"/>
      <c r="BQ161" s="97"/>
      <c r="BR161" s="97"/>
      <c r="BS161" s="97"/>
      <c r="BT161" s="103"/>
    </row>
    <row r="162" spans="1:72" x14ac:dyDescent="0.25">
      <c r="A162" s="4">
        <v>140</v>
      </c>
      <c r="B162" s="54" t="str">
        <f>IF('Game Info'!Q145="","",'Game Info'!Q145)</f>
        <v/>
      </c>
      <c r="C162" s="54" t="str">
        <f>IF('Game Info'!R145="","",'Game Info'!R145)</f>
        <v/>
      </c>
      <c r="D162" s="54" t="str">
        <f>IF('Game Info'!S145="","",'Game Info'!S145)</f>
        <v/>
      </c>
      <c r="E162" s="54" t="str">
        <f>IF('Game Info'!T145="","",'Game Info'!T145)</f>
        <v/>
      </c>
      <c r="F162" s="55" t="str">
        <f>IF('Game Info'!U145="","",'Game Info'!U145)</f>
        <v/>
      </c>
      <c r="H162" s="102"/>
      <c r="I162" s="97"/>
      <c r="J162" s="97"/>
      <c r="K162" s="97"/>
      <c r="L162" s="103"/>
      <c r="N162" s="102"/>
      <c r="O162" s="97"/>
      <c r="P162" s="97"/>
      <c r="Q162" s="97"/>
      <c r="R162" s="103"/>
      <c r="T162" s="102"/>
      <c r="U162" s="97"/>
      <c r="V162" s="97"/>
      <c r="W162" s="97"/>
      <c r="X162" s="103"/>
      <c r="Z162" s="102"/>
      <c r="AA162" s="97"/>
      <c r="AB162" s="97"/>
      <c r="AC162" s="97"/>
      <c r="AD162" s="103"/>
      <c r="AF162" s="102"/>
      <c r="AG162" s="97"/>
      <c r="AH162" s="97"/>
      <c r="AI162" s="97"/>
      <c r="AJ162" s="103"/>
      <c r="AL162" s="102"/>
      <c r="AM162" s="97"/>
      <c r="AN162" s="97"/>
      <c r="AO162" s="97"/>
      <c r="AP162" s="103"/>
      <c r="AR162" s="102"/>
      <c r="AS162" s="97"/>
      <c r="AT162" s="97"/>
      <c r="AU162" s="97"/>
      <c r="AV162" s="103"/>
      <c r="AX162" s="102"/>
      <c r="AY162" s="97"/>
      <c r="AZ162" s="97"/>
      <c r="BA162" s="97"/>
      <c r="BB162" s="103"/>
      <c r="BD162" s="102"/>
      <c r="BE162" s="97"/>
      <c r="BF162" s="97"/>
      <c r="BG162" s="97"/>
      <c r="BH162" s="103"/>
      <c r="BJ162" s="102"/>
      <c r="BK162" s="97"/>
      <c r="BL162" s="97"/>
      <c r="BM162" s="97"/>
      <c r="BN162" s="103"/>
      <c r="BP162" s="102"/>
      <c r="BQ162" s="97"/>
      <c r="BR162" s="97"/>
      <c r="BS162" s="97"/>
      <c r="BT162" s="103"/>
    </row>
    <row r="163" spans="1:72" x14ac:dyDescent="0.25">
      <c r="A163" s="4">
        <v>141</v>
      </c>
      <c r="B163" s="54" t="str">
        <f>IF('Game Info'!Q146="","",'Game Info'!Q146)</f>
        <v/>
      </c>
      <c r="C163" s="54" t="str">
        <f>IF('Game Info'!R146="","",'Game Info'!R146)</f>
        <v/>
      </c>
      <c r="D163" s="54" t="str">
        <f>IF('Game Info'!S146="","",'Game Info'!S146)</f>
        <v/>
      </c>
      <c r="E163" s="54" t="str">
        <f>IF('Game Info'!T146="","",'Game Info'!T146)</f>
        <v/>
      </c>
      <c r="F163" s="55" t="str">
        <f>IF('Game Info'!U146="","",'Game Info'!U146)</f>
        <v/>
      </c>
      <c r="H163" s="102"/>
      <c r="I163" s="97"/>
      <c r="J163" s="97"/>
      <c r="K163" s="97"/>
      <c r="L163" s="103"/>
      <c r="N163" s="102"/>
      <c r="O163" s="97"/>
      <c r="P163" s="97"/>
      <c r="Q163" s="97"/>
      <c r="R163" s="103"/>
      <c r="T163" s="102"/>
      <c r="U163" s="97"/>
      <c r="V163" s="97"/>
      <c r="W163" s="97"/>
      <c r="X163" s="103"/>
      <c r="Z163" s="102"/>
      <c r="AA163" s="97"/>
      <c r="AB163" s="97"/>
      <c r="AC163" s="97"/>
      <c r="AD163" s="103"/>
      <c r="AF163" s="102"/>
      <c r="AG163" s="97"/>
      <c r="AH163" s="97"/>
      <c r="AI163" s="97"/>
      <c r="AJ163" s="103"/>
      <c r="AL163" s="102"/>
      <c r="AM163" s="97"/>
      <c r="AN163" s="97"/>
      <c r="AO163" s="97"/>
      <c r="AP163" s="103"/>
      <c r="AR163" s="102"/>
      <c r="AS163" s="97"/>
      <c r="AT163" s="97"/>
      <c r="AU163" s="97"/>
      <c r="AV163" s="103"/>
      <c r="AX163" s="102"/>
      <c r="AY163" s="97"/>
      <c r="AZ163" s="97"/>
      <c r="BA163" s="97"/>
      <c r="BB163" s="103"/>
      <c r="BD163" s="102"/>
      <c r="BE163" s="97"/>
      <c r="BF163" s="97"/>
      <c r="BG163" s="97"/>
      <c r="BH163" s="103"/>
      <c r="BJ163" s="102"/>
      <c r="BK163" s="97"/>
      <c r="BL163" s="97"/>
      <c r="BM163" s="97"/>
      <c r="BN163" s="103"/>
      <c r="BP163" s="102"/>
      <c r="BQ163" s="97"/>
      <c r="BR163" s="97"/>
      <c r="BS163" s="97"/>
      <c r="BT163" s="103"/>
    </row>
    <row r="164" spans="1:72" x14ac:dyDescent="0.25">
      <c r="A164" s="4">
        <v>142</v>
      </c>
      <c r="B164" s="54" t="str">
        <f>IF('Game Info'!Q147="","",'Game Info'!Q147)</f>
        <v/>
      </c>
      <c r="C164" s="54" t="str">
        <f>IF('Game Info'!R147="","",'Game Info'!R147)</f>
        <v/>
      </c>
      <c r="D164" s="54" t="str">
        <f>IF('Game Info'!S147="","",'Game Info'!S147)</f>
        <v/>
      </c>
      <c r="E164" s="54" t="str">
        <f>IF('Game Info'!T147="","",'Game Info'!T147)</f>
        <v/>
      </c>
      <c r="F164" s="55" t="str">
        <f>IF('Game Info'!U147="","",'Game Info'!U147)</f>
        <v/>
      </c>
      <c r="H164" s="102"/>
      <c r="I164" s="97"/>
      <c r="J164" s="97"/>
      <c r="K164" s="97"/>
      <c r="L164" s="103"/>
      <c r="N164" s="102"/>
      <c r="O164" s="97"/>
      <c r="P164" s="97"/>
      <c r="Q164" s="97"/>
      <c r="R164" s="103"/>
      <c r="T164" s="102"/>
      <c r="U164" s="97"/>
      <c r="V164" s="97"/>
      <c r="W164" s="97"/>
      <c r="X164" s="103"/>
      <c r="Z164" s="102"/>
      <c r="AA164" s="97"/>
      <c r="AB164" s="97"/>
      <c r="AC164" s="97"/>
      <c r="AD164" s="103"/>
      <c r="AF164" s="102"/>
      <c r="AG164" s="97"/>
      <c r="AH164" s="97"/>
      <c r="AI164" s="97"/>
      <c r="AJ164" s="103"/>
      <c r="AL164" s="102"/>
      <c r="AM164" s="97"/>
      <c r="AN164" s="97"/>
      <c r="AO164" s="97"/>
      <c r="AP164" s="103"/>
      <c r="AR164" s="102"/>
      <c r="AS164" s="97"/>
      <c r="AT164" s="97"/>
      <c r="AU164" s="97"/>
      <c r="AV164" s="103"/>
      <c r="AX164" s="102"/>
      <c r="AY164" s="97"/>
      <c r="AZ164" s="97"/>
      <c r="BA164" s="97"/>
      <c r="BB164" s="103"/>
      <c r="BD164" s="102"/>
      <c r="BE164" s="97"/>
      <c r="BF164" s="97"/>
      <c r="BG164" s="97"/>
      <c r="BH164" s="103"/>
      <c r="BJ164" s="102"/>
      <c r="BK164" s="97"/>
      <c r="BL164" s="97"/>
      <c r="BM164" s="97"/>
      <c r="BN164" s="103"/>
      <c r="BP164" s="102"/>
      <c r="BQ164" s="97"/>
      <c r="BR164" s="97"/>
      <c r="BS164" s="97"/>
      <c r="BT164" s="103"/>
    </row>
    <row r="165" spans="1:72" x14ac:dyDescent="0.25">
      <c r="A165" s="4">
        <v>143</v>
      </c>
      <c r="B165" s="54" t="str">
        <f>IF('Game Info'!Q148="","",'Game Info'!Q148)</f>
        <v/>
      </c>
      <c r="C165" s="54" t="str">
        <f>IF('Game Info'!R148="","",'Game Info'!R148)</f>
        <v/>
      </c>
      <c r="D165" s="54" t="str">
        <f>IF('Game Info'!S148="","",'Game Info'!S148)</f>
        <v/>
      </c>
      <c r="E165" s="54" t="str">
        <f>IF('Game Info'!T148="","",'Game Info'!T148)</f>
        <v/>
      </c>
      <c r="F165" s="55" t="str">
        <f>IF('Game Info'!U148="","",'Game Info'!U148)</f>
        <v/>
      </c>
      <c r="H165" s="102"/>
      <c r="I165" s="97"/>
      <c r="J165" s="97"/>
      <c r="K165" s="97"/>
      <c r="L165" s="103"/>
      <c r="N165" s="102"/>
      <c r="O165" s="97"/>
      <c r="P165" s="97"/>
      <c r="Q165" s="97"/>
      <c r="R165" s="103"/>
      <c r="T165" s="102"/>
      <c r="U165" s="97"/>
      <c r="V165" s="97"/>
      <c r="W165" s="97"/>
      <c r="X165" s="103"/>
      <c r="Z165" s="102"/>
      <c r="AA165" s="97"/>
      <c r="AB165" s="97"/>
      <c r="AC165" s="97"/>
      <c r="AD165" s="103"/>
      <c r="AF165" s="102"/>
      <c r="AG165" s="97"/>
      <c r="AH165" s="97"/>
      <c r="AI165" s="97"/>
      <c r="AJ165" s="103"/>
      <c r="AL165" s="102"/>
      <c r="AM165" s="97"/>
      <c r="AN165" s="97"/>
      <c r="AO165" s="97"/>
      <c r="AP165" s="103"/>
      <c r="AR165" s="102"/>
      <c r="AS165" s="97"/>
      <c r="AT165" s="97"/>
      <c r="AU165" s="97"/>
      <c r="AV165" s="103"/>
      <c r="AX165" s="102"/>
      <c r="AY165" s="97"/>
      <c r="AZ165" s="97"/>
      <c r="BA165" s="97"/>
      <c r="BB165" s="103"/>
      <c r="BD165" s="102"/>
      <c r="BE165" s="97"/>
      <c r="BF165" s="97"/>
      <c r="BG165" s="97"/>
      <c r="BH165" s="103"/>
      <c r="BJ165" s="102"/>
      <c r="BK165" s="97"/>
      <c r="BL165" s="97"/>
      <c r="BM165" s="97"/>
      <c r="BN165" s="103"/>
      <c r="BP165" s="102"/>
      <c r="BQ165" s="97"/>
      <c r="BR165" s="97"/>
      <c r="BS165" s="97"/>
      <c r="BT165" s="103"/>
    </row>
    <row r="166" spans="1:72" x14ac:dyDescent="0.25">
      <c r="A166" s="4">
        <v>144</v>
      </c>
      <c r="B166" s="54" t="str">
        <f>IF('Game Info'!Q149="","",'Game Info'!Q149)</f>
        <v/>
      </c>
      <c r="C166" s="54" t="str">
        <f>IF('Game Info'!R149="","",'Game Info'!R149)</f>
        <v/>
      </c>
      <c r="D166" s="54" t="str">
        <f>IF('Game Info'!S149="","",'Game Info'!S149)</f>
        <v/>
      </c>
      <c r="E166" s="54" t="str">
        <f>IF('Game Info'!T149="","",'Game Info'!T149)</f>
        <v/>
      </c>
      <c r="F166" s="55" t="str">
        <f>IF('Game Info'!U149="","",'Game Info'!U149)</f>
        <v/>
      </c>
      <c r="H166" s="102"/>
      <c r="I166" s="97"/>
      <c r="J166" s="97"/>
      <c r="K166" s="97"/>
      <c r="L166" s="103"/>
      <c r="N166" s="102"/>
      <c r="O166" s="97"/>
      <c r="P166" s="97"/>
      <c r="Q166" s="97"/>
      <c r="R166" s="103"/>
      <c r="T166" s="102"/>
      <c r="U166" s="97"/>
      <c r="V166" s="97"/>
      <c r="W166" s="97"/>
      <c r="X166" s="103"/>
      <c r="Z166" s="102"/>
      <c r="AA166" s="97"/>
      <c r="AB166" s="97"/>
      <c r="AC166" s="97"/>
      <c r="AD166" s="103"/>
      <c r="AF166" s="102"/>
      <c r="AG166" s="97"/>
      <c r="AH166" s="97"/>
      <c r="AI166" s="97"/>
      <c r="AJ166" s="103"/>
      <c r="AL166" s="102"/>
      <c r="AM166" s="97"/>
      <c r="AN166" s="97"/>
      <c r="AO166" s="97"/>
      <c r="AP166" s="103"/>
      <c r="AR166" s="102"/>
      <c r="AS166" s="97"/>
      <c r="AT166" s="97"/>
      <c r="AU166" s="97"/>
      <c r="AV166" s="103"/>
      <c r="AX166" s="102"/>
      <c r="AY166" s="97"/>
      <c r="AZ166" s="97"/>
      <c r="BA166" s="97"/>
      <c r="BB166" s="103"/>
      <c r="BD166" s="102"/>
      <c r="BE166" s="97"/>
      <c r="BF166" s="97"/>
      <c r="BG166" s="97"/>
      <c r="BH166" s="103"/>
      <c r="BJ166" s="102"/>
      <c r="BK166" s="97"/>
      <c r="BL166" s="97"/>
      <c r="BM166" s="97"/>
      <c r="BN166" s="103"/>
      <c r="BP166" s="102"/>
      <c r="BQ166" s="97"/>
      <c r="BR166" s="97"/>
      <c r="BS166" s="97"/>
      <c r="BT166" s="103"/>
    </row>
    <row r="167" spans="1:72" x14ac:dyDescent="0.25">
      <c r="A167" s="4">
        <v>145</v>
      </c>
      <c r="B167" s="54" t="str">
        <f>IF('Game Info'!Q150="","",'Game Info'!Q150)</f>
        <v/>
      </c>
      <c r="C167" s="54" t="str">
        <f>IF('Game Info'!R150="","",'Game Info'!R150)</f>
        <v/>
      </c>
      <c r="D167" s="54" t="str">
        <f>IF('Game Info'!S150="","",'Game Info'!S150)</f>
        <v/>
      </c>
      <c r="E167" s="54" t="str">
        <f>IF('Game Info'!T150="","",'Game Info'!T150)</f>
        <v/>
      </c>
      <c r="F167" s="55" t="str">
        <f>IF('Game Info'!U150="","",'Game Info'!U150)</f>
        <v/>
      </c>
      <c r="H167" s="102"/>
      <c r="I167" s="97"/>
      <c r="J167" s="97"/>
      <c r="K167" s="97"/>
      <c r="L167" s="103"/>
      <c r="N167" s="102"/>
      <c r="O167" s="97"/>
      <c r="P167" s="97"/>
      <c r="Q167" s="97"/>
      <c r="R167" s="103"/>
      <c r="T167" s="102"/>
      <c r="U167" s="97"/>
      <c r="V167" s="97"/>
      <c r="W167" s="97"/>
      <c r="X167" s="103"/>
      <c r="Z167" s="102"/>
      <c r="AA167" s="97"/>
      <c r="AB167" s="97"/>
      <c r="AC167" s="97"/>
      <c r="AD167" s="103"/>
      <c r="AF167" s="102"/>
      <c r="AG167" s="97"/>
      <c r="AH167" s="97"/>
      <c r="AI167" s="97"/>
      <c r="AJ167" s="103"/>
      <c r="AL167" s="102"/>
      <c r="AM167" s="97"/>
      <c r="AN167" s="97"/>
      <c r="AO167" s="97"/>
      <c r="AP167" s="103"/>
      <c r="AR167" s="102"/>
      <c r="AS167" s="97"/>
      <c r="AT167" s="97"/>
      <c r="AU167" s="97"/>
      <c r="AV167" s="103"/>
      <c r="AX167" s="102"/>
      <c r="AY167" s="97"/>
      <c r="AZ167" s="97"/>
      <c r="BA167" s="97"/>
      <c r="BB167" s="103"/>
      <c r="BD167" s="102"/>
      <c r="BE167" s="97"/>
      <c r="BF167" s="97"/>
      <c r="BG167" s="97"/>
      <c r="BH167" s="103"/>
      <c r="BJ167" s="102"/>
      <c r="BK167" s="97"/>
      <c r="BL167" s="97"/>
      <c r="BM167" s="97"/>
      <c r="BN167" s="103"/>
      <c r="BP167" s="102"/>
      <c r="BQ167" s="97"/>
      <c r="BR167" s="97"/>
      <c r="BS167" s="97"/>
      <c r="BT167" s="103"/>
    </row>
    <row r="168" spans="1:72" x14ac:dyDescent="0.25">
      <c r="A168" s="4">
        <v>146</v>
      </c>
      <c r="B168" s="54" t="str">
        <f>IF('Game Info'!Q151="","",'Game Info'!Q151)</f>
        <v/>
      </c>
      <c r="C168" s="54" t="str">
        <f>IF('Game Info'!R151="","",'Game Info'!R151)</f>
        <v/>
      </c>
      <c r="D168" s="54" t="str">
        <f>IF('Game Info'!S151="","",'Game Info'!S151)</f>
        <v/>
      </c>
      <c r="E168" s="54" t="str">
        <f>IF('Game Info'!T151="","",'Game Info'!T151)</f>
        <v/>
      </c>
      <c r="F168" s="55" t="str">
        <f>IF('Game Info'!U151="","",'Game Info'!U151)</f>
        <v/>
      </c>
      <c r="H168" s="102"/>
      <c r="I168" s="97"/>
      <c r="J168" s="97"/>
      <c r="K168" s="97"/>
      <c r="L168" s="103"/>
      <c r="N168" s="102"/>
      <c r="O168" s="97"/>
      <c r="P168" s="97"/>
      <c r="Q168" s="97"/>
      <c r="R168" s="103"/>
      <c r="T168" s="102"/>
      <c r="U168" s="97"/>
      <c r="V168" s="97"/>
      <c r="W168" s="97"/>
      <c r="X168" s="103"/>
      <c r="Z168" s="102"/>
      <c r="AA168" s="97"/>
      <c r="AB168" s="97"/>
      <c r="AC168" s="97"/>
      <c r="AD168" s="103"/>
      <c r="AF168" s="102"/>
      <c r="AG168" s="97"/>
      <c r="AH168" s="97"/>
      <c r="AI168" s="97"/>
      <c r="AJ168" s="103"/>
      <c r="AL168" s="102"/>
      <c r="AM168" s="97"/>
      <c r="AN168" s="97"/>
      <c r="AO168" s="97"/>
      <c r="AP168" s="103"/>
      <c r="AR168" s="102"/>
      <c r="AS168" s="97"/>
      <c r="AT168" s="97"/>
      <c r="AU168" s="97"/>
      <c r="AV168" s="103"/>
      <c r="AX168" s="102"/>
      <c r="AY168" s="97"/>
      <c r="AZ168" s="97"/>
      <c r="BA168" s="97"/>
      <c r="BB168" s="103"/>
      <c r="BD168" s="102"/>
      <c r="BE168" s="97"/>
      <c r="BF168" s="97"/>
      <c r="BG168" s="97"/>
      <c r="BH168" s="103"/>
      <c r="BJ168" s="102"/>
      <c r="BK168" s="97"/>
      <c r="BL168" s="97"/>
      <c r="BM168" s="97"/>
      <c r="BN168" s="103"/>
      <c r="BP168" s="102"/>
      <c r="BQ168" s="97"/>
      <c r="BR168" s="97"/>
      <c r="BS168" s="97"/>
      <c r="BT168" s="103"/>
    </row>
    <row r="169" spans="1:72" x14ac:dyDescent="0.25">
      <c r="A169" s="4">
        <v>147</v>
      </c>
      <c r="B169" s="54" t="str">
        <f>IF('Game Info'!Q152="","",'Game Info'!Q152)</f>
        <v/>
      </c>
      <c r="C169" s="54" t="str">
        <f>IF('Game Info'!R152="","",'Game Info'!R152)</f>
        <v/>
      </c>
      <c r="D169" s="54" t="str">
        <f>IF('Game Info'!S152="","",'Game Info'!S152)</f>
        <v/>
      </c>
      <c r="E169" s="54" t="str">
        <f>IF('Game Info'!T152="","",'Game Info'!T152)</f>
        <v/>
      </c>
      <c r="F169" s="55" t="str">
        <f>IF('Game Info'!U152="","",'Game Info'!U152)</f>
        <v/>
      </c>
      <c r="H169" s="102"/>
      <c r="I169" s="97"/>
      <c r="J169" s="97"/>
      <c r="K169" s="97"/>
      <c r="L169" s="103"/>
      <c r="N169" s="102"/>
      <c r="O169" s="97"/>
      <c r="P169" s="97"/>
      <c r="Q169" s="97"/>
      <c r="R169" s="103"/>
      <c r="T169" s="102"/>
      <c r="U169" s="97"/>
      <c r="V169" s="97"/>
      <c r="W169" s="97"/>
      <c r="X169" s="103"/>
      <c r="Z169" s="102"/>
      <c r="AA169" s="97"/>
      <c r="AB169" s="97"/>
      <c r="AC169" s="97"/>
      <c r="AD169" s="103"/>
      <c r="AF169" s="102"/>
      <c r="AG169" s="97"/>
      <c r="AH169" s="97"/>
      <c r="AI169" s="97"/>
      <c r="AJ169" s="103"/>
      <c r="AL169" s="102"/>
      <c r="AM169" s="97"/>
      <c r="AN169" s="97"/>
      <c r="AO169" s="97"/>
      <c r="AP169" s="103"/>
      <c r="AR169" s="102"/>
      <c r="AS169" s="97"/>
      <c r="AT169" s="97"/>
      <c r="AU169" s="97"/>
      <c r="AV169" s="103"/>
      <c r="AX169" s="102"/>
      <c r="AY169" s="97"/>
      <c r="AZ169" s="97"/>
      <c r="BA169" s="97"/>
      <c r="BB169" s="103"/>
      <c r="BD169" s="102"/>
      <c r="BE169" s="97"/>
      <c r="BF169" s="97"/>
      <c r="BG169" s="97"/>
      <c r="BH169" s="103"/>
      <c r="BJ169" s="102"/>
      <c r="BK169" s="97"/>
      <c r="BL169" s="97"/>
      <c r="BM169" s="97"/>
      <c r="BN169" s="103"/>
      <c r="BP169" s="102"/>
      <c r="BQ169" s="97"/>
      <c r="BR169" s="97"/>
      <c r="BS169" s="97"/>
      <c r="BT169" s="103"/>
    </row>
    <row r="170" spans="1:72" x14ac:dyDescent="0.25">
      <c r="A170" s="4">
        <v>148</v>
      </c>
      <c r="B170" s="54" t="str">
        <f>IF('Game Info'!Q153="","",'Game Info'!Q153)</f>
        <v/>
      </c>
      <c r="C170" s="54" t="str">
        <f>IF('Game Info'!R153="","",'Game Info'!R153)</f>
        <v/>
      </c>
      <c r="D170" s="54" t="str">
        <f>IF('Game Info'!S153="","",'Game Info'!S153)</f>
        <v/>
      </c>
      <c r="E170" s="54" t="str">
        <f>IF('Game Info'!T153="","",'Game Info'!T153)</f>
        <v/>
      </c>
      <c r="F170" s="55" t="str">
        <f>IF('Game Info'!U153="","",'Game Info'!U153)</f>
        <v/>
      </c>
      <c r="H170" s="102"/>
      <c r="I170" s="97"/>
      <c r="J170" s="97"/>
      <c r="K170" s="97"/>
      <c r="L170" s="103"/>
      <c r="N170" s="102"/>
      <c r="O170" s="97"/>
      <c r="P170" s="97"/>
      <c r="Q170" s="97"/>
      <c r="R170" s="103"/>
      <c r="T170" s="102"/>
      <c r="U170" s="97"/>
      <c r="V170" s="97"/>
      <c r="W170" s="97"/>
      <c r="X170" s="103"/>
      <c r="Z170" s="102"/>
      <c r="AA170" s="97"/>
      <c r="AB170" s="97"/>
      <c r="AC170" s="97"/>
      <c r="AD170" s="103"/>
      <c r="AF170" s="102"/>
      <c r="AG170" s="97"/>
      <c r="AH170" s="97"/>
      <c r="AI170" s="97"/>
      <c r="AJ170" s="103"/>
      <c r="AL170" s="102"/>
      <c r="AM170" s="97"/>
      <c r="AN170" s="97"/>
      <c r="AO170" s="97"/>
      <c r="AP170" s="103"/>
      <c r="AR170" s="102"/>
      <c r="AS170" s="97"/>
      <c r="AT170" s="97"/>
      <c r="AU170" s="97"/>
      <c r="AV170" s="103"/>
      <c r="AX170" s="102"/>
      <c r="AY170" s="97"/>
      <c r="AZ170" s="97"/>
      <c r="BA170" s="97"/>
      <c r="BB170" s="103"/>
      <c r="BD170" s="102"/>
      <c r="BE170" s="97"/>
      <c r="BF170" s="97"/>
      <c r="BG170" s="97"/>
      <c r="BH170" s="103"/>
      <c r="BJ170" s="102"/>
      <c r="BK170" s="97"/>
      <c r="BL170" s="97"/>
      <c r="BM170" s="97"/>
      <c r="BN170" s="103"/>
      <c r="BP170" s="102"/>
      <c r="BQ170" s="97"/>
      <c r="BR170" s="97"/>
      <c r="BS170" s="97"/>
      <c r="BT170" s="103"/>
    </row>
    <row r="171" spans="1:72" x14ac:dyDescent="0.25">
      <c r="A171" s="4">
        <v>149</v>
      </c>
      <c r="B171" s="56" t="str">
        <f>IF('Game Info'!Q154="","",'Game Info'!Q154)</f>
        <v/>
      </c>
      <c r="C171" s="56" t="str">
        <f>IF('Game Info'!R154="","",'Game Info'!R154)</f>
        <v/>
      </c>
      <c r="D171" s="56" t="str">
        <f>IF('Game Info'!S154="","",'Game Info'!S154)</f>
        <v/>
      </c>
      <c r="E171" s="56" t="str">
        <f>IF('Game Info'!T154="","",'Game Info'!T154)</f>
        <v/>
      </c>
      <c r="F171" s="57" t="str">
        <f>IF('Game Info'!U154="","",'Game Info'!U154)</f>
        <v/>
      </c>
      <c r="H171" s="102"/>
      <c r="I171" s="97"/>
      <c r="J171" s="97"/>
      <c r="K171" s="97"/>
      <c r="L171" s="103"/>
      <c r="N171" s="102"/>
      <c r="O171" s="97"/>
      <c r="P171" s="97"/>
      <c r="Q171" s="97"/>
      <c r="R171" s="103"/>
      <c r="T171" s="102"/>
      <c r="U171" s="97"/>
      <c r="V171" s="97"/>
      <c r="W171" s="97"/>
      <c r="X171" s="103"/>
      <c r="Z171" s="102"/>
      <c r="AA171" s="97"/>
      <c r="AB171" s="97"/>
      <c r="AC171" s="97"/>
      <c r="AD171" s="103"/>
      <c r="AF171" s="102"/>
      <c r="AG171" s="97"/>
      <c r="AH171" s="97"/>
      <c r="AI171" s="97"/>
      <c r="AJ171" s="103"/>
      <c r="AL171" s="102"/>
      <c r="AM171" s="97"/>
      <c r="AN171" s="97"/>
      <c r="AO171" s="97"/>
      <c r="AP171" s="103"/>
      <c r="AR171" s="102"/>
      <c r="AS171" s="97"/>
      <c r="AT171" s="97"/>
      <c r="AU171" s="97"/>
      <c r="AV171" s="103"/>
      <c r="AX171" s="102"/>
      <c r="AY171" s="97"/>
      <c r="AZ171" s="97"/>
      <c r="BA171" s="97"/>
      <c r="BB171" s="103"/>
      <c r="BD171" s="102"/>
      <c r="BE171" s="97"/>
      <c r="BF171" s="97"/>
      <c r="BG171" s="97"/>
      <c r="BH171" s="103"/>
      <c r="BJ171" s="102"/>
      <c r="BK171" s="97"/>
      <c r="BL171" s="97"/>
      <c r="BM171" s="97"/>
      <c r="BN171" s="103"/>
      <c r="BP171" s="102"/>
      <c r="BQ171" s="97"/>
      <c r="BR171" s="97"/>
      <c r="BS171" s="97"/>
      <c r="BT171" s="103"/>
    </row>
    <row r="172" spans="1:72" x14ac:dyDescent="0.25">
      <c r="A172" s="5">
        <v>150</v>
      </c>
      <c r="B172" s="58" t="str">
        <f>IF('Game Info'!Q155="","",'Game Info'!Q155)</f>
        <v/>
      </c>
      <c r="C172" s="58" t="str">
        <f>IF('Game Info'!R155="","",'Game Info'!R155)</f>
        <v/>
      </c>
      <c r="D172" s="58" t="str">
        <f>IF('Game Info'!S155="","",'Game Info'!S155)</f>
        <v/>
      </c>
      <c r="E172" s="58" t="str">
        <f>IF('Game Info'!T155="","",'Game Info'!T155)</f>
        <v/>
      </c>
      <c r="F172" s="76" t="str">
        <f>IF('Game Info'!U155="","",'Game Info'!U155)</f>
        <v/>
      </c>
      <c r="H172" s="104"/>
      <c r="I172" s="98"/>
      <c r="J172" s="98"/>
      <c r="K172" s="98"/>
      <c r="L172" s="105"/>
      <c r="N172" s="104"/>
      <c r="O172" s="98"/>
      <c r="P172" s="98"/>
      <c r="Q172" s="98"/>
      <c r="R172" s="105"/>
      <c r="T172" s="104"/>
      <c r="U172" s="98"/>
      <c r="V172" s="98"/>
      <c r="W172" s="98"/>
      <c r="X172" s="105"/>
      <c r="Z172" s="104"/>
      <c r="AA172" s="98"/>
      <c r="AB172" s="98"/>
      <c r="AC172" s="98"/>
      <c r="AD172" s="105"/>
      <c r="AF172" s="104"/>
      <c r="AG172" s="98"/>
      <c r="AH172" s="98"/>
      <c r="AI172" s="98"/>
      <c r="AJ172" s="105"/>
      <c r="AL172" s="104"/>
      <c r="AM172" s="98"/>
      <c r="AN172" s="98"/>
      <c r="AO172" s="98"/>
      <c r="AP172" s="105"/>
      <c r="AR172" s="104"/>
      <c r="AS172" s="98"/>
      <c r="AT172" s="98"/>
      <c r="AU172" s="98"/>
      <c r="AV172" s="105"/>
      <c r="AX172" s="104"/>
      <c r="AY172" s="98"/>
      <c r="AZ172" s="98"/>
      <c r="BA172" s="98"/>
      <c r="BB172" s="105"/>
      <c r="BD172" s="104"/>
      <c r="BE172" s="98"/>
      <c r="BF172" s="98"/>
      <c r="BG172" s="98"/>
      <c r="BH172" s="105"/>
      <c r="BJ172" s="104"/>
      <c r="BK172" s="98"/>
      <c r="BL172" s="98"/>
      <c r="BM172" s="98"/>
      <c r="BN172" s="105"/>
      <c r="BP172" s="104"/>
      <c r="BQ172" s="98"/>
      <c r="BR172" s="98"/>
      <c r="BS172" s="98"/>
      <c r="BT172" s="105"/>
    </row>
  </sheetData>
  <conditionalFormatting sqref="H21 B16:F22">
    <cfRule type="containsText" dxfId="11" priority="12" operator="containsText" text="MYST">
      <formula>NOT(ISERROR(SEARCH("MYST",B16)))</formula>
    </cfRule>
  </conditionalFormatting>
  <conditionalFormatting sqref="A23:A172 H21 A18:F22">
    <cfRule type="containsText" dxfId="10" priority="11" operator="containsText" text="SCAT">
      <formula>NOT(ISERROR(SEARCH("SCAT",A18)))</formula>
    </cfRule>
  </conditionalFormatting>
  <conditionalFormatting sqref="B2:F2">
    <cfRule type="containsText" dxfId="9" priority="10" operator="containsText" text="MYST">
      <formula>NOT(ISERROR(SEARCH("MYST",B2)))</formula>
    </cfRule>
  </conditionalFormatting>
  <conditionalFormatting sqref="B2:F2">
    <cfRule type="containsText" dxfId="8" priority="9" operator="containsText" text="SCAT">
      <formula>NOT(ISERROR(SEARCH("SCAT",B2)))</formula>
    </cfRule>
  </conditionalFormatting>
  <conditionalFormatting sqref="N21">
    <cfRule type="containsText" dxfId="7" priority="8" operator="containsText" text="MYST">
      <formula>NOT(ISERROR(SEARCH("MYST",N21)))</formula>
    </cfRule>
  </conditionalFormatting>
  <conditionalFormatting sqref="N21">
    <cfRule type="containsText" dxfId="6" priority="7" operator="containsText" text="SCAT">
      <formula>NOT(ISERROR(SEARCH("SCAT",N21)))</formula>
    </cfRule>
  </conditionalFormatting>
  <conditionalFormatting sqref="T21 Z21 AF21 AL21 AR21 AX21 BD21">
    <cfRule type="containsText" dxfId="5" priority="6" operator="containsText" text="MYST">
      <formula>NOT(ISERROR(SEARCH("MYST",T21)))</formula>
    </cfRule>
  </conditionalFormatting>
  <conditionalFormatting sqref="T21 Z21 AF21 AL21 AR21 AX21 BD21">
    <cfRule type="containsText" dxfId="4" priority="5" operator="containsText" text="SCAT">
      <formula>NOT(ISERROR(SEARCH("SCAT",T21)))</formula>
    </cfRule>
  </conditionalFormatting>
  <conditionalFormatting sqref="BJ21">
    <cfRule type="containsText" dxfId="3" priority="4" operator="containsText" text="MYST">
      <formula>NOT(ISERROR(SEARCH("MYST",BJ21)))</formula>
    </cfRule>
  </conditionalFormatting>
  <conditionalFormatting sqref="BJ21">
    <cfRule type="containsText" dxfId="2" priority="3" operator="containsText" text="SCAT">
      <formula>NOT(ISERROR(SEARCH("SCAT",BJ21)))</formula>
    </cfRule>
  </conditionalFormatting>
  <conditionalFormatting sqref="BP21">
    <cfRule type="containsText" dxfId="1" priority="2" operator="containsText" text="MYST">
      <formula>NOT(ISERROR(SEARCH("MYST",BP21)))</formula>
    </cfRule>
  </conditionalFormatting>
  <conditionalFormatting sqref="BP21">
    <cfRule type="containsText" dxfId="0" priority="1" operator="containsText" text="SCAT">
      <formula>NOT(ISERROR(SEARCH("SCAT",BP21)))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Game Info</vt:lpstr>
      <vt:lpstr>BG</vt:lpstr>
      <vt:lpstr>FG</vt:lpstr>
      <vt:lpstr>BG Reels</vt:lpstr>
      <vt:lpstr>FG Reels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2022-06-12T15:58:37Z</dcterms:modified>
</cp:coreProperties>
</file>