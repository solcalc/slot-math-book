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/>
  <xr:revisionPtr revIDLastSave="0" documentId="13_ncr:1_{5826912E-24FC-4C3D-A3A8-1CA69B251E0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kill Game" sheetId="1" r:id="rId1"/>
    <sheet name="Board Game" sheetId="2" r:id="rId2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4" i="1" l="1"/>
  <c r="W15" i="1"/>
  <c r="Q7" i="1"/>
  <c r="Q6" i="1"/>
  <c r="Q8" i="1"/>
  <c r="N8" i="1"/>
  <c r="P8" i="1"/>
  <c r="P6" i="1"/>
  <c r="N6" i="1"/>
  <c r="P7" i="1"/>
  <c r="N7" i="1"/>
  <c r="V15" i="1"/>
  <c r="T15" i="1"/>
  <c r="U15" i="1" s="1"/>
  <c r="W16" i="1"/>
  <c r="V16" i="1"/>
  <c r="P9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6" i="1"/>
  <c r="AP32" i="2"/>
  <c r="O37" i="2"/>
  <c r="O38" i="2"/>
  <c r="O39" i="2"/>
  <c r="O40" i="2"/>
  <c r="O41" i="2"/>
  <c r="O36" i="2"/>
  <c r="P8" i="2"/>
  <c r="Y8" i="2"/>
  <c r="Z8" i="2"/>
  <c r="AA9" i="2" s="1"/>
  <c r="AC8" i="2"/>
  <c r="AD8" i="2"/>
  <c r="AE9" i="2" s="1"/>
  <c r="AF10" i="2" s="1"/>
  <c r="AG11" i="2" s="1"/>
  <c r="AH12" i="2" s="1"/>
  <c r="AI13" i="2" s="1"/>
  <c r="AJ14" i="2" s="1"/>
  <c r="AK15" i="2" s="1"/>
  <c r="AL16" i="2" s="1"/>
  <c r="AM17" i="2" s="1"/>
  <c r="AN18" i="2" s="1"/>
  <c r="AG8" i="2"/>
  <c r="AH9" i="2" s="1"/>
  <c r="AI10" i="2" s="1"/>
  <c r="AJ11" i="2" s="1"/>
  <c r="AK12" i="2" s="1"/>
  <c r="AL13" i="2" s="1"/>
  <c r="AM14" i="2" s="1"/>
  <c r="AN15" i="2" s="1"/>
  <c r="AH8" i="2"/>
  <c r="AI9" i="2" s="1"/>
  <c r="AJ10" i="2" s="1"/>
  <c r="AK11" i="2" s="1"/>
  <c r="AL12" i="2" s="1"/>
  <c r="AM13" i="2" s="1"/>
  <c r="AN14" i="2" s="1"/>
  <c r="AK8" i="2"/>
  <c r="AL8" i="2"/>
  <c r="AM9" i="2" s="1"/>
  <c r="AN10" i="2" s="1"/>
  <c r="P9" i="2"/>
  <c r="Q10" i="2" s="1"/>
  <c r="Q9" i="2"/>
  <c r="R10" i="2" s="1"/>
  <c r="S11" i="2" s="1"/>
  <c r="T12" i="2" s="1"/>
  <c r="U13" i="2" s="1"/>
  <c r="V14" i="2" s="1"/>
  <c r="W15" i="2" s="1"/>
  <c r="X16" i="2" s="1"/>
  <c r="Y17" i="2" s="1"/>
  <c r="Z18" i="2" s="1"/>
  <c r="AA19" i="2" s="1"/>
  <c r="AB20" i="2" s="1"/>
  <c r="AC21" i="2" s="1"/>
  <c r="AD22" i="2" s="1"/>
  <c r="AE23" i="2" s="1"/>
  <c r="AF24" i="2" s="1"/>
  <c r="AG25" i="2" s="1"/>
  <c r="AH26" i="2" s="1"/>
  <c r="AI27" i="2" s="1"/>
  <c r="AJ28" i="2" s="1"/>
  <c r="AK29" i="2" s="1"/>
  <c r="AL30" i="2" s="1"/>
  <c r="AM31" i="2" s="1"/>
  <c r="AN32" i="2" s="1"/>
  <c r="Z9" i="2"/>
  <c r="AA10" i="2" s="1"/>
  <c r="AB11" i="2" s="1"/>
  <c r="AC12" i="2" s="1"/>
  <c r="AD13" i="2" s="1"/>
  <c r="AE14" i="2" s="1"/>
  <c r="AF15" i="2" s="1"/>
  <c r="AG16" i="2" s="1"/>
  <c r="AH17" i="2" s="1"/>
  <c r="AI18" i="2" s="1"/>
  <c r="AJ19" i="2" s="1"/>
  <c r="AK20" i="2" s="1"/>
  <c r="AL21" i="2" s="1"/>
  <c r="AM22" i="2" s="1"/>
  <c r="AN23" i="2" s="1"/>
  <c r="AD9" i="2"/>
  <c r="AL9" i="2"/>
  <c r="P10" i="2"/>
  <c r="Q11" i="2" s="1"/>
  <c r="R12" i="2" s="1"/>
  <c r="S13" i="2" s="1"/>
  <c r="T14" i="2" s="1"/>
  <c r="U15" i="2" s="1"/>
  <c r="V16" i="2" s="1"/>
  <c r="W17" i="2" s="1"/>
  <c r="X18" i="2" s="1"/>
  <c r="Y19" i="2" s="1"/>
  <c r="Z20" i="2" s="1"/>
  <c r="AA21" i="2" s="1"/>
  <c r="AB22" i="2" s="1"/>
  <c r="AC23" i="2" s="1"/>
  <c r="AD24" i="2" s="1"/>
  <c r="AE25" i="2" s="1"/>
  <c r="AF26" i="2" s="1"/>
  <c r="AG27" i="2" s="1"/>
  <c r="AH28" i="2" s="1"/>
  <c r="AI29" i="2" s="1"/>
  <c r="AJ30" i="2" s="1"/>
  <c r="AK31" i="2" s="1"/>
  <c r="AL32" i="2" s="1"/>
  <c r="AB10" i="2"/>
  <c r="AC11" i="2" s="1"/>
  <c r="AD12" i="2" s="1"/>
  <c r="AE13" i="2" s="1"/>
  <c r="AF14" i="2" s="1"/>
  <c r="AG15" i="2" s="1"/>
  <c r="AH16" i="2" s="1"/>
  <c r="AI17" i="2" s="1"/>
  <c r="AJ18" i="2" s="1"/>
  <c r="AK19" i="2" s="1"/>
  <c r="AL20" i="2" s="1"/>
  <c r="AM21" i="2" s="1"/>
  <c r="AN22" i="2" s="1"/>
  <c r="AE10" i="2"/>
  <c r="AF11" i="2" s="1"/>
  <c r="AG12" i="2" s="1"/>
  <c r="AH13" i="2" s="1"/>
  <c r="AI14" i="2" s="1"/>
  <c r="AJ15" i="2" s="1"/>
  <c r="AK16" i="2" s="1"/>
  <c r="AL17" i="2" s="1"/>
  <c r="AM18" i="2" s="1"/>
  <c r="AN19" i="2" s="1"/>
  <c r="AM10" i="2"/>
  <c r="AN11" i="2" s="1"/>
  <c r="P11" i="2"/>
  <c r="Q12" i="2" s="1"/>
  <c r="R11" i="2"/>
  <c r="P12" i="2"/>
  <c r="Q13" i="2" s="1"/>
  <c r="S12" i="2"/>
  <c r="T13" i="2" s="1"/>
  <c r="U14" i="2" s="1"/>
  <c r="V15" i="2" s="1"/>
  <c r="W16" i="2" s="1"/>
  <c r="X17" i="2" s="1"/>
  <c r="Y18" i="2" s="1"/>
  <c r="Z19" i="2" s="1"/>
  <c r="AA20" i="2" s="1"/>
  <c r="AB21" i="2" s="1"/>
  <c r="AC22" i="2" s="1"/>
  <c r="AD23" i="2" s="1"/>
  <c r="AE24" i="2" s="1"/>
  <c r="AF25" i="2" s="1"/>
  <c r="AG26" i="2" s="1"/>
  <c r="AH27" i="2" s="1"/>
  <c r="AI28" i="2" s="1"/>
  <c r="AJ29" i="2" s="1"/>
  <c r="AK30" i="2" s="1"/>
  <c r="AL31" i="2" s="1"/>
  <c r="AM32" i="2" s="1"/>
  <c r="P13" i="2"/>
  <c r="Q14" i="2" s="1"/>
  <c r="R13" i="2"/>
  <c r="S14" i="2" s="1"/>
  <c r="T15" i="2" s="1"/>
  <c r="U16" i="2" s="1"/>
  <c r="V17" i="2" s="1"/>
  <c r="W18" i="2" s="1"/>
  <c r="X19" i="2" s="1"/>
  <c r="Y20" i="2" s="1"/>
  <c r="Z21" i="2" s="1"/>
  <c r="AA22" i="2" s="1"/>
  <c r="AB23" i="2" s="1"/>
  <c r="AC24" i="2" s="1"/>
  <c r="AD25" i="2" s="1"/>
  <c r="AE26" i="2" s="1"/>
  <c r="AF27" i="2" s="1"/>
  <c r="AG28" i="2" s="1"/>
  <c r="AH29" i="2" s="1"/>
  <c r="AI30" i="2" s="1"/>
  <c r="AJ31" i="2" s="1"/>
  <c r="AK32" i="2" s="1"/>
  <c r="P14" i="2"/>
  <c r="R14" i="2"/>
  <c r="S15" i="2" s="1"/>
  <c r="T16" i="2" s="1"/>
  <c r="U17" i="2" s="1"/>
  <c r="V18" i="2" s="1"/>
  <c r="W19" i="2" s="1"/>
  <c r="X20" i="2" s="1"/>
  <c r="Y21" i="2" s="1"/>
  <c r="Z22" i="2" s="1"/>
  <c r="AA23" i="2" s="1"/>
  <c r="AB24" i="2" s="1"/>
  <c r="AC25" i="2" s="1"/>
  <c r="AD26" i="2" s="1"/>
  <c r="AE27" i="2" s="1"/>
  <c r="AF28" i="2" s="1"/>
  <c r="AG29" i="2" s="1"/>
  <c r="AH30" i="2" s="1"/>
  <c r="AI31" i="2" s="1"/>
  <c r="AJ32" i="2" s="1"/>
  <c r="P15" i="2"/>
  <c r="Q16" i="2" s="1"/>
  <c r="R15" i="2"/>
  <c r="S16" i="2" s="1"/>
  <c r="T17" i="2" s="1"/>
  <c r="U18" i="2" s="1"/>
  <c r="V19" i="2" s="1"/>
  <c r="W20" i="2" s="1"/>
  <c r="X21" i="2" s="1"/>
  <c r="Y22" i="2" s="1"/>
  <c r="Z23" i="2" s="1"/>
  <c r="AA24" i="2" s="1"/>
  <c r="AB25" i="2" s="1"/>
  <c r="AC26" i="2" s="1"/>
  <c r="AD27" i="2" s="1"/>
  <c r="AE28" i="2" s="1"/>
  <c r="AF29" i="2" s="1"/>
  <c r="AG30" i="2" s="1"/>
  <c r="AH31" i="2" s="1"/>
  <c r="AI32" i="2" s="1"/>
  <c r="P16" i="2"/>
  <c r="P17" i="2"/>
  <c r="Q18" i="2" s="1"/>
  <c r="R19" i="2" s="1"/>
  <c r="S20" i="2" s="1"/>
  <c r="T21" i="2" s="1"/>
  <c r="U22" i="2" s="1"/>
  <c r="V23" i="2" s="1"/>
  <c r="W24" i="2" s="1"/>
  <c r="X25" i="2" s="1"/>
  <c r="Y26" i="2" s="1"/>
  <c r="Z27" i="2" s="1"/>
  <c r="AA28" i="2" s="1"/>
  <c r="AB29" i="2" s="1"/>
  <c r="AC30" i="2" s="1"/>
  <c r="AD31" i="2" s="1"/>
  <c r="AE32" i="2" s="1"/>
  <c r="Q17" i="2"/>
  <c r="R17" i="2"/>
  <c r="P18" i="2"/>
  <c r="R18" i="2"/>
  <c r="S19" i="2" s="1"/>
  <c r="T20" i="2" s="1"/>
  <c r="U21" i="2" s="1"/>
  <c r="V22" i="2" s="1"/>
  <c r="W23" i="2" s="1"/>
  <c r="X24" i="2" s="1"/>
  <c r="Y25" i="2" s="1"/>
  <c r="Z26" i="2" s="1"/>
  <c r="AA27" i="2" s="1"/>
  <c r="AB28" i="2" s="1"/>
  <c r="AC29" i="2" s="1"/>
  <c r="AD30" i="2" s="1"/>
  <c r="AE31" i="2" s="1"/>
  <c r="AF32" i="2" s="1"/>
  <c r="S18" i="2"/>
  <c r="T19" i="2" s="1"/>
  <c r="U20" i="2" s="1"/>
  <c r="V21" i="2" s="1"/>
  <c r="W22" i="2" s="1"/>
  <c r="X23" i="2" s="1"/>
  <c r="Y24" i="2" s="1"/>
  <c r="Z25" i="2" s="1"/>
  <c r="AA26" i="2" s="1"/>
  <c r="AB27" i="2" s="1"/>
  <c r="AC28" i="2" s="1"/>
  <c r="AD29" i="2" s="1"/>
  <c r="AE30" i="2" s="1"/>
  <c r="AF31" i="2" s="1"/>
  <c r="AG32" i="2" s="1"/>
  <c r="P19" i="2"/>
  <c r="Q20" i="2" s="1"/>
  <c r="R21" i="2" s="1"/>
  <c r="S22" i="2" s="1"/>
  <c r="T23" i="2" s="1"/>
  <c r="U24" i="2" s="1"/>
  <c r="V25" i="2" s="1"/>
  <c r="W26" i="2" s="1"/>
  <c r="X27" i="2" s="1"/>
  <c r="Y28" i="2" s="1"/>
  <c r="Z29" i="2" s="1"/>
  <c r="AA30" i="2" s="1"/>
  <c r="AB31" i="2" s="1"/>
  <c r="AC32" i="2" s="1"/>
  <c r="Q19" i="2"/>
  <c r="R20" i="2" s="1"/>
  <c r="S21" i="2" s="1"/>
  <c r="T22" i="2" s="1"/>
  <c r="U23" i="2" s="1"/>
  <c r="V24" i="2" s="1"/>
  <c r="W25" i="2" s="1"/>
  <c r="X26" i="2" s="1"/>
  <c r="Y27" i="2" s="1"/>
  <c r="Z28" i="2" s="1"/>
  <c r="AA29" i="2" s="1"/>
  <c r="AB30" i="2" s="1"/>
  <c r="AC31" i="2" s="1"/>
  <c r="AD32" i="2" s="1"/>
  <c r="P20" i="2"/>
  <c r="P21" i="2"/>
  <c r="Q22" i="2" s="1"/>
  <c r="R23" i="2" s="1"/>
  <c r="S24" i="2" s="1"/>
  <c r="T25" i="2" s="1"/>
  <c r="U26" i="2" s="1"/>
  <c r="V27" i="2" s="1"/>
  <c r="W28" i="2" s="1"/>
  <c r="X29" i="2" s="1"/>
  <c r="Y30" i="2" s="1"/>
  <c r="Z31" i="2" s="1"/>
  <c r="AA32" i="2" s="1"/>
  <c r="Q21" i="2"/>
  <c r="P22" i="2"/>
  <c r="Q23" i="2" s="1"/>
  <c r="R24" i="2" s="1"/>
  <c r="S25" i="2" s="1"/>
  <c r="T26" i="2" s="1"/>
  <c r="U27" i="2" s="1"/>
  <c r="V28" i="2" s="1"/>
  <c r="W29" i="2" s="1"/>
  <c r="X30" i="2" s="1"/>
  <c r="Y31" i="2" s="1"/>
  <c r="Z32" i="2" s="1"/>
  <c r="R22" i="2"/>
  <c r="S23" i="2" s="1"/>
  <c r="T24" i="2" s="1"/>
  <c r="U25" i="2" s="1"/>
  <c r="V26" i="2" s="1"/>
  <c r="W27" i="2" s="1"/>
  <c r="X28" i="2" s="1"/>
  <c r="Y29" i="2" s="1"/>
  <c r="Z30" i="2" s="1"/>
  <c r="AA31" i="2" s="1"/>
  <c r="AB32" i="2" s="1"/>
  <c r="P23" i="2"/>
  <c r="P24" i="2"/>
  <c r="Q25" i="2" s="1"/>
  <c r="Q24" i="2"/>
  <c r="R25" i="2" s="1"/>
  <c r="S26" i="2" s="1"/>
  <c r="T27" i="2" s="1"/>
  <c r="U28" i="2" s="1"/>
  <c r="V29" i="2" s="1"/>
  <c r="W30" i="2" s="1"/>
  <c r="X31" i="2" s="1"/>
  <c r="Y32" i="2" s="1"/>
  <c r="P25" i="2"/>
  <c r="Q26" i="2" s="1"/>
  <c r="R27" i="2" s="1"/>
  <c r="S28" i="2" s="1"/>
  <c r="T29" i="2" s="1"/>
  <c r="U30" i="2" s="1"/>
  <c r="V31" i="2" s="1"/>
  <c r="W32" i="2" s="1"/>
  <c r="P26" i="2"/>
  <c r="Q27" i="2" s="1"/>
  <c r="R28" i="2" s="1"/>
  <c r="S29" i="2" s="1"/>
  <c r="T30" i="2" s="1"/>
  <c r="U31" i="2" s="1"/>
  <c r="V32" i="2" s="1"/>
  <c r="R26" i="2"/>
  <c r="S27" i="2" s="1"/>
  <c r="T28" i="2" s="1"/>
  <c r="U29" i="2" s="1"/>
  <c r="V30" i="2" s="1"/>
  <c r="W31" i="2" s="1"/>
  <c r="X32" i="2" s="1"/>
  <c r="P27" i="2"/>
  <c r="Q28" i="2" s="1"/>
  <c r="R29" i="2" s="1"/>
  <c r="S30" i="2" s="1"/>
  <c r="T31" i="2" s="1"/>
  <c r="U32" i="2" s="1"/>
  <c r="P28" i="2"/>
  <c r="Q29" i="2" s="1"/>
  <c r="R30" i="2" s="1"/>
  <c r="S31" i="2" s="1"/>
  <c r="T32" i="2" s="1"/>
  <c r="P29" i="2"/>
  <c r="P30" i="2"/>
  <c r="Q31" i="2" s="1"/>
  <c r="P31" i="2"/>
  <c r="P32" i="2"/>
  <c r="Q32" i="2"/>
  <c r="R32" i="2"/>
  <c r="V7" i="2"/>
  <c r="W8" i="2" s="1"/>
  <c r="X9" i="2" s="1"/>
  <c r="Y10" i="2" s="1"/>
  <c r="Z11" i="2" s="1"/>
  <c r="AA12" i="2" s="1"/>
  <c r="AB13" i="2" s="1"/>
  <c r="AC14" i="2" s="1"/>
  <c r="AD15" i="2" s="1"/>
  <c r="AE16" i="2" s="1"/>
  <c r="AF17" i="2" s="1"/>
  <c r="AG18" i="2" s="1"/>
  <c r="AH19" i="2" s="1"/>
  <c r="AI20" i="2" s="1"/>
  <c r="AJ21" i="2" s="1"/>
  <c r="AK22" i="2" s="1"/>
  <c r="AL23" i="2" s="1"/>
  <c r="AM24" i="2" s="1"/>
  <c r="AN25" i="2" s="1"/>
  <c r="W7" i="2"/>
  <c r="X8" i="2" s="1"/>
  <c r="Y9" i="2" s="1"/>
  <c r="Z10" i="2" s="1"/>
  <c r="AA11" i="2" s="1"/>
  <c r="AB12" i="2" s="1"/>
  <c r="AC13" i="2" s="1"/>
  <c r="AD14" i="2" s="1"/>
  <c r="AE15" i="2" s="1"/>
  <c r="AF16" i="2" s="1"/>
  <c r="AG17" i="2" s="1"/>
  <c r="AH18" i="2" s="1"/>
  <c r="AI19" i="2" s="1"/>
  <c r="AJ20" i="2" s="1"/>
  <c r="AK21" i="2" s="1"/>
  <c r="AL22" i="2" s="1"/>
  <c r="AM23" i="2" s="1"/>
  <c r="AN24" i="2" s="1"/>
  <c r="X7" i="2"/>
  <c r="Y7" i="2"/>
  <c r="Z7" i="2"/>
  <c r="AA8" i="2" s="1"/>
  <c r="AB9" i="2" s="1"/>
  <c r="AC10" i="2" s="1"/>
  <c r="AD11" i="2" s="1"/>
  <c r="AE12" i="2" s="1"/>
  <c r="AF13" i="2" s="1"/>
  <c r="AG14" i="2" s="1"/>
  <c r="AH15" i="2" s="1"/>
  <c r="AI16" i="2" s="1"/>
  <c r="AJ17" i="2" s="1"/>
  <c r="AK18" i="2" s="1"/>
  <c r="AL19" i="2" s="1"/>
  <c r="AM20" i="2" s="1"/>
  <c r="AN21" i="2" s="1"/>
  <c r="AA7" i="2"/>
  <c r="AB8" i="2" s="1"/>
  <c r="AC9" i="2" s="1"/>
  <c r="AD10" i="2" s="1"/>
  <c r="AE11" i="2" s="1"/>
  <c r="AF12" i="2" s="1"/>
  <c r="AG13" i="2" s="1"/>
  <c r="AH14" i="2" s="1"/>
  <c r="AI15" i="2" s="1"/>
  <c r="AJ16" i="2" s="1"/>
  <c r="AK17" i="2" s="1"/>
  <c r="AL18" i="2" s="1"/>
  <c r="AM19" i="2" s="1"/>
  <c r="AN20" i="2" s="1"/>
  <c r="AB7" i="2"/>
  <c r="AC7" i="2"/>
  <c r="AD7" i="2"/>
  <c r="AE8" i="2" s="1"/>
  <c r="AF9" i="2" s="1"/>
  <c r="AG10" i="2" s="1"/>
  <c r="AH11" i="2" s="1"/>
  <c r="AI12" i="2" s="1"/>
  <c r="AJ13" i="2" s="1"/>
  <c r="AK14" i="2" s="1"/>
  <c r="AL15" i="2" s="1"/>
  <c r="AM16" i="2" s="1"/>
  <c r="AN17" i="2" s="1"/>
  <c r="AE7" i="2"/>
  <c r="AF8" i="2" s="1"/>
  <c r="AG9" i="2" s="1"/>
  <c r="AH10" i="2" s="1"/>
  <c r="AI11" i="2" s="1"/>
  <c r="AJ12" i="2" s="1"/>
  <c r="AK13" i="2" s="1"/>
  <c r="AL14" i="2" s="1"/>
  <c r="AM15" i="2" s="1"/>
  <c r="AN16" i="2" s="1"/>
  <c r="AF7" i="2"/>
  <c r="AG7" i="2"/>
  <c r="AH7" i="2"/>
  <c r="AI8" i="2" s="1"/>
  <c r="AJ9" i="2" s="1"/>
  <c r="AK10" i="2" s="1"/>
  <c r="AL11" i="2" s="1"/>
  <c r="AM12" i="2" s="1"/>
  <c r="AN13" i="2" s="1"/>
  <c r="AI7" i="2"/>
  <c r="AJ8" i="2" s="1"/>
  <c r="AK9" i="2" s="1"/>
  <c r="AL10" i="2" s="1"/>
  <c r="AM11" i="2" s="1"/>
  <c r="AN12" i="2" s="1"/>
  <c r="AJ7" i="2"/>
  <c r="AK7" i="2"/>
  <c r="AL7" i="2"/>
  <c r="AM8" i="2" s="1"/>
  <c r="AN9" i="2" s="1"/>
  <c r="AM7" i="2"/>
  <c r="AN8" i="2" s="1"/>
  <c r="AN7" i="2"/>
  <c r="J25" i="2"/>
  <c r="O2" i="2" s="1"/>
  <c r="O8" i="1" l="1"/>
  <c r="Q9" i="1"/>
  <c r="O6" i="1"/>
  <c r="S6" i="2"/>
  <c r="T7" i="2" s="1"/>
  <c r="U8" i="2" s="1"/>
  <c r="V9" i="2" s="1"/>
  <c r="W10" i="2" s="1"/>
  <c r="X11" i="2" s="1"/>
  <c r="Y12" i="2" s="1"/>
  <c r="Z13" i="2" s="1"/>
  <c r="AA14" i="2" s="1"/>
  <c r="AB15" i="2" s="1"/>
  <c r="AC16" i="2" s="1"/>
  <c r="AD17" i="2" s="1"/>
  <c r="AE18" i="2" s="1"/>
  <c r="AF19" i="2" s="1"/>
  <c r="AG20" i="2" s="1"/>
  <c r="AH21" i="2" s="1"/>
  <c r="AI22" i="2" s="1"/>
  <c r="AJ23" i="2" s="1"/>
  <c r="AK24" i="2" s="1"/>
  <c r="AL25" i="2" s="1"/>
  <c r="AM26" i="2" s="1"/>
  <c r="AN27" i="2" s="1"/>
  <c r="O6" i="2"/>
  <c r="T6" i="2"/>
  <c r="U7" i="2" s="1"/>
  <c r="V8" i="2" s="1"/>
  <c r="W9" i="2" s="1"/>
  <c r="X10" i="2" s="1"/>
  <c r="Y11" i="2" s="1"/>
  <c r="Z12" i="2" s="1"/>
  <c r="AA13" i="2" s="1"/>
  <c r="AB14" i="2" s="1"/>
  <c r="AC15" i="2" s="1"/>
  <c r="AD16" i="2" s="1"/>
  <c r="AE17" i="2" s="1"/>
  <c r="AF18" i="2" s="1"/>
  <c r="AG19" i="2" s="1"/>
  <c r="AH20" i="2" s="1"/>
  <c r="AI21" i="2" s="1"/>
  <c r="AJ22" i="2" s="1"/>
  <c r="AK23" i="2" s="1"/>
  <c r="AL24" i="2" s="1"/>
  <c r="AM25" i="2" s="1"/>
  <c r="AN26" i="2" s="1"/>
  <c r="P6" i="2"/>
  <c r="Q7" i="2" s="1"/>
  <c r="R8" i="2" s="1"/>
  <c r="S9" i="2" s="1"/>
  <c r="T10" i="2" s="1"/>
  <c r="U11" i="2" s="1"/>
  <c r="V12" i="2" s="1"/>
  <c r="W13" i="2" s="1"/>
  <c r="X14" i="2" s="1"/>
  <c r="Y15" i="2" s="1"/>
  <c r="Z16" i="2" s="1"/>
  <c r="AA17" i="2" s="1"/>
  <c r="AB18" i="2" s="1"/>
  <c r="AC19" i="2" s="1"/>
  <c r="AD20" i="2" s="1"/>
  <c r="AE21" i="2" s="1"/>
  <c r="AF22" i="2" s="1"/>
  <c r="AG23" i="2" s="1"/>
  <c r="AH24" i="2" s="1"/>
  <c r="AI25" i="2" s="1"/>
  <c r="AJ26" i="2" s="1"/>
  <c r="AK27" i="2" s="1"/>
  <c r="AL28" i="2" s="1"/>
  <c r="AM29" i="2" s="1"/>
  <c r="AN30" i="2" s="1"/>
  <c r="R6" i="2"/>
  <c r="S7" i="2" s="1"/>
  <c r="T8" i="2" s="1"/>
  <c r="U9" i="2" s="1"/>
  <c r="V10" i="2" s="1"/>
  <c r="W11" i="2" s="1"/>
  <c r="X12" i="2" s="1"/>
  <c r="Y13" i="2" s="1"/>
  <c r="Z14" i="2" s="1"/>
  <c r="AA15" i="2" s="1"/>
  <c r="AB16" i="2" s="1"/>
  <c r="AC17" i="2" s="1"/>
  <c r="AD18" i="2" s="1"/>
  <c r="AE19" i="2" s="1"/>
  <c r="AF20" i="2" s="1"/>
  <c r="AG21" i="2" s="1"/>
  <c r="AH22" i="2" s="1"/>
  <c r="AI23" i="2" s="1"/>
  <c r="AJ24" i="2" s="1"/>
  <c r="AK25" i="2" s="1"/>
  <c r="AL26" i="2" s="1"/>
  <c r="AM27" i="2" s="1"/>
  <c r="AN28" i="2" s="1"/>
  <c r="Q6" i="2"/>
  <c r="R7" i="2" s="1"/>
  <c r="S8" i="2" s="1"/>
  <c r="T9" i="2" s="1"/>
  <c r="U10" i="2" s="1"/>
  <c r="V11" i="2" s="1"/>
  <c r="W12" i="2" s="1"/>
  <c r="X13" i="2" s="1"/>
  <c r="Y14" i="2" s="1"/>
  <c r="Z15" i="2" s="1"/>
  <c r="AA16" i="2" s="1"/>
  <c r="AB17" i="2" s="1"/>
  <c r="AC18" i="2" s="1"/>
  <c r="AD19" i="2" s="1"/>
  <c r="AE20" i="2" s="1"/>
  <c r="AF21" i="2" s="1"/>
  <c r="AG22" i="2" s="1"/>
  <c r="AH23" i="2" s="1"/>
  <c r="AI24" i="2" s="1"/>
  <c r="AJ25" i="2" s="1"/>
  <c r="AK26" i="2" s="1"/>
  <c r="AL27" i="2" s="1"/>
  <c r="AM28" i="2" s="1"/>
  <c r="AN29" i="2" s="1"/>
  <c r="Q15" i="2"/>
  <c r="Q30" i="2"/>
  <c r="R31" i="2" s="1"/>
  <c r="S32" i="2" s="1"/>
  <c r="T14" i="1" l="1"/>
  <c r="U14" i="1" s="1"/>
  <c r="V14" i="1"/>
  <c r="O7" i="1"/>
  <c r="R16" i="2"/>
  <c r="AO6" i="2"/>
  <c r="AP6" i="2" s="1"/>
  <c r="P7" i="2"/>
  <c r="AP7" i="2" l="1"/>
  <c r="S17" i="2"/>
  <c r="AO7" i="2"/>
  <c r="Q8" i="2"/>
  <c r="T13" i="1" l="1"/>
  <c r="V13" i="1"/>
  <c r="R9" i="2"/>
  <c r="AO8" i="2"/>
  <c r="AP8" i="2" s="1"/>
  <c r="T18" i="2"/>
  <c r="U13" i="1" l="1"/>
  <c r="W13" i="1" s="1"/>
  <c r="U19" i="2"/>
  <c r="S10" i="2"/>
  <c r="AO9" i="2"/>
  <c r="AP9" i="2" s="1"/>
  <c r="T12" i="1" l="1"/>
  <c r="V12" i="1"/>
  <c r="T11" i="2"/>
  <c r="AO10" i="2"/>
  <c r="AP10" i="2" s="1"/>
  <c r="V20" i="2"/>
  <c r="U12" i="1" l="1"/>
  <c r="W12" i="1" s="1"/>
  <c r="U12" i="2"/>
  <c r="AO11" i="2"/>
  <c r="AP11" i="2" s="1"/>
  <c r="W21" i="2"/>
  <c r="V11" i="1" l="1"/>
  <c r="T11" i="1"/>
  <c r="X22" i="2"/>
  <c r="V13" i="2"/>
  <c r="AO12" i="2"/>
  <c r="AP12" i="2" s="1"/>
  <c r="U11" i="1" l="1"/>
  <c r="W11" i="1" s="1"/>
  <c r="W14" i="2"/>
  <c r="AO13" i="2"/>
  <c r="AP13" i="2" s="1"/>
  <c r="Y23" i="2"/>
  <c r="V10" i="1" l="1"/>
  <c r="T10" i="1"/>
  <c r="Z24" i="2"/>
  <c r="X15" i="2"/>
  <c r="AO14" i="2"/>
  <c r="AP14" i="2" s="1"/>
  <c r="U10" i="1" l="1"/>
  <c r="W10" i="1" s="1"/>
  <c r="Y16" i="2"/>
  <c r="AO15" i="2"/>
  <c r="AP15" i="2" s="1"/>
  <c r="AA25" i="2"/>
  <c r="V9" i="1" l="1"/>
  <c r="T9" i="1"/>
  <c r="AB26" i="2"/>
  <c r="Z17" i="2"/>
  <c r="AO16" i="2"/>
  <c r="AP16" i="2" s="1"/>
  <c r="U9" i="1" l="1"/>
  <c r="W9" i="1" s="1"/>
  <c r="AA18" i="2"/>
  <c r="AO17" i="2"/>
  <c r="AP17" i="2" s="1"/>
  <c r="AC27" i="2"/>
  <c r="T8" i="1" l="1"/>
  <c r="V8" i="1"/>
  <c r="AD28" i="2"/>
  <c r="AB19" i="2"/>
  <c r="AO18" i="2"/>
  <c r="AP18" i="2" s="1"/>
  <c r="U8" i="1" l="1"/>
  <c r="W8" i="1" s="1"/>
  <c r="AC20" i="2"/>
  <c r="AO19" i="2"/>
  <c r="AP19" i="2" s="1"/>
  <c r="AE29" i="2"/>
  <c r="T7" i="1" l="1"/>
  <c r="V7" i="1"/>
  <c r="AF30" i="2"/>
  <c r="AD21" i="2"/>
  <c r="AO20" i="2"/>
  <c r="AP20" i="2" s="1"/>
  <c r="U7" i="1" l="1"/>
  <c r="W7" i="1" s="1"/>
  <c r="AE22" i="2"/>
  <c r="AO21" i="2"/>
  <c r="AP21" i="2" s="1"/>
  <c r="AG31" i="2"/>
  <c r="V6" i="1" l="1"/>
  <c r="T6" i="1"/>
  <c r="AH32" i="2"/>
  <c r="AO32" i="2" s="1"/>
  <c r="AF23" i="2"/>
  <c r="AO22" i="2"/>
  <c r="AP22" i="2" s="1"/>
  <c r="U6" i="1" l="1"/>
  <c r="W6" i="1" s="1"/>
  <c r="AG24" i="2"/>
  <c r="AO23" i="2"/>
  <c r="AP23" i="2" s="1"/>
  <c r="AH25" i="2" l="1"/>
  <c r="AO24" i="2"/>
  <c r="AP24" i="2" s="1"/>
  <c r="AI26" i="2" l="1"/>
  <c r="AO25" i="2"/>
  <c r="AP25" i="2" s="1"/>
  <c r="AJ27" i="2" l="1"/>
  <c r="AO26" i="2"/>
  <c r="AP26" i="2" s="1"/>
  <c r="AK28" i="2" l="1"/>
  <c r="AO27" i="2"/>
  <c r="AP27" i="2" s="1"/>
  <c r="AL29" i="2" l="1"/>
  <c r="AO28" i="2"/>
  <c r="AP28" i="2" s="1"/>
  <c r="AM30" i="2" l="1"/>
  <c r="AO29" i="2"/>
  <c r="AP29" i="2" s="1"/>
  <c r="AN31" i="2" l="1"/>
  <c r="AO30" i="2"/>
  <c r="AP30" i="2" s="1"/>
  <c r="AO31" i="2" l="1"/>
  <c r="AP31" i="2"/>
  <c r="P36" i="2" a="1"/>
  <c r="P36" i="2" l="1"/>
  <c r="Q36" i="2" s="1" a="1"/>
  <c r="P51" i="2"/>
  <c r="P46" i="2"/>
  <c r="P53" i="2"/>
  <c r="P37" i="2"/>
  <c r="P62" i="2"/>
  <c r="P56" i="2"/>
  <c r="P40" i="2"/>
  <c r="P43" i="2"/>
  <c r="P38" i="2"/>
  <c r="P49" i="2"/>
  <c r="P55" i="2"/>
  <c r="P54" i="2"/>
  <c r="P52" i="2"/>
  <c r="P58" i="2"/>
  <c r="P61" i="2"/>
  <c r="P45" i="2"/>
  <c r="P47" i="2"/>
  <c r="P42" i="2"/>
  <c r="P48" i="2"/>
  <c r="P59" i="2"/>
  <c r="P50" i="2"/>
  <c r="P57" i="2"/>
  <c r="P41" i="2"/>
  <c r="P39" i="2"/>
  <c r="P60" i="2"/>
  <c r="P44" i="2"/>
  <c r="Q36" i="2" l="1"/>
  <c r="Q51" i="2"/>
  <c r="Q39" i="2"/>
  <c r="Q55" i="2"/>
  <c r="Q43" i="2"/>
  <c r="Q59" i="2"/>
  <c r="Q47" i="2"/>
  <c r="Q42" i="2"/>
  <c r="Q49" i="2"/>
  <c r="Q58" i="2"/>
  <c r="Q38" i="2"/>
  <c r="Q48" i="2"/>
  <c r="Q61" i="2"/>
  <c r="Q45" i="2"/>
  <c r="Q54" i="2"/>
  <c r="Q60" i="2"/>
  <c r="Q44" i="2"/>
  <c r="Q57" i="2"/>
  <c r="Q41" i="2"/>
  <c r="Q50" i="2"/>
  <c r="Q56" i="2"/>
  <c r="Q40" i="2"/>
  <c r="Q62" i="2"/>
  <c r="Q53" i="2"/>
  <c r="Q37" i="2"/>
  <c r="Q46" i="2"/>
  <c r="Q52" i="2"/>
  <c r="R36" i="2" l="1" a="1"/>
  <c r="R40" i="2" l="1"/>
  <c r="R56" i="2"/>
  <c r="R54" i="2"/>
  <c r="R37" i="2"/>
  <c r="R53" i="2"/>
  <c r="R50" i="2"/>
  <c r="R51" i="2"/>
  <c r="R44" i="2"/>
  <c r="R60" i="2"/>
  <c r="R58" i="2"/>
  <c r="R41" i="2"/>
  <c r="R57" i="2"/>
  <c r="R62" i="2"/>
  <c r="R55" i="2"/>
  <c r="R48" i="2"/>
  <c r="R38" i="2"/>
  <c r="R43" i="2"/>
  <c r="R45" i="2"/>
  <c r="R61" i="2"/>
  <c r="R39" i="2"/>
  <c r="R36" i="2"/>
  <c r="R52" i="2"/>
  <c r="R46" i="2"/>
  <c r="R59" i="2"/>
  <c r="R49" i="2"/>
  <c r="R42" i="2"/>
  <c r="R47" i="2"/>
  <c r="S36" i="2" l="1" a="1"/>
  <c r="S36" i="2" l="1"/>
  <c r="T36" i="2" s="1" a="1"/>
  <c r="S52" i="2"/>
  <c r="S54" i="2"/>
  <c r="S47" i="2"/>
  <c r="S37" i="2"/>
  <c r="S53" i="2"/>
  <c r="S46" i="2"/>
  <c r="S40" i="2"/>
  <c r="S56" i="2"/>
  <c r="S62" i="2"/>
  <c r="S51" i="2"/>
  <c r="S41" i="2"/>
  <c r="S57" i="2"/>
  <c r="S50" i="2"/>
  <c r="S44" i="2"/>
  <c r="S60" i="2"/>
  <c r="S39" i="2"/>
  <c r="S55" i="2"/>
  <c r="S45" i="2"/>
  <c r="S61" i="2"/>
  <c r="S58" i="2"/>
  <c r="S48" i="2"/>
  <c r="S42" i="2"/>
  <c r="S43" i="2"/>
  <c r="S59" i="2"/>
  <c r="S49" i="2"/>
  <c r="S38" i="2"/>
  <c r="T51" i="2" l="1"/>
  <c r="T40" i="2"/>
  <c r="T56" i="2"/>
  <c r="T58" i="2"/>
  <c r="T49" i="2"/>
  <c r="T38" i="2"/>
  <c r="T39" i="2"/>
  <c r="T55" i="2"/>
  <c r="T44" i="2"/>
  <c r="T60" i="2"/>
  <c r="T37" i="2"/>
  <c r="T53" i="2"/>
  <c r="T42" i="2"/>
  <c r="T47" i="2"/>
  <c r="T36" i="2"/>
  <c r="K15" i="2" s="1"/>
  <c r="T52" i="2"/>
  <c r="K18" i="2" s="1"/>
  <c r="L18" i="2" s="1"/>
  <c r="T54" i="2"/>
  <c r="T45" i="2"/>
  <c r="T61" i="2"/>
  <c r="T62" i="2"/>
  <c r="K20" i="2" s="1"/>
  <c r="L20" i="2" s="1"/>
  <c r="T43" i="2"/>
  <c r="T59" i="2"/>
  <c r="T48" i="2"/>
  <c r="T46" i="2"/>
  <c r="T41" i="2"/>
  <c r="T57" i="2"/>
  <c r="T50" i="2"/>
  <c r="L15" i="2" l="1"/>
  <c r="K19" i="2"/>
  <c r="L19" i="2" s="1"/>
  <c r="K17" i="2"/>
  <c r="L17" i="2" s="1"/>
  <c r="K16" i="2"/>
  <c r="L16" i="2" s="1"/>
  <c r="C2" i="2" l="1"/>
</calcChain>
</file>

<file path=xl/sharedStrings.xml><?xml version="1.0" encoding="utf-8"?>
<sst xmlns="http://schemas.openxmlformats.org/spreadsheetml/2006/main" count="61" uniqueCount="44">
  <si>
    <t>Bet</t>
  </si>
  <si>
    <t>GAME RULES</t>
  </si>
  <si>
    <r>
      <t xml:space="preserve">There are 5 coins.
The game consists of 5 rounds.
Each round you flip all 5 coins.
After all 5 rounds are over, you count how many total HEADs you flipped, and are awarded a corresponding prize.
</t>
    </r>
    <r>
      <rPr>
        <b/>
        <sz val="11"/>
        <color theme="1"/>
        <rFont val="Calibri"/>
        <family val="2"/>
        <scheme val="minor"/>
      </rPr>
      <t xml:space="preserve">Pre Game Boost
</t>
    </r>
    <r>
      <rPr>
        <sz val="11"/>
        <color theme="1"/>
        <rFont val="Calibri"/>
        <family val="2"/>
        <scheme val="minor"/>
      </rPr>
      <t>Before the game starts, the player can be given a boost of up to 5 HEADs to start the bonus.</t>
    </r>
  </si>
  <si>
    <t>Pre Game Boost</t>
  </si>
  <si>
    <t>Heads</t>
  </si>
  <si>
    <t>Weight</t>
  </si>
  <si>
    <t>Prize Table</t>
  </si>
  <si>
    <t>0 to 5</t>
  </si>
  <si>
    <t>6 to 10</t>
  </si>
  <si>
    <t>11 to 15</t>
  </si>
  <si>
    <t>16 to 20</t>
  </si>
  <si>
    <t>21 to 25</t>
  </si>
  <si>
    <t>Prize</t>
  </si>
  <si>
    <t>26+</t>
  </si>
  <si>
    <t>Coin Weight</t>
  </si>
  <si>
    <t>Face</t>
  </si>
  <si>
    <t>H</t>
  </si>
  <si>
    <t>T</t>
  </si>
  <si>
    <t>Transition Matrix</t>
  </si>
  <si>
    <t>P(Heads)</t>
  </si>
  <si>
    <t>Round</t>
  </si>
  <si>
    <t>Count</t>
  </si>
  <si>
    <t>Prob</t>
  </si>
  <si>
    <t>Odds</t>
  </si>
  <si>
    <t>Avg Pay</t>
  </si>
  <si>
    <t>You're presented with a fairly weighted, single zero, roullette wheel.
Every time you spin the wheel, you're offered a win amount equal to the value of the wheel.
If you reject the offer, you can spin the wheel again.
You can reject up to 3 offeres.</t>
  </si>
  <si>
    <t>Roulette Wheel</t>
  </si>
  <si>
    <t>Value</t>
  </si>
  <si>
    <t>Final Spin</t>
  </si>
  <si>
    <t>Spin 1</t>
  </si>
  <si>
    <t>Spin 2</t>
  </si>
  <si>
    <t>Spin 3</t>
  </si>
  <si>
    <t>Prob Accept</t>
  </si>
  <si>
    <t>Prob Reject</t>
  </si>
  <si>
    <t>Spin 4</t>
  </si>
  <si>
    <t>Round Value</t>
  </si>
  <si>
    <t>Accept Value</t>
  </si>
  <si>
    <t>Spin 9</t>
  </si>
  <si>
    <t>Spin 0</t>
  </si>
  <si>
    <t>Spin 5</t>
  </si>
  <si>
    <t>Spin 6</t>
  </si>
  <si>
    <t>Spin 7</t>
  </si>
  <si>
    <t>Spin 8</t>
  </si>
  <si>
    <t>9 Rejection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</si>
</sst>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0"/>
      <color indexed="36"/>
      <name val="Arial"/>
      <family val="2"/>
    </font>
    <font>
      <sz val="12"/>
      <name val="Times New Roman"/>
      <family val="1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0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14" applyNumberFormat="0" applyFill="0" applyAlignment="0" applyProtection="0"/>
    <xf numFmtId="0" fontId="8" fillId="0" borderId="15" applyNumberFormat="0" applyFill="0" applyAlignment="0" applyProtection="0"/>
    <xf numFmtId="0" fontId="9" fillId="0" borderId="16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6" borderId="17" applyNumberFormat="0" applyAlignment="0" applyProtection="0"/>
    <xf numFmtId="0" fontId="13" fillId="7" borderId="18" applyNumberFormat="0" applyAlignment="0" applyProtection="0"/>
    <xf numFmtId="0" fontId="14" fillId="7" borderId="17" applyNumberFormat="0" applyAlignment="0" applyProtection="0"/>
    <xf numFmtId="0" fontId="15" fillId="0" borderId="19" applyNumberFormat="0" applyFill="0" applyAlignment="0" applyProtection="0"/>
    <xf numFmtId="0" fontId="16" fillId="8" borderId="20" applyNumberFormat="0" applyAlignment="0" applyProtection="0"/>
    <xf numFmtId="0" fontId="2" fillId="0" borderId="0" applyNumberFormat="0" applyFill="0" applyBorder="0" applyAlignment="0" applyProtection="0"/>
    <xf numFmtId="0" fontId="1" fillId="9" borderId="21" applyNumberFormat="0" applyFont="0" applyAlignment="0" applyProtection="0"/>
    <xf numFmtId="0" fontId="17" fillId="0" borderId="0" applyNumberFormat="0" applyFill="0" applyBorder="0" applyAlignment="0" applyProtection="0"/>
    <xf numFmtId="0" fontId="3" fillId="0" borderId="22" applyNumberFormat="0" applyFill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5" fillId="0" borderId="0" applyFont="0" applyFill="0" applyBorder="0" applyAlignment="0" applyProtection="0"/>
    <xf numFmtId="37" fontId="5" fillId="0" borderId="0" applyFont="0" applyFill="0" applyBorder="0" applyAlignment="0" applyProtection="0"/>
    <xf numFmtId="37" fontId="5" fillId="0" borderId="0" applyFont="0" applyFill="0" applyBorder="0" applyAlignment="0" applyProtection="0"/>
    <xf numFmtId="37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1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5" fillId="0" borderId="0"/>
    <xf numFmtId="0" fontId="21" fillId="0" borderId="0"/>
    <xf numFmtId="0" fontId="5" fillId="0" borderId="0"/>
    <xf numFmtId="0" fontId="21" fillId="0" borderId="0"/>
    <xf numFmtId="0" fontId="5" fillId="0" borderId="0"/>
    <xf numFmtId="0" fontId="21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5" fillId="0" borderId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37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Font="1" applyAlignment="1">
      <alignment horizontal="center"/>
    </xf>
    <xf numFmtId="0" fontId="0" fillId="0" borderId="10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0" fontId="0" fillId="2" borderId="13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Border="1" applyAlignment="1">
      <alignment vertical="top"/>
    </xf>
    <xf numFmtId="0" fontId="0" fillId="0" borderId="2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2" borderId="2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34" borderId="2" xfId="0" applyFont="1" applyFill="1" applyBorder="1" applyAlignment="1">
      <alignment horizontal="center"/>
    </xf>
    <xf numFmtId="0" fontId="0" fillId="34" borderId="3" xfId="0" applyFont="1" applyFill="1" applyBorder="1" applyAlignment="1">
      <alignment horizontal="center"/>
    </xf>
    <xf numFmtId="0" fontId="0" fillId="34" borderId="4" xfId="0" applyFont="1" applyFill="1" applyBorder="1" applyAlignment="1">
      <alignment horizontal="center"/>
    </xf>
    <xf numFmtId="0" fontId="0" fillId="34" borderId="5" xfId="0" applyFont="1" applyFill="1" applyBorder="1" applyAlignment="1">
      <alignment horizontal="center"/>
    </xf>
    <xf numFmtId="0" fontId="0" fillId="34" borderId="0" xfId="0" applyFont="1" applyFill="1" applyBorder="1" applyAlignment="1">
      <alignment horizontal="center"/>
    </xf>
    <xf numFmtId="0" fontId="0" fillId="34" borderId="6" xfId="0" applyFont="1" applyFill="1" applyBorder="1" applyAlignment="1">
      <alignment horizontal="center"/>
    </xf>
    <xf numFmtId="0" fontId="0" fillId="34" borderId="7" xfId="0" applyFont="1" applyFill="1" applyBorder="1" applyAlignment="1">
      <alignment horizontal="center"/>
    </xf>
    <xf numFmtId="0" fontId="0" fillId="34" borderId="8" xfId="0" applyFont="1" applyFill="1" applyBorder="1" applyAlignment="1">
      <alignment horizontal="center"/>
    </xf>
    <xf numFmtId="0" fontId="0" fillId="34" borderId="9" xfId="0" applyFont="1" applyFill="1" applyBorder="1" applyAlignment="1">
      <alignment horizontal="center"/>
    </xf>
    <xf numFmtId="0" fontId="0" fillId="35" borderId="10" xfId="0" applyFont="1" applyFill="1" applyBorder="1" applyAlignment="1">
      <alignment horizontal="center"/>
    </xf>
    <xf numFmtId="0" fontId="0" fillId="35" borderId="11" xfId="0" applyFont="1" applyFill="1" applyBorder="1" applyAlignment="1">
      <alignment horizontal="center"/>
    </xf>
    <xf numFmtId="0" fontId="0" fillId="35" borderId="1" xfId="0" applyFont="1" applyFill="1" applyBorder="1" applyAlignment="1">
      <alignment horizontal="center"/>
    </xf>
    <xf numFmtId="1" fontId="0" fillId="0" borderId="10" xfId="0" applyNumberFormat="1" applyFont="1" applyBorder="1" applyAlignment="1">
      <alignment horizontal="center"/>
    </xf>
    <xf numFmtId="1" fontId="0" fillId="0" borderId="11" xfId="0" applyNumberFormat="1" applyFont="1" applyBorder="1" applyAlignment="1">
      <alignment horizontal="center"/>
    </xf>
    <xf numFmtId="2" fontId="3" fillId="36" borderId="1" xfId="0" applyNumberFormat="1" applyFont="1" applyFill="1" applyBorder="1" applyAlignment="1">
      <alignment horizontal="center"/>
    </xf>
    <xf numFmtId="0" fontId="2" fillId="0" borderId="10" xfId="9" applyFont="1" applyFill="1" applyBorder="1" applyAlignment="1">
      <alignment horizontal="center"/>
    </xf>
    <xf numFmtId="0" fontId="2" fillId="0" borderId="10" xfId="32" applyFont="1" applyFill="1" applyBorder="1" applyAlignment="1">
      <alignment horizontal="center"/>
    </xf>
    <xf numFmtId="0" fontId="2" fillId="0" borderId="10" xfId="10" applyFont="1" applyFill="1" applyBorder="1" applyAlignment="1">
      <alignment horizontal="center"/>
    </xf>
    <xf numFmtId="0" fontId="2" fillId="0" borderId="11" xfId="1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66" fontId="0" fillId="0" borderId="0" xfId="519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166" fontId="0" fillId="0" borderId="3" xfId="519" applyNumberFormat="1" applyFont="1" applyBorder="1" applyAlignment="1">
      <alignment horizontal="center"/>
    </xf>
    <xf numFmtId="2" fontId="0" fillId="0" borderId="3" xfId="0" applyNumberFormat="1" applyFont="1" applyBorder="1" applyAlignment="1">
      <alignment horizontal="center"/>
    </xf>
    <xf numFmtId="166" fontId="0" fillId="0" borderId="8" xfId="519" applyNumberFormat="1" applyFont="1" applyBorder="1" applyAlignment="1">
      <alignment horizontal="center"/>
    </xf>
    <xf numFmtId="166" fontId="0" fillId="0" borderId="2" xfId="519" applyNumberFormat="1" applyFont="1" applyBorder="1" applyAlignment="1">
      <alignment horizontal="center"/>
    </xf>
    <xf numFmtId="166" fontId="0" fillId="0" borderId="5" xfId="519" applyNumberFormat="1" applyFont="1" applyBorder="1" applyAlignment="1">
      <alignment horizontal="center"/>
    </xf>
    <xf numFmtId="166" fontId="0" fillId="0" borderId="7" xfId="519" applyNumberFormat="1" applyFont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24" xfId="0" applyFont="1" applyFill="1" applyBorder="1" applyAlignment="1">
      <alignment horizontal="center"/>
    </xf>
    <xf numFmtId="2" fontId="3" fillId="34" borderId="24" xfId="0" applyNumberFormat="1" applyFont="1" applyFill="1" applyBorder="1" applyAlignment="1">
      <alignment horizontal="center"/>
    </xf>
    <xf numFmtId="2" fontId="0" fillId="37" borderId="10" xfId="0" applyNumberFormat="1" applyFont="1" applyFill="1" applyBorder="1" applyAlignment="1">
      <alignment horizontal="center"/>
    </xf>
    <xf numFmtId="2" fontId="0" fillId="37" borderId="11" xfId="0" applyNumberFormat="1" applyFont="1" applyFill="1" applyBorder="1" applyAlignment="1">
      <alignment horizontal="center"/>
    </xf>
    <xf numFmtId="2" fontId="0" fillId="37" borderId="24" xfId="0" applyNumberFormat="1" applyFont="1" applyFill="1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</cellXfs>
  <cellStyles count="520">
    <cellStyle name="20% - Accent1" xfId="21" builtinId="30" customBuiltin="1"/>
    <cellStyle name="20% - Accent2" xfId="24" builtinId="34" customBuiltin="1"/>
    <cellStyle name="20% - Accent3" xfId="27" builtinId="38" customBuiltin="1"/>
    <cellStyle name="20% - Accent4" xfId="30" builtinId="42" customBuiltin="1"/>
    <cellStyle name="20% - Accent5" xfId="33" builtinId="46" customBuiltin="1"/>
    <cellStyle name="20% - Accent6" xfId="36" builtinId="50" customBuiltin="1"/>
    <cellStyle name="40% - Accent1" xfId="22" builtinId="31" customBuiltin="1"/>
    <cellStyle name="40% - Accent2" xfId="25" builtinId="35" customBuiltin="1"/>
    <cellStyle name="40% - Accent3" xfId="28" builtinId="39" customBuiltin="1"/>
    <cellStyle name="40% - Accent4" xfId="31" builtinId="43" customBuiltin="1"/>
    <cellStyle name="40% - Accent5" xfId="34" builtinId="47" customBuiltin="1"/>
    <cellStyle name="40% - Accent6" xfId="37" builtinId="51" customBuiltin="1"/>
    <cellStyle name="60% - Accent1 2" xfId="391" xr:uid="{613A84C6-ED1A-41A3-BC5C-C216883FB7B6}"/>
    <cellStyle name="60% - Accent2 2" xfId="392" xr:uid="{28C2F071-EE96-44B0-81E3-BF9ADF86C8C9}"/>
    <cellStyle name="60% - Accent3 2" xfId="393" xr:uid="{366FAA87-CDEC-4F06-B5AA-3CA5999DCB9C}"/>
    <cellStyle name="60% - Accent4 2" xfId="394" xr:uid="{1F8943A9-36C5-4C3D-85BF-E55D89E07F32}"/>
    <cellStyle name="60% - Accent5 2" xfId="395" xr:uid="{625CD582-6054-416C-A444-D2E1733BD64A}"/>
    <cellStyle name="60% - Accent6 2" xfId="396" xr:uid="{99C1E23E-01BE-44A9-995B-A1FB25F24E53}"/>
    <cellStyle name="Accent1" xfId="20" builtinId="29" customBuiltin="1"/>
    <cellStyle name="Accent2" xfId="23" builtinId="33" customBuiltin="1"/>
    <cellStyle name="Accent3" xfId="26" builtinId="37" customBuiltin="1"/>
    <cellStyle name="Accent4" xfId="29" builtinId="41" customBuiltin="1"/>
    <cellStyle name="Accent5" xfId="32" builtinId="45" customBuiltin="1"/>
    <cellStyle name="Accent6" xfId="35" builtinId="49" customBuiltin="1"/>
    <cellStyle name="Bad" xfId="10" builtinId="27" customBuiltin="1"/>
    <cellStyle name="Besuchter Hyperlink" xfId="68" xr:uid="{167EA163-F222-4997-90F9-99556CDADB3D}"/>
    <cellStyle name="Calculation" xfId="13" builtinId="22" customBuiltin="1"/>
    <cellStyle name="Check Cell" xfId="15" builtinId="23" customBuiltin="1"/>
    <cellStyle name="Comma 10" xfId="403" xr:uid="{0B494F89-EABC-42A5-94CD-5BBA8B2CBAD8}"/>
    <cellStyle name="Comma 11" xfId="518" xr:uid="{36626FF0-5708-4CB2-9466-3C82AF0DD9D8}"/>
    <cellStyle name="Comma 2" xfId="69" xr:uid="{FC4C477B-CB0A-4F9F-8F1D-A8B4C7C50FCB}"/>
    <cellStyle name="Comma 2 2" xfId="39" xr:uid="{A395A942-DD42-493D-BD10-55FCB38D8ECD}"/>
    <cellStyle name="Comma 2 3" xfId="454" xr:uid="{6980D514-F28E-4356-8112-FEEB271F3F65}"/>
    <cellStyle name="Comma 3" xfId="40" xr:uid="{30EBB8F8-8B7C-4647-BB21-B04ADCEFE5D2}"/>
    <cellStyle name="Comma 3 2" xfId="399" xr:uid="{ABBA17D5-9595-4823-81BE-095C18FDF512}"/>
    <cellStyle name="Comma 3 2 2" xfId="516" xr:uid="{9093062B-1E47-4824-BF2A-8BE17F034674}"/>
    <cellStyle name="Comma 4" xfId="41" xr:uid="{928053E0-B18D-4356-9463-420A4143E2E2}"/>
    <cellStyle name="Comma 45" xfId="70" xr:uid="{C24B6693-44FA-4244-AE48-867128C93DA0}"/>
    <cellStyle name="Comma 45 10" xfId="71" xr:uid="{386FD048-ECB4-43BD-B29A-D167212FA680}"/>
    <cellStyle name="Comma 45 10 2" xfId="456" xr:uid="{0F478D07-152A-4104-A1FC-1DED32202BD3}"/>
    <cellStyle name="Comma 45 11" xfId="72" xr:uid="{ED8D8A7A-C6EB-4AB7-A6D6-17465BF7F059}"/>
    <cellStyle name="Comma 45 11 2" xfId="457" xr:uid="{B98C1B7D-3AB1-4656-8C77-8DB89F51496D}"/>
    <cellStyle name="Comma 45 12" xfId="73" xr:uid="{461A90D8-464D-46C8-AC2E-E3445BB46AF4}"/>
    <cellStyle name="Comma 45 12 2" xfId="458" xr:uid="{DC2205C4-D55F-4E66-A838-53CCB06DA7DB}"/>
    <cellStyle name="Comma 45 13" xfId="74" xr:uid="{06994560-1D71-4C20-ACFD-1DE3B8E876A8}"/>
    <cellStyle name="Comma 45 13 2" xfId="459" xr:uid="{D4CD2757-62EC-43CA-8C1A-EC6EAC514154}"/>
    <cellStyle name="Comma 45 14" xfId="75" xr:uid="{A93E2BFF-4130-4696-9077-88A6AF2567B9}"/>
    <cellStyle name="Comma 45 14 2" xfId="460" xr:uid="{17AC8C85-C165-4447-9839-1AE0DF047914}"/>
    <cellStyle name="Comma 45 15" xfId="76" xr:uid="{6435EDFD-22F0-492E-B756-28CE791066BC}"/>
    <cellStyle name="Comma 45 15 2" xfId="461" xr:uid="{2D266D12-621D-4D90-912C-BC27B396F4ED}"/>
    <cellStyle name="Comma 45 16" xfId="77" xr:uid="{0E7A7A3E-F28F-4EAA-9B62-E23FB5F6DDB1}"/>
    <cellStyle name="Comma 45 16 2" xfId="462" xr:uid="{D9B33C8A-B099-4469-8A5B-2DFE2A9D2B31}"/>
    <cellStyle name="Comma 45 17" xfId="78" xr:uid="{92A84B0A-5679-4E21-8E90-31495E5EE708}"/>
    <cellStyle name="Comma 45 17 2" xfId="463" xr:uid="{BC7858CE-F4E3-4909-A9C7-BF773DA5FBAA}"/>
    <cellStyle name="Comma 45 18" xfId="79" xr:uid="{0D12365F-C4A6-4D54-B733-554C4C53327B}"/>
    <cellStyle name="Comma 45 18 2" xfId="464" xr:uid="{77DB0CB7-99F3-4ABE-9CB6-3E34714123E3}"/>
    <cellStyle name="Comma 45 19" xfId="80" xr:uid="{6B70B7A9-8BEF-47B7-B2F8-4220BC72575D}"/>
    <cellStyle name="Comma 45 19 2" xfId="465" xr:uid="{B6CD45C4-5A08-4936-BDAB-BCF06CA98A9C}"/>
    <cellStyle name="Comma 45 2" xfId="81" xr:uid="{61361AED-8DFD-4704-A782-D95EA9C8FA5D}"/>
    <cellStyle name="Comma 45 2 2" xfId="466" xr:uid="{5FAC8A49-D744-49D2-B580-D213A72572A4}"/>
    <cellStyle name="Comma 45 20" xfId="82" xr:uid="{971548DE-FE4C-4FBB-915B-24AEC6DA2DE5}"/>
    <cellStyle name="Comma 45 20 2" xfId="467" xr:uid="{5AF7F51A-5DE9-4F87-B23D-BB740F8D4C6A}"/>
    <cellStyle name="Comma 45 21" xfId="83" xr:uid="{2A20E9B6-1588-4E49-A20E-A7CA69D55A65}"/>
    <cellStyle name="Comma 45 21 2" xfId="468" xr:uid="{4A3F0BA0-4661-4A04-850C-1183747D623C}"/>
    <cellStyle name="Comma 45 22" xfId="84" xr:uid="{8FDACD89-894B-4AA7-9625-34686246F831}"/>
    <cellStyle name="Comma 45 22 2" xfId="469" xr:uid="{8F246D49-F154-48B5-87B5-ED32FCAE217C}"/>
    <cellStyle name="Comma 45 23" xfId="85" xr:uid="{18FF1677-EBF0-4F73-B4ED-944EA907E897}"/>
    <cellStyle name="Comma 45 23 2" xfId="470" xr:uid="{0F89FD49-3DEF-4339-9BAF-718941D69761}"/>
    <cellStyle name="Comma 45 24" xfId="86" xr:uid="{540B03DE-E51D-49A3-820A-8D182D140BA3}"/>
    <cellStyle name="Comma 45 24 2" xfId="471" xr:uid="{3AE73E0F-1175-486B-8CEB-44B128CBFA96}"/>
    <cellStyle name="Comma 45 25" xfId="87" xr:uid="{A581C8B7-94E7-45BA-873E-CC0928814849}"/>
    <cellStyle name="Comma 45 25 2" xfId="472" xr:uid="{DEA0BED6-1031-4175-BC53-ABAB0D254DBE}"/>
    <cellStyle name="Comma 45 26" xfId="88" xr:uid="{0974BB46-EB58-4A0E-A419-8A1EC47773DA}"/>
    <cellStyle name="Comma 45 26 2" xfId="473" xr:uid="{482611A3-AFE2-4D57-94EB-403F6DE1B565}"/>
    <cellStyle name="Comma 45 27" xfId="89" xr:uid="{DD3B1E17-0FE6-4841-BB77-5945853BF1B7}"/>
    <cellStyle name="Comma 45 27 2" xfId="474" xr:uid="{E02AFBE0-2992-40C4-8B38-66B227C6CEC5}"/>
    <cellStyle name="Comma 45 28" xfId="90" xr:uid="{7F93F4EB-928D-44F0-884E-C10C4482BA89}"/>
    <cellStyle name="Comma 45 28 2" xfId="475" xr:uid="{D1540B07-BA13-4776-8D4A-B83F7FB5FEDB}"/>
    <cellStyle name="Comma 45 29" xfId="91" xr:uid="{770B85D0-8CF5-483D-A630-D216B6844DCE}"/>
    <cellStyle name="Comma 45 29 2" xfId="476" xr:uid="{CB14322E-6300-4192-A54F-43D5AAF1268B}"/>
    <cellStyle name="Comma 45 3" xfId="92" xr:uid="{7DADD363-246B-4172-934C-EC2A90552B6A}"/>
    <cellStyle name="Comma 45 3 2" xfId="477" xr:uid="{CEAF084C-D158-419F-9080-96431C7B2865}"/>
    <cellStyle name="Comma 45 30" xfId="93" xr:uid="{8C9A4728-6275-4621-946E-3B37F0217BBB}"/>
    <cellStyle name="Comma 45 30 2" xfId="478" xr:uid="{98B2FD0C-ED9B-4292-A183-F6CDE360207A}"/>
    <cellStyle name="Comma 45 31" xfId="455" xr:uid="{45FE929A-EEE8-4DDE-ACA4-993B5DA5CBBF}"/>
    <cellStyle name="Comma 45 4" xfId="94" xr:uid="{184B4A54-3AEA-4FF5-A271-7FAD769B9D94}"/>
    <cellStyle name="Comma 45 4 2" xfId="479" xr:uid="{513D7228-0121-4F4D-8C0F-725EB20F05DF}"/>
    <cellStyle name="Comma 45 5" xfId="95" xr:uid="{D533A4E7-B98F-48EE-963F-AD86FCE5134F}"/>
    <cellStyle name="Comma 45 5 2" xfId="480" xr:uid="{1AA0D7D3-AEA1-494D-9B89-D94759E7B987}"/>
    <cellStyle name="Comma 45 6" xfId="96" xr:uid="{7D4550CF-8D1D-483B-911A-E94D6B64B7F1}"/>
    <cellStyle name="Comma 45 6 2" xfId="481" xr:uid="{B3CF12ED-24B0-4929-87B6-4F65BA8A5DE9}"/>
    <cellStyle name="Comma 45 7" xfId="97" xr:uid="{12881A31-2A56-4F46-8A53-7AA766D42587}"/>
    <cellStyle name="Comma 45 7 2" xfId="482" xr:uid="{4F2ADC50-D7E4-4C53-A25D-A2278418EDA3}"/>
    <cellStyle name="Comma 45 8" xfId="98" xr:uid="{23FFFCAA-7E1F-4B77-B492-F46C30AB8253}"/>
    <cellStyle name="Comma 45 8 2" xfId="483" xr:uid="{2FA44D1B-3F35-4689-86FA-8AC2B7214B69}"/>
    <cellStyle name="Comma 45 9" xfId="99" xr:uid="{0EC1C54A-CB8F-4E44-92CF-E327A099C227}"/>
    <cellStyle name="Comma 45 9 2" xfId="484" xr:uid="{0041BBEA-17B6-4322-86AB-22F588E7CB65}"/>
    <cellStyle name="Comma 46" xfId="42" xr:uid="{C72889BD-A441-4FFC-AC29-A2B7E29EAA84}"/>
    <cellStyle name="Comma 46 10" xfId="100" xr:uid="{7F5E730F-568A-42EE-A109-94C6EB8B8A65}"/>
    <cellStyle name="Comma 46 10 2" xfId="485" xr:uid="{C83A3A46-0D35-4714-B997-D302B3A4A14B}"/>
    <cellStyle name="Comma 46 11" xfId="101" xr:uid="{CF07C8F0-B5FD-4665-8FF1-8E959270CB05}"/>
    <cellStyle name="Comma 46 11 2" xfId="486" xr:uid="{1D4FE271-D76A-4215-8597-48A42ED30903}"/>
    <cellStyle name="Comma 46 12" xfId="102" xr:uid="{8071827F-9A6A-47AF-8EA6-F910595E20D9}"/>
    <cellStyle name="Comma 46 12 2" xfId="487" xr:uid="{28AD9A79-ED9C-45AC-98B8-989A744D0CB0}"/>
    <cellStyle name="Comma 46 13" xfId="103" xr:uid="{7AF96777-871D-4662-8F43-4526A373E6B6}"/>
    <cellStyle name="Comma 46 13 2" xfId="488" xr:uid="{A0273E56-1C95-4EB5-91F1-0987F9CE6BB8}"/>
    <cellStyle name="Comma 46 14" xfId="104" xr:uid="{0C0306F7-C971-4818-A044-A1F4E59F7399}"/>
    <cellStyle name="Comma 46 14 2" xfId="489" xr:uid="{25952620-F780-4026-9702-D0ADA55A50C9}"/>
    <cellStyle name="Comma 46 15" xfId="105" xr:uid="{709A4B79-8945-43B3-9DD2-F68295B03DB0}"/>
    <cellStyle name="Comma 46 15 2" xfId="490" xr:uid="{0E6AAAB4-ADF6-49DA-A251-5FA8205BD5C1}"/>
    <cellStyle name="Comma 46 16" xfId="106" xr:uid="{6DE08231-6697-4469-A0A9-BF8EF1863723}"/>
    <cellStyle name="Comma 46 16 2" xfId="491" xr:uid="{96D3C394-2BE1-41BF-9409-6828F92D5FD5}"/>
    <cellStyle name="Comma 46 17" xfId="107" xr:uid="{F8E31FB8-61CE-423B-BCC1-E484222E3CE2}"/>
    <cellStyle name="Comma 46 17 2" xfId="492" xr:uid="{B9E070AD-B1A4-4D35-9102-A828AA4026B9}"/>
    <cellStyle name="Comma 46 18" xfId="108" xr:uid="{620D545A-A428-4CDD-B328-43280A7CD6C8}"/>
    <cellStyle name="Comma 46 18 2" xfId="493" xr:uid="{E22B44A7-93EC-4010-A788-ECB61424BB7B}"/>
    <cellStyle name="Comma 46 19" xfId="109" xr:uid="{3D69CB28-0D01-4C5F-B2E6-65FE850AE48D}"/>
    <cellStyle name="Comma 46 19 2" xfId="494" xr:uid="{062D70C9-DC97-48E2-8A38-E5E40F5869A0}"/>
    <cellStyle name="Comma 46 2" xfId="110" xr:uid="{5EE76B9C-2141-4343-8481-EEA08D25C32C}"/>
    <cellStyle name="Comma 46 2 2" xfId="404" xr:uid="{A025D66A-69BB-4216-8A4F-3CFB0E2D38DB}"/>
    <cellStyle name="Comma 46 2 2 2" xfId="517" xr:uid="{5C2E73A1-2ED6-48EE-81FE-1EA6296B03CC}"/>
    <cellStyle name="Comma 46 2 3" xfId="495" xr:uid="{48533C21-A81F-461D-BEAE-070647927E2D}"/>
    <cellStyle name="Comma 46 20" xfId="111" xr:uid="{06FF9F5A-DB96-428E-9F4C-B373977369CA}"/>
    <cellStyle name="Comma 46 20 2" xfId="496" xr:uid="{6B055A09-B4BD-4B87-B380-FE8FF8F1354F}"/>
    <cellStyle name="Comma 46 21" xfId="112" xr:uid="{99ACF7CB-38BF-4940-AEDF-C69BAA2E74D3}"/>
    <cellStyle name="Comma 46 21 2" xfId="497" xr:uid="{D38E2031-3C65-44A9-A3F8-266FD1B9CE9A}"/>
    <cellStyle name="Comma 46 22" xfId="113" xr:uid="{3DD90099-095B-4B36-B86A-C624A999901D}"/>
    <cellStyle name="Comma 46 22 2" xfId="498" xr:uid="{D079E8CD-36DB-44E9-B53B-7F30D699951D}"/>
    <cellStyle name="Comma 46 23" xfId="114" xr:uid="{762D018E-A93A-475E-989D-C5F10E4629E0}"/>
    <cellStyle name="Comma 46 23 2" xfId="499" xr:uid="{FDCBFC1D-FEA5-4CD5-B887-D77993ECFF97}"/>
    <cellStyle name="Comma 46 24" xfId="115" xr:uid="{C893FFF3-3ED2-4F53-85C4-F64393FECDAC}"/>
    <cellStyle name="Comma 46 24 2" xfId="500" xr:uid="{24A09D56-3C00-4CC0-9455-CB605B750591}"/>
    <cellStyle name="Comma 46 25" xfId="116" xr:uid="{C23F9AE9-8B5D-488B-AA92-09A008BF5F8E}"/>
    <cellStyle name="Comma 46 25 2" xfId="501" xr:uid="{EBBEF174-184C-4315-8554-14C6D7BFAD97}"/>
    <cellStyle name="Comma 46 26" xfId="117" xr:uid="{9B71A54F-C5FC-4E4F-BE72-26F0A7548E34}"/>
    <cellStyle name="Comma 46 26 2" xfId="502" xr:uid="{22C7B5AA-EF2C-4CB4-B28E-FE30FF608007}"/>
    <cellStyle name="Comma 46 27" xfId="118" xr:uid="{ACE5BA08-987F-4164-AB20-7E3799A6CC7C}"/>
    <cellStyle name="Comma 46 27 2" xfId="503" xr:uid="{F25800D1-6549-42E9-AA99-F89C38042D34}"/>
    <cellStyle name="Comma 46 28" xfId="119" xr:uid="{073D0960-18B4-48CF-B185-03954B4CB08A}"/>
    <cellStyle name="Comma 46 28 2" xfId="504" xr:uid="{D0628C53-9B73-4B1D-850D-23A10F9E1B72}"/>
    <cellStyle name="Comma 46 29" xfId="120" xr:uid="{B8EB6862-CC8F-4769-92D0-9A5DABAC5B1B}"/>
    <cellStyle name="Comma 46 29 2" xfId="505" xr:uid="{F0C206E6-CF7F-47D9-B352-C39905DA3916}"/>
    <cellStyle name="Comma 46 3" xfId="121" xr:uid="{EFC53DB2-A006-4DFA-A346-81B0ADAC5BE5}"/>
    <cellStyle name="Comma 46 3 2" xfId="506" xr:uid="{D9074D85-0C3C-42F3-9FF2-08B70E4EA784}"/>
    <cellStyle name="Comma 46 30" xfId="122" xr:uid="{AF0E8D78-C1F5-4C8E-A77B-8AEF6F03DE58}"/>
    <cellStyle name="Comma 46 30 2" xfId="507" xr:uid="{7D38ACE3-2510-4F5F-8E5D-108AB1C550D4}"/>
    <cellStyle name="Comma 46 31" xfId="450" xr:uid="{F0AF567F-6957-49A8-B5A1-DD13454C789A}"/>
    <cellStyle name="Comma 46 4" xfId="123" xr:uid="{F8EF6873-6FA5-4A4C-8D43-52B2FC6B4A61}"/>
    <cellStyle name="Comma 46 4 2" xfId="508" xr:uid="{6C4E4369-12D8-4CA2-A418-1082223453D2}"/>
    <cellStyle name="Comma 46 5" xfId="124" xr:uid="{A8EDDDFC-6AE6-4139-ADEA-5961D6501D58}"/>
    <cellStyle name="Comma 46 5 2" xfId="509" xr:uid="{132C9FA3-D00D-4491-A43E-368D4EE95F5E}"/>
    <cellStyle name="Comma 46 6" xfId="125" xr:uid="{8BA59770-1824-49AA-89F6-1518E2FCE7D6}"/>
    <cellStyle name="Comma 46 6 2" xfId="510" xr:uid="{2E5BBEF2-8A3B-4FCE-9080-7BED8FF6A84B}"/>
    <cellStyle name="Comma 46 7" xfId="126" xr:uid="{E99B41C9-2FD4-4784-AE3B-95C624647067}"/>
    <cellStyle name="Comma 46 7 2" xfId="511" xr:uid="{BA1E050A-A116-42B3-893E-C6977C18C958}"/>
    <cellStyle name="Comma 46 8" xfId="127" xr:uid="{8282159B-81E7-4463-97B0-19B147CAB0DC}"/>
    <cellStyle name="Comma 46 8 2" xfId="512" xr:uid="{A24E4709-E592-47FF-AC68-221D6BB97570}"/>
    <cellStyle name="Comma 46 9" xfId="128" xr:uid="{E4821233-10E4-4159-ACF5-EA31B10B945A}"/>
    <cellStyle name="Comma 46 9 2" xfId="513" xr:uid="{9EBC4D1F-E173-4036-94D7-5124BA72C93E}"/>
    <cellStyle name="Comma 5" xfId="43" xr:uid="{2F046570-581E-43D4-BDDD-B712D90311EC}"/>
    <cellStyle name="Comma 6" xfId="44" xr:uid="{ED03FC47-C25C-46A4-A633-3A0613D573B3}"/>
    <cellStyle name="Comma 6 2" xfId="451" xr:uid="{65D3D095-7077-4A90-8C7A-25825F63E6F8}"/>
    <cellStyle name="Comma 7" xfId="45" xr:uid="{989C1733-E71F-4B12-9308-64FB8D44A536}"/>
    <cellStyle name="Comma 7 2" xfId="452" xr:uid="{A6D3A278-8C17-442F-85EB-30ED1391C9D7}"/>
    <cellStyle name="Comma 8" xfId="46" xr:uid="{419D5A0F-22DA-4BC9-9EC2-CF0F148FF912}"/>
    <cellStyle name="Comma 8 2" xfId="453" xr:uid="{220C4000-FC45-46AF-9338-58F69D2B2F53}"/>
    <cellStyle name="Comma 9" xfId="405" xr:uid="{0A760CD5-0C9E-41A3-9038-3CFB7E82709D}"/>
    <cellStyle name="Currency 2" xfId="129" xr:uid="{1CFCDD60-9006-4ECF-8CA6-321B181B28FE}"/>
    <cellStyle name="Currency 2 2" xfId="514" xr:uid="{BC8B8BEC-5C65-421D-8C63-49FDF6F13553}"/>
    <cellStyle name="Currency 3" xfId="130" xr:uid="{0ECCA74D-880F-4B26-81F8-F7B10F309D3C}"/>
    <cellStyle name="Currency 3 2" xfId="515" xr:uid="{079F8B77-73A2-4159-89B4-7835A2CF3665}"/>
    <cellStyle name="Euro" xfId="131" xr:uid="{9DE38CE2-6669-4D49-9771-75F535AF386F}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1" builtinId="20" customBuiltin="1"/>
    <cellStyle name="Linked Cell" xfId="14" builtinId="24" customBuiltin="1"/>
    <cellStyle name="Neutral 2" xfId="390" xr:uid="{872C3257-9C78-4CBC-922D-F6F39BC3A215}"/>
    <cellStyle name="Normal" xfId="0" builtinId="0"/>
    <cellStyle name="Normal 10" xfId="132" xr:uid="{6EF29E7F-B6A9-4DF7-A50B-3DF46A14F78A}"/>
    <cellStyle name="Normal 10 2" xfId="3" xr:uid="{0659EA68-4221-495B-82A2-D9BD8E5B1822}"/>
    <cellStyle name="Normal 10 3" xfId="406" xr:uid="{12292F61-201C-47FD-B7F3-9F349713760D}"/>
    <cellStyle name="Normal 11" xfId="397" xr:uid="{465F9FA2-34DB-410E-B0FB-E03D9864ADCF}"/>
    <cellStyle name="Normal 11 2" xfId="398" xr:uid="{785DA693-E10E-489F-BC76-5D8040C0872A}"/>
    <cellStyle name="Normal 11 2 2" xfId="408" xr:uid="{0E04073C-8053-4A6E-9C41-4A5724D05959}"/>
    <cellStyle name="Normal 11 3" xfId="407" xr:uid="{3DE86D61-AD1A-4C69-B4E1-3E4C39AB500F}"/>
    <cellStyle name="Normal 12" xfId="409" xr:uid="{44F5CDBF-936C-46CD-AFCD-6B897DD13DB0}"/>
    <cellStyle name="Normal 13" xfId="410" xr:uid="{71CFFA27-5846-4D9C-8DD6-B60F640A4B6F}"/>
    <cellStyle name="Normal 13 2" xfId="411" xr:uid="{C93119C9-5B45-4439-862C-743E516E1F55}"/>
    <cellStyle name="Normal 14" xfId="412" xr:uid="{6DBA4AEA-6993-4592-B2C1-9D777CCD3BC4}"/>
    <cellStyle name="Normal 15" xfId="413" xr:uid="{62081BA0-CD5E-44E1-92E0-21CD905ACE58}"/>
    <cellStyle name="Normal 15 2" xfId="4" xr:uid="{43DAAD3D-BF27-46FA-A39E-086D6331CD5D}"/>
    <cellStyle name="Normal 16" xfId="414" xr:uid="{A15ED252-0022-4F67-8D0B-B44248C139CF}"/>
    <cellStyle name="Normal 17" xfId="415" xr:uid="{F6E6B4D4-65BC-46B2-BDF8-AEEC7C74B8EA}"/>
    <cellStyle name="Normal 18" xfId="416" xr:uid="{0291A738-479A-43D3-ADF0-C3E1189C8982}"/>
    <cellStyle name="Normal 19" xfId="401" xr:uid="{2E973CBC-1FC2-4CEA-A2D1-198F203FB6F0}"/>
    <cellStyle name="Normal 2" xfId="2" xr:uid="{DF87EDFA-42B2-4A67-9B9F-31789A40C196}"/>
    <cellStyle name="Normal 2 10" xfId="133" xr:uid="{FEE7D81E-4B94-4D8D-8A05-BEB47742D4E2}"/>
    <cellStyle name="Normal 2 10 2" xfId="417" xr:uid="{909A80F2-44AC-489D-90A8-A625FABB0CA6}"/>
    <cellStyle name="Normal 2 11" xfId="134" xr:uid="{B446DDCE-98C7-41BD-BE63-3A96A50A1B32}"/>
    <cellStyle name="Normal 2 11 2" xfId="418" xr:uid="{516887F7-EF55-42FD-816B-008593993193}"/>
    <cellStyle name="Normal 2 12" xfId="135" xr:uid="{E421FF7E-10CC-485C-BF94-4E433D5FFC32}"/>
    <cellStyle name="Normal 2 12 2" xfId="419" xr:uid="{A2458EF3-F853-4846-A188-60BB5E71A1DF}"/>
    <cellStyle name="Normal 2 13" xfId="136" xr:uid="{6312AB2C-DA72-4C8D-BFF9-7C989C212708}"/>
    <cellStyle name="Normal 2 13 2" xfId="420" xr:uid="{D47226F2-4D64-4FAE-AF90-9344CDFDD8C8}"/>
    <cellStyle name="Normal 2 14" xfId="137" xr:uid="{26695C7C-385F-4FF3-B1FA-9C69B87022B5}"/>
    <cellStyle name="Normal 2 15" xfId="138" xr:uid="{33AFB62F-BA3E-4B19-9FF2-06232016584D}"/>
    <cellStyle name="Normal 2 16" xfId="139" xr:uid="{8B8EFC95-E3DC-4B0B-A932-A9B458244D56}"/>
    <cellStyle name="Normal 2 17" xfId="140" xr:uid="{9DFA09BF-ADC2-4E5D-9E90-944A0037452D}"/>
    <cellStyle name="Normal 2 18" xfId="141" xr:uid="{5FF97BAA-DD83-489D-954E-F440C3C96865}"/>
    <cellStyle name="Normal 2 19" xfId="142" xr:uid="{D744E80D-0351-47E7-AE70-BF54CAE27B05}"/>
    <cellStyle name="Normal 2 2" xfId="48" xr:uid="{DD9C7CC1-372E-4AE1-9B60-9CD4AE74A3E2}"/>
    <cellStyle name="Normal 2 2 2" xfId="49" xr:uid="{07CC1AB6-3EAE-4D7A-8E5C-28AA422A3B6B}"/>
    <cellStyle name="Normal 2 2 3" xfId="421" xr:uid="{70F40C95-0282-4C36-B42C-D17666158DDA}"/>
    <cellStyle name="Normal 2 2 4" xfId="422" xr:uid="{2CC23E6F-999A-4AE3-A101-CA15C04099A1}"/>
    <cellStyle name="Normal 2 2 5" xfId="423" xr:uid="{C68E2A76-1B5D-43ED-8C6F-DE4043D4D40A}"/>
    <cellStyle name="Normal 2 2 6" xfId="424" xr:uid="{CEE0484E-5447-4DB1-9C89-295900906BA5}"/>
    <cellStyle name="Normal 2 20" xfId="143" xr:uid="{155ED259-AD9C-4F51-B08B-615F6D7007FC}"/>
    <cellStyle name="Normal 2 21" xfId="144" xr:uid="{748360DD-CAE5-48C2-96DC-4308D566DC4C}"/>
    <cellStyle name="Normal 2 22" xfId="145" xr:uid="{94B28631-238E-4E72-BE57-923A8A6ABF5F}"/>
    <cellStyle name="Normal 2 23" xfId="146" xr:uid="{67BC180A-E9A6-4DEA-84A4-BBA692FF1C16}"/>
    <cellStyle name="Normal 2 24" xfId="147" xr:uid="{1D4C83CE-8E31-4603-905F-AD0935111FD8}"/>
    <cellStyle name="Normal 2 25" xfId="148" xr:uid="{4C73F5BF-81D6-4B43-8E32-38EED386C3AF}"/>
    <cellStyle name="Normal 2 26" xfId="149" xr:uid="{A0DF2D48-B986-459B-BEF7-21F558987A6C}"/>
    <cellStyle name="Normal 2 27" xfId="150" xr:uid="{811A8001-46C2-413D-B917-CB468BECEBAB}"/>
    <cellStyle name="Normal 2 28" xfId="151" xr:uid="{181FB463-E916-4D88-AFFC-3DB0C2638E0C}"/>
    <cellStyle name="Normal 2 29" xfId="152" xr:uid="{B71D1431-2B46-44B4-B2ED-F8257EEA8D0A}"/>
    <cellStyle name="Normal 2 3" xfId="50" xr:uid="{4934EBD1-1481-45B0-9F83-B1B8E997C32E}"/>
    <cellStyle name="Normal 2 3 2" xfId="153" xr:uid="{AB2D4561-AAF5-499F-806C-FDD89B609A30}"/>
    <cellStyle name="Normal 2 30" xfId="154" xr:uid="{E1030DF7-228A-42D5-B3E5-2732B562BCEA}"/>
    <cellStyle name="Normal 2 31" xfId="155" xr:uid="{4A5B47F9-EACC-4568-A2CF-F6E375FD237D}"/>
    <cellStyle name="Normal 2 32" xfId="47" xr:uid="{500411AD-BA09-4791-8369-AE6BE9BA586F}"/>
    <cellStyle name="Normal 2 4" xfId="156" xr:uid="{A150CCC9-3D1E-4593-B90D-A9F9D24D3A02}"/>
    <cellStyle name="Normal 2 4 2" xfId="157" xr:uid="{169C3413-575C-4776-A16D-7E01C6428438}"/>
    <cellStyle name="Normal 2 5" xfId="158" xr:uid="{427D5270-FABC-4CAB-8B42-D0670EFAD93E}"/>
    <cellStyle name="Normal 2 5 2" xfId="159" xr:uid="{C1E42BB5-1E12-47E0-8E73-ACA01EE48C9F}"/>
    <cellStyle name="Normal 2 6" xfId="160" xr:uid="{A0ABC243-44F0-4638-A70D-55B2D1CCD002}"/>
    <cellStyle name="Normal 2 6 2" xfId="161" xr:uid="{D8163C8F-030A-42A1-8D67-ECDE792276B2}"/>
    <cellStyle name="Normal 2 7" xfId="162" xr:uid="{B441F5E3-A914-4322-B926-7731D0BD2EB5}"/>
    <cellStyle name="Normal 2 7 2" xfId="163" xr:uid="{7AC8AEB2-0C71-4856-8EC4-2975147F5394}"/>
    <cellStyle name="Normal 2 8" xfId="164" xr:uid="{6326C39D-9284-4062-8757-3ADF1FC30A0F}"/>
    <cellStyle name="Normal 2 8 2" xfId="425" xr:uid="{6CC64302-8584-4E39-8070-5F225C183978}"/>
    <cellStyle name="Normal 2 9" xfId="165" xr:uid="{408E8BD8-2274-41D3-9E3E-4445BE34E1B3}"/>
    <cellStyle name="Normal 2 9 2" xfId="426" xr:uid="{718DEFD3-4857-42A4-A381-54E59C412BBD}"/>
    <cellStyle name="Normal 20" xfId="427" xr:uid="{8BDA7286-003E-492C-BA9E-8BB51BCF70E8}"/>
    <cellStyle name="Normal 3" xfId="1" xr:uid="{ABF30E5B-B690-4ACC-B7EA-E6B7292E2881}"/>
    <cellStyle name="Normal 3 10" xfId="166" xr:uid="{A03CB38F-2905-425F-811E-544E906C1ACA}"/>
    <cellStyle name="Normal 3 11" xfId="167" xr:uid="{E7EDA6A0-2DE5-4D68-939B-47766ED764E3}"/>
    <cellStyle name="Normal 3 11 2" xfId="168" xr:uid="{13A3524E-3F24-4D66-A8E9-D3BCD82C802D}"/>
    <cellStyle name="Normal 3 12" xfId="169" xr:uid="{9F74EAB4-02A9-4AF4-BBE2-14D6B2740D4A}"/>
    <cellStyle name="Normal 3 12 2" xfId="170" xr:uid="{1C3EB138-5DA2-4CAB-883F-5E8A4E110E31}"/>
    <cellStyle name="Normal 3 13" xfId="171" xr:uid="{9CA10CE7-A534-4C8C-910E-FC916525176F}"/>
    <cellStyle name="Normal 3 14" xfId="172" xr:uid="{60E5407A-312F-45DB-950C-A6F0B445D803}"/>
    <cellStyle name="Normal 3 15" xfId="173" xr:uid="{84ADE3ED-2195-4EFE-BD79-B4CDEF9B36DB}"/>
    <cellStyle name="Normal 3 16" xfId="174" xr:uid="{E3544668-33D5-4373-B20C-D0EB7B2E3E59}"/>
    <cellStyle name="Normal 3 17" xfId="175" xr:uid="{7CBC636F-0351-48B9-AD28-52D974C6AFE2}"/>
    <cellStyle name="Normal 3 18" xfId="176" xr:uid="{28F62BC7-3544-418B-991D-FA14AFA6B587}"/>
    <cellStyle name="Normal 3 19" xfId="177" xr:uid="{71442C52-12B6-41A4-9953-C8C8D1C5C607}"/>
    <cellStyle name="Normal 3 2" xfId="178" xr:uid="{6CF9C88E-0D11-49CF-AF64-0E53609C73E6}"/>
    <cellStyle name="Normal 3 2 2" xfId="428" xr:uid="{3195D804-C0A2-4472-B058-41C86D89162F}"/>
    <cellStyle name="Normal 3 20" xfId="179" xr:uid="{16634938-8BBC-4D87-A8B6-D43D3C64CD7A}"/>
    <cellStyle name="Normal 3 21" xfId="180" xr:uid="{CAC84209-E3CF-432D-BC52-48F0DF64AA85}"/>
    <cellStyle name="Normal 3 22" xfId="181" xr:uid="{AF6A5F76-73B7-4D7E-B295-AAE0DAFCD409}"/>
    <cellStyle name="Normal 3 23" xfId="182" xr:uid="{77D25626-2427-467D-984E-F81CAB74410D}"/>
    <cellStyle name="Normal 3 24" xfId="183" xr:uid="{0B5E90E9-F09F-4789-B46B-FDABCE1D84EC}"/>
    <cellStyle name="Normal 3 25" xfId="184" xr:uid="{283B370E-EA8A-4E74-957F-7D027ECE6871}"/>
    <cellStyle name="Normal 3 26" xfId="185" xr:uid="{F405E85E-9803-454D-9B86-C561C230C58D}"/>
    <cellStyle name="Normal 3 27" xfId="186" xr:uid="{CF6C8C04-6A49-4EDC-A1D5-E8B087F002B0}"/>
    <cellStyle name="Normal 3 28" xfId="187" xr:uid="{5505CE32-7664-43B4-8F57-157DF8A79692}"/>
    <cellStyle name="Normal 3 29" xfId="188" xr:uid="{AE90A16D-6D96-4BEA-ABCD-A8EFB2A4BAC5}"/>
    <cellStyle name="Normal 3 3" xfId="189" xr:uid="{2D919567-0F55-4207-A989-4330AE6996FC}"/>
    <cellStyle name="Normal 3 30" xfId="190" xr:uid="{62A3E040-3F3C-4646-989D-7A8DC238120F}"/>
    <cellStyle name="Normal 3 4" xfId="191" xr:uid="{6C6C497E-61C6-4B52-8753-779FF4F80653}"/>
    <cellStyle name="Normal 3 5" xfId="192" xr:uid="{C58A0D12-3CE8-4230-807B-B9313FB0B624}"/>
    <cellStyle name="Normal 3 6" xfId="193" xr:uid="{C881A4B1-11E3-49C2-9016-EFEDEEE64F25}"/>
    <cellStyle name="Normal 3 7" xfId="194" xr:uid="{1221307E-A13D-45E2-8F09-39F36682309B}"/>
    <cellStyle name="Normal 3 8" xfId="195" xr:uid="{358C7536-A0BD-4037-ADB1-8FA2A4AB3FF2}"/>
    <cellStyle name="Normal 3 9" xfId="196" xr:uid="{548AD856-7BC2-4A2B-9A9D-ACF1CDB268C5}"/>
    <cellStyle name="Normal 4" xfId="51" xr:uid="{8C24C274-158C-412B-9A95-4764CA814CE8}"/>
    <cellStyle name="Normal 4 10" xfId="197" xr:uid="{E38E599F-5E62-4F08-A6C2-75DAB48A243F}"/>
    <cellStyle name="Normal 4 11" xfId="198" xr:uid="{6355A353-2D95-4EA8-AF92-92FE6CF111EB}"/>
    <cellStyle name="Normal 4 12" xfId="199" xr:uid="{7C55D47E-B275-416C-89DD-867C1C7CBAE7}"/>
    <cellStyle name="Normal 4 13" xfId="200" xr:uid="{E2A3DCE8-86E4-4352-8997-322F1A011437}"/>
    <cellStyle name="Normal 4 14" xfId="201" xr:uid="{4C19EB07-6D8E-4C48-A454-166CB5567131}"/>
    <cellStyle name="Normal 4 15" xfId="202" xr:uid="{24826A58-C214-4931-B547-D71FDC8852F1}"/>
    <cellStyle name="Normal 4 16" xfId="203" xr:uid="{F80DF6B4-B15F-4E40-B46E-907A2B4AFCFD}"/>
    <cellStyle name="Normal 4 17" xfId="204" xr:uid="{591A32BA-90D1-4255-BA8B-FF112AE3FCC7}"/>
    <cellStyle name="Normal 4 18" xfId="205" xr:uid="{2DE8A2BF-7C0B-4DFB-B5EB-3BD0B99320CC}"/>
    <cellStyle name="Normal 4 19" xfId="206" xr:uid="{08F9CBD7-D973-441C-8DDD-9E5290A8FC92}"/>
    <cellStyle name="Normal 4 2" xfId="207" xr:uid="{D40DA1B9-B2F5-4DCA-B744-E5D1312E4595}"/>
    <cellStyle name="Normal 4 2 2" xfId="429" xr:uid="{32B71EB2-964E-40AC-933D-71CA28EAFE1D}"/>
    <cellStyle name="Normal 4 20" xfId="208" xr:uid="{5C0F8878-524C-4338-A692-2A9F5480BFEE}"/>
    <cellStyle name="Normal 4 21" xfId="209" xr:uid="{3EA176EC-A783-4871-9E9E-C9EA1BDE4AF0}"/>
    <cellStyle name="Normal 4 22" xfId="210" xr:uid="{880AB70B-42C4-468B-ADC6-DF17B115EFAE}"/>
    <cellStyle name="Normal 4 23" xfId="211" xr:uid="{FD21EC4D-F305-494B-B5D7-3D19B9EB5B9F}"/>
    <cellStyle name="Normal 4 24" xfId="212" xr:uid="{E50C1269-2369-4B7E-ABE5-D9836692A483}"/>
    <cellStyle name="Normal 4 25" xfId="213" xr:uid="{490A5667-245B-454B-8817-B020E5D355B7}"/>
    <cellStyle name="Normal 4 26" xfId="214" xr:uid="{06866973-44E9-40CB-A5A3-E97BC2840086}"/>
    <cellStyle name="Normal 4 27" xfId="215" xr:uid="{DE4033EA-6626-49C3-84BD-8EEAC46B9FF1}"/>
    <cellStyle name="Normal 4 28" xfId="216" xr:uid="{BE887009-3919-48A7-B79C-D07FBCE33712}"/>
    <cellStyle name="Normal 4 29" xfId="217" xr:uid="{504AAF18-DA6D-4008-AD66-D9DDB3C65FED}"/>
    <cellStyle name="Normal 4 3" xfId="218" xr:uid="{47EDDE90-0E65-4209-9808-5EF5729A24F9}"/>
    <cellStyle name="Normal 4 30" xfId="219" xr:uid="{EE6A469A-9411-4AB0-AFDB-86A0862B2D9C}"/>
    <cellStyle name="Normal 4 4" xfId="220" xr:uid="{DBB901B2-0347-4D3E-B256-8E9E752E37C1}"/>
    <cellStyle name="Normal 4 5" xfId="221" xr:uid="{AA73369E-800D-4845-B4EF-F9778B839B02}"/>
    <cellStyle name="Normal 4 6" xfId="222" xr:uid="{CEC20B1B-75D7-4D6D-9B5D-67F960D5DDA1}"/>
    <cellStyle name="Normal 4 7" xfId="223" xr:uid="{36D3A86B-6F57-4DB1-A825-8087C7B9EC5D}"/>
    <cellStyle name="Normal 4 8" xfId="224" xr:uid="{D0B2C1B2-C0F5-4E73-9F17-5E525D87B971}"/>
    <cellStyle name="Normal 4 9" xfId="225" xr:uid="{DCB824D0-6E66-4EDB-AAF3-261BE329274D}"/>
    <cellStyle name="Normal 40" xfId="52" xr:uid="{156C3411-C24A-4824-B168-FE84AB3C2BA4}"/>
    <cellStyle name="Normal 40 10" xfId="226" xr:uid="{34D38820-5135-4099-8357-DFA2756C2F94}"/>
    <cellStyle name="Normal 40 11" xfId="227" xr:uid="{2044E201-C560-4975-915C-333046874490}"/>
    <cellStyle name="Normal 40 12" xfId="228" xr:uid="{208B421A-EEE7-44C1-8EA4-9D50F9173084}"/>
    <cellStyle name="Normal 40 13" xfId="229" xr:uid="{6535534E-6508-4C29-8A81-7D161A6A4CA8}"/>
    <cellStyle name="Normal 40 2" xfId="53" xr:uid="{2135B417-D43D-47BC-B6AF-47D886787C9F}"/>
    <cellStyle name="Normal 40 3" xfId="230" xr:uid="{082CB93C-FC6E-4C76-AF9F-C206E2B9AB51}"/>
    <cellStyle name="Normal 40 4" xfId="231" xr:uid="{2D148741-953E-4C2A-AC45-B60231556F17}"/>
    <cellStyle name="Normal 40 5" xfId="232" xr:uid="{C19EC0F4-169F-4EA2-88F4-1B2982C2FA3C}"/>
    <cellStyle name="Normal 40 6" xfId="233" xr:uid="{B8EADFEB-F0B1-4649-AB8E-2D51D16E5130}"/>
    <cellStyle name="Normal 40 7" xfId="234" xr:uid="{67E42D0A-7EAA-4F93-B198-47B1129B3719}"/>
    <cellStyle name="Normal 40 8" xfId="235" xr:uid="{093E8C74-A023-499A-A47C-C30F48F84334}"/>
    <cellStyle name="Normal 40 9" xfId="236" xr:uid="{98361D5F-A469-44BE-9363-F38EA86C304B}"/>
    <cellStyle name="Normal 48" xfId="430" xr:uid="{57BDED3B-F823-4723-A043-367F19C169EB}"/>
    <cellStyle name="Normal 5" xfId="54" xr:uid="{F1331B31-4E5F-45AB-AB4E-A4D9694867C1}"/>
    <cellStyle name="Normal 5 10" xfId="237" xr:uid="{24AE39A5-2093-4F49-97E1-FBE6604CAAD4}"/>
    <cellStyle name="Normal 5 11" xfId="238" xr:uid="{302FD7D3-D842-4F3B-A607-8828DA0B996C}"/>
    <cellStyle name="Normal 5 12" xfId="239" xr:uid="{029CB14A-8326-44B5-B08D-3BC66CDA3522}"/>
    <cellStyle name="Normal 5 13" xfId="240" xr:uid="{1A0015F2-AB04-4691-A4E3-D8C98DDB8AC7}"/>
    <cellStyle name="Normal 5 14" xfId="241" xr:uid="{56FDF2BE-B54A-4B29-B658-138715106CE7}"/>
    <cellStyle name="Normal 5 15" xfId="242" xr:uid="{22F5C580-1CAD-4969-B7BB-D08B5CC024AC}"/>
    <cellStyle name="Normal 5 16" xfId="243" xr:uid="{4A37360D-CB82-4F86-9430-D89714FEECD3}"/>
    <cellStyle name="Normal 5 17" xfId="244" xr:uid="{3E6813D9-12B7-4424-B8B0-453B09699C8F}"/>
    <cellStyle name="Normal 5 18" xfId="245" xr:uid="{E32E6FFE-FE83-44F3-8563-99D25A406925}"/>
    <cellStyle name="Normal 5 19" xfId="246" xr:uid="{DF4197C6-E83B-4F33-AE6E-95A206D06229}"/>
    <cellStyle name="Normal 5 2" xfId="247" xr:uid="{77492F67-3682-4C89-A796-7D4D95C3BC14}"/>
    <cellStyle name="Normal 5 20" xfId="248" xr:uid="{7F7D0D8A-1DC5-4734-A22E-1E5CB6E6F751}"/>
    <cellStyle name="Normal 5 21" xfId="249" xr:uid="{91AD8BBE-5499-4BDF-8C4C-05C9FB86A9EC}"/>
    <cellStyle name="Normal 5 22" xfId="250" xr:uid="{257827C7-FD7F-43FF-9038-861E42FC778C}"/>
    <cellStyle name="Normal 5 23" xfId="251" xr:uid="{E5F645B4-92DD-40AD-B92D-9E0D5A2383D1}"/>
    <cellStyle name="Normal 5 24" xfId="252" xr:uid="{8D1437A6-502B-4491-85F4-D9142593F574}"/>
    <cellStyle name="Normal 5 25" xfId="253" xr:uid="{3BED74B7-3A1C-4B08-88F9-02844E86BDA7}"/>
    <cellStyle name="Normal 5 26" xfId="254" xr:uid="{8FE25625-590E-4DA1-BDCE-A842FE91EF86}"/>
    <cellStyle name="Normal 5 27" xfId="255" xr:uid="{C5FD4ED1-66A9-40B1-827A-37C885396C1A}"/>
    <cellStyle name="Normal 5 28" xfId="256" xr:uid="{CDE32072-EA5B-4498-A822-3EF5DEFA3A32}"/>
    <cellStyle name="Normal 5 29" xfId="257" xr:uid="{D460BB64-1A5A-450E-9EA8-6B872CC6343D}"/>
    <cellStyle name="Normal 5 3" xfId="258" xr:uid="{F6D9D108-5C92-44A1-93E3-3A58AD8D65F3}"/>
    <cellStyle name="Normal 5 30" xfId="259" xr:uid="{BFDF4439-FBC9-411E-A611-D90F3F52887C}"/>
    <cellStyle name="Normal 5 31" xfId="400" xr:uid="{84860192-A68C-4859-8693-27A19D940E79}"/>
    <cellStyle name="Normal 5 4" xfId="260" xr:uid="{8E952CD1-1520-45A7-A829-4F02A6988619}"/>
    <cellStyle name="Normal 5 5" xfId="261" xr:uid="{C544BC4A-7F48-4F8E-B16F-C0113CF96478}"/>
    <cellStyle name="Normal 5 6" xfId="262" xr:uid="{F2694FB8-E941-403B-B31B-ACAFBB759F5D}"/>
    <cellStyle name="Normal 5 7" xfId="263" xr:uid="{EB0A1E26-B794-4A2B-BED9-144D2AD994D0}"/>
    <cellStyle name="Normal 5 8" xfId="264" xr:uid="{C5A2C2D3-D90E-49C1-8309-BA6D5EBAA654}"/>
    <cellStyle name="Normal 5 9" xfId="265" xr:uid="{DCC7AE0F-95EA-4FD9-9632-81D106FEE224}"/>
    <cellStyle name="Normal 6" xfId="55" xr:uid="{9FE9E8B9-8EA1-4450-946B-CB1E97613205}"/>
    <cellStyle name="Normal 6 10" xfId="266" xr:uid="{0B7C8B13-EAEF-4A0B-88D4-C0AB4AC093F8}"/>
    <cellStyle name="Normal 6 11" xfId="267" xr:uid="{94B9DBEC-3E2E-41DA-9AC7-74AFEABE5482}"/>
    <cellStyle name="Normal 6 12" xfId="268" xr:uid="{0AC145F8-F441-4966-8CFB-1381095F684D}"/>
    <cellStyle name="Normal 6 13" xfId="269" xr:uid="{F2ECB952-0A8C-4639-A98E-DA4AD26DDE53}"/>
    <cellStyle name="Normal 6 14" xfId="270" xr:uid="{FAB4FB52-65B0-49BE-A9BC-45572DBB7401}"/>
    <cellStyle name="Normal 6 15" xfId="271" xr:uid="{102D9A13-95B3-4DA0-A8C1-EC9FFBA1AADA}"/>
    <cellStyle name="Normal 6 16" xfId="272" xr:uid="{A92F92BB-23BB-44F2-AFDB-46CA587E92B5}"/>
    <cellStyle name="Normal 6 17" xfId="273" xr:uid="{BECE60A6-4DA6-42C6-9A07-161330D9A735}"/>
    <cellStyle name="Normal 6 18" xfId="274" xr:uid="{212077F0-39B8-4B6F-BC61-86962330F64D}"/>
    <cellStyle name="Normal 6 19" xfId="275" xr:uid="{82580A1E-057C-4A7F-A050-2BDBFD35E6D7}"/>
    <cellStyle name="Normal 6 2" xfId="276" xr:uid="{9C7F6A83-EB4F-47E6-A61E-BE0430BD3654}"/>
    <cellStyle name="Normal 6 2 2" xfId="431" xr:uid="{225EAAE5-CF31-4D39-BB17-AB5B181568AA}"/>
    <cellStyle name="Normal 6 20" xfId="277" xr:uid="{16060D68-517B-4B1A-A271-00C8188FF28E}"/>
    <cellStyle name="Normal 6 21" xfId="278" xr:uid="{24D26EA2-FB7B-48E5-867B-B9451DFC124E}"/>
    <cellStyle name="Normal 6 22" xfId="279" xr:uid="{0C345AC6-3D62-4D10-AEDE-42489CD0E13E}"/>
    <cellStyle name="Normal 6 23" xfId="280" xr:uid="{3154366C-50E7-4F11-9BD1-7DC8931726C9}"/>
    <cellStyle name="Normal 6 24" xfId="281" xr:uid="{B5F9F6D4-670C-49CE-81EA-CA467471FFC0}"/>
    <cellStyle name="Normal 6 25" xfId="282" xr:uid="{6B736409-BCB8-47F6-9191-5E7F517764D4}"/>
    <cellStyle name="Normal 6 26" xfId="283" xr:uid="{E5B9694A-229A-4105-AC45-E1CBE832D5B4}"/>
    <cellStyle name="Normal 6 27" xfId="284" xr:uid="{B31D9FF5-C2F2-4BB7-AF58-F014793E4455}"/>
    <cellStyle name="Normal 6 28" xfId="285" xr:uid="{3D30244E-DC65-44F3-B42F-FBD4770695C3}"/>
    <cellStyle name="Normal 6 29" xfId="286" xr:uid="{5E218CB9-FA7B-4DC9-821F-0EE662D1D73C}"/>
    <cellStyle name="Normal 6 3" xfId="287" xr:uid="{953FF292-EE5A-4972-B18E-4F5E0A0ADD3C}"/>
    <cellStyle name="Normal 6 30" xfId="288" xr:uid="{48BC3109-41F8-435A-A670-6EB91F9BB2A5}"/>
    <cellStyle name="Normal 6 4" xfId="289" xr:uid="{5951074A-876A-416F-91DE-6F89576E61D8}"/>
    <cellStyle name="Normal 6 4 2" xfId="432" xr:uid="{38F33AE6-E6FE-45A5-8441-D3C1BE511126}"/>
    <cellStyle name="Normal 6 5" xfId="290" xr:uid="{4ED303F2-B95D-4E11-84B4-9113151E3928}"/>
    <cellStyle name="Normal 6 6" xfId="291" xr:uid="{53A3FAEC-429C-4DBB-9461-28102B1BE4FA}"/>
    <cellStyle name="Normal 6 7" xfId="292" xr:uid="{8299CEE5-E877-486B-B331-1BE57C22D944}"/>
    <cellStyle name="Normal 6 8" xfId="293" xr:uid="{FE216E1D-4AF6-4F14-BE88-94EF3850389B}"/>
    <cellStyle name="Normal 6 9" xfId="294" xr:uid="{705021E5-2B7F-4682-B2F4-668D0370B5AE}"/>
    <cellStyle name="Normal 7" xfId="56" xr:uid="{06687B75-FC47-4465-9BE5-3A09656A8161}"/>
    <cellStyle name="Normal 7 10" xfId="295" xr:uid="{B75E219B-EFFD-49CA-8CB8-2E3BCBC2F861}"/>
    <cellStyle name="Normal 7 11" xfId="296" xr:uid="{276A705E-75C9-4E55-ACB2-AE0FFE80001A}"/>
    <cellStyle name="Normal 7 12" xfId="297" xr:uid="{A378A6B8-F84C-4BFC-A234-49EC4B799FC3}"/>
    <cellStyle name="Normal 7 13" xfId="298" xr:uid="{CAE07770-6CD0-451F-9D8C-4850E3A7AFD8}"/>
    <cellStyle name="Normal 7 14" xfId="299" xr:uid="{0F4E9137-0714-490B-8763-454F9867DB6B}"/>
    <cellStyle name="Normal 7 15" xfId="300" xr:uid="{9A3DA43C-37FA-4064-ADCD-287B81D9965C}"/>
    <cellStyle name="Normal 7 16" xfId="301" xr:uid="{FABD3BA9-93D1-4DCC-B4A9-6B70A6F448F0}"/>
    <cellStyle name="Normal 7 17" xfId="302" xr:uid="{A32269A3-E3C4-42DC-AF3B-B25D6BAE359F}"/>
    <cellStyle name="Normal 7 18" xfId="303" xr:uid="{50A8D5D4-A58B-4D39-A6D0-5509EF9B5341}"/>
    <cellStyle name="Normal 7 19" xfId="304" xr:uid="{918F6E9A-DE00-4731-B0EF-00052C814764}"/>
    <cellStyle name="Normal 7 2" xfId="305" xr:uid="{3E28FB80-3EE4-4324-A6E5-72EA6987CFDD}"/>
    <cellStyle name="Normal 7 20" xfId="306" xr:uid="{7B529AEF-4F65-49BB-8F92-91244C0FB533}"/>
    <cellStyle name="Normal 7 21" xfId="307" xr:uid="{DB5D981D-29C9-4937-B862-B4C4A65C44F2}"/>
    <cellStyle name="Normal 7 22" xfId="308" xr:uid="{06ED6B1F-1A33-475A-B3BD-CFFD655B420D}"/>
    <cellStyle name="Normal 7 23" xfId="309" xr:uid="{FEC8512A-2215-43B9-B42C-E72CD3B83890}"/>
    <cellStyle name="Normal 7 24" xfId="310" xr:uid="{41C605AB-7AA5-470D-9915-48B2E6E6A5F8}"/>
    <cellStyle name="Normal 7 25" xfId="311" xr:uid="{03CD3968-3029-4946-BDAC-D6549D82EE59}"/>
    <cellStyle name="Normal 7 26" xfId="312" xr:uid="{FD2C3D27-A500-4608-8FEA-CF64428B6E05}"/>
    <cellStyle name="Normal 7 27" xfId="313" xr:uid="{2D297FAE-B6E8-4F3E-B2D6-39A716371627}"/>
    <cellStyle name="Normal 7 28" xfId="314" xr:uid="{5BC1E56D-C12E-42B2-8A69-A904D74447AA}"/>
    <cellStyle name="Normal 7 29" xfId="315" xr:uid="{205CCDB8-15B4-440A-ABD4-D915A2A3196C}"/>
    <cellStyle name="Normal 7 3" xfId="316" xr:uid="{B8AF9E5B-E651-4E9A-940A-45C6265AD2C0}"/>
    <cellStyle name="Normal 7 30" xfId="317" xr:uid="{C94FCDA1-115D-437C-BD01-21164B67B849}"/>
    <cellStyle name="Normal 7 4" xfId="318" xr:uid="{55B73B81-8DDF-4837-8451-623CD58AD428}"/>
    <cellStyle name="Normal 7 4 2" xfId="433" xr:uid="{5D4AC609-3472-478C-8AAF-8FD417E01140}"/>
    <cellStyle name="Normal 7 5" xfId="319" xr:uid="{6165C95F-5967-4CDE-B745-A62584E5FC98}"/>
    <cellStyle name="Normal 7 6" xfId="320" xr:uid="{FE1EADE1-3BB9-454F-808D-4FC12A1CBDD6}"/>
    <cellStyle name="Normal 7 7" xfId="321" xr:uid="{311F4C61-E789-4DD0-862B-FF821401A660}"/>
    <cellStyle name="Normal 7 8" xfId="322" xr:uid="{AD546D8F-F694-4C77-A30C-9A35660E9F5E}"/>
    <cellStyle name="Normal 7 9" xfId="323" xr:uid="{B151A418-DC3D-4DDF-BDBA-4F3E7E815616}"/>
    <cellStyle name="Normal 8" xfId="57" xr:uid="{11BACDD5-D744-49B9-B652-A2D2A2D7AE56}"/>
    <cellStyle name="Normal 8 2" xfId="434" xr:uid="{87D9E317-1937-4D37-8646-F49C260FAB60}"/>
    <cellStyle name="Normal 8 3" xfId="435" xr:uid="{B1F7A502-7293-41C9-8E43-ABBF0F390293}"/>
    <cellStyle name="Normal 8 4" xfId="436" xr:uid="{CD4A37BD-8434-4AB9-B4BF-B27E0FF73F7F}"/>
    <cellStyle name="Normal 8 5" xfId="437" xr:uid="{05F30FA1-B262-46BE-83F2-C7BDDB1B5E15}"/>
    <cellStyle name="Normal 9" xfId="58" xr:uid="{A4D16629-1EEF-4AE7-94A4-37512CA0291D}"/>
    <cellStyle name="Normal 9 2" xfId="59" xr:uid="{B19B69E9-9FAD-4CB6-B884-E2BDB500B119}"/>
    <cellStyle name="Normal 9 3" xfId="438" xr:uid="{AABA5E69-FCED-460B-B23F-2D69E9F1D527}"/>
    <cellStyle name="Normal 9 4" xfId="439" xr:uid="{8B6BA0AD-6349-43A0-92B7-203F4D3BB75F}"/>
    <cellStyle name="Normal 9 5" xfId="440" xr:uid="{AB7A5CED-A530-4C97-A8AA-543B9E002F62}"/>
    <cellStyle name="Normal 9_Paradise moon 90% (3)" xfId="324" xr:uid="{B6E5D316-5A4F-4316-844F-481AF4E713FD}"/>
    <cellStyle name="Note" xfId="17" builtinId="10" customBuiltin="1"/>
    <cellStyle name="Output" xfId="12" builtinId="21" customBuiltin="1"/>
    <cellStyle name="Percent" xfId="519" builtinId="5"/>
    <cellStyle name="Percent 10" xfId="441" xr:uid="{87D01DC3-DF28-481B-AACE-793FA160310C}"/>
    <cellStyle name="Percent 11" xfId="442" xr:uid="{93263A09-5391-40EE-81E1-774B029BF33E}"/>
    <cellStyle name="Percent 12" xfId="443" xr:uid="{C4014FEF-61E3-49B4-B5C2-099BA7336D7C}"/>
    <cellStyle name="Percent 13" xfId="444" xr:uid="{DF103F6B-97DD-43BB-80E7-095F025DB0A5}"/>
    <cellStyle name="Percent 14" xfId="402" xr:uid="{C739F43E-9CE9-4109-8814-640216C1263D}"/>
    <cellStyle name="Percent 15" xfId="445" xr:uid="{20224EE7-5EE7-480C-A060-BDC48BC6ED06}"/>
    <cellStyle name="Percent 2" xfId="325" xr:uid="{450BFB8E-13CE-4130-81AA-1BD36964460D}"/>
    <cellStyle name="Percent 2 2" xfId="60" xr:uid="{024330D2-7207-4172-B77B-0E8E00517C24}"/>
    <cellStyle name="Percent 2 2 2" xfId="446" xr:uid="{2350C75C-FBD2-407B-8AC9-C2A8FC4FF5DE}"/>
    <cellStyle name="Percent 2 3" xfId="38" xr:uid="{446344CB-0527-4B9A-AC31-8ACE8E22D863}"/>
    <cellStyle name="Percent 2 4" xfId="447" xr:uid="{335A6F23-03F9-4980-94AC-D8F9CC823B65}"/>
    <cellStyle name="Percent 3" xfId="61" xr:uid="{4DC430E0-0AFA-4B9D-9108-DF28017231D6}"/>
    <cellStyle name="Percent 3 2" xfId="326" xr:uid="{AC33C763-9CF0-4933-802E-8219005577E1}"/>
    <cellStyle name="Percent 3 3" xfId="327" xr:uid="{F6883850-F5D7-4B6D-867F-BE4CE109540F}"/>
    <cellStyle name="Percent 4" xfId="62" xr:uid="{AB5A4B74-4AB6-4C59-AD30-6059EE99025D}"/>
    <cellStyle name="Percent 45" xfId="328" xr:uid="{E609C53C-1DF7-4763-8C69-05B828B35DA6}"/>
    <cellStyle name="Percent 45 10" xfId="329" xr:uid="{AC42B63C-D9EA-4111-AB46-2B8FB45D1C2B}"/>
    <cellStyle name="Percent 45 11" xfId="330" xr:uid="{CB80A875-5ED3-4657-9E08-FC31B801111D}"/>
    <cellStyle name="Percent 45 12" xfId="331" xr:uid="{9C0072A4-04DD-4F68-93A6-C619011C84B7}"/>
    <cellStyle name="Percent 45 13" xfId="332" xr:uid="{BEC4D6B7-50F2-4E94-A976-D29342754B59}"/>
    <cellStyle name="Percent 45 14" xfId="333" xr:uid="{8AE2B740-B697-4525-A3BE-7A4EE4C79AAB}"/>
    <cellStyle name="Percent 45 15" xfId="334" xr:uid="{32D6C64F-515B-4E4C-BC9C-1E4D2A395FFA}"/>
    <cellStyle name="Percent 45 16" xfId="335" xr:uid="{44EE948D-B8FA-4FF9-B229-3C85B37BFF95}"/>
    <cellStyle name="Percent 45 17" xfId="336" xr:uid="{D1DB2654-00CE-478E-A889-9E184DD37016}"/>
    <cellStyle name="Percent 45 18" xfId="337" xr:uid="{B3DC511E-CD41-4DD4-86FF-064D3AE59CEA}"/>
    <cellStyle name="Percent 45 19" xfId="338" xr:uid="{5DAAF373-AE35-48F0-9D36-8F65CF325754}"/>
    <cellStyle name="Percent 45 2" xfId="339" xr:uid="{E9C681EA-67BF-4246-B9EB-464465008024}"/>
    <cellStyle name="Percent 45 20" xfId="340" xr:uid="{D2878F29-044D-4219-A5B5-F21801449510}"/>
    <cellStyle name="Percent 45 21" xfId="341" xr:uid="{5034AC6E-074C-4DF1-AE69-3DE731A48CD3}"/>
    <cellStyle name="Percent 45 22" xfId="342" xr:uid="{F2D3C139-A5B2-4A14-947E-1695118A2234}"/>
    <cellStyle name="Percent 45 23" xfId="343" xr:uid="{379102C0-4064-402F-9E99-911D6CFBC76A}"/>
    <cellStyle name="Percent 45 24" xfId="344" xr:uid="{F3516035-B3E9-4A29-8F06-882CA72527DE}"/>
    <cellStyle name="Percent 45 25" xfId="345" xr:uid="{6AAB5B3B-28A8-4790-93CB-D5D0E091FABF}"/>
    <cellStyle name="Percent 45 26" xfId="346" xr:uid="{36B7BCB4-E0F2-4066-A9D7-0F962E3E0FC4}"/>
    <cellStyle name="Percent 45 27" xfId="347" xr:uid="{C481B648-E6C3-4054-BE38-149EE7525D5D}"/>
    <cellStyle name="Percent 45 28" xfId="348" xr:uid="{E43F1314-5EB9-4002-9287-F4F605DD0C60}"/>
    <cellStyle name="Percent 45 29" xfId="349" xr:uid="{4EBCF38A-1273-4390-81E5-A403D264CF8A}"/>
    <cellStyle name="Percent 45 3" xfId="350" xr:uid="{3BED8630-FCE0-429F-A04A-F82A61149DD8}"/>
    <cellStyle name="Percent 45 30" xfId="351" xr:uid="{C6C5756D-F5CC-4E09-82C8-AE4BCD992AC0}"/>
    <cellStyle name="Percent 45 4" xfId="352" xr:uid="{EB25C5A2-FDED-4BB1-9826-DC33D4355530}"/>
    <cellStyle name="Percent 45 5" xfId="353" xr:uid="{42AE80DE-72FE-4456-ACFF-90233BEDABEB}"/>
    <cellStyle name="Percent 45 6" xfId="354" xr:uid="{F144EFF2-8F87-4213-AB44-B2E25B4B9AC5}"/>
    <cellStyle name="Percent 45 7" xfId="355" xr:uid="{36ACD493-DDEB-4D53-A7A8-988D115982FF}"/>
    <cellStyle name="Percent 45 8" xfId="356" xr:uid="{1FB67DD0-5E0D-402B-9A54-29CF10647EC1}"/>
    <cellStyle name="Percent 45 9" xfId="357" xr:uid="{6927E540-E13B-48BF-A0DD-467BA04D8EEB}"/>
    <cellStyle name="Percent 5" xfId="63" xr:uid="{86DFB13F-B010-40DC-B9DB-8B685115E79A}"/>
    <cellStyle name="Percent 56" xfId="64" xr:uid="{BEEF42C8-A044-4BEF-8E6B-22038BD00D1B}"/>
    <cellStyle name="Percent 56 10" xfId="358" xr:uid="{B1168E06-80DE-4BBC-AD21-44EA13D1C972}"/>
    <cellStyle name="Percent 56 11" xfId="359" xr:uid="{7E68A835-71FF-44D4-9494-F1EC6DC97195}"/>
    <cellStyle name="Percent 56 12" xfId="360" xr:uid="{2C2625C5-FBFA-4999-82B4-8D00ADFD816D}"/>
    <cellStyle name="Percent 56 13" xfId="361" xr:uid="{E91AEB23-4854-4C30-B628-1A161B9E9CA7}"/>
    <cellStyle name="Percent 56 14" xfId="362" xr:uid="{962CAAD7-521B-41EC-B24C-E57DCDE2DDC4}"/>
    <cellStyle name="Percent 56 15" xfId="363" xr:uid="{B58E2237-35D3-456D-BB72-4EC2232A7403}"/>
    <cellStyle name="Percent 56 16" xfId="364" xr:uid="{FC9C2C73-A9FE-402B-84BC-70B0181A43FC}"/>
    <cellStyle name="Percent 56 17" xfId="365" xr:uid="{982F2E42-8F39-4376-8007-0FB46A682B98}"/>
    <cellStyle name="Percent 56 18" xfId="366" xr:uid="{DCB99237-547C-4CEE-9DDB-142D5B224F40}"/>
    <cellStyle name="Percent 56 19" xfId="367" xr:uid="{DB6E2969-30D9-4B91-B952-535F099C96D9}"/>
    <cellStyle name="Percent 56 2" xfId="368" xr:uid="{DEEF7B96-958D-4BBF-BAD1-7EDF1D8C2B8E}"/>
    <cellStyle name="Percent 56 2 2" xfId="448" xr:uid="{ADF0B2CC-C56D-4F55-A544-A47F84CAB8C4}"/>
    <cellStyle name="Percent 56 20" xfId="369" xr:uid="{567147C1-BACE-4804-9CE1-0BD6A8FC9EBC}"/>
    <cellStyle name="Percent 56 21" xfId="370" xr:uid="{3A30D9C8-9530-4225-ABEA-C275C38F4123}"/>
    <cellStyle name="Percent 56 22" xfId="371" xr:uid="{9AEE43BF-E962-47D5-AA55-085F664D043A}"/>
    <cellStyle name="Percent 56 23" xfId="372" xr:uid="{DC89BD0D-2984-4F91-86DA-1236D31A2CF4}"/>
    <cellStyle name="Percent 56 24" xfId="373" xr:uid="{A44A2193-AAA0-47A8-BED3-11A3A93EAD4E}"/>
    <cellStyle name="Percent 56 25" xfId="374" xr:uid="{208BD28A-036D-4B65-AA6B-527832BEF4D5}"/>
    <cellStyle name="Percent 56 26" xfId="375" xr:uid="{0840045F-3DB8-4C71-8FE5-A54B0D15BBEF}"/>
    <cellStyle name="Percent 56 27" xfId="376" xr:uid="{B95895F8-C9DE-4FBF-89A0-BAA615AD0697}"/>
    <cellStyle name="Percent 56 28" xfId="377" xr:uid="{4C5DAB3C-25C0-4AFE-88A5-2A75C986F728}"/>
    <cellStyle name="Percent 56 29" xfId="378" xr:uid="{AD1DB37D-AEFC-4886-8E30-ACD4AB1F242C}"/>
    <cellStyle name="Percent 56 3" xfId="379" xr:uid="{60B0E11B-4240-44E5-91B0-843127635919}"/>
    <cellStyle name="Percent 56 30" xfId="380" xr:uid="{22B7F1F2-437A-4470-9711-0A06008A78E2}"/>
    <cellStyle name="Percent 56 31" xfId="381" xr:uid="{D8E92E2A-EEEB-4EF1-A902-F33BDEA941DB}"/>
    <cellStyle name="Percent 56 4" xfId="382" xr:uid="{A0A18A58-5F60-4399-AB02-B189ADA51A08}"/>
    <cellStyle name="Percent 56 5" xfId="383" xr:uid="{58CEC9D5-310F-490B-A054-CC8C2F9A7D0C}"/>
    <cellStyle name="Percent 56 6" xfId="384" xr:uid="{233DDCB6-48EF-46C0-904B-46A2A6A11DC9}"/>
    <cellStyle name="Percent 56 7" xfId="385" xr:uid="{9BE2876B-4B84-45F8-ACAE-87B7FDFEDB2E}"/>
    <cellStyle name="Percent 56 8" xfId="386" xr:uid="{98A47902-1B8A-4E1C-996F-9EBEAD842096}"/>
    <cellStyle name="Percent 56 9" xfId="387" xr:uid="{C3F02AF5-32C0-48F7-8766-D35284BAA38F}"/>
    <cellStyle name="Percent 6" xfId="65" xr:uid="{8A78C37A-C889-42C6-9566-FC8A9CBEBE0F}"/>
    <cellStyle name="Percent 7" xfId="66" xr:uid="{427AA564-6111-446B-9351-22CC8A0BCEB1}"/>
    <cellStyle name="Percent 8" xfId="67" xr:uid="{7A62C9FB-8226-4C9B-83E2-FBF70F0712B0}"/>
    <cellStyle name="Percent 9" xfId="449" xr:uid="{ED221EC4-9E00-40A1-9B87-A7A20BEEEC26}"/>
    <cellStyle name="Standard_Feature Info" xfId="388" xr:uid="{4ED1BB9C-DF33-43BA-84FE-FD5BDECF6CFE}"/>
    <cellStyle name="Title 2" xfId="389" xr:uid="{5254FADA-61B1-46ED-8DC8-DB0B4837D862}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colors>
    <mruColors>
      <color rgb="FF0000FF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485776</xdr:colOff>
      <xdr:row>12</xdr:row>
      <xdr:rowOff>123825</xdr:rowOff>
    </xdr:from>
    <xdr:to>
      <xdr:col>5</xdr:col>
      <xdr:colOff>314326</xdr:colOff>
      <xdr:row>22</xdr:row>
      <xdr:rowOff>103511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B2F357-C26E-32C3-304F-EDD5FA63E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6" y="2409825"/>
          <a:ext cx="2152650" cy="18846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16</xdr:row>
      <xdr:rowOff>37801</xdr:rowOff>
    </xdr:from>
    <xdr:to>
      <xdr:col>7</xdr:col>
      <xdr:colOff>0</xdr:colOff>
      <xdr:row>24</xdr:row>
      <xdr:rowOff>49443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860768-394D-096B-5F5C-0BEF92E53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3085801"/>
          <a:ext cx="3552825" cy="1535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45"/>
  <sheetViews>
    <sheetView zoomScaleNormal="100" workbookViewId="0">
      <selection activeCell="I5" sqref="I5"/>
    </sheetView>
  </sheetViews>
  <sheetFormatPr defaultColWidth="8.85546875" defaultRowHeight="15" x14ac:dyDescent="0.25"/>
  <cols>
    <col min="1" max="1" width="3.7109375" style="11" customWidth="1"/>
    <col min="2" max="8" width="8.7109375" style="11" customWidth="1"/>
    <col min="9" max="11" width="10" style="11" customWidth="1"/>
    <col min="12" max="12" width="10" style="1" customWidth="1"/>
    <col min="13" max="13" width="9.85546875" style="11" customWidth="1"/>
    <col min="14" max="17" width="12.140625" style="11" customWidth="1"/>
    <col min="18" max="18" width="8.85546875" style="1"/>
    <col min="19" max="19" width="8.85546875" style="11"/>
    <col min="20" max="20" width="11.85546875" style="11" customWidth="1"/>
    <col min="21" max="23" width="11.85546875" style="1" customWidth="1"/>
    <col min="24" max="16384" width="8.85546875" style="1"/>
  </cols>
  <sheetData>
    <row r="2" spans="2:24" s="11" customFormat="1" x14ac:dyDescent="0.25">
      <c r="B2" s="11" t="s">
        <v>0</v>
      </c>
      <c r="C2" s="13">
        <v>40</v>
      </c>
    </row>
    <row r="3" spans="2:24" s="11" customFormat="1" x14ac:dyDescent="0.25"/>
    <row r="4" spans="2:24" x14ac:dyDescent="0.25">
      <c r="B4" s="6" t="s">
        <v>1</v>
      </c>
      <c r="C4" s="10"/>
      <c r="D4" s="10"/>
      <c r="E4" s="10"/>
      <c r="F4" s="10"/>
      <c r="G4" s="10"/>
      <c r="I4" s="6" t="s">
        <v>26</v>
      </c>
      <c r="R4" s="11"/>
      <c r="S4" s="6" t="s">
        <v>43</v>
      </c>
      <c r="T4" s="14"/>
      <c r="U4" s="11"/>
      <c r="V4" s="11"/>
      <c r="W4" s="11"/>
    </row>
    <row r="5" spans="2:24" ht="15" customHeight="1" x14ac:dyDescent="0.25">
      <c r="B5" s="62" t="s">
        <v>25</v>
      </c>
      <c r="C5" s="63"/>
      <c r="D5" s="63"/>
      <c r="E5" s="63"/>
      <c r="F5" s="63"/>
      <c r="G5" s="64"/>
      <c r="I5" s="3" t="s">
        <v>27</v>
      </c>
      <c r="J5" s="5" t="s">
        <v>5</v>
      </c>
      <c r="K5" s="3" t="s">
        <v>22</v>
      </c>
      <c r="M5" s="3" t="s">
        <v>20</v>
      </c>
      <c r="N5" s="23" t="s">
        <v>32</v>
      </c>
      <c r="O5" s="56" t="s">
        <v>33</v>
      </c>
      <c r="P5" s="56" t="s">
        <v>36</v>
      </c>
      <c r="Q5" s="57" t="s">
        <v>35</v>
      </c>
      <c r="R5" s="11"/>
      <c r="S5" s="3" t="s">
        <v>20</v>
      </c>
      <c r="T5" s="23" t="s">
        <v>32</v>
      </c>
      <c r="U5" s="56" t="s">
        <v>33</v>
      </c>
      <c r="V5" s="56" t="s">
        <v>36</v>
      </c>
      <c r="W5" s="57" t="s">
        <v>35</v>
      </c>
    </row>
    <row r="6" spans="2:24" x14ac:dyDescent="0.25">
      <c r="B6" s="65"/>
      <c r="C6" s="66"/>
      <c r="D6" s="66"/>
      <c r="E6" s="66"/>
      <c r="F6" s="66"/>
      <c r="G6" s="67"/>
      <c r="I6" s="41">
        <v>0</v>
      </c>
      <c r="J6" s="7">
        <v>1</v>
      </c>
      <c r="K6" s="46">
        <f t="shared" ref="K6:K42" si="0">J6/SUM($J$6:$J$42)</f>
        <v>2.7027027027027029E-2</v>
      </c>
      <c r="M6" s="16" t="s">
        <v>29</v>
      </c>
      <c r="N6" s="53">
        <f>SUM($K$33:$K$42)</f>
        <v>0.27027027027027029</v>
      </c>
      <c r="O6" s="50">
        <f>1-N6</f>
        <v>0.72972972972972971</v>
      </c>
      <c r="P6" s="51">
        <f>SUMPRODUCT($K$33:$K$42,$I$33:$I$42)/SUM($K$33:$K$42)</f>
        <v>31.500000000000007</v>
      </c>
      <c r="Q6" s="58">
        <f t="shared" ref="Q6" si="1">N6*P6+O6*Q7</f>
        <v>26.920399581466054</v>
      </c>
      <c r="R6" s="11"/>
      <c r="S6" s="16" t="s">
        <v>38</v>
      </c>
      <c r="T6" s="53">
        <f t="shared" ref="T6:T15" si="2">SUMIF($I$6:$I$42,"&gt;" &amp;W7,$K$6:$K$42)</f>
        <v>0.13513513513513514</v>
      </c>
      <c r="U6" s="50">
        <f t="shared" ref="U6:U15" si="3">1-T6</f>
        <v>0.86486486486486491</v>
      </c>
      <c r="V6" s="51">
        <f t="shared" ref="V6:V15" si="4">SUMPRODUCT($K$6:$K$42,$I$6:$I$42,--($I$6:$I$42&gt;W7))/SUMIF($I$6:$I$42,"&gt;" &amp;W7,$K$6:$K$42)</f>
        <v>34</v>
      </c>
      <c r="W6" s="61">
        <f t="shared" ref="W6:W14" si="5">T6*V6+U6*W7</f>
        <v>31.7109842537266</v>
      </c>
    </row>
    <row r="7" spans="2:24" x14ac:dyDescent="0.25">
      <c r="B7" s="65"/>
      <c r="C7" s="66"/>
      <c r="D7" s="66"/>
      <c r="E7" s="66"/>
      <c r="F7" s="66"/>
      <c r="G7" s="67"/>
      <c r="I7" s="42">
        <v>1</v>
      </c>
      <c r="J7" s="7">
        <v>1</v>
      </c>
      <c r="K7" s="45">
        <f t="shared" si="0"/>
        <v>2.7027027027027029E-2</v>
      </c>
      <c r="M7" s="18" t="s">
        <v>30</v>
      </c>
      <c r="N7" s="54">
        <f>SUM($K$29:$K$42)</f>
        <v>0.3783783783783784</v>
      </c>
      <c r="O7" s="48">
        <f>1-N7</f>
        <v>0.6216216216216216</v>
      </c>
      <c r="P7" s="49">
        <f>SUMPRODUCT($K$29:$K$42,$I$29:$I$42)/SUM($K$29:$K$42)</f>
        <v>29.5</v>
      </c>
      <c r="Q7" s="59">
        <f>N7*P7+O7*Q8</f>
        <v>25.224251278305331</v>
      </c>
      <c r="R7" s="11"/>
      <c r="S7" s="18" t="s">
        <v>29</v>
      </c>
      <c r="T7" s="54">
        <f t="shared" si="2"/>
        <v>0.16216216216216217</v>
      </c>
      <c r="U7" s="48">
        <f t="shared" si="3"/>
        <v>0.83783783783783783</v>
      </c>
      <c r="V7" s="49">
        <f t="shared" si="4"/>
        <v>33.5</v>
      </c>
      <c r="W7" s="59">
        <f t="shared" si="5"/>
        <v>31.35332554337138</v>
      </c>
    </row>
    <row r="8" spans="2:24" x14ac:dyDescent="0.25">
      <c r="B8" s="65"/>
      <c r="C8" s="66"/>
      <c r="D8" s="66"/>
      <c r="E8" s="66"/>
      <c r="F8" s="66"/>
      <c r="G8" s="67"/>
      <c r="I8" s="43">
        <v>2</v>
      </c>
      <c r="J8" s="7">
        <v>1</v>
      </c>
      <c r="K8" s="45">
        <f t="shared" si="0"/>
        <v>2.7027027027027029E-2</v>
      </c>
      <c r="M8" s="18" t="s">
        <v>31</v>
      </c>
      <c r="N8" s="54">
        <f>SUM($K$25:$K$42)</f>
        <v>0.48648648648648651</v>
      </c>
      <c r="O8" s="48">
        <f>1-N8</f>
        <v>0.51351351351351349</v>
      </c>
      <c r="P8" s="49">
        <f>SUMPRODUCT($K$25:$K$42,$I$25:$I$42)/SUM($K$25:$K$42)</f>
        <v>27.5</v>
      </c>
      <c r="Q8" s="59">
        <f>N8*P8+O8*Q9</f>
        <v>22.621621621621621</v>
      </c>
      <c r="R8" s="11"/>
      <c r="S8" s="18" t="s">
        <v>30</v>
      </c>
      <c r="T8" s="54">
        <f t="shared" si="2"/>
        <v>0.16216216216216217</v>
      </c>
      <c r="U8" s="48">
        <f t="shared" si="3"/>
        <v>0.83783783783783783</v>
      </c>
      <c r="V8" s="49">
        <f t="shared" si="4"/>
        <v>33.5</v>
      </c>
      <c r="W8" s="59">
        <f t="shared" si="5"/>
        <v>30.937840164669066</v>
      </c>
    </row>
    <row r="9" spans="2:24" x14ac:dyDescent="0.25">
      <c r="B9" s="65"/>
      <c r="C9" s="66"/>
      <c r="D9" s="66"/>
      <c r="E9" s="66"/>
      <c r="F9" s="66"/>
      <c r="G9" s="67"/>
      <c r="I9" s="42">
        <v>3</v>
      </c>
      <c r="J9" s="7">
        <v>1</v>
      </c>
      <c r="K9" s="45">
        <f t="shared" si="0"/>
        <v>2.7027027027027029E-2</v>
      </c>
      <c r="M9" s="20" t="s">
        <v>28</v>
      </c>
      <c r="N9" s="55">
        <v>1</v>
      </c>
      <c r="O9" s="52">
        <v>0</v>
      </c>
      <c r="P9" s="25">
        <f>SUMPRODUCT(I6:I42,K6:K42)</f>
        <v>18</v>
      </c>
      <c r="Q9" s="60">
        <f>SUMPRODUCT(I6:I42,K6:K42)</f>
        <v>18</v>
      </c>
      <c r="R9" s="11"/>
      <c r="S9" s="18" t="s">
        <v>31</v>
      </c>
      <c r="T9" s="54">
        <f t="shared" si="2"/>
        <v>0.1891891891891892</v>
      </c>
      <c r="U9" s="48">
        <f t="shared" si="3"/>
        <v>0.81081081081081074</v>
      </c>
      <c r="V9" s="49">
        <f t="shared" si="4"/>
        <v>33</v>
      </c>
      <c r="W9" s="59">
        <f t="shared" si="5"/>
        <v>30.441938261056627</v>
      </c>
    </row>
    <row r="10" spans="2:24" x14ac:dyDescent="0.25">
      <c r="B10" s="65"/>
      <c r="C10" s="66"/>
      <c r="D10" s="66"/>
      <c r="E10" s="66"/>
      <c r="F10" s="66"/>
      <c r="G10" s="67"/>
      <c r="I10" s="43">
        <v>4</v>
      </c>
      <c r="J10" s="7">
        <v>1</v>
      </c>
      <c r="K10" s="45">
        <f t="shared" si="0"/>
        <v>2.7027027027027029E-2</v>
      </c>
      <c r="S10" s="18" t="s">
        <v>34</v>
      </c>
      <c r="T10" s="54">
        <f t="shared" si="2"/>
        <v>0.1891891891891892</v>
      </c>
      <c r="U10" s="48">
        <f t="shared" si="3"/>
        <v>0.81081081081081074</v>
      </c>
      <c r="V10" s="49">
        <f t="shared" si="4"/>
        <v>33</v>
      </c>
      <c r="W10" s="59">
        <f t="shared" si="5"/>
        <v>29.84505718863651</v>
      </c>
    </row>
    <row r="11" spans="2:24" x14ac:dyDescent="0.25">
      <c r="B11" s="68"/>
      <c r="C11" s="69"/>
      <c r="D11" s="69"/>
      <c r="E11" s="69"/>
      <c r="F11" s="69"/>
      <c r="G11" s="70"/>
      <c r="I11" s="42">
        <v>5</v>
      </c>
      <c r="J11" s="7">
        <v>1</v>
      </c>
      <c r="K11" s="45">
        <f t="shared" si="0"/>
        <v>2.7027027027027029E-2</v>
      </c>
      <c r="S11" s="18" t="s">
        <v>39</v>
      </c>
      <c r="T11" s="54">
        <f t="shared" si="2"/>
        <v>0.21621621621621623</v>
      </c>
      <c r="U11" s="48">
        <f t="shared" si="3"/>
        <v>0.78378378378378377</v>
      </c>
      <c r="V11" s="49">
        <f t="shared" si="4"/>
        <v>32.5</v>
      </c>
      <c r="W11" s="59">
        <f t="shared" si="5"/>
        <v>29.108903865985035</v>
      </c>
      <c r="X11" s="11"/>
    </row>
    <row r="12" spans="2:24" x14ac:dyDescent="0.25">
      <c r="I12" s="43">
        <v>6</v>
      </c>
      <c r="J12" s="7">
        <v>1</v>
      </c>
      <c r="K12" s="45">
        <f t="shared" si="0"/>
        <v>2.7027027027027029E-2</v>
      </c>
      <c r="S12" s="18" t="s">
        <v>40</v>
      </c>
      <c r="T12" s="54">
        <f t="shared" si="2"/>
        <v>0.27027027027027029</v>
      </c>
      <c r="U12" s="48">
        <f t="shared" si="3"/>
        <v>0.72972972972972971</v>
      </c>
      <c r="V12" s="49">
        <f t="shared" si="4"/>
        <v>31.500000000000007</v>
      </c>
      <c r="W12" s="59">
        <f t="shared" si="5"/>
        <v>28.1734290703947</v>
      </c>
      <c r="X12" s="11"/>
    </row>
    <row r="13" spans="2:24" x14ac:dyDescent="0.25">
      <c r="I13" s="42">
        <v>7</v>
      </c>
      <c r="J13" s="7">
        <v>1</v>
      </c>
      <c r="K13" s="45">
        <f t="shared" si="0"/>
        <v>2.7027027027027029E-2</v>
      </c>
      <c r="S13" s="18" t="s">
        <v>41</v>
      </c>
      <c r="T13" s="54">
        <f t="shared" si="2"/>
        <v>0.29729729729729731</v>
      </c>
      <c r="U13" s="48">
        <f t="shared" si="3"/>
        <v>0.70270270270270263</v>
      </c>
      <c r="V13" s="49">
        <f t="shared" si="4"/>
        <v>31.000000000000004</v>
      </c>
      <c r="W13" s="59">
        <f t="shared" si="5"/>
        <v>26.941365763133476</v>
      </c>
      <c r="X13" s="11"/>
    </row>
    <row r="14" spans="2:24" x14ac:dyDescent="0.25">
      <c r="I14" s="43">
        <v>8</v>
      </c>
      <c r="J14" s="7">
        <v>1</v>
      </c>
      <c r="K14" s="45">
        <f t="shared" si="0"/>
        <v>2.7027027027027029E-2</v>
      </c>
      <c r="S14" s="18" t="s">
        <v>42</v>
      </c>
      <c r="T14" s="54">
        <f t="shared" si="2"/>
        <v>0.3783783783783784</v>
      </c>
      <c r="U14" s="48">
        <f t="shared" si="3"/>
        <v>0.6216216216216216</v>
      </c>
      <c r="V14" s="49">
        <f t="shared" si="4"/>
        <v>29.5</v>
      </c>
      <c r="W14" s="59">
        <f t="shared" si="5"/>
        <v>25.224251278305331</v>
      </c>
      <c r="X14" s="11"/>
    </row>
    <row r="15" spans="2:24" x14ac:dyDescent="0.25">
      <c r="I15" s="42">
        <v>9</v>
      </c>
      <c r="J15" s="7">
        <v>1</v>
      </c>
      <c r="K15" s="45">
        <f t="shared" si="0"/>
        <v>2.7027027027027029E-2</v>
      </c>
      <c r="S15" s="18" t="s">
        <v>37</v>
      </c>
      <c r="T15" s="54">
        <f t="shared" si="2"/>
        <v>0.48648648648648651</v>
      </c>
      <c r="U15" s="48">
        <f t="shared" si="3"/>
        <v>0.51351351351351349</v>
      </c>
      <c r="V15" s="49">
        <f t="shared" si="4"/>
        <v>27.5</v>
      </c>
      <c r="W15" s="59">
        <f>T15*V15+U15*W16</f>
        <v>22.621621621621621</v>
      </c>
      <c r="X15" s="11"/>
    </row>
    <row r="16" spans="2:24" x14ac:dyDescent="0.25">
      <c r="I16" s="43">
        <v>10</v>
      </c>
      <c r="J16" s="7">
        <v>1</v>
      </c>
      <c r="K16" s="45">
        <f t="shared" si="0"/>
        <v>2.7027027027027029E-2</v>
      </c>
      <c r="S16" s="20" t="s">
        <v>28</v>
      </c>
      <c r="T16" s="55">
        <v>1</v>
      </c>
      <c r="U16" s="52">
        <v>0</v>
      </c>
      <c r="V16" s="25">
        <f>SUMPRODUCT(I6:I42,K6:K42)</f>
        <v>18</v>
      </c>
      <c r="W16" s="60">
        <f>SUMPRODUCT(I6:I42,K6:K42)</f>
        <v>18</v>
      </c>
      <c r="X16" s="11"/>
    </row>
    <row r="17" spans="2:24" x14ac:dyDescent="0.25">
      <c r="I17" s="42">
        <v>11</v>
      </c>
      <c r="J17" s="7">
        <v>1</v>
      </c>
      <c r="K17" s="45">
        <f t="shared" si="0"/>
        <v>2.7027027027027029E-2</v>
      </c>
      <c r="U17" s="11"/>
      <c r="V17" s="11"/>
      <c r="W17" s="11"/>
      <c r="X17" s="11"/>
    </row>
    <row r="18" spans="2:24" x14ac:dyDescent="0.25">
      <c r="I18" s="43">
        <v>12</v>
      </c>
      <c r="J18" s="7">
        <v>1</v>
      </c>
      <c r="K18" s="45">
        <f t="shared" si="0"/>
        <v>2.7027027027027029E-2</v>
      </c>
      <c r="L18" s="11"/>
      <c r="U18" s="11"/>
      <c r="V18" s="11"/>
      <c r="W18" s="11"/>
      <c r="X18" s="11"/>
    </row>
    <row r="19" spans="2:24" x14ac:dyDescent="0.25">
      <c r="I19" s="42">
        <v>13</v>
      </c>
      <c r="J19" s="7">
        <v>1</v>
      </c>
      <c r="K19" s="45">
        <f t="shared" si="0"/>
        <v>2.7027027027027029E-2</v>
      </c>
      <c r="L19" s="11"/>
      <c r="U19" s="11"/>
      <c r="V19" s="11"/>
      <c r="W19" s="11"/>
      <c r="X19" s="11"/>
    </row>
    <row r="20" spans="2:24" x14ac:dyDescent="0.25">
      <c r="B20" s="15"/>
      <c r="C20" s="15"/>
      <c r="D20" s="15"/>
      <c r="E20" s="15"/>
      <c r="F20" s="15"/>
      <c r="G20" s="15"/>
      <c r="I20" s="43">
        <v>14</v>
      </c>
      <c r="J20" s="7">
        <v>1</v>
      </c>
      <c r="K20" s="45">
        <f t="shared" si="0"/>
        <v>2.7027027027027029E-2</v>
      </c>
      <c r="L20" s="11"/>
      <c r="U20" s="11"/>
      <c r="V20" s="11"/>
      <c r="W20" s="11"/>
      <c r="X20" s="11"/>
    </row>
    <row r="21" spans="2:24" x14ac:dyDescent="0.25">
      <c r="I21" s="42">
        <v>15</v>
      </c>
      <c r="J21" s="7">
        <v>1</v>
      </c>
      <c r="K21" s="45">
        <f t="shared" si="0"/>
        <v>2.7027027027027029E-2</v>
      </c>
      <c r="U21" s="11"/>
      <c r="V21" s="11"/>
      <c r="W21" s="11"/>
      <c r="X21" s="11"/>
    </row>
    <row r="22" spans="2:24" x14ac:dyDescent="0.25">
      <c r="I22" s="43">
        <v>16</v>
      </c>
      <c r="J22" s="7">
        <v>1</v>
      </c>
      <c r="K22" s="45">
        <f t="shared" si="0"/>
        <v>2.7027027027027029E-2</v>
      </c>
      <c r="U22" s="11"/>
      <c r="V22" s="11"/>
      <c r="W22" s="11"/>
      <c r="X22" s="11"/>
    </row>
    <row r="23" spans="2:24" x14ac:dyDescent="0.25">
      <c r="I23" s="42">
        <v>17</v>
      </c>
      <c r="J23" s="7">
        <v>1</v>
      </c>
      <c r="K23" s="45">
        <f t="shared" si="0"/>
        <v>2.7027027027027029E-2</v>
      </c>
      <c r="U23" s="11"/>
      <c r="V23" s="11"/>
      <c r="W23" s="11"/>
      <c r="X23" s="11"/>
    </row>
    <row r="24" spans="2:24" x14ac:dyDescent="0.25">
      <c r="I24" s="43">
        <v>18</v>
      </c>
      <c r="J24" s="7">
        <v>1</v>
      </c>
      <c r="K24" s="45">
        <f t="shared" si="0"/>
        <v>2.7027027027027029E-2</v>
      </c>
      <c r="U24" s="11"/>
      <c r="V24" s="11"/>
      <c r="W24" s="11"/>
      <c r="X24" s="11"/>
    </row>
    <row r="25" spans="2:24" x14ac:dyDescent="0.25">
      <c r="I25" s="42">
        <v>19</v>
      </c>
      <c r="J25" s="7">
        <v>1</v>
      </c>
      <c r="K25" s="45">
        <f t="shared" si="0"/>
        <v>2.7027027027027029E-2</v>
      </c>
      <c r="U25" s="11"/>
      <c r="V25" s="11"/>
      <c r="W25" s="11"/>
      <c r="X25" s="11"/>
    </row>
    <row r="26" spans="2:24" x14ac:dyDescent="0.25">
      <c r="I26" s="43">
        <v>20</v>
      </c>
      <c r="J26" s="7">
        <v>1</v>
      </c>
      <c r="K26" s="45">
        <f t="shared" si="0"/>
        <v>2.7027027027027029E-2</v>
      </c>
      <c r="U26" s="11"/>
      <c r="V26" s="11"/>
      <c r="W26" s="11"/>
      <c r="X26" s="11"/>
    </row>
    <row r="27" spans="2:24" x14ac:dyDescent="0.25">
      <c r="I27" s="42">
        <v>21</v>
      </c>
      <c r="J27" s="7">
        <v>1</v>
      </c>
      <c r="K27" s="45">
        <f t="shared" si="0"/>
        <v>2.7027027027027029E-2</v>
      </c>
      <c r="U27" s="11"/>
      <c r="V27" s="11"/>
      <c r="W27" s="11"/>
      <c r="X27" s="11"/>
    </row>
    <row r="28" spans="2:24" x14ac:dyDescent="0.25">
      <c r="I28" s="43">
        <v>22</v>
      </c>
      <c r="J28" s="7">
        <v>1</v>
      </c>
      <c r="K28" s="45">
        <f t="shared" si="0"/>
        <v>2.7027027027027029E-2</v>
      </c>
    </row>
    <row r="29" spans="2:24" x14ac:dyDescent="0.25">
      <c r="I29" s="42">
        <v>23</v>
      </c>
      <c r="J29" s="7">
        <v>1</v>
      </c>
      <c r="K29" s="45">
        <f t="shared" si="0"/>
        <v>2.7027027027027029E-2</v>
      </c>
    </row>
    <row r="30" spans="2:24" x14ac:dyDescent="0.25">
      <c r="I30" s="43">
        <v>24</v>
      </c>
      <c r="J30" s="7">
        <v>1</v>
      </c>
      <c r="K30" s="45">
        <f t="shared" si="0"/>
        <v>2.7027027027027029E-2</v>
      </c>
      <c r="U30" s="11"/>
      <c r="V30" s="11"/>
      <c r="W30" s="11"/>
      <c r="X30" s="11"/>
    </row>
    <row r="31" spans="2:24" x14ac:dyDescent="0.25">
      <c r="I31" s="42">
        <v>25</v>
      </c>
      <c r="J31" s="7">
        <v>1</v>
      </c>
      <c r="K31" s="45">
        <f t="shared" si="0"/>
        <v>2.7027027027027029E-2</v>
      </c>
      <c r="U31" s="11"/>
      <c r="V31" s="11"/>
      <c r="W31" s="11"/>
      <c r="X31" s="11"/>
    </row>
    <row r="32" spans="2:24" x14ac:dyDescent="0.25">
      <c r="I32" s="43">
        <v>26</v>
      </c>
      <c r="J32" s="7">
        <v>1</v>
      </c>
      <c r="K32" s="45">
        <f t="shared" si="0"/>
        <v>2.7027027027027029E-2</v>
      </c>
      <c r="U32" s="11"/>
      <c r="V32" s="11"/>
      <c r="W32" s="11"/>
      <c r="X32" s="11"/>
    </row>
    <row r="33" spans="9:24" x14ac:dyDescent="0.25">
      <c r="I33" s="42">
        <v>27</v>
      </c>
      <c r="J33" s="7">
        <v>1</v>
      </c>
      <c r="K33" s="45">
        <f t="shared" si="0"/>
        <v>2.7027027027027029E-2</v>
      </c>
      <c r="U33" s="11"/>
      <c r="V33" s="11"/>
      <c r="W33" s="11"/>
      <c r="X33" s="11"/>
    </row>
    <row r="34" spans="9:24" x14ac:dyDescent="0.25">
      <c r="I34" s="43">
        <v>28</v>
      </c>
      <c r="J34" s="7">
        <v>1</v>
      </c>
      <c r="K34" s="45">
        <f t="shared" si="0"/>
        <v>2.7027027027027029E-2</v>
      </c>
      <c r="U34" s="11"/>
      <c r="V34" s="11"/>
      <c r="W34" s="11"/>
      <c r="X34" s="11"/>
    </row>
    <row r="35" spans="9:24" x14ac:dyDescent="0.25">
      <c r="I35" s="42">
        <v>29</v>
      </c>
      <c r="J35" s="7">
        <v>1</v>
      </c>
      <c r="K35" s="45">
        <f t="shared" si="0"/>
        <v>2.7027027027027029E-2</v>
      </c>
      <c r="U35" s="11"/>
      <c r="V35" s="11"/>
      <c r="W35" s="11"/>
      <c r="X35" s="11"/>
    </row>
    <row r="36" spans="9:24" x14ac:dyDescent="0.25">
      <c r="I36" s="43">
        <v>30</v>
      </c>
      <c r="J36" s="7">
        <v>1</v>
      </c>
      <c r="K36" s="45">
        <f t="shared" si="0"/>
        <v>2.7027027027027029E-2</v>
      </c>
      <c r="U36" s="11"/>
      <c r="V36" s="11"/>
      <c r="W36" s="11"/>
      <c r="X36" s="11"/>
    </row>
    <row r="37" spans="9:24" x14ac:dyDescent="0.25">
      <c r="I37" s="42">
        <v>31</v>
      </c>
      <c r="J37" s="7">
        <v>1</v>
      </c>
      <c r="K37" s="45">
        <f t="shared" si="0"/>
        <v>2.7027027027027029E-2</v>
      </c>
      <c r="U37" s="11"/>
      <c r="V37" s="11"/>
      <c r="W37" s="11"/>
      <c r="X37" s="11"/>
    </row>
    <row r="38" spans="9:24" x14ac:dyDescent="0.25">
      <c r="I38" s="43">
        <v>32</v>
      </c>
      <c r="J38" s="7">
        <v>1</v>
      </c>
      <c r="K38" s="45">
        <f t="shared" si="0"/>
        <v>2.7027027027027029E-2</v>
      </c>
      <c r="U38" s="11"/>
      <c r="V38" s="11"/>
      <c r="W38" s="11"/>
      <c r="X38" s="11"/>
    </row>
    <row r="39" spans="9:24" x14ac:dyDescent="0.25">
      <c r="I39" s="42">
        <v>33</v>
      </c>
      <c r="J39" s="7">
        <v>1</v>
      </c>
      <c r="K39" s="45">
        <f t="shared" si="0"/>
        <v>2.7027027027027029E-2</v>
      </c>
      <c r="U39" s="11"/>
      <c r="V39" s="11"/>
      <c r="W39" s="11"/>
      <c r="X39" s="11"/>
    </row>
    <row r="40" spans="9:24" x14ac:dyDescent="0.25">
      <c r="I40" s="43">
        <v>34</v>
      </c>
      <c r="J40" s="7">
        <v>1</v>
      </c>
      <c r="K40" s="45">
        <f t="shared" si="0"/>
        <v>2.7027027027027029E-2</v>
      </c>
      <c r="U40" s="11"/>
      <c r="V40" s="11"/>
      <c r="W40" s="11"/>
      <c r="X40" s="11"/>
    </row>
    <row r="41" spans="9:24" x14ac:dyDescent="0.25">
      <c r="I41" s="42">
        <v>35</v>
      </c>
      <c r="J41" s="7">
        <v>1</v>
      </c>
      <c r="K41" s="45">
        <f t="shared" si="0"/>
        <v>2.7027027027027029E-2</v>
      </c>
      <c r="U41" s="11"/>
      <c r="V41" s="11"/>
      <c r="W41" s="11"/>
      <c r="X41" s="11"/>
    </row>
    <row r="42" spans="9:24" x14ac:dyDescent="0.25">
      <c r="I42" s="44">
        <v>36</v>
      </c>
      <c r="J42" s="8">
        <v>1</v>
      </c>
      <c r="K42" s="47">
        <f t="shared" si="0"/>
        <v>2.7027027027027029E-2</v>
      </c>
      <c r="U42" s="11"/>
      <c r="V42" s="11"/>
      <c r="W42" s="11"/>
      <c r="X42" s="11"/>
    </row>
    <row r="44" spans="9:24" x14ac:dyDescent="0.25">
      <c r="U44" s="11"/>
      <c r="V44" s="11"/>
      <c r="W44" s="11"/>
      <c r="X44" s="11"/>
    </row>
    <row r="45" spans="9:24" x14ac:dyDescent="0.25">
      <c r="U45" s="11"/>
      <c r="V45" s="11"/>
      <c r="W45" s="11"/>
      <c r="X45" s="11"/>
    </row>
  </sheetData>
  <mergeCells count="1">
    <mergeCell ref="B5:G11"/>
  </mergeCells>
  <phoneticPr fontId="6" type="noConversion"/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1549-39E8-4832-BC0C-9105B6F86951}">
  <dimension ref="A2:AP62"/>
  <sheetViews>
    <sheetView tabSelected="1" zoomScaleNormal="100" workbookViewId="0">
      <selection activeCell="F30" sqref="F30"/>
    </sheetView>
  </sheetViews>
  <sheetFormatPr defaultColWidth="8.85546875" defaultRowHeight="15" x14ac:dyDescent="0.25"/>
  <cols>
    <col min="1" max="1" width="3.7109375" style="11" customWidth="1"/>
    <col min="2" max="8" width="8.7109375" style="11" customWidth="1"/>
    <col min="9" max="13" width="10" style="11" customWidth="1"/>
    <col min="14" max="14" width="8.85546875" style="11"/>
    <col min="15" max="41" width="6.28515625" style="11" customWidth="1"/>
    <col min="42" max="16384" width="8.85546875" style="11"/>
  </cols>
  <sheetData>
    <row r="2" spans="2:42" x14ac:dyDescent="0.25">
      <c r="B2" s="11" t="s">
        <v>24</v>
      </c>
      <c r="C2" s="40">
        <f>SUMPRODUCT(K15:K20,J15:J20)</f>
        <v>30.011817554257604</v>
      </c>
      <c r="N2" s="11" t="s">
        <v>19</v>
      </c>
      <c r="O2" s="37">
        <f>J24/SUM(J24:J25)</f>
        <v>0.45</v>
      </c>
    </row>
    <row r="4" spans="2:42" x14ac:dyDescent="0.25">
      <c r="B4" s="6" t="s">
        <v>1</v>
      </c>
      <c r="C4" s="10"/>
      <c r="D4" s="10"/>
      <c r="E4" s="10"/>
      <c r="F4" s="10"/>
      <c r="G4" s="10"/>
      <c r="I4" s="6" t="s">
        <v>3</v>
      </c>
      <c r="O4" s="6" t="s">
        <v>18</v>
      </c>
    </row>
    <row r="5" spans="2:42" ht="15" customHeight="1" x14ac:dyDescent="0.25">
      <c r="B5" s="62" t="s">
        <v>2</v>
      </c>
      <c r="C5" s="63"/>
      <c r="D5" s="63"/>
      <c r="E5" s="63"/>
      <c r="F5" s="63"/>
      <c r="G5" s="64"/>
      <c r="I5" s="22" t="s">
        <v>4</v>
      </c>
      <c r="J5" s="5" t="s">
        <v>5</v>
      </c>
      <c r="O5" s="16">
        <v>0</v>
      </c>
      <c r="P5" s="24">
        <v>1</v>
      </c>
      <c r="Q5" s="24">
        <v>2</v>
      </c>
      <c r="R5" s="24">
        <v>3</v>
      </c>
      <c r="S5" s="24">
        <v>4</v>
      </c>
      <c r="T5" s="24">
        <v>5</v>
      </c>
      <c r="U5" s="24">
        <v>6</v>
      </c>
      <c r="V5" s="24">
        <v>7</v>
      </c>
      <c r="W5" s="24">
        <v>8</v>
      </c>
      <c r="X5" s="24">
        <v>9</v>
      </c>
      <c r="Y5" s="24">
        <v>10</v>
      </c>
      <c r="Z5" s="24">
        <v>11</v>
      </c>
      <c r="AA5" s="24">
        <v>12</v>
      </c>
      <c r="AB5" s="24">
        <v>13</v>
      </c>
      <c r="AC5" s="24">
        <v>14</v>
      </c>
      <c r="AD5" s="24">
        <v>15</v>
      </c>
      <c r="AE5" s="24">
        <v>16</v>
      </c>
      <c r="AF5" s="24">
        <v>17</v>
      </c>
      <c r="AG5" s="24">
        <v>18</v>
      </c>
      <c r="AH5" s="24">
        <v>19</v>
      </c>
      <c r="AI5" s="24">
        <v>20</v>
      </c>
      <c r="AJ5" s="24">
        <v>21</v>
      </c>
      <c r="AK5" s="24">
        <v>22</v>
      </c>
      <c r="AL5" s="24">
        <v>23</v>
      </c>
      <c r="AM5" s="24">
        <v>24</v>
      </c>
      <c r="AN5" s="24">
        <v>25</v>
      </c>
      <c r="AO5" s="17" t="s">
        <v>13</v>
      </c>
    </row>
    <row r="6" spans="2:42" x14ac:dyDescent="0.25">
      <c r="B6" s="65"/>
      <c r="C6" s="66"/>
      <c r="D6" s="66"/>
      <c r="E6" s="66"/>
      <c r="F6" s="66"/>
      <c r="G6" s="67"/>
      <c r="I6" s="18">
        <v>0</v>
      </c>
      <c r="J6" s="7">
        <v>50</v>
      </c>
      <c r="N6" s="16">
        <v>0</v>
      </c>
      <c r="O6" s="26">
        <f>_xlfn.BINOM.DIST(0,5,$O$2,FALSE)</f>
        <v>5.0328437499999996E-2</v>
      </c>
      <c r="P6" s="27">
        <f>_xlfn.BINOM.DIST(1,5,$O$2,FALSE)</f>
        <v>0.2058890625</v>
      </c>
      <c r="Q6" s="27">
        <f>_xlfn.BINOM.DIST(2,5,$O$2,FALSE)</f>
        <v>0.33690937499999996</v>
      </c>
      <c r="R6" s="27">
        <f>_xlfn.BINOM.DIST(3,5,$O$2,FALSE)</f>
        <v>0.275653125</v>
      </c>
      <c r="S6" s="27">
        <f>_xlfn.BINOM.DIST(4,5,$O$2,FALSE)</f>
        <v>0.11276718750000002</v>
      </c>
      <c r="T6" s="27">
        <f>_xlfn.BINOM.DIST(5,5,$O$2,FALSE)</f>
        <v>1.8452812499999995E-2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27">
        <v>0</v>
      </c>
      <c r="AH6" s="27">
        <v>0</v>
      </c>
      <c r="AI6" s="27">
        <v>0</v>
      </c>
      <c r="AJ6" s="27">
        <v>0</v>
      </c>
      <c r="AK6" s="27">
        <v>0</v>
      </c>
      <c r="AL6" s="27">
        <v>0</v>
      </c>
      <c r="AM6" s="27">
        <v>0</v>
      </c>
      <c r="AN6" s="27">
        <v>0</v>
      </c>
      <c r="AO6" s="28">
        <f>1-SUM(O6:AN6)</f>
        <v>0</v>
      </c>
      <c r="AP6" s="11">
        <f>SUM(O6:AO6)</f>
        <v>0.99999999999999989</v>
      </c>
    </row>
    <row r="7" spans="2:42" x14ac:dyDescent="0.25">
      <c r="B7" s="65"/>
      <c r="C7" s="66"/>
      <c r="D7" s="66"/>
      <c r="E7" s="66"/>
      <c r="F7" s="66"/>
      <c r="G7" s="67"/>
      <c r="I7" s="18">
        <v>1</v>
      </c>
      <c r="J7" s="7">
        <v>25</v>
      </c>
      <c r="N7" s="18">
        <v>1</v>
      </c>
      <c r="O7" s="29">
        <v>0</v>
      </c>
      <c r="P7" s="30">
        <f>O6</f>
        <v>5.0328437499999996E-2</v>
      </c>
      <c r="Q7" s="30">
        <f t="shared" ref="Q7:AN17" si="0">P6</f>
        <v>0.2058890625</v>
      </c>
      <c r="R7" s="30">
        <f t="shared" si="0"/>
        <v>0.33690937499999996</v>
      </c>
      <c r="S7" s="30">
        <f t="shared" si="0"/>
        <v>0.275653125</v>
      </c>
      <c r="T7" s="30">
        <f t="shared" si="0"/>
        <v>0.11276718750000002</v>
      </c>
      <c r="U7" s="30">
        <f t="shared" si="0"/>
        <v>1.8452812499999995E-2</v>
      </c>
      <c r="V7" s="30">
        <f t="shared" si="0"/>
        <v>0</v>
      </c>
      <c r="W7" s="30">
        <f t="shared" si="0"/>
        <v>0</v>
      </c>
      <c r="X7" s="30">
        <f t="shared" si="0"/>
        <v>0</v>
      </c>
      <c r="Y7" s="30">
        <f t="shared" si="0"/>
        <v>0</v>
      </c>
      <c r="Z7" s="30">
        <f t="shared" si="0"/>
        <v>0</v>
      </c>
      <c r="AA7" s="30">
        <f t="shared" si="0"/>
        <v>0</v>
      </c>
      <c r="AB7" s="30">
        <f t="shared" si="0"/>
        <v>0</v>
      </c>
      <c r="AC7" s="30">
        <f t="shared" si="0"/>
        <v>0</v>
      </c>
      <c r="AD7" s="30">
        <f t="shared" si="0"/>
        <v>0</v>
      </c>
      <c r="AE7" s="30">
        <f t="shared" si="0"/>
        <v>0</v>
      </c>
      <c r="AF7" s="30">
        <f t="shared" si="0"/>
        <v>0</v>
      </c>
      <c r="AG7" s="30">
        <f t="shared" si="0"/>
        <v>0</v>
      </c>
      <c r="AH7" s="30">
        <f t="shared" si="0"/>
        <v>0</v>
      </c>
      <c r="AI7" s="30">
        <f t="shared" si="0"/>
        <v>0</v>
      </c>
      <c r="AJ7" s="30">
        <f t="shared" si="0"/>
        <v>0</v>
      </c>
      <c r="AK7" s="30">
        <f t="shared" si="0"/>
        <v>0</v>
      </c>
      <c r="AL7" s="30">
        <f t="shared" si="0"/>
        <v>0</v>
      </c>
      <c r="AM7" s="30">
        <f t="shared" si="0"/>
        <v>0</v>
      </c>
      <c r="AN7" s="30">
        <f t="shared" si="0"/>
        <v>0</v>
      </c>
      <c r="AO7" s="31">
        <f t="shared" ref="AO7:AO32" si="1">1-SUM(O7:AN7)</f>
        <v>0</v>
      </c>
      <c r="AP7" s="11">
        <f t="shared" ref="AP7:AP32" si="2">SUM(O7:AO7)</f>
        <v>0.99999999999999989</v>
      </c>
    </row>
    <row r="8" spans="2:42" x14ac:dyDescent="0.25">
      <c r="B8" s="65"/>
      <c r="C8" s="66"/>
      <c r="D8" s="66"/>
      <c r="E8" s="66"/>
      <c r="F8" s="66"/>
      <c r="G8" s="67"/>
      <c r="I8" s="18">
        <v>2</v>
      </c>
      <c r="J8" s="7">
        <v>15</v>
      </c>
      <c r="N8" s="18">
        <v>2</v>
      </c>
      <c r="O8" s="29">
        <v>0</v>
      </c>
      <c r="P8" s="30">
        <f t="shared" ref="P8:AE32" si="3">O7</f>
        <v>0</v>
      </c>
      <c r="Q8" s="30">
        <f t="shared" si="0"/>
        <v>5.0328437499999996E-2</v>
      </c>
      <c r="R8" s="30">
        <f t="shared" si="0"/>
        <v>0.2058890625</v>
      </c>
      <c r="S8" s="30">
        <f t="shared" si="0"/>
        <v>0.33690937499999996</v>
      </c>
      <c r="T8" s="30">
        <f t="shared" si="0"/>
        <v>0.275653125</v>
      </c>
      <c r="U8" s="30">
        <f t="shared" si="0"/>
        <v>0.11276718750000002</v>
      </c>
      <c r="V8" s="30">
        <f t="shared" si="0"/>
        <v>1.8452812499999995E-2</v>
      </c>
      <c r="W8" s="30">
        <f t="shared" si="0"/>
        <v>0</v>
      </c>
      <c r="X8" s="30">
        <f t="shared" si="0"/>
        <v>0</v>
      </c>
      <c r="Y8" s="30">
        <f t="shared" si="0"/>
        <v>0</v>
      </c>
      <c r="Z8" s="30">
        <f t="shared" si="0"/>
        <v>0</v>
      </c>
      <c r="AA8" s="30">
        <f t="shared" si="0"/>
        <v>0</v>
      </c>
      <c r="AB8" s="30">
        <f t="shared" si="0"/>
        <v>0</v>
      </c>
      <c r="AC8" s="30">
        <f t="shared" si="0"/>
        <v>0</v>
      </c>
      <c r="AD8" s="30">
        <f t="shared" si="0"/>
        <v>0</v>
      </c>
      <c r="AE8" s="30">
        <f t="shared" si="0"/>
        <v>0</v>
      </c>
      <c r="AF8" s="30">
        <f t="shared" si="0"/>
        <v>0</v>
      </c>
      <c r="AG8" s="30">
        <f t="shared" si="0"/>
        <v>0</v>
      </c>
      <c r="AH8" s="30">
        <f t="shared" si="0"/>
        <v>0</v>
      </c>
      <c r="AI8" s="30">
        <f t="shared" si="0"/>
        <v>0</v>
      </c>
      <c r="AJ8" s="30">
        <f t="shared" si="0"/>
        <v>0</v>
      </c>
      <c r="AK8" s="30">
        <f t="shared" si="0"/>
        <v>0</v>
      </c>
      <c r="AL8" s="30">
        <f t="shared" si="0"/>
        <v>0</v>
      </c>
      <c r="AM8" s="30">
        <f t="shared" si="0"/>
        <v>0</v>
      </c>
      <c r="AN8" s="30">
        <f t="shared" si="0"/>
        <v>0</v>
      </c>
      <c r="AO8" s="31">
        <f t="shared" si="1"/>
        <v>0</v>
      </c>
      <c r="AP8" s="11">
        <f t="shared" si="2"/>
        <v>0.99999999999999989</v>
      </c>
    </row>
    <row r="9" spans="2:42" x14ac:dyDescent="0.25">
      <c r="B9" s="65"/>
      <c r="C9" s="66"/>
      <c r="D9" s="66"/>
      <c r="E9" s="66"/>
      <c r="F9" s="66"/>
      <c r="G9" s="67"/>
      <c r="I9" s="18">
        <v>3</v>
      </c>
      <c r="J9" s="7">
        <v>5</v>
      </c>
      <c r="N9" s="18">
        <v>3</v>
      </c>
      <c r="O9" s="29">
        <v>0</v>
      </c>
      <c r="P9" s="30">
        <f t="shared" si="3"/>
        <v>0</v>
      </c>
      <c r="Q9" s="30">
        <f t="shared" si="0"/>
        <v>0</v>
      </c>
      <c r="R9" s="30">
        <f t="shared" si="0"/>
        <v>5.0328437499999996E-2</v>
      </c>
      <c r="S9" s="30">
        <f t="shared" si="0"/>
        <v>0.2058890625</v>
      </c>
      <c r="T9" s="30">
        <f t="shared" si="0"/>
        <v>0.33690937499999996</v>
      </c>
      <c r="U9" s="30">
        <f t="shared" si="0"/>
        <v>0.275653125</v>
      </c>
      <c r="V9" s="30">
        <f t="shared" si="0"/>
        <v>0.11276718750000002</v>
      </c>
      <c r="W9" s="30">
        <f t="shared" si="0"/>
        <v>1.8452812499999995E-2</v>
      </c>
      <c r="X9" s="30">
        <f t="shared" si="0"/>
        <v>0</v>
      </c>
      <c r="Y9" s="30">
        <f t="shared" si="0"/>
        <v>0</v>
      </c>
      <c r="Z9" s="30">
        <f t="shared" si="0"/>
        <v>0</v>
      </c>
      <c r="AA9" s="30">
        <f t="shared" si="0"/>
        <v>0</v>
      </c>
      <c r="AB9" s="30">
        <f t="shared" si="0"/>
        <v>0</v>
      </c>
      <c r="AC9" s="30">
        <f t="shared" si="0"/>
        <v>0</v>
      </c>
      <c r="AD9" s="30">
        <f t="shared" si="0"/>
        <v>0</v>
      </c>
      <c r="AE9" s="30">
        <f t="shared" si="0"/>
        <v>0</v>
      </c>
      <c r="AF9" s="30">
        <f t="shared" si="0"/>
        <v>0</v>
      </c>
      <c r="AG9" s="30">
        <f t="shared" si="0"/>
        <v>0</v>
      </c>
      <c r="AH9" s="30">
        <f t="shared" si="0"/>
        <v>0</v>
      </c>
      <c r="AI9" s="30">
        <f t="shared" si="0"/>
        <v>0</v>
      </c>
      <c r="AJ9" s="30">
        <f t="shared" si="0"/>
        <v>0</v>
      </c>
      <c r="AK9" s="30">
        <f t="shared" si="0"/>
        <v>0</v>
      </c>
      <c r="AL9" s="30">
        <f t="shared" si="0"/>
        <v>0</v>
      </c>
      <c r="AM9" s="30">
        <f t="shared" si="0"/>
        <v>0</v>
      </c>
      <c r="AN9" s="30">
        <f t="shared" si="0"/>
        <v>0</v>
      </c>
      <c r="AO9" s="31">
        <f t="shared" si="1"/>
        <v>0</v>
      </c>
      <c r="AP9" s="11">
        <f t="shared" si="2"/>
        <v>0.99999999999999989</v>
      </c>
    </row>
    <row r="10" spans="2:42" x14ac:dyDescent="0.25">
      <c r="B10" s="65"/>
      <c r="C10" s="66"/>
      <c r="D10" s="66"/>
      <c r="E10" s="66"/>
      <c r="F10" s="66"/>
      <c r="G10" s="67"/>
      <c r="I10" s="18">
        <v>4</v>
      </c>
      <c r="J10" s="7">
        <v>4</v>
      </c>
      <c r="N10" s="18">
        <v>4</v>
      </c>
      <c r="O10" s="29">
        <v>0</v>
      </c>
      <c r="P10" s="30">
        <f t="shared" si="3"/>
        <v>0</v>
      </c>
      <c r="Q10" s="30">
        <f t="shared" si="0"/>
        <v>0</v>
      </c>
      <c r="R10" s="30">
        <f t="shared" si="0"/>
        <v>0</v>
      </c>
      <c r="S10" s="30">
        <f t="shared" si="0"/>
        <v>5.0328437499999996E-2</v>
      </c>
      <c r="T10" s="30">
        <f t="shared" si="0"/>
        <v>0.2058890625</v>
      </c>
      <c r="U10" s="30">
        <f t="shared" si="0"/>
        <v>0.33690937499999996</v>
      </c>
      <c r="V10" s="30">
        <f t="shared" si="0"/>
        <v>0.275653125</v>
      </c>
      <c r="W10" s="30">
        <f t="shared" si="0"/>
        <v>0.11276718750000002</v>
      </c>
      <c r="X10" s="30">
        <f t="shared" si="0"/>
        <v>1.8452812499999995E-2</v>
      </c>
      <c r="Y10" s="30">
        <f t="shared" si="0"/>
        <v>0</v>
      </c>
      <c r="Z10" s="30">
        <f t="shared" si="0"/>
        <v>0</v>
      </c>
      <c r="AA10" s="30">
        <f t="shared" si="0"/>
        <v>0</v>
      </c>
      <c r="AB10" s="30">
        <f t="shared" si="0"/>
        <v>0</v>
      </c>
      <c r="AC10" s="30">
        <f t="shared" si="0"/>
        <v>0</v>
      </c>
      <c r="AD10" s="30">
        <f t="shared" si="0"/>
        <v>0</v>
      </c>
      <c r="AE10" s="30">
        <f t="shared" si="0"/>
        <v>0</v>
      </c>
      <c r="AF10" s="30">
        <f t="shared" si="0"/>
        <v>0</v>
      </c>
      <c r="AG10" s="30">
        <f t="shared" si="0"/>
        <v>0</v>
      </c>
      <c r="AH10" s="30">
        <f t="shared" si="0"/>
        <v>0</v>
      </c>
      <c r="AI10" s="30">
        <f t="shared" si="0"/>
        <v>0</v>
      </c>
      <c r="AJ10" s="30">
        <f t="shared" si="0"/>
        <v>0</v>
      </c>
      <c r="AK10" s="30">
        <f t="shared" si="0"/>
        <v>0</v>
      </c>
      <c r="AL10" s="30">
        <f t="shared" si="0"/>
        <v>0</v>
      </c>
      <c r="AM10" s="30">
        <f t="shared" si="0"/>
        <v>0</v>
      </c>
      <c r="AN10" s="30">
        <f t="shared" si="0"/>
        <v>0</v>
      </c>
      <c r="AO10" s="31">
        <f t="shared" si="1"/>
        <v>0</v>
      </c>
      <c r="AP10" s="11">
        <f t="shared" si="2"/>
        <v>0.99999999999999989</v>
      </c>
    </row>
    <row r="11" spans="2:42" x14ac:dyDescent="0.25">
      <c r="B11" s="65"/>
      <c r="C11" s="66"/>
      <c r="D11" s="66"/>
      <c r="E11" s="66"/>
      <c r="F11" s="66"/>
      <c r="G11" s="67"/>
      <c r="I11" s="20">
        <v>5</v>
      </c>
      <c r="J11" s="8">
        <v>1</v>
      </c>
      <c r="N11" s="18">
        <v>5</v>
      </c>
      <c r="O11" s="29">
        <v>0</v>
      </c>
      <c r="P11" s="30">
        <f t="shared" si="3"/>
        <v>0</v>
      </c>
      <c r="Q11" s="30">
        <f t="shared" si="0"/>
        <v>0</v>
      </c>
      <c r="R11" s="30">
        <f t="shared" si="0"/>
        <v>0</v>
      </c>
      <c r="S11" s="30">
        <f t="shared" si="0"/>
        <v>0</v>
      </c>
      <c r="T11" s="30">
        <f t="shared" si="0"/>
        <v>5.0328437499999996E-2</v>
      </c>
      <c r="U11" s="30">
        <f t="shared" si="0"/>
        <v>0.2058890625</v>
      </c>
      <c r="V11" s="30">
        <f t="shared" si="0"/>
        <v>0.33690937499999996</v>
      </c>
      <c r="W11" s="30">
        <f t="shared" si="0"/>
        <v>0.275653125</v>
      </c>
      <c r="X11" s="30">
        <f t="shared" si="0"/>
        <v>0.11276718750000002</v>
      </c>
      <c r="Y11" s="30">
        <f t="shared" si="0"/>
        <v>1.8452812499999995E-2</v>
      </c>
      <c r="Z11" s="30">
        <f t="shared" si="0"/>
        <v>0</v>
      </c>
      <c r="AA11" s="30">
        <f t="shared" si="0"/>
        <v>0</v>
      </c>
      <c r="AB11" s="30">
        <f t="shared" si="0"/>
        <v>0</v>
      </c>
      <c r="AC11" s="30">
        <f t="shared" si="0"/>
        <v>0</v>
      </c>
      <c r="AD11" s="30">
        <f t="shared" si="0"/>
        <v>0</v>
      </c>
      <c r="AE11" s="30">
        <f t="shared" si="0"/>
        <v>0</v>
      </c>
      <c r="AF11" s="30">
        <f t="shared" si="0"/>
        <v>0</v>
      </c>
      <c r="AG11" s="30">
        <f t="shared" si="0"/>
        <v>0</v>
      </c>
      <c r="AH11" s="30">
        <f t="shared" si="0"/>
        <v>0</v>
      </c>
      <c r="AI11" s="30">
        <f t="shared" si="0"/>
        <v>0</v>
      </c>
      <c r="AJ11" s="30">
        <f t="shared" si="0"/>
        <v>0</v>
      </c>
      <c r="AK11" s="30">
        <f t="shared" si="0"/>
        <v>0</v>
      </c>
      <c r="AL11" s="30">
        <f t="shared" si="0"/>
        <v>0</v>
      </c>
      <c r="AM11" s="30">
        <f t="shared" si="0"/>
        <v>0</v>
      </c>
      <c r="AN11" s="30">
        <f t="shared" si="0"/>
        <v>0</v>
      </c>
      <c r="AO11" s="31">
        <f t="shared" si="1"/>
        <v>0</v>
      </c>
      <c r="AP11" s="11">
        <f t="shared" si="2"/>
        <v>0.99999999999999989</v>
      </c>
    </row>
    <row r="12" spans="2:42" x14ac:dyDescent="0.25">
      <c r="B12" s="65"/>
      <c r="C12" s="66"/>
      <c r="D12" s="66"/>
      <c r="E12" s="66"/>
      <c r="F12" s="66"/>
      <c r="G12" s="67"/>
      <c r="N12" s="18">
        <v>6</v>
      </c>
      <c r="O12" s="29">
        <v>0</v>
      </c>
      <c r="P12" s="30">
        <f t="shared" si="3"/>
        <v>0</v>
      </c>
      <c r="Q12" s="30">
        <f t="shared" si="0"/>
        <v>0</v>
      </c>
      <c r="R12" s="30">
        <f t="shared" si="0"/>
        <v>0</v>
      </c>
      <c r="S12" s="30">
        <f t="shared" si="0"/>
        <v>0</v>
      </c>
      <c r="T12" s="30">
        <f t="shared" si="0"/>
        <v>0</v>
      </c>
      <c r="U12" s="30">
        <f t="shared" si="0"/>
        <v>5.0328437499999996E-2</v>
      </c>
      <c r="V12" s="30">
        <f t="shared" si="0"/>
        <v>0.2058890625</v>
      </c>
      <c r="W12" s="30">
        <f t="shared" si="0"/>
        <v>0.33690937499999996</v>
      </c>
      <c r="X12" s="30">
        <f t="shared" si="0"/>
        <v>0.275653125</v>
      </c>
      <c r="Y12" s="30">
        <f t="shared" si="0"/>
        <v>0.11276718750000002</v>
      </c>
      <c r="Z12" s="30">
        <f t="shared" si="0"/>
        <v>1.8452812499999995E-2</v>
      </c>
      <c r="AA12" s="30">
        <f t="shared" si="0"/>
        <v>0</v>
      </c>
      <c r="AB12" s="30">
        <f t="shared" si="0"/>
        <v>0</v>
      </c>
      <c r="AC12" s="30">
        <f t="shared" si="0"/>
        <v>0</v>
      </c>
      <c r="AD12" s="30">
        <f t="shared" si="0"/>
        <v>0</v>
      </c>
      <c r="AE12" s="30">
        <f t="shared" si="0"/>
        <v>0</v>
      </c>
      <c r="AF12" s="30">
        <f t="shared" si="0"/>
        <v>0</v>
      </c>
      <c r="AG12" s="30">
        <f t="shared" si="0"/>
        <v>0</v>
      </c>
      <c r="AH12" s="30">
        <f t="shared" si="0"/>
        <v>0</v>
      </c>
      <c r="AI12" s="30">
        <f t="shared" si="0"/>
        <v>0</v>
      </c>
      <c r="AJ12" s="30">
        <f t="shared" si="0"/>
        <v>0</v>
      </c>
      <c r="AK12" s="30">
        <f t="shared" si="0"/>
        <v>0</v>
      </c>
      <c r="AL12" s="30">
        <f t="shared" si="0"/>
        <v>0</v>
      </c>
      <c r="AM12" s="30">
        <f t="shared" si="0"/>
        <v>0</v>
      </c>
      <c r="AN12" s="30">
        <f t="shared" si="0"/>
        <v>0</v>
      </c>
      <c r="AO12" s="31">
        <f t="shared" si="1"/>
        <v>0</v>
      </c>
      <c r="AP12" s="11">
        <f t="shared" si="2"/>
        <v>0.99999999999999989</v>
      </c>
    </row>
    <row r="13" spans="2:42" x14ac:dyDescent="0.25">
      <c r="B13" s="65"/>
      <c r="C13" s="66"/>
      <c r="D13" s="66"/>
      <c r="E13" s="66"/>
      <c r="F13" s="66"/>
      <c r="G13" s="67"/>
      <c r="I13" s="6" t="s">
        <v>6</v>
      </c>
      <c r="N13" s="18">
        <v>7</v>
      </c>
      <c r="O13" s="29">
        <v>0</v>
      </c>
      <c r="P13" s="30">
        <f t="shared" si="3"/>
        <v>0</v>
      </c>
      <c r="Q13" s="30">
        <f t="shared" si="0"/>
        <v>0</v>
      </c>
      <c r="R13" s="30">
        <f t="shared" si="0"/>
        <v>0</v>
      </c>
      <c r="S13" s="30">
        <f t="shared" si="0"/>
        <v>0</v>
      </c>
      <c r="T13" s="30">
        <f t="shared" si="0"/>
        <v>0</v>
      </c>
      <c r="U13" s="30">
        <f t="shared" si="0"/>
        <v>0</v>
      </c>
      <c r="V13" s="30">
        <f t="shared" si="0"/>
        <v>5.0328437499999996E-2</v>
      </c>
      <c r="W13" s="30">
        <f t="shared" si="0"/>
        <v>0.2058890625</v>
      </c>
      <c r="X13" s="30">
        <f t="shared" si="0"/>
        <v>0.33690937499999996</v>
      </c>
      <c r="Y13" s="30">
        <f t="shared" si="0"/>
        <v>0.275653125</v>
      </c>
      <c r="Z13" s="30">
        <f t="shared" si="0"/>
        <v>0.11276718750000002</v>
      </c>
      <c r="AA13" s="30">
        <f t="shared" si="0"/>
        <v>1.8452812499999995E-2</v>
      </c>
      <c r="AB13" s="30">
        <f t="shared" si="0"/>
        <v>0</v>
      </c>
      <c r="AC13" s="30">
        <f t="shared" si="0"/>
        <v>0</v>
      </c>
      <c r="AD13" s="30">
        <f t="shared" si="0"/>
        <v>0</v>
      </c>
      <c r="AE13" s="30">
        <f t="shared" si="0"/>
        <v>0</v>
      </c>
      <c r="AF13" s="30">
        <f t="shared" si="0"/>
        <v>0</v>
      </c>
      <c r="AG13" s="30">
        <f t="shared" si="0"/>
        <v>0</v>
      </c>
      <c r="AH13" s="30">
        <f t="shared" si="0"/>
        <v>0</v>
      </c>
      <c r="AI13" s="30">
        <f t="shared" si="0"/>
        <v>0</v>
      </c>
      <c r="AJ13" s="30">
        <f t="shared" si="0"/>
        <v>0</v>
      </c>
      <c r="AK13" s="30">
        <f t="shared" si="0"/>
        <v>0</v>
      </c>
      <c r="AL13" s="30">
        <f t="shared" si="0"/>
        <v>0</v>
      </c>
      <c r="AM13" s="30">
        <f t="shared" si="0"/>
        <v>0</v>
      </c>
      <c r="AN13" s="30">
        <f t="shared" si="0"/>
        <v>0</v>
      </c>
      <c r="AO13" s="31">
        <f t="shared" si="1"/>
        <v>0</v>
      </c>
      <c r="AP13" s="11">
        <f t="shared" si="2"/>
        <v>0.99999999999999989</v>
      </c>
    </row>
    <row r="14" spans="2:42" x14ac:dyDescent="0.25">
      <c r="B14" s="65"/>
      <c r="C14" s="66"/>
      <c r="D14" s="66"/>
      <c r="E14" s="66"/>
      <c r="F14" s="66"/>
      <c r="G14" s="67"/>
      <c r="I14" s="22" t="s">
        <v>4</v>
      </c>
      <c r="J14" s="5" t="s">
        <v>12</v>
      </c>
      <c r="K14" s="3" t="s">
        <v>22</v>
      </c>
      <c r="L14" s="3" t="s">
        <v>23</v>
      </c>
      <c r="N14" s="18">
        <v>8</v>
      </c>
      <c r="O14" s="29">
        <v>0</v>
      </c>
      <c r="P14" s="30">
        <f t="shared" si="3"/>
        <v>0</v>
      </c>
      <c r="Q14" s="30">
        <f t="shared" si="0"/>
        <v>0</v>
      </c>
      <c r="R14" s="30">
        <f t="shared" si="0"/>
        <v>0</v>
      </c>
      <c r="S14" s="30">
        <f t="shared" si="0"/>
        <v>0</v>
      </c>
      <c r="T14" s="30">
        <f t="shared" si="0"/>
        <v>0</v>
      </c>
      <c r="U14" s="30">
        <f t="shared" si="0"/>
        <v>0</v>
      </c>
      <c r="V14" s="30">
        <f t="shared" si="0"/>
        <v>0</v>
      </c>
      <c r="W14" s="30">
        <f t="shared" si="0"/>
        <v>5.0328437499999996E-2</v>
      </c>
      <c r="X14" s="30">
        <f t="shared" si="0"/>
        <v>0.2058890625</v>
      </c>
      <c r="Y14" s="30">
        <f t="shared" si="0"/>
        <v>0.33690937499999996</v>
      </c>
      <c r="Z14" s="30">
        <f t="shared" si="0"/>
        <v>0.275653125</v>
      </c>
      <c r="AA14" s="30">
        <f t="shared" si="0"/>
        <v>0.11276718750000002</v>
      </c>
      <c r="AB14" s="30">
        <f t="shared" si="0"/>
        <v>1.8452812499999995E-2</v>
      </c>
      <c r="AC14" s="30">
        <f t="shared" si="0"/>
        <v>0</v>
      </c>
      <c r="AD14" s="30">
        <f t="shared" si="0"/>
        <v>0</v>
      </c>
      <c r="AE14" s="30">
        <f t="shared" si="0"/>
        <v>0</v>
      </c>
      <c r="AF14" s="30">
        <f t="shared" si="0"/>
        <v>0</v>
      </c>
      <c r="AG14" s="30">
        <f t="shared" si="0"/>
        <v>0</v>
      </c>
      <c r="AH14" s="30">
        <f t="shared" si="0"/>
        <v>0</v>
      </c>
      <c r="AI14" s="30">
        <f t="shared" si="0"/>
        <v>0</v>
      </c>
      <c r="AJ14" s="30">
        <f t="shared" si="0"/>
        <v>0</v>
      </c>
      <c r="AK14" s="30">
        <f t="shared" si="0"/>
        <v>0</v>
      </c>
      <c r="AL14" s="30">
        <f t="shared" si="0"/>
        <v>0</v>
      </c>
      <c r="AM14" s="30">
        <f t="shared" si="0"/>
        <v>0</v>
      </c>
      <c r="AN14" s="30">
        <f t="shared" si="0"/>
        <v>0</v>
      </c>
      <c r="AO14" s="31">
        <f t="shared" si="1"/>
        <v>0</v>
      </c>
      <c r="AP14" s="11">
        <f t="shared" si="2"/>
        <v>0.99999999999999989</v>
      </c>
    </row>
    <row r="15" spans="2:42" x14ac:dyDescent="0.25">
      <c r="B15" s="68"/>
      <c r="C15" s="69"/>
      <c r="D15" s="69"/>
      <c r="E15" s="69"/>
      <c r="F15" s="69"/>
      <c r="G15" s="70"/>
      <c r="I15" s="18" t="s">
        <v>7</v>
      </c>
      <c r="J15" s="7">
        <v>0</v>
      </c>
      <c r="K15" s="2">
        <f>SUM(T36:T41)</f>
        <v>4.9524303104657016E-3</v>
      </c>
      <c r="L15" s="38">
        <f>1/K15</f>
        <v>201.92106446944936</v>
      </c>
      <c r="N15" s="18">
        <v>9</v>
      </c>
      <c r="O15" s="29">
        <v>0</v>
      </c>
      <c r="P15" s="30">
        <f t="shared" si="3"/>
        <v>0</v>
      </c>
      <c r="Q15" s="30">
        <f t="shared" si="0"/>
        <v>0</v>
      </c>
      <c r="R15" s="30">
        <f t="shared" si="0"/>
        <v>0</v>
      </c>
      <c r="S15" s="30">
        <f t="shared" si="0"/>
        <v>0</v>
      </c>
      <c r="T15" s="30">
        <f t="shared" si="0"/>
        <v>0</v>
      </c>
      <c r="U15" s="30">
        <f t="shared" si="0"/>
        <v>0</v>
      </c>
      <c r="V15" s="30">
        <f t="shared" si="0"/>
        <v>0</v>
      </c>
      <c r="W15" s="30">
        <f t="shared" si="0"/>
        <v>0</v>
      </c>
      <c r="X15" s="30">
        <f t="shared" si="0"/>
        <v>5.0328437499999996E-2</v>
      </c>
      <c r="Y15" s="30">
        <f t="shared" si="0"/>
        <v>0.2058890625</v>
      </c>
      <c r="Z15" s="30">
        <f t="shared" si="0"/>
        <v>0.33690937499999996</v>
      </c>
      <c r="AA15" s="30">
        <f t="shared" si="0"/>
        <v>0.275653125</v>
      </c>
      <c r="AB15" s="30">
        <f t="shared" si="0"/>
        <v>0.11276718750000002</v>
      </c>
      <c r="AC15" s="30">
        <f t="shared" si="0"/>
        <v>1.8452812499999995E-2</v>
      </c>
      <c r="AD15" s="30">
        <f t="shared" si="0"/>
        <v>0</v>
      </c>
      <c r="AE15" s="30">
        <f t="shared" si="0"/>
        <v>0</v>
      </c>
      <c r="AF15" s="30">
        <f t="shared" si="0"/>
        <v>0</v>
      </c>
      <c r="AG15" s="30">
        <f t="shared" si="0"/>
        <v>0</v>
      </c>
      <c r="AH15" s="30">
        <f t="shared" si="0"/>
        <v>0</v>
      </c>
      <c r="AI15" s="30">
        <f t="shared" si="0"/>
        <v>0</v>
      </c>
      <c r="AJ15" s="30">
        <f t="shared" si="0"/>
        <v>0</v>
      </c>
      <c r="AK15" s="30">
        <f t="shared" si="0"/>
        <v>0</v>
      </c>
      <c r="AL15" s="30">
        <f t="shared" si="0"/>
        <v>0</v>
      </c>
      <c r="AM15" s="30">
        <f t="shared" si="0"/>
        <v>0</v>
      </c>
      <c r="AN15" s="30">
        <f t="shared" si="0"/>
        <v>0</v>
      </c>
      <c r="AO15" s="31">
        <f t="shared" si="1"/>
        <v>0</v>
      </c>
      <c r="AP15" s="11">
        <f t="shared" si="2"/>
        <v>0.99999999999999989</v>
      </c>
    </row>
    <row r="16" spans="2:42" x14ac:dyDescent="0.25">
      <c r="I16" s="18" t="s">
        <v>8</v>
      </c>
      <c r="J16" s="7">
        <v>10</v>
      </c>
      <c r="K16" s="2">
        <f>SUM(T42:T46)</f>
        <v>0.27217665515343609</v>
      </c>
      <c r="L16" s="38">
        <f t="shared" ref="L16:L20" si="4">1/K16</f>
        <v>3.6740843899204467</v>
      </c>
      <c r="N16" s="18">
        <v>10</v>
      </c>
      <c r="O16" s="29">
        <v>0</v>
      </c>
      <c r="P16" s="30">
        <f t="shared" si="3"/>
        <v>0</v>
      </c>
      <c r="Q16" s="30">
        <f t="shared" si="0"/>
        <v>0</v>
      </c>
      <c r="R16" s="30">
        <f t="shared" si="0"/>
        <v>0</v>
      </c>
      <c r="S16" s="30">
        <f t="shared" si="0"/>
        <v>0</v>
      </c>
      <c r="T16" s="30">
        <f t="shared" si="0"/>
        <v>0</v>
      </c>
      <c r="U16" s="30">
        <f t="shared" si="0"/>
        <v>0</v>
      </c>
      <c r="V16" s="30">
        <f t="shared" si="0"/>
        <v>0</v>
      </c>
      <c r="W16" s="30">
        <f t="shared" si="0"/>
        <v>0</v>
      </c>
      <c r="X16" s="30">
        <f t="shared" si="0"/>
        <v>0</v>
      </c>
      <c r="Y16" s="30">
        <f t="shared" si="0"/>
        <v>5.0328437499999996E-2</v>
      </c>
      <c r="Z16" s="30">
        <f t="shared" si="0"/>
        <v>0.2058890625</v>
      </c>
      <c r="AA16" s="30">
        <f t="shared" si="0"/>
        <v>0.33690937499999996</v>
      </c>
      <c r="AB16" s="30">
        <f t="shared" si="0"/>
        <v>0.275653125</v>
      </c>
      <c r="AC16" s="30">
        <f t="shared" si="0"/>
        <v>0.11276718750000002</v>
      </c>
      <c r="AD16" s="30">
        <f t="shared" si="0"/>
        <v>1.8452812499999995E-2</v>
      </c>
      <c r="AE16" s="30">
        <f t="shared" si="0"/>
        <v>0</v>
      </c>
      <c r="AF16" s="30">
        <f t="shared" si="0"/>
        <v>0</v>
      </c>
      <c r="AG16" s="30">
        <f t="shared" si="0"/>
        <v>0</v>
      </c>
      <c r="AH16" s="30">
        <f t="shared" si="0"/>
        <v>0</v>
      </c>
      <c r="AI16" s="30">
        <f t="shared" si="0"/>
        <v>0</v>
      </c>
      <c r="AJ16" s="30">
        <f t="shared" si="0"/>
        <v>0</v>
      </c>
      <c r="AK16" s="30">
        <f t="shared" si="0"/>
        <v>0</v>
      </c>
      <c r="AL16" s="30">
        <f t="shared" si="0"/>
        <v>0</v>
      </c>
      <c r="AM16" s="30">
        <f t="shared" si="0"/>
        <v>0</v>
      </c>
      <c r="AN16" s="30">
        <f t="shared" si="0"/>
        <v>0</v>
      </c>
      <c r="AO16" s="31">
        <f t="shared" si="1"/>
        <v>0</v>
      </c>
      <c r="AP16" s="11">
        <f t="shared" si="2"/>
        <v>0.99999999999999989</v>
      </c>
    </row>
    <row r="17" spans="1:42" x14ac:dyDescent="0.25">
      <c r="I17" s="18" t="s">
        <v>9</v>
      </c>
      <c r="J17" s="7">
        <v>25</v>
      </c>
      <c r="K17" s="2">
        <f>SUM(T47:T51)</f>
        <v>0.6097210964619646</v>
      </c>
      <c r="L17" s="38">
        <f t="shared" si="4"/>
        <v>1.6400941443599559</v>
      </c>
      <c r="N17" s="18">
        <v>11</v>
      </c>
      <c r="O17" s="29">
        <v>0</v>
      </c>
      <c r="P17" s="30">
        <f t="shared" si="3"/>
        <v>0</v>
      </c>
      <c r="Q17" s="30">
        <f t="shared" si="0"/>
        <v>0</v>
      </c>
      <c r="R17" s="30">
        <f t="shared" si="0"/>
        <v>0</v>
      </c>
      <c r="S17" s="30">
        <f t="shared" si="0"/>
        <v>0</v>
      </c>
      <c r="T17" s="30">
        <f t="shared" si="0"/>
        <v>0</v>
      </c>
      <c r="U17" s="30">
        <f t="shared" si="0"/>
        <v>0</v>
      </c>
      <c r="V17" s="30">
        <f t="shared" ref="V17:AK32" si="5">U16</f>
        <v>0</v>
      </c>
      <c r="W17" s="30">
        <f t="shared" si="5"/>
        <v>0</v>
      </c>
      <c r="X17" s="30">
        <f t="shared" si="5"/>
        <v>0</v>
      </c>
      <c r="Y17" s="30">
        <f t="shared" si="5"/>
        <v>0</v>
      </c>
      <c r="Z17" s="30">
        <f t="shared" si="5"/>
        <v>5.0328437499999996E-2</v>
      </c>
      <c r="AA17" s="30">
        <f t="shared" si="5"/>
        <v>0.2058890625</v>
      </c>
      <c r="AB17" s="30">
        <f t="shared" si="5"/>
        <v>0.33690937499999996</v>
      </c>
      <c r="AC17" s="30">
        <f t="shared" si="5"/>
        <v>0.275653125</v>
      </c>
      <c r="AD17" s="30">
        <f t="shared" si="5"/>
        <v>0.11276718750000002</v>
      </c>
      <c r="AE17" s="30">
        <f t="shared" si="5"/>
        <v>1.8452812499999995E-2</v>
      </c>
      <c r="AF17" s="30">
        <f t="shared" si="5"/>
        <v>0</v>
      </c>
      <c r="AG17" s="30">
        <f t="shared" si="5"/>
        <v>0</v>
      </c>
      <c r="AH17" s="30">
        <f t="shared" si="5"/>
        <v>0</v>
      </c>
      <c r="AI17" s="30">
        <f t="shared" si="5"/>
        <v>0</v>
      </c>
      <c r="AJ17" s="30">
        <f t="shared" si="5"/>
        <v>0</v>
      </c>
      <c r="AK17" s="30">
        <f t="shared" si="5"/>
        <v>0</v>
      </c>
      <c r="AL17" s="30">
        <f t="shared" ref="AL17:AN32" si="6">AK16</f>
        <v>0</v>
      </c>
      <c r="AM17" s="30">
        <f t="shared" si="6"/>
        <v>0</v>
      </c>
      <c r="AN17" s="30">
        <f t="shared" si="6"/>
        <v>0</v>
      </c>
      <c r="AO17" s="31">
        <f t="shared" si="1"/>
        <v>0</v>
      </c>
      <c r="AP17" s="11">
        <f t="shared" si="2"/>
        <v>0.99999999999999989</v>
      </c>
    </row>
    <row r="18" spans="1:42" x14ac:dyDescent="0.25">
      <c r="I18" s="18" t="s">
        <v>10</v>
      </c>
      <c r="J18" s="7">
        <v>100</v>
      </c>
      <c r="K18" s="2">
        <f>SUM(T52:T56)</f>
        <v>0.11134741730307596</v>
      </c>
      <c r="L18" s="38">
        <f t="shared" si="4"/>
        <v>8.980899819868343</v>
      </c>
      <c r="N18" s="18">
        <v>12</v>
      </c>
      <c r="O18" s="29">
        <v>0</v>
      </c>
      <c r="P18" s="30">
        <f t="shared" si="3"/>
        <v>0</v>
      </c>
      <c r="Q18" s="30">
        <f t="shared" si="3"/>
        <v>0</v>
      </c>
      <c r="R18" s="30">
        <f t="shared" si="3"/>
        <v>0</v>
      </c>
      <c r="S18" s="30">
        <f t="shared" si="3"/>
        <v>0</v>
      </c>
      <c r="T18" s="30">
        <f t="shared" si="3"/>
        <v>0</v>
      </c>
      <c r="U18" s="30">
        <f t="shared" si="3"/>
        <v>0</v>
      </c>
      <c r="V18" s="30">
        <f t="shared" si="3"/>
        <v>0</v>
      </c>
      <c r="W18" s="30">
        <f t="shared" si="3"/>
        <v>0</v>
      </c>
      <c r="X18" s="30">
        <f t="shared" si="3"/>
        <v>0</v>
      </c>
      <c r="Y18" s="30">
        <f t="shared" si="3"/>
        <v>0</v>
      </c>
      <c r="Z18" s="30">
        <f t="shared" si="3"/>
        <v>0</v>
      </c>
      <c r="AA18" s="30">
        <f t="shared" si="3"/>
        <v>5.0328437499999996E-2</v>
      </c>
      <c r="AB18" s="30">
        <f t="shared" si="3"/>
        <v>0.2058890625</v>
      </c>
      <c r="AC18" s="30">
        <f t="shared" si="3"/>
        <v>0.33690937499999996</v>
      </c>
      <c r="AD18" s="30">
        <f t="shared" si="3"/>
        <v>0.275653125</v>
      </c>
      <c r="AE18" s="30">
        <f t="shared" si="3"/>
        <v>0.11276718750000002</v>
      </c>
      <c r="AF18" s="30">
        <f t="shared" si="5"/>
        <v>1.8452812499999995E-2</v>
      </c>
      <c r="AG18" s="30">
        <f t="shared" si="5"/>
        <v>0</v>
      </c>
      <c r="AH18" s="30">
        <f t="shared" si="5"/>
        <v>0</v>
      </c>
      <c r="AI18" s="30">
        <f t="shared" si="5"/>
        <v>0</v>
      </c>
      <c r="AJ18" s="30">
        <f t="shared" si="5"/>
        <v>0</v>
      </c>
      <c r="AK18" s="30">
        <f t="shared" si="5"/>
        <v>0</v>
      </c>
      <c r="AL18" s="30">
        <f t="shared" si="6"/>
        <v>0</v>
      </c>
      <c r="AM18" s="30">
        <f t="shared" si="6"/>
        <v>0</v>
      </c>
      <c r="AN18" s="30">
        <f t="shared" si="6"/>
        <v>0</v>
      </c>
      <c r="AO18" s="31">
        <f t="shared" si="1"/>
        <v>0</v>
      </c>
      <c r="AP18" s="11">
        <f t="shared" si="2"/>
        <v>0.99999999999999989</v>
      </c>
    </row>
    <row r="19" spans="1:42" x14ac:dyDescent="0.25">
      <c r="A19" s="15"/>
      <c r="B19" s="15"/>
      <c r="C19" s="15"/>
      <c r="D19" s="15"/>
      <c r="E19" s="15"/>
      <c r="F19" s="15"/>
      <c r="I19" s="18" t="s">
        <v>11</v>
      </c>
      <c r="J19" s="7">
        <v>500</v>
      </c>
      <c r="K19" s="2">
        <f>SUM(T57:T61)</f>
        <v>1.8012342999692548E-3</v>
      </c>
      <c r="L19" s="38">
        <f t="shared" si="4"/>
        <v>555.1748598264362</v>
      </c>
      <c r="N19" s="18">
        <v>13</v>
      </c>
      <c r="O19" s="29">
        <v>0</v>
      </c>
      <c r="P19" s="30">
        <f t="shared" si="3"/>
        <v>0</v>
      </c>
      <c r="Q19" s="30">
        <f t="shared" si="3"/>
        <v>0</v>
      </c>
      <c r="R19" s="30">
        <f t="shared" si="3"/>
        <v>0</v>
      </c>
      <c r="S19" s="30">
        <f t="shared" si="3"/>
        <v>0</v>
      </c>
      <c r="T19" s="30">
        <f t="shared" si="3"/>
        <v>0</v>
      </c>
      <c r="U19" s="30">
        <f t="shared" si="3"/>
        <v>0</v>
      </c>
      <c r="V19" s="30">
        <f t="shared" si="3"/>
        <v>0</v>
      </c>
      <c r="W19" s="30">
        <f t="shared" si="3"/>
        <v>0</v>
      </c>
      <c r="X19" s="30">
        <f t="shared" si="3"/>
        <v>0</v>
      </c>
      <c r="Y19" s="30">
        <f t="shared" si="3"/>
        <v>0</v>
      </c>
      <c r="Z19" s="30">
        <f t="shared" si="3"/>
        <v>0</v>
      </c>
      <c r="AA19" s="30">
        <f t="shared" si="3"/>
        <v>0</v>
      </c>
      <c r="AB19" s="30">
        <f t="shared" si="3"/>
        <v>5.0328437499999996E-2</v>
      </c>
      <c r="AC19" s="30">
        <f t="shared" si="3"/>
        <v>0.2058890625</v>
      </c>
      <c r="AD19" s="30">
        <f t="shared" si="3"/>
        <v>0.33690937499999996</v>
      </c>
      <c r="AE19" s="30">
        <f t="shared" si="3"/>
        <v>0.275653125</v>
      </c>
      <c r="AF19" s="30">
        <f t="shared" si="5"/>
        <v>0.11276718750000002</v>
      </c>
      <c r="AG19" s="30">
        <f t="shared" si="5"/>
        <v>1.8452812499999995E-2</v>
      </c>
      <c r="AH19" s="30">
        <f t="shared" si="5"/>
        <v>0</v>
      </c>
      <c r="AI19" s="30">
        <f t="shared" si="5"/>
        <v>0</v>
      </c>
      <c r="AJ19" s="30">
        <f t="shared" si="5"/>
        <v>0</v>
      </c>
      <c r="AK19" s="30">
        <f t="shared" si="5"/>
        <v>0</v>
      </c>
      <c r="AL19" s="30">
        <f t="shared" si="6"/>
        <v>0</v>
      </c>
      <c r="AM19" s="30">
        <f t="shared" si="6"/>
        <v>0</v>
      </c>
      <c r="AN19" s="30">
        <f t="shared" si="6"/>
        <v>0</v>
      </c>
      <c r="AO19" s="31">
        <f t="shared" si="1"/>
        <v>0</v>
      </c>
      <c r="AP19" s="11">
        <f t="shared" si="2"/>
        <v>0.99999999999999989</v>
      </c>
    </row>
    <row r="20" spans="1:42" ht="15" customHeight="1" x14ac:dyDescent="0.25">
      <c r="A20" s="15"/>
      <c r="B20" s="15"/>
      <c r="C20" s="15"/>
      <c r="D20" s="15"/>
      <c r="E20" s="15"/>
      <c r="F20" s="15"/>
      <c r="I20" s="20" t="s">
        <v>13</v>
      </c>
      <c r="J20" s="8">
        <v>10000</v>
      </c>
      <c r="K20" s="12">
        <f>T62</f>
        <v>1.1664710881906018E-6</v>
      </c>
      <c r="L20" s="39">
        <f t="shared" si="4"/>
        <v>857286.57154389727</v>
      </c>
      <c r="N20" s="18">
        <v>14</v>
      </c>
      <c r="O20" s="29">
        <v>0</v>
      </c>
      <c r="P20" s="30">
        <f t="shared" si="3"/>
        <v>0</v>
      </c>
      <c r="Q20" s="30">
        <f t="shared" si="3"/>
        <v>0</v>
      </c>
      <c r="R20" s="30">
        <f t="shared" si="3"/>
        <v>0</v>
      </c>
      <c r="S20" s="30">
        <f t="shared" si="3"/>
        <v>0</v>
      </c>
      <c r="T20" s="30">
        <f t="shared" si="3"/>
        <v>0</v>
      </c>
      <c r="U20" s="30">
        <f t="shared" si="3"/>
        <v>0</v>
      </c>
      <c r="V20" s="30">
        <f t="shared" si="3"/>
        <v>0</v>
      </c>
      <c r="W20" s="30">
        <f t="shared" si="3"/>
        <v>0</v>
      </c>
      <c r="X20" s="30">
        <f t="shared" si="3"/>
        <v>0</v>
      </c>
      <c r="Y20" s="30">
        <f t="shared" si="3"/>
        <v>0</v>
      </c>
      <c r="Z20" s="30">
        <f t="shared" si="3"/>
        <v>0</v>
      </c>
      <c r="AA20" s="30">
        <f t="shared" si="3"/>
        <v>0</v>
      </c>
      <c r="AB20" s="30">
        <f t="shared" si="3"/>
        <v>0</v>
      </c>
      <c r="AC20" s="30">
        <f t="shared" si="3"/>
        <v>5.0328437499999996E-2</v>
      </c>
      <c r="AD20" s="30">
        <f t="shared" si="3"/>
        <v>0.2058890625</v>
      </c>
      <c r="AE20" s="30">
        <f t="shared" si="3"/>
        <v>0.33690937499999996</v>
      </c>
      <c r="AF20" s="30">
        <f t="shared" si="5"/>
        <v>0.275653125</v>
      </c>
      <c r="AG20" s="30">
        <f t="shared" si="5"/>
        <v>0.11276718750000002</v>
      </c>
      <c r="AH20" s="30">
        <f t="shared" si="5"/>
        <v>1.8452812499999995E-2</v>
      </c>
      <c r="AI20" s="30">
        <f t="shared" si="5"/>
        <v>0</v>
      </c>
      <c r="AJ20" s="30">
        <f t="shared" si="5"/>
        <v>0</v>
      </c>
      <c r="AK20" s="30">
        <f t="shared" si="5"/>
        <v>0</v>
      </c>
      <c r="AL20" s="30">
        <f t="shared" si="6"/>
        <v>0</v>
      </c>
      <c r="AM20" s="30">
        <f t="shared" si="6"/>
        <v>0</v>
      </c>
      <c r="AN20" s="30">
        <f t="shared" si="6"/>
        <v>0</v>
      </c>
      <c r="AO20" s="31">
        <f t="shared" si="1"/>
        <v>0</v>
      </c>
      <c r="AP20" s="11">
        <f t="shared" si="2"/>
        <v>0.99999999999999989</v>
      </c>
    </row>
    <row r="21" spans="1:42" x14ac:dyDescent="0.25">
      <c r="N21" s="18">
        <v>15</v>
      </c>
      <c r="O21" s="29">
        <v>0</v>
      </c>
      <c r="P21" s="30">
        <f t="shared" si="3"/>
        <v>0</v>
      </c>
      <c r="Q21" s="30">
        <f t="shared" si="3"/>
        <v>0</v>
      </c>
      <c r="R21" s="30">
        <f t="shared" si="3"/>
        <v>0</v>
      </c>
      <c r="S21" s="30">
        <f t="shared" si="3"/>
        <v>0</v>
      </c>
      <c r="T21" s="30">
        <f t="shared" si="3"/>
        <v>0</v>
      </c>
      <c r="U21" s="30">
        <f t="shared" si="3"/>
        <v>0</v>
      </c>
      <c r="V21" s="30">
        <f t="shared" si="3"/>
        <v>0</v>
      </c>
      <c r="W21" s="30">
        <f t="shared" si="3"/>
        <v>0</v>
      </c>
      <c r="X21" s="30">
        <f t="shared" si="3"/>
        <v>0</v>
      </c>
      <c r="Y21" s="30">
        <f t="shared" si="3"/>
        <v>0</v>
      </c>
      <c r="Z21" s="30">
        <f t="shared" si="3"/>
        <v>0</v>
      </c>
      <c r="AA21" s="30">
        <f t="shared" si="3"/>
        <v>0</v>
      </c>
      <c r="AB21" s="30">
        <f t="shared" si="3"/>
        <v>0</v>
      </c>
      <c r="AC21" s="30">
        <f t="shared" si="3"/>
        <v>0</v>
      </c>
      <c r="AD21" s="30">
        <f t="shared" si="3"/>
        <v>5.0328437499999996E-2</v>
      </c>
      <c r="AE21" s="30">
        <f t="shared" si="3"/>
        <v>0.2058890625</v>
      </c>
      <c r="AF21" s="30">
        <f t="shared" si="5"/>
        <v>0.33690937499999996</v>
      </c>
      <c r="AG21" s="30">
        <f t="shared" si="5"/>
        <v>0.275653125</v>
      </c>
      <c r="AH21" s="30">
        <f t="shared" si="5"/>
        <v>0.11276718750000002</v>
      </c>
      <c r="AI21" s="30">
        <f t="shared" si="5"/>
        <v>1.8452812499999995E-2</v>
      </c>
      <c r="AJ21" s="30">
        <f t="shared" si="5"/>
        <v>0</v>
      </c>
      <c r="AK21" s="30">
        <f t="shared" si="5"/>
        <v>0</v>
      </c>
      <c r="AL21" s="30">
        <f t="shared" si="6"/>
        <v>0</v>
      </c>
      <c r="AM21" s="30">
        <f t="shared" si="6"/>
        <v>0</v>
      </c>
      <c r="AN21" s="30">
        <f t="shared" si="6"/>
        <v>0</v>
      </c>
      <c r="AO21" s="31">
        <f t="shared" si="1"/>
        <v>0</v>
      </c>
      <c r="AP21" s="11">
        <f t="shared" si="2"/>
        <v>0.99999999999999989</v>
      </c>
    </row>
    <row r="22" spans="1:42" x14ac:dyDescent="0.25">
      <c r="I22" s="6" t="s">
        <v>14</v>
      </c>
      <c r="N22" s="18">
        <v>16</v>
      </c>
      <c r="O22" s="29">
        <v>0</v>
      </c>
      <c r="P22" s="30">
        <f t="shared" si="3"/>
        <v>0</v>
      </c>
      <c r="Q22" s="30">
        <f t="shared" si="3"/>
        <v>0</v>
      </c>
      <c r="R22" s="30">
        <f t="shared" si="3"/>
        <v>0</v>
      </c>
      <c r="S22" s="30">
        <f t="shared" si="3"/>
        <v>0</v>
      </c>
      <c r="T22" s="30">
        <f t="shared" si="3"/>
        <v>0</v>
      </c>
      <c r="U22" s="30">
        <f t="shared" si="3"/>
        <v>0</v>
      </c>
      <c r="V22" s="30">
        <f t="shared" si="3"/>
        <v>0</v>
      </c>
      <c r="W22" s="30">
        <f t="shared" si="3"/>
        <v>0</v>
      </c>
      <c r="X22" s="30">
        <f t="shared" si="3"/>
        <v>0</v>
      </c>
      <c r="Y22" s="30">
        <f t="shared" si="3"/>
        <v>0</v>
      </c>
      <c r="Z22" s="30">
        <f t="shared" si="3"/>
        <v>0</v>
      </c>
      <c r="AA22" s="30">
        <f t="shared" si="3"/>
        <v>0</v>
      </c>
      <c r="AB22" s="30">
        <f t="shared" si="3"/>
        <v>0</v>
      </c>
      <c r="AC22" s="30">
        <f t="shared" si="3"/>
        <v>0</v>
      </c>
      <c r="AD22" s="30">
        <f t="shared" si="3"/>
        <v>0</v>
      </c>
      <c r="AE22" s="30">
        <f t="shared" si="3"/>
        <v>5.0328437499999996E-2</v>
      </c>
      <c r="AF22" s="30">
        <f t="shared" si="5"/>
        <v>0.2058890625</v>
      </c>
      <c r="AG22" s="30">
        <f t="shared" si="5"/>
        <v>0.33690937499999996</v>
      </c>
      <c r="AH22" s="30">
        <f t="shared" si="5"/>
        <v>0.275653125</v>
      </c>
      <c r="AI22" s="30">
        <f t="shared" si="5"/>
        <v>0.11276718750000002</v>
      </c>
      <c r="AJ22" s="30">
        <f t="shared" si="5"/>
        <v>1.8452812499999995E-2</v>
      </c>
      <c r="AK22" s="30">
        <f t="shared" si="5"/>
        <v>0</v>
      </c>
      <c r="AL22" s="30">
        <f t="shared" si="6"/>
        <v>0</v>
      </c>
      <c r="AM22" s="30">
        <f t="shared" si="6"/>
        <v>0</v>
      </c>
      <c r="AN22" s="30">
        <f t="shared" si="6"/>
        <v>0</v>
      </c>
      <c r="AO22" s="31">
        <f t="shared" si="1"/>
        <v>0</v>
      </c>
      <c r="AP22" s="11">
        <f t="shared" si="2"/>
        <v>0.99999999999999989</v>
      </c>
    </row>
    <row r="23" spans="1:42" x14ac:dyDescent="0.25">
      <c r="I23" s="22" t="s">
        <v>15</v>
      </c>
      <c r="J23" s="5" t="s">
        <v>5</v>
      </c>
      <c r="N23" s="18">
        <v>17</v>
      </c>
      <c r="O23" s="29">
        <v>0</v>
      </c>
      <c r="P23" s="30">
        <f t="shared" si="3"/>
        <v>0</v>
      </c>
      <c r="Q23" s="30">
        <f t="shared" si="3"/>
        <v>0</v>
      </c>
      <c r="R23" s="30">
        <f t="shared" si="3"/>
        <v>0</v>
      </c>
      <c r="S23" s="30">
        <f t="shared" si="3"/>
        <v>0</v>
      </c>
      <c r="T23" s="30">
        <f t="shared" si="3"/>
        <v>0</v>
      </c>
      <c r="U23" s="30">
        <f t="shared" si="3"/>
        <v>0</v>
      </c>
      <c r="V23" s="30">
        <f t="shared" si="3"/>
        <v>0</v>
      </c>
      <c r="W23" s="30">
        <f t="shared" si="3"/>
        <v>0</v>
      </c>
      <c r="X23" s="30">
        <f t="shared" si="3"/>
        <v>0</v>
      </c>
      <c r="Y23" s="30">
        <f t="shared" si="3"/>
        <v>0</v>
      </c>
      <c r="Z23" s="30">
        <f t="shared" si="3"/>
        <v>0</v>
      </c>
      <c r="AA23" s="30">
        <f t="shared" si="3"/>
        <v>0</v>
      </c>
      <c r="AB23" s="30">
        <f t="shared" si="3"/>
        <v>0</v>
      </c>
      <c r="AC23" s="30">
        <f t="shared" si="3"/>
        <v>0</v>
      </c>
      <c r="AD23" s="30">
        <f t="shared" si="3"/>
        <v>0</v>
      </c>
      <c r="AE23" s="30">
        <f t="shared" si="3"/>
        <v>0</v>
      </c>
      <c r="AF23" s="30">
        <f t="shared" si="5"/>
        <v>5.0328437499999996E-2</v>
      </c>
      <c r="AG23" s="30">
        <f t="shared" si="5"/>
        <v>0.2058890625</v>
      </c>
      <c r="AH23" s="30">
        <f t="shared" si="5"/>
        <v>0.33690937499999996</v>
      </c>
      <c r="AI23" s="30">
        <f t="shared" si="5"/>
        <v>0.275653125</v>
      </c>
      <c r="AJ23" s="30">
        <f t="shared" si="5"/>
        <v>0.11276718750000002</v>
      </c>
      <c r="AK23" s="30">
        <f t="shared" si="5"/>
        <v>1.8452812499999995E-2</v>
      </c>
      <c r="AL23" s="30">
        <f t="shared" si="6"/>
        <v>0</v>
      </c>
      <c r="AM23" s="30">
        <f t="shared" si="6"/>
        <v>0</v>
      </c>
      <c r="AN23" s="30">
        <f t="shared" si="6"/>
        <v>0</v>
      </c>
      <c r="AO23" s="31">
        <f t="shared" si="1"/>
        <v>0</v>
      </c>
      <c r="AP23" s="11">
        <f t="shared" si="2"/>
        <v>0.99999999999999989</v>
      </c>
    </row>
    <row r="24" spans="1:42" x14ac:dyDescent="0.25">
      <c r="I24" s="18" t="s">
        <v>16</v>
      </c>
      <c r="J24" s="7">
        <v>45</v>
      </c>
      <c r="N24" s="18">
        <v>18</v>
      </c>
      <c r="O24" s="29">
        <v>0</v>
      </c>
      <c r="P24" s="30">
        <f t="shared" si="3"/>
        <v>0</v>
      </c>
      <c r="Q24" s="30">
        <f t="shared" si="3"/>
        <v>0</v>
      </c>
      <c r="R24" s="30">
        <f t="shared" si="3"/>
        <v>0</v>
      </c>
      <c r="S24" s="30">
        <f t="shared" si="3"/>
        <v>0</v>
      </c>
      <c r="T24" s="30">
        <f t="shared" si="3"/>
        <v>0</v>
      </c>
      <c r="U24" s="30">
        <f t="shared" si="3"/>
        <v>0</v>
      </c>
      <c r="V24" s="30">
        <f t="shared" si="3"/>
        <v>0</v>
      </c>
      <c r="W24" s="30">
        <f t="shared" si="3"/>
        <v>0</v>
      </c>
      <c r="X24" s="30">
        <f t="shared" si="3"/>
        <v>0</v>
      </c>
      <c r="Y24" s="30">
        <f t="shared" si="3"/>
        <v>0</v>
      </c>
      <c r="Z24" s="30">
        <f t="shared" si="3"/>
        <v>0</v>
      </c>
      <c r="AA24" s="30">
        <f t="shared" si="3"/>
        <v>0</v>
      </c>
      <c r="AB24" s="30">
        <f t="shared" si="3"/>
        <v>0</v>
      </c>
      <c r="AC24" s="30">
        <f t="shared" si="3"/>
        <v>0</v>
      </c>
      <c r="AD24" s="30">
        <f t="shared" si="3"/>
        <v>0</v>
      </c>
      <c r="AE24" s="30">
        <f t="shared" si="3"/>
        <v>0</v>
      </c>
      <c r="AF24" s="30">
        <f t="shared" si="5"/>
        <v>0</v>
      </c>
      <c r="AG24" s="30">
        <f t="shared" si="5"/>
        <v>5.0328437499999996E-2</v>
      </c>
      <c r="AH24" s="30">
        <f t="shared" si="5"/>
        <v>0.2058890625</v>
      </c>
      <c r="AI24" s="30">
        <f t="shared" si="5"/>
        <v>0.33690937499999996</v>
      </c>
      <c r="AJ24" s="30">
        <f t="shared" si="5"/>
        <v>0.275653125</v>
      </c>
      <c r="AK24" s="30">
        <f t="shared" si="5"/>
        <v>0.11276718750000002</v>
      </c>
      <c r="AL24" s="30">
        <f t="shared" si="6"/>
        <v>1.8452812499999995E-2</v>
      </c>
      <c r="AM24" s="30">
        <f t="shared" si="6"/>
        <v>0</v>
      </c>
      <c r="AN24" s="30">
        <f t="shared" si="6"/>
        <v>0</v>
      </c>
      <c r="AO24" s="31">
        <f t="shared" si="1"/>
        <v>0</v>
      </c>
      <c r="AP24" s="11">
        <f t="shared" si="2"/>
        <v>0.99999999999999989</v>
      </c>
    </row>
    <row r="25" spans="1:42" x14ac:dyDescent="0.25">
      <c r="I25" s="20" t="s">
        <v>17</v>
      </c>
      <c r="J25" s="8">
        <f>100-J24</f>
        <v>55</v>
      </c>
      <c r="N25" s="18">
        <v>19</v>
      </c>
      <c r="O25" s="29">
        <v>0</v>
      </c>
      <c r="P25" s="30">
        <f t="shared" si="3"/>
        <v>0</v>
      </c>
      <c r="Q25" s="30">
        <f t="shared" si="3"/>
        <v>0</v>
      </c>
      <c r="R25" s="30">
        <f t="shared" si="3"/>
        <v>0</v>
      </c>
      <c r="S25" s="30">
        <f t="shared" si="3"/>
        <v>0</v>
      </c>
      <c r="T25" s="30">
        <f t="shared" si="3"/>
        <v>0</v>
      </c>
      <c r="U25" s="30">
        <f t="shared" si="3"/>
        <v>0</v>
      </c>
      <c r="V25" s="30">
        <f t="shared" si="3"/>
        <v>0</v>
      </c>
      <c r="W25" s="30">
        <f t="shared" si="3"/>
        <v>0</v>
      </c>
      <c r="X25" s="30">
        <f t="shared" si="3"/>
        <v>0</v>
      </c>
      <c r="Y25" s="30">
        <f t="shared" si="3"/>
        <v>0</v>
      </c>
      <c r="Z25" s="30">
        <f t="shared" si="3"/>
        <v>0</v>
      </c>
      <c r="AA25" s="30">
        <f t="shared" si="3"/>
        <v>0</v>
      </c>
      <c r="AB25" s="30">
        <f t="shared" si="3"/>
        <v>0</v>
      </c>
      <c r="AC25" s="30">
        <f t="shared" si="3"/>
        <v>0</v>
      </c>
      <c r="AD25" s="30">
        <f t="shared" si="3"/>
        <v>0</v>
      </c>
      <c r="AE25" s="30">
        <f t="shared" si="3"/>
        <v>0</v>
      </c>
      <c r="AF25" s="30">
        <f t="shared" si="5"/>
        <v>0</v>
      </c>
      <c r="AG25" s="30">
        <f t="shared" si="5"/>
        <v>0</v>
      </c>
      <c r="AH25" s="30">
        <f t="shared" si="5"/>
        <v>5.0328437499999996E-2</v>
      </c>
      <c r="AI25" s="30">
        <f t="shared" si="5"/>
        <v>0.2058890625</v>
      </c>
      <c r="AJ25" s="30">
        <f t="shared" si="5"/>
        <v>0.33690937499999996</v>
      </c>
      <c r="AK25" s="30">
        <f t="shared" si="5"/>
        <v>0.275653125</v>
      </c>
      <c r="AL25" s="30">
        <f t="shared" si="6"/>
        <v>0.11276718750000002</v>
      </c>
      <c r="AM25" s="30">
        <f t="shared" si="6"/>
        <v>1.8452812499999995E-2</v>
      </c>
      <c r="AN25" s="30">
        <f t="shared" si="6"/>
        <v>0</v>
      </c>
      <c r="AO25" s="31">
        <f t="shared" si="1"/>
        <v>0</v>
      </c>
      <c r="AP25" s="11">
        <f t="shared" si="2"/>
        <v>0.99999999999999989</v>
      </c>
    </row>
    <row r="26" spans="1:42" x14ac:dyDescent="0.25">
      <c r="N26" s="18">
        <v>20</v>
      </c>
      <c r="O26" s="29">
        <v>0</v>
      </c>
      <c r="P26" s="30">
        <f t="shared" si="3"/>
        <v>0</v>
      </c>
      <c r="Q26" s="30">
        <f t="shared" si="3"/>
        <v>0</v>
      </c>
      <c r="R26" s="30">
        <f t="shared" si="3"/>
        <v>0</v>
      </c>
      <c r="S26" s="30">
        <f t="shared" si="3"/>
        <v>0</v>
      </c>
      <c r="T26" s="30">
        <f t="shared" si="3"/>
        <v>0</v>
      </c>
      <c r="U26" s="30">
        <f t="shared" si="3"/>
        <v>0</v>
      </c>
      <c r="V26" s="30">
        <f t="shared" si="3"/>
        <v>0</v>
      </c>
      <c r="W26" s="30">
        <f t="shared" si="3"/>
        <v>0</v>
      </c>
      <c r="X26" s="30">
        <f t="shared" si="3"/>
        <v>0</v>
      </c>
      <c r="Y26" s="30">
        <f t="shared" si="3"/>
        <v>0</v>
      </c>
      <c r="Z26" s="30">
        <f t="shared" si="3"/>
        <v>0</v>
      </c>
      <c r="AA26" s="30">
        <f t="shared" si="3"/>
        <v>0</v>
      </c>
      <c r="AB26" s="30">
        <f t="shared" si="3"/>
        <v>0</v>
      </c>
      <c r="AC26" s="30">
        <f t="shared" si="3"/>
        <v>0</v>
      </c>
      <c r="AD26" s="30">
        <f t="shared" si="3"/>
        <v>0</v>
      </c>
      <c r="AE26" s="30">
        <f t="shared" si="3"/>
        <v>0</v>
      </c>
      <c r="AF26" s="30">
        <f t="shared" si="5"/>
        <v>0</v>
      </c>
      <c r="AG26" s="30">
        <f t="shared" si="5"/>
        <v>0</v>
      </c>
      <c r="AH26" s="30">
        <f t="shared" si="5"/>
        <v>0</v>
      </c>
      <c r="AI26" s="30">
        <f t="shared" si="5"/>
        <v>5.0328437499999996E-2</v>
      </c>
      <c r="AJ26" s="30">
        <f t="shared" si="5"/>
        <v>0.2058890625</v>
      </c>
      <c r="AK26" s="30">
        <f t="shared" si="5"/>
        <v>0.33690937499999996</v>
      </c>
      <c r="AL26" s="30">
        <f t="shared" si="6"/>
        <v>0.275653125</v>
      </c>
      <c r="AM26" s="30">
        <f t="shared" si="6"/>
        <v>0.11276718750000002</v>
      </c>
      <c r="AN26" s="30">
        <f t="shared" si="6"/>
        <v>1.8452812499999995E-2</v>
      </c>
      <c r="AO26" s="31">
        <f t="shared" si="1"/>
        <v>0</v>
      </c>
      <c r="AP26" s="11">
        <f t="shared" si="2"/>
        <v>0.99999999999999989</v>
      </c>
    </row>
    <row r="27" spans="1:42" x14ac:dyDescent="0.25">
      <c r="N27" s="18">
        <v>21</v>
      </c>
      <c r="O27" s="29">
        <v>0</v>
      </c>
      <c r="P27" s="30">
        <f t="shared" si="3"/>
        <v>0</v>
      </c>
      <c r="Q27" s="30">
        <f t="shared" si="3"/>
        <v>0</v>
      </c>
      <c r="R27" s="30">
        <f t="shared" si="3"/>
        <v>0</v>
      </c>
      <c r="S27" s="30">
        <f t="shared" si="3"/>
        <v>0</v>
      </c>
      <c r="T27" s="30">
        <f t="shared" si="3"/>
        <v>0</v>
      </c>
      <c r="U27" s="30">
        <f t="shared" si="3"/>
        <v>0</v>
      </c>
      <c r="V27" s="30">
        <f t="shared" si="3"/>
        <v>0</v>
      </c>
      <c r="W27" s="30">
        <f t="shared" si="3"/>
        <v>0</v>
      </c>
      <c r="X27" s="30">
        <f t="shared" si="3"/>
        <v>0</v>
      </c>
      <c r="Y27" s="30">
        <f t="shared" si="3"/>
        <v>0</v>
      </c>
      <c r="Z27" s="30">
        <f t="shared" si="3"/>
        <v>0</v>
      </c>
      <c r="AA27" s="30">
        <f t="shared" si="3"/>
        <v>0</v>
      </c>
      <c r="AB27" s="30">
        <f t="shared" si="3"/>
        <v>0</v>
      </c>
      <c r="AC27" s="30">
        <f t="shared" si="3"/>
        <v>0</v>
      </c>
      <c r="AD27" s="30">
        <f t="shared" si="3"/>
        <v>0</v>
      </c>
      <c r="AE27" s="30">
        <f t="shared" si="3"/>
        <v>0</v>
      </c>
      <c r="AF27" s="30">
        <f t="shared" si="5"/>
        <v>0</v>
      </c>
      <c r="AG27" s="30">
        <f t="shared" si="5"/>
        <v>0</v>
      </c>
      <c r="AH27" s="30">
        <f t="shared" si="5"/>
        <v>0</v>
      </c>
      <c r="AI27" s="30">
        <f t="shared" si="5"/>
        <v>0</v>
      </c>
      <c r="AJ27" s="30">
        <f t="shared" si="5"/>
        <v>5.0328437499999996E-2</v>
      </c>
      <c r="AK27" s="30">
        <f t="shared" si="5"/>
        <v>0.2058890625</v>
      </c>
      <c r="AL27" s="30">
        <f t="shared" si="6"/>
        <v>0.33690937499999996</v>
      </c>
      <c r="AM27" s="30">
        <f t="shared" si="6"/>
        <v>0.275653125</v>
      </c>
      <c r="AN27" s="30">
        <f t="shared" si="6"/>
        <v>0.11276718750000002</v>
      </c>
      <c r="AO27" s="31">
        <f t="shared" si="1"/>
        <v>1.8452812500000082E-2</v>
      </c>
      <c r="AP27" s="11">
        <f t="shared" si="2"/>
        <v>1</v>
      </c>
    </row>
    <row r="28" spans="1:42" x14ac:dyDescent="0.25">
      <c r="N28" s="18">
        <v>22</v>
      </c>
      <c r="O28" s="29">
        <v>0</v>
      </c>
      <c r="P28" s="30">
        <f t="shared" si="3"/>
        <v>0</v>
      </c>
      <c r="Q28" s="30">
        <f t="shared" si="3"/>
        <v>0</v>
      </c>
      <c r="R28" s="30">
        <f t="shared" si="3"/>
        <v>0</v>
      </c>
      <c r="S28" s="30">
        <f t="shared" si="3"/>
        <v>0</v>
      </c>
      <c r="T28" s="30">
        <f t="shared" si="3"/>
        <v>0</v>
      </c>
      <c r="U28" s="30">
        <f t="shared" si="3"/>
        <v>0</v>
      </c>
      <c r="V28" s="30">
        <f t="shared" si="3"/>
        <v>0</v>
      </c>
      <c r="W28" s="30">
        <f t="shared" si="3"/>
        <v>0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0">
        <f t="shared" si="3"/>
        <v>0</v>
      </c>
      <c r="AB28" s="30">
        <f t="shared" si="3"/>
        <v>0</v>
      </c>
      <c r="AC28" s="30">
        <f t="shared" si="3"/>
        <v>0</v>
      </c>
      <c r="AD28" s="30">
        <f t="shared" si="3"/>
        <v>0</v>
      </c>
      <c r="AE28" s="30">
        <f t="shared" si="3"/>
        <v>0</v>
      </c>
      <c r="AF28" s="30">
        <f t="shared" si="5"/>
        <v>0</v>
      </c>
      <c r="AG28" s="30">
        <f t="shared" si="5"/>
        <v>0</v>
      </c>
      <c r="AH28" s="30">
        <f t="shared" si="5"/>
        <v>0</v>
      </c>
      <c r="AI28" s="30">
        <f t="shared" si="5"/>
        <v>0</v>
      </c>
      <c r="AJ28" s="30">
        <f t="shared" si="5"/>
        <v>0</v>
      </c>
      <c r="AK28" s="30">
        <f t="shared" si="5"/>
        <v>5.0328437499999996E-2</v>
      </c>
      <c r="AL28" s="30">
        <f t="shared" si="6"/>
        <v>0.2058890625</v>
      </c>
      <c r="AM28" s="30">
        <f t="shared" si="6"/>
        <v>0.33690937499999996</v>
      </c>
      <c r="AN28" s="30">
        <f t="shared" si="6"/>
        <v>0.275653125</v>
      </c>
      <c r="AO28" s="31">
        <f t="shared" si="1"/>
        <v>0.13122000000000011</v>
      </c>
      <c r="AP28" s="11">
        <f t="shared" si="2"/>
        <v>1</v>
      </c>
    </row>
    <row r="29" spans="1:42" x14ac:dyDescent="0.25">
      <c r="B29" s="15"/>
      <c r="C29" s="15"/>
      <c r="D29" s="15"/>
      <c r="E29" s="15"/>
      <c r="F29" s="15"/>
      <c r="G29" s="15"/>
      <c r="N29" s="18">
        <v>23</v>
      </c>
      <c r="O29" s="29">
        <v>0</v>
      </c>
      <c r="P29" s="30">
        <f t="shared" si="3"/>
        <v>0</v>
      </c>
      <c r="Q29" s="30">
        <f t="shared" si="3"/>
        <v>0</v>
      </c>
      <c r="R29" s="30">
        <f t="shared" si="3"/>
        <v>0</v>
      </c>
      <c r="S29" s="30">
        <f t="shared" si="3"/>
        <v>0</v>
      </c>
      <c r="T29" s="30">
        <f t="shared" si="3"/>
        <v>0</v>
      </c>
      <c r="U29" s="30">
        <f t="shared" si="3"/>
        <v>0</v>
      </c>
      <c r="V29" s="30">
        <f t="shared" si="3"/>
        <v>0</v>
      </c>
      <c r="W29" s="30">
        <f t="shared" si="3"/>
        <v>0</v>
      </c>
      <c r="X29" s="30">
        <f t="shared" si="3"/>
        <v>0</v>
      </c>
      <c r="Y29" s="30">
        <f t="shared" si="3"/>
        <v>0</v>
      </c>
      <c r="Z29" s="30">
        <f t="shared" si="3"/>
        <v>0</v>
      </c>
      <c r="AA29" s="30">
        <f t="shared" si="3"/>
        <v>0</v>
      </c>
      <c r="AB29" s="30">
        <f t="shared" si="3"/>
        <v>0</v>
      </c>
      <c r="AC29" s="30">
        <f t="shared" si="3"/>
        <v>0</v>
      </c>
      <c r="AD29" s="30">
        <f t="shared" si="3"/>
        <v>0</v>
      </c>
      <c r="AE29" s="30">
        <f t="shared" si="3"/>
        <v>0</v>
      </c>
      <c r="AF29" s="30">
        <f t="shared" si="5"/>
        <v>0</v>
      </c>
      <c r="AG29" s="30">
        <f t="shared" si="5"/>
        <v>0</v>
      </c>
      <c r="AH29" s="30">
        <f t="shared" si="5"/>
        <v>0</v>
      </c>
      <c r="AI29" s="30">
        <f t="shared" si="5"/>
        <v>0</v>
      </c>
      <c r="AJ29" s="30">
        <f t="shared" si="5"/>
        <v>0</v>
      </c>
      <c r="AK29" s="30">
        <f t="shared" si="5"/>
        <v>0</v>
      </c>
      <c r="AL29" s="30">
        <f t="shared" si="6"/>
        <v>5.0328437499999996E-2</v>
      </c>
      <c r="AM29" s="30">
        <f t="shared" si="6"/>
        <v>0.2058890625</v>
      </c>
      <c r="AN29" s="30">
        <f t="shared" si="6"/>
        <v>0.33690937499999996</v>
      </c>
      <c r="AO29" s="31">
        <f t="shared" si="1"/>
        <v>0.40687312500000006</v>
      </c>
      <c r="AP29" s="11">
        <f t="shared" si="2"/>
        <v>1</v>
      </c>
    </row>
    <row r="30" spans="1:42" x14ac:dyDescent="0.25">
      <c r="B30" s="15"/>
      <c r="C30" s="15"/>
      <c r="D30" s="15"/>
      <c r="E30" s="15"/>
      <c r="F30" s="15"/>
      <c r="G30" s="15"/>
      <c r="N30" s="18">
        <v>24</v>
      </c>
      <c r="O30" s="29">
        <v>0</v>
      </c>
      <c r="P30" s="30">
        <f t="shared" si="3"/>
        <v>0</v>
      </c>
      <c r="Q30" s="30">
        <f t="shared" si="3"/>
        <v>0</v>
      </c>
      <c r="R30" s="30">
        <f t="shared" si="3"/>
        <v>0</v>
      </c>
      <c r="S30" s="30">
        <f t="shared" si="3"/>
        <v>0</v>
      </c>
      <c r="T30" s="30">
        <f t="shared" si="3"/>
        <v>0</v>
      </c>
      <c r="U30" s="30">
        <f t="shared" si="3"/>
        <v>0</v>
      </c>
      <c r="V30" s="30">
        <f t="shared" si="3"/>
        <v>0</v>
      </c>
      <c r="W30" s="30">
        <f t="shared" si="3"/>
        <v>0</v>
      </c>
      <c r="X30" s="30">
        <f t="shared" si="3"/>
        <v>0</v>
      </c>
      <c r="Y30" s="30">
        <f t="shared" si="3"/>
        <v>0</v>
      </c>
      <c r="Z30" s="30">
        <f t="shared" si="3"/>
        <v>0</v>
      </c>
      <c r="AA30" s="30">
        <f t="shared" si="3"/>
        <v>0</v>
      </c>
      <c r="AB30" s="30">
        <f t="shared" si="3"/>
        <v>0</v>
      </c>
      <c r="AC30" s="30">
        <f t="shared" si="3"/>
        <v>0</v>
      </c>
      <c r="AD30" s="30">
        <f t="shared" si="3"/>
        <v>0</v>
      </c>
      <c r="AE30" s="30">
        <f t="shared" si="3"/>
        <v>0</v>
      </c>
      <c r="AF30" s="30">
        <f t="shared" si="5"/>
        <v>0</v>
      </c>
      <c r="AG30" s="30">
        <f t="shared" si="5"/>
        <v>0</v>
      </c>
      <c r="AH30" s="30">
        <f t="shared" si="5"/>
        <v>0</v>
      </c>
      <c r="AI30" s="30">
        <f t="shared" si="5"/>
        <v>0</v>
      </c>
      <c r="AJ30" s="30">
        <f t="shared" si="5"/>
        <v>0</v>
      </c>
      <c r="AK30" s="30">
        <f t="shared" si="5"/>
        <v>0</v>
      </c>
      <c r="AL30" s="30">
        <f t="shared" si="6"/>
        <v>0</v>
      </c>
      <c r="AM30" s="30">
        <f t="shared" si="6"/>
        <v>5.0328437499999996E-2</v>
      </c>
      <c r="AN30" s="30">
        <f t="shared" si="6"/>
        <v>0.2058890625</v>
      </c>
      <c r="AO30" s="31">
        <f t="shared" si="1"/>
        <v>0.74378250000000001</v>
      </c>
      <c r="AP30" s="11">
        <f t="shared" si="2"/>
        <v>1</v>
      </c>
    </row>
    <row r="31" spans="1:42" x14ac:dyDescent="0.25">
      <c r="N31" s="18">
        <v>25</v>
      </c>
      <c r="O31" s="29">
        <v>0</v>
      </c>
      <c r="P31" s="30">
        <f t="shared" si="3"/>
        <v>0</v>
      </c>
      <c r="Q31" s="30">
        <f t="shared" si="3"/>
        <v>0</v>
      </c>
      <c r="R31" s="30">
        <f t="shared" si="3"/>
        <v>0</v>
      </c>
      <c r="S31" s="30">
        <f t="shared" si="3"/>
        <v>0</v>
      </c>
      <c r="T31" s="30">
        <f t="shared" si="3"/>
        <v>0</v>
      </c>
      <c r="U31" s="30">
        <f t="shared" si="3"/>
        <v>0</v>
      </c>
      <c r="V31" s="30">
        <f t="shared" si="3"/>
        <v>0</v>
      </c>
      <c r="W31" s="30">
        <f t="shared" si="3"/>
        <v>0</v>
      </c>
      <c r="X31" s="30">
        <f t="shared" si="3"/>
        <v>0</v>
      </c>
      <c r="Y31" s="30">
        <f t="shared" si="3"/>
        <v>0</v>
      </c>
      <c r="Z31" s="30">
        <f t="shared" si="3"/>
        <v>0</v>
      </c>
      <c r="AA31" s="30">
        <f t="shared" si="3"/>
        <v>0</v>
      </c>
      <c r="AB31" s="30">
        <f t="shared" si="3"/>
        <v>0</v>
      </c>
      <c r="AC31" s="30">
        <f t="shared" si="3"/>
        <v>0</v>
      </c>
      <c r="AD31" s="30">
        <f t="shared" si="3"/>
        <v>0</v>
      </c>
      <c r="AE31" s="30">
        <f t="shared" si="3"/>
        <v>0</v>
      </c>
      <c r="AF31" s="30">
        <f t="shared" si="5"/>
        <v>0</v>
      </c>
      <c r="AG31" s="30">
        <f t="shared" si="5"/>
        <v>0</v>
      </c>
      <c r="AH31" s="30">
        <f t="shared" si="5"/>
        <v>0</v>
      </c>
      <c r="AI31" s="30">
        <f t="shared" si="5"/>
        <v>0</v>
      </c>
      <c r="AJ31" s="30">
        <f t="shared" si="5"/>
        <v>0</v>
      </c>
      <c r="AK31" s="30">
        <f t="shared" si="5"/>
        <v>0</v>
      </c>
      <c r="AL31" s="30">
        <f t="shared" si="6"/>
        <v>0</v>
      </c>
      <c r="AM31" s="30">
        <f t="shared" si="6"/>
        <v>0</v>
      </c>
      <c r="AN31" s="30">
        <f t="shared" si="6"/>
        <v>5.0328437499999996E-2</v>
      </c>
      <c r="AO31" s="31">
        <f t="shared" si="1"/>
        <v>0.94967156249999995</v>
      </c>
      <c r="AP31" s="11">
        <f t="shared" si="2"/>
        <v>1</v>
      </c>
    </row>
    <row r="32" spans="1:42" x14ac:dyDescent="0.25">
      <c r="N32" s="20" t="s">
        <v>13</v>
      </c>
      <c r="O32" s="32">
        <v>0</v>
      </c>
      <c r="P32" s="33">
        <f t="shared" si="3"/>
        <v>0</v>
      </c>
      <c r="Q32" s="33">
        <f t="shared" si="3"/>
        <v>0</v>
      </c>
      <c r="R32" s="33">
        <f t="shared" si="3"/>
        <v>0</v>
      </c>
      <c r="S32" s="33">
        <f t="shared" si="3"/>
        <v>0</v>
      </c>
      <c r="T32" s="33">
        <f t="shared" si="3"/>
        <v>0</v>
      </c>
      <c r="U32" s="33">
        <f t="shared" si="3"/>
        <v>0</v>
      </c>
      <c r="V32" s="33">
        <f t="shared" si="3"/>
        <v>0</v>
      </c>
      <c r="W32" s="33">
        <f t="shared" si="3"/>
        <v>0</v>
      </c>
      <c r="X32" s="33">
        <f t="shared" si="3"/>
        <v>0</v>
      </c>
      <c r="Y32" s="33">
        <f t="shared" si="3"/>
        <v>0</v>
      </c>
      <c r="Z32" s="33">
        <f t="shared" si="3"/>
        <v>0</v>
      </c>
      <c r="AA32" s="33">
        <f t="shared" si="3"/>
        <v>0</v>
      </c>
      <c r="AB32" s="33">
        <f t="shared" si="3"/>
        <v>0</v>
      </c>
      <c r="AC32" s="33">
        <f t="shared" si="3"/>
        <v>0</v>
      </c>
      <c r="AD32" s="33">
        <f t="shared" si="3"/>
        <v>0</v>
      </c>
      <c r="AE32" s="33">
        <f t="shared" si="3"/>
        <v>0</v>
      </c>
      <c r="AF32" s="33">
        <f t="shared" si="5"/>
        <v>0</v>
      </c>
      <c r="AG32" s="33">
        <f t="shared" si="5"/>
        <v>0</v>
      </c>
      <c r="AH32" s="33">
        <f t="shared" si="5"/>
        <v>0</v>
      </c>
      <c r="AI32" s="33">
        <f t="shared" si="5"/>
        <v>0</v>
      </c>
      <c r="AJ32" s="33">
        <f t="shared" si="5"/>
        <v>0</v>
      </c>
      <c r="AK32" s="33">
        <f t="shared" si="5"/>
        <v>0</v>
      </c>
      <c r="AL32" s="33">
        <f t="shared" si="6"/>
        <v>0</v>
      </c>
      <c r="AM32" s="33">
        <f t="shared" si="6"/>
        <v>0</v>
      </c>
      <c r="AN32" s="33">
        <f t="shared" si="6"/>
        <v>0</v>
      </c>
      <c r="AO32" s="34">
        <f t="shared" si="1"/>
        <v>1</v>
      </c>
      <c r="AP32" s="11">
        <f t="shared" si="2"/>
        <v>1</v>
      </c>
    </row>
    <row r="35" spans="9:20" x14ac:dyDescent="0.25">
      <c r="N35" s="3" t="s">
        <v>21</v>
      </c>
      <c r="O35" s="3">
        <v>0</v>
      </c>
      <c r="P35" s="4">
        <v>1</v>
      </c>
      <c r="Q35" s="4">
        <v>2</v>
      </c>
      <c r="R35" s="4">
        <v>3</v>
      </c>
      <c r="S35" s="4">
        <v>4</v>
      </c>
      <c r="T35" s="5">
        <v>5</v>
      </c>
    </row>
    <row r="36" spans="9:20" x14ac:dyDescent="0.25">
      <c r="N36" s="2">
        <v>0</v>
      </c>
      <c r="O36" s="35">
        <f>J6/SUM($J$6:$J$11)</f>
        <v>0.5</v>
      </c>
      <c r="P36" s="9">
        <f t="array" ref="P36:P62">MMULT(TRANSPOSE($O$6:$AO$32),O36:O62)</f>
        <v>2.5164218749999998E-2</v>
      </c>
      <c r="Q36" s="9">
        <f t="array" ref="Q36:Q62">MMULT(TRANSPOSE($O$6:$AO$32),P36:P62)</f>
        <v>1.266475810595703E-3</v>
      </c>
      <c r="R36" s="9">
        <f t="array" ref="R36:R62">MMULT(TRANSPOSE($O$6:$AO$32),Q36:Q62)</f>
        <v>6.3739748678827668E-5</v>
      </c>
      <c r="S36" s="9">
        <f t="array" ref="S36:S62">MMULT(TRANSPOSE($O$6:$AO$32),R36:R62)</f>
        <v>3.2079219576480858E-6</v>
      </c>
      <c r="T36" s="19">
        <f t="array" ref="T36:T62">MMULT(TRANSPOSE($O$6:$AO$32),S36:S62)</f>
        <v>1.6144969975036934E-7</v>
      </c>
    </row>
    <row r="37" spans="9:20" x14ac:dyDescent="0.25">
      <c r="N37" s="2">
        <v>1</v>
      </c>
      <c r="O37" s="35">
        <f t="shared" ref="O37:O41" si="7">J7/SUM($J$6:$J$11)</f>
        <v>0.25</v>
      </c>
      <c r="P37" s="9">
        <v>0.115526640625</v>
      </c>
      <c r="Q37" s="9">
        <v>1.0995312719262695E-2</v>
      </c>
      <c r="R37" s="9">
        <v>8.1413042630684436E-4</v>
      </c>
      <c r="S37" s="9">
        <v>5.409722937670181E-5</v>
      </c>
      <c r="T37" s="19">
        <v>3.3831050720418299E-6</v>
      </c>
    </row>
    <row r="38" spans="9:20" x14ac:dyDescent="0.25">
      <c r="N38" s="2">
        <v>2</v>
      </c>
      <c r="O38" s="35">
        <f t="shared" si="7"/>
        <v>0.15</v>
      </c>
      <c r="P38" s="9">
        <v>0.22747621874999999</v>
      </c>
      <c r="Q38" s="9">
        <v>4.3712255601577141E-2</v>
      </c>
      <c r="R38" s="9">
        <v>4.8904717254917383E-3</v>
      </c>
      <c r="S38" s="9">
        <v>4.3522486969701054E-4</v>
      </c>
      <c r="T38" s="19">
        <v>3.4122994475008225E-5</v>
      </c>
    </row>
    <row r="39" spans="9:20" x14ac:dyDescent="0.25">
      <c r="N39" s="2">
        <v>3</v>
      </c>
      <c r="O39" s="35">
        <f t="shared" si="7"/>
        <v>0.05</v>
      </c>
      <c r="P39" s="9">
        <v>0.25545368749999997</v>
      </c>
      <c r="Q39" s="9">
        <v>0.10555005419041014</v>
      </c>
      <c r="R39" s="9">
        <v>1.8365576582116717E-2</v>
      </c>
      <c r="S39" s="9">
        <v>2.223063645914332E-3</v>
      </c>
      <c r="T39" s="19">
        <v>2.2060149761144181E-4</v>
      </c>
    </row>
    <row r="40" spans="9:20" x14ac:dyDescent="0.25">
      <c r="N40" s="2">
        <v>4</v>
      </c>
      <c r="O40" s="35">
        <f t="shared" si="7"/>
        <v>0.04</v>
      </c>
      <c r="P40" s="9">
        <v>0.188140871875</v>
      </c>
      <c r="Q40" s="9">
        <v>0.17338580471243062</v>
      </c>
      <c r="R40" s="9">
        <v>4.8358616281126782E-2</v>
      </c>
      <c r="S40" s="9">
        <v>8.0943360627052617E-3</v>
      </c>
      <c r="T40" s="19">
        <v>1.026984934073481E-3</v>
      </c>
    </row>
    <row r="41" spans="9:20" x14ac:dyDescent="0.25">
      <c r="N41" s="12">
        <v>5</v>
      </c>
      <c r="O41" s="36">
        <f t="shared" si="7"/>
        <v>0.01</v>
      </c>
      <c r="P41" s="25">
        <v>0.10435048749999999</v>
      </c>
      <c r="Q41" s="25">
        <v>0.20624918243011328</v>
      </c>
      <c r="R41" s="25">
        <v>9.495194304799412E-2</v>
      </c>
      <c r="S41" s="25">
        <v>2.2363885218828445E-2</v>
      </c>
      <c r="T41" s="21">
        <v>3.6671763295339785E-3</v>
      </c>
    </row>
    <row r="42" spans="9:20" x14ac:dyDescent="0.25">
      <c r="N42" s="2">
        <v>6</v>
      </c>
      <c r="O42" s="35">
        <v>0</v>
      </c>
      <c r="P42" s="9">
        <v>5.0846203124999996E-2</v>
      </c>
      <c r="Q42" s="9">
        <v>0.18563030965617186</v>
      </c>
      <c r="R42" s="9">
        <v>0.14444964219806514</v>
      </c>
      <c r="S42" s="9">
        <v>4.8740998828533277E-2</v>
      </c>
      <c r="T42" s="19">
        <v>1.0447467150304019E-2</v>
      </c>
    </row>
    <row r="43" spans="9:20" x14ac:dyDescent="0.25">
      <c r="I43" s="9"/>
      <c r="J43" s="9"/>
      <c r="N43" s="2">
        <v>7</v>
      </c>
      <c r="O43" s="35">
        <v>0</v>
      </c>
      <c r="P43" s="9">
        <v>2.2801499999999999E-2</v>
      </c>
      <c r="Q43" s="9">
        <v>0.13163888764656737</v>
      </c>
      <c r="R43" s="9">
        <v>0.17483524881068849</v>
      </c>
      <c r="S43" s="9">
        <v>8.6021467164857743E-2</v>
      </c>
      <c r="T43" s="19">
        <v>2.4389115968016399E-2</v>
      </c>
    </row>
    <row r="44" spans="9:20" x14ac:dyDescent="0.25">
      <c r="N44" s="2">
        <v>8</v>
      </c>
      <c r="O44" s="35">
        <v>0</v>
      </c>
      <c r="P44" s="9">
        <v>8.1898593750000005E-3</v>
      </c>
      <c r="Q44" s="9">
        <v>7.693181874791015E-2</v>
      </c>
      <c r="R44" s="9">
        <v>0.17186861357976876</v>
      </c>
      <c r="S44" s="9">
        <v>0.12527894443481186</v>
      </c>
      <c r="T44" s="19">
        <v>4.7555744343513465E-2</v>
      </c>
    </row>
    <row r="45" spans="9:20" x14ac:dyDescent="0.25">
      <c r="N45" s="2">
        <v>9</v>
      </c>
      <c r="O45" s="35">
        <v>0</v>
      </c>
      <c r="P45" s="9">
        <v>1.8657843749999999E-3</v>
      </c>
      <c r="Q45" s="9">
        <v>3.8717097602809565E-2</v>
      </c>
      <c r="R45" s="9">
        <v>0.13976553735079161</v>
      </c>
      <c r="S45" s="9">
        <v>0.15274149456031122</v>
      </c>
      <c r="T45" s="19">
        <v>7.8569128268487193E-2</v>
      </c>
    </row>
    <row r="46" spans="9:20" x14ac:dyDescent="0.25">
      <c r="N46" s="12">
        <v>10</v>
      </c>
      <c r="O46" s="36">
        <v>0</v>
      </c>
      <c r="P46" s="25">
        <v>1.8452812499999995E-4</v>
      </c>
      <c r="Q46" s="25">
        <v>1.7097320042639648E-2</v>
      </c>
      <c r="R46" s="25">
        <v>9.5776515480960583E-2</v>
      </c>
      <c r="S46" s="25">
        <v>0.15773581799404218</v>
      </c>
      <c r="T46" s="21">
        <v>0.11121519942311502</v>
      </c>
    </row>
    <row r="47" spans="9:20" x14ac:dyDescent="0.25">
      <c r="N47" s="2">
        <v>11</v>
      </c>
      <c r="O47" s="35">
        <v>0</v>
      </c>
      <c r="P47" s="9">
        <v>0</v>
      </c>
      <c r="Q47" s="9">
        <v>6.433669378740234E-3</v>
      </c>
      <c r="R47" s="9">
        <v>5.6364545550970896E-2</v>
      </c>
      <c r="S47" s="9">
        <v>0.13940169819536175</v>
      </c>
      <c r="T47" s="19">
        <v>0.13608533077277096</v>
      </c>
    </row>
    <row r="48" spans="9:20" x14ac:dyDescent="0.25">
      <c r="N48" s="2">
        <v>12</v>
      </c>
      <c r="O48" s="35">
        <v>0</v>
      </c>
      <c r="P48" s="9">
        <v>0</v>
      </c>
      <c r="Q48" s="9">
        <v>1.9207777607666017E-3</v>
      </c>
      <c r="R48" s="9">
        <v>2.895852079610535E-2</v>
      </c>
      <c r="S48" s="9">
        <v>0.10646443589173468</v>
      </c>
      <c r="T48" s="19">
        <v>0.14502051202975824</v>
      </c>
    </row>
    <row r="49" spans="14:20" x14ac:dyDescent="0.25">
      <c r="N49" s="2">
        <v>13</v>
      </c>
      <c r="O49" s="35">
        <v>0</v>
      </c>
      <c r="P49" s="9">
        <v>0</v>
      </c>
      <c r="Q49" s="9">
        <v>4.1239095020507809E-4</v>
      </c>
      <c r="R49" s="9">
        <v>1.3082341984295809E-2</v>
      </c>
      <c r="S49" s="9">
        <v>7.094392199417883E-2</v>
      </c>
      <c r="T49" s="19">
        <v>0.13547244743482276</v>
      </c>
    </row>
    <row r="50" spans="14:20" x14ac:dyDescent="0.25">
      <c r="N50" s="2">
        <v>14</v>
      </c>
      <c r="O50" s="35">
        <v>0</v>
      </c>
      <c r="P50" s="9">
        <v>0</v>
      </c>
      <c r="Q50" s="9">
        <v>5.5237686908203115E-5</v>
      </c>
      <c r="R50" s="9">
        <v>5.1507319545594388E-3</v>
      </c>
      <c r="S50" s="9">
        <v>4.162571521440972E-2</v>
      </c>
      <c r="T50" s="19">
        <v>0.11160284981317728</v>
      </c>
    </row>
    <row r="51" spans="14:20" x14ac:dyDescent="0.25">
      <c r="N51" s="12">
        <v>15</v>
      </c>
      <c r="O51" s="36">
        <v>0</v>
      </c>
      <c r="P51" s="25">
        <v>0</v>
      </c>
      <c r="Q51" s="25">
        <v>3.4050628916015607E-6</v>
      </c>
      <c r="R51" s="25">
        <v>1.720951418686917E-3</v>
      </c>
      <c r="S51" s="25">
        <v>2.1660579942090384E-2</v>
      </c>
      <c r="T51" s="21">
        <v>8.1539956411435396E-2</v>
      </c>
    </row>
    <row r="52" spans="14:20" x14ac:dyDescent="0.25">
      <c r="N52" s="2">
        <v>16</v>
      </c>
      <c r="O52" s="35">
        <v>0</v>
      </c>
      <c r="P52" s="9">
        <v>0</v>
      </c>
      <c r="Q52" s="9">
        <v>0</v>
      </c>
      <c r="R52" s="9">
        <v>4.6830801455202551E-4</v>
      </c>
      <c r="S52" s="9">
        <v>1.002506795377245E-2</v>
      </c>
      <c r="T52" s="19">
        <v>5.3122278400959955E-2</v>
      </c>
    </row>
    <row r="53" spans="14:20" x14ac:dyDescent="0.25">
      <c r="N53" s="2">
        <v>17</v>
      </c>
      <c r="O53" s="35">
        <v>0</v>
      </c>
      <c r="P53" s="9">
        <v>0</v>
      </c>
      <c r="Q53" s="9">
        <v>0</v>
      </c>
      <c r="R53" s="9">
        <v>9.8321558103338117E-5</v>
      </c>
      <c r="S53" s="9">
        <v>4.1106129606661903E-3</v>
      </c>
      <c r="T53" s="19">
        <v>3.1007558326549261E-2</v>
      </c>
    </row>
    <row r="54" spans="14:20" x14ac:dyDescent="0.25">
      <c r="N54" s="2">
        <v>18</v>
      </c>
      <c r="O54" s="35">
        <v>0</v>
      </c>
      <c r="P54" s="9">
        <v>0</v>
      </c>
      <c r="Q54" s="9">
        <v>0</v>
      </c>
      <c r="R54" s="9">
        <v>1.4777387704366283E-5</v>
      </c>
      <c r="S54" s="9">
        <v>1.4753896130585082E-3</v>
      </c>
      <c r="T54" s="19">
        <v>1.6272059954666566E-2</v>
      </c>
    </row>
    <row r="55" spans="14:20" x14ac:dyDescent="0.25">
      <c r="N55" s="2">
        <v>19</v>
      </c>
      <c r="O55" s="35">
        <v>0</v>
      </c>
      <c r="P55" s="9">
        <v>0</v>
      </c>
      <c r="Q55" s="9">
        <v>0</v>
      </c>
      <c r="R55" s="9">
        <v>1.403270044997302E-6</v>
      </c>
      <c r="S55" s="9">
        <v>4.5444149155754188E-4</v>
      </c>
      <c r="T55" s="19">
        <v>7.6856974654181372E-3</v>
      </c>
    </row>
    <row r="56" spans="14:20" x14ac:dyDescent="0.25">
      <c r="N56" s="12">
        <v>20</v>
      </c>
      <c r="O56" s="36">
        <v>0</v>
      </c>
      <c r="P56" s="25">
        <v>0</v>
      </c>
      <c r="Q56" s="25">
        <v>0</v>
      </c>
      <c r="R56" s="25">
        <v>6.2832987089431403E-8</v>
      </c>
      <c r="S56" s="25">
        <v>1.1693953697710709E-4</v>
      </c>
      <c r="T56" s="21">
        <v>3.2598231554820402E-3</v>
      </c>
    </row>
    <row r="57" spans="14:20" x14ac:dyDescent="0.25">
      <c r="N57" s="2">
        <v>21</v>
      </c>
      <c r="O57" s="35">
        <v>0</v>
      </c>
      <c r="P57" s="9">
        <v>0</v>
      </c>
      <c r="Q57" s="9">
        <v>0</v>
      </c>
      <c r="R57" s="9">
        <v>0</v>
      </c>
      <c r="S57" s="9">
        <v>2.4288190121374395E-5</v>
      </c>
      <c r="T57" s="19">
        <v>1.2336332763488464E-3</v>
      </c>
    </row>
    <row r="58" spans="14:20" x14ac:dyDescent="0.25">
      <c r="N58" s="2">
        <v>22</v>
      </c>
      <c r="O58" s="35">
        <v>0</v>
      </c>
      <c r="P58" s="9">
        <v>0</v>
      </c>
      <c r="Q58" s="9">
        <v>0</v>
      </c>
      <c r="R58" s="9">
        <v>0</v>
      </c>
      <c r="S58" s="9">
        <v>3.8886985219393008E-6</v>
      </c>
      <c r="T58" s="19">
        <v>4.1209053576223768E-4</v>
      </c>
    </row>
    <row r="59" spans="14:20" x14ac:dyDescent="0.25">
      <c r="N59" s="2">
        <v>23</v>
      </c>
      <c r="O59" s="35">
        <v>0</v>
      </c>
      <c r="P59" s="9">
        <v>0</v>
      </c>
      <c r="Q59" s="9">
        <v>0</v>
      </c>
      <c r="R59" s="9">
        <v>0</v>
      </c>
      <c r="S59" s="9">
        <v>4.4824729007010703E-7</v>
      </c>
      <c r="T59" s="19">
        <v>1.1971204461668129E-4</v>
      </c>
    </row>
    <row r="60" spans="14:20" x14ac:dyDescent="0.25">
      <c r="N60" s="2">
        <v>24</v>
      </c>
      <c r="O60" s="35">
        <v>0</v>
      </c>
      <c r="P60" s="9">
        <v>0</v>
      </c>
      <c r="Q60" s="9">
        <v>0</v>
      </c>
      <c r="R60" s="9">
        <v>0</v>
      </c>
      <c r="S60" s="9">
        <v>3.2979778263500763E-8</v>
      </c>
      <c r="T60" s="19">
        <v>2.967186985956305E-5</v>
      </c>
    </row>
    <row r="61" spans="14:20" x14ac:dyDescent="0.25">
      <c r="N61" s="12">
        <v>25</v>
      </c>
      <c r="O61" s="36">
        <v>0</v>
      </c>
      <c r="P61" s="25">
        <v>0</v>
      </c>
      <c r="Q61" s="25">
        <v>0</v>
      </c>
      <c r="R61" s="25">
        <v>0</v>
      </c>
      <c r="S61" s="25">
        <v>1.1594453295761982E-9</v>
      </c>
      <c r="T61" s="21">
        <v>6.1265733819263947E-6</v>
      </c>
    </row>
    <row r="62" spans="14:20" x14ac:dyDescent="0.25">
      <c r="N62" s="12" t="s">
        <v>13</v>
      </c>
      <c r="O62" s="36">
        <v>0</v>
      </c>
      <c r="P62" s="25">
        <v>0</v>
      </c>
      <c r="Q62" s="25">
        <v>0</v>
      </c>
      <c r="R62" s="25">
        <v>0</v>
      </c>
      <c r="S62" s="25">
        <v>0</v>
      </c>
      <c r="T62" s="21">
        <v>1.1664710881906018E-6</v>
      </c>
    </row>
  </sheetData>
  <mergeCells count="1">
    <mergeCell ref="B5:G15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Skill Game</vt:lpstr>
      <vt:lpstr>Board 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2022-06-13T03:15:39Z</dcterms:modified>
</cp:coreProperties>
</file>